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licers/slicer4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Dashboard" sheetId="4" r:id="rId1"/>
    <sheet name="pivort" sheetId="5" r:id="rId2"/>
    <sheet name="Pivot_Monthly" sheetId="6" r:id="rId3"/>
    <sheet name="Pivot_Channel" sheetId="7" r:id="rId4"/>
    <sheet name="Pivot_Profit" sheetId="8" r:id="rId5"/>
    <sheet name="Pivot_Stores" sheetId="9" r:id="rId6"/>
    <sheet name="Pivot_Returns" sheetId="10" r:id="rId7"/>
    <sheet name="Sales_Data" sheetId="1" r:id="rId8"/>
    <sheet name="Data_Quality" sheetId="2" r:id="rId9"/>
    <sheet name="Dashboard_Guide" sheetId="3" r:id="rId10"/>
  </sheets>
  <definedNames>
    <definedName name="_xlnm._FilterDatabase" localSheetId="7" hidden="1">Sales_Data!$A$1:$Z$2501</definedName>
    <definedName name="Slicer_Years__Transaction_Date">#N/A</definedName>
    <definedName name="Slicer_Payment_Mode">#N/A</definedName>
    <definedName name="Slicer_Sales_Channel">#N/A</definedName>
    <definedName name="Slicer_Return_Status">#N/A</definedName>
  </definedNames>
  <calcPr calcId="191029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5"/>
        <x14:slicerCache r:id="rId14"/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<sst xmlns="http://schemas.openxmlformats.org/spreadsheetml/2006/main" count="35133" uniqueCount="4672">
  <si>
    <t>FRESHMART SALES DASHBOARD</t>
  </si>
  <si>
    <t>Sales Performance Analysis | Mar 2025 – Mar 2026</t>
  </si>
  <si>
    <t>TOTAL TRANSACTIONS</t>
  </si>
  <si>
    <t>TOTAL QUANTITY</t>
  </si>
  <si>
    <t>TOTAL SALES</t>
  </si>
  <si>
    <t>TOTAL PROFIT</t>
  </si>
  <si>
    <t>PROFIT MARGIN</t>
  </si>
  <si>
    <t>Payment_Mode</t>
  </si>
  <si>
    <t>Sum of Sales_Amount</t>
  </si>
  <si>
    <t>Cash</t>
  </si>
  <si>
    <t>Credit Card</t>
  </si>
  <si>
    <t>Debit Card</t>
  </si>
  <si>
    <t>Net Banking</t>
  </si>
  <si>
    <t>UPI</t>
  </si>
  <si>
    <t>Wallet</t>
  </si>
  <si>
    <t>Grand Total</t>
  </si>
  <si>
    <t>Years (Transaction_Date)</t>
  </si>
  <si>
    <t>Transaction_Date</t>
  </si>
  <si>
    <t>2025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</si>
  <si>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</si>
  <si>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</si>
  <si>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</si>
  <si>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</si>
  <si>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</si>
  <si>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</si>
  <si>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</si>
  <si>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</si>
  <si>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</si>
  <si>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</si>
  <si>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2026</t>
  </si>
  <si>
    <t>Jan</t>
  </si>
  <si>
    <t>Feb</t>
  </si>
  <si>
    <t>Sales_Channel</t>
  </si>
  <si>
    <t>In-Store</t>
  </si>
  <si>
    <t>Mobile App</t>
  </si>
  <si>
    <t>Online</t>
  </si>
  <si>
    <t>Sum of Profit</t>
  </si>
  <si>
    <t>Store_ID</t>
  </si>
  <si>
    <t>STR086</t>
  </si>
  <si>
    <t>STR059</t>
  </si>
  <si>
    <t>STR033</t>
  </si>
  <si>
    <t>STR018</t>
  </si>
  <si>
    <t>STR097</t>
  </si>
  <si>
    <t>STR092</t>
  </si>
  <si>
    <t>STR056</t>
  </si>
  <si>
    <t>STR036</t>
  </si>
  <si>
    <t>STR023</t>
  </si>
  <si>
    <t>STR080</t>
  </si>
  <si>
    <t>Return_Status</t>
  </si>
  <si>
    <t>Count of Transaction_ID</t>
  </si>
  <si>
    <t>Not Returned</t>
  </si>
  <si>
    <t>Returned</t>
  </si>
  <si>
    <t>Transaction_ID</t>
  </si>
  <si>
    <t>Invoice_Number</t>
  </si>
  <si>
    <t>Year</t>
  </si>
  <si>
    <t>Month</t>
  </si>
  <si>
    <t>Month_Name</t>
  </si>
  <si>
    <t>Quarter</t>
  </si>
  <si>
    <t>Customer_ID</t>
  </si>
  <si>
    <t>Product_ID</t>
  </si>
  <si>
    <t>Employee_ID</t>
  </si>
  <si>
    <t>Quantity</t>
  </si>
  <si>
    <t>Unit_Price</t>
  </si>
  <si>
    <t>Discount_Pct</t>
  </si>
  <si>
    <t>Discount_Amount</t>
  </si>
  <si>
    <t>Tax_Amount</t>
  </si>
  <si>
    <t>Sales_Amount</t>
  </si>
  <si>
    <t>Cost_Amount</t>
  </si>
  <si>
    <t>Profit</t>
  </si>
  <si>
    <t>Profit_Margin</t>
  </si>
  <si>
    <t>Returned_Flag</t>
  </si>
  <si>
    <t>Order_Time</t>
  </si>
  <si>
    <t>Day_Type</t>
  </si>
  <si>
    <t>INV100001</t>
  </si>
  <si>
    <t>Q2</t>
  </si>
  <si>
    <t>CUST0525</t>
  </si>
  <si>
    <t>PRD138</t>
  </si>
  <si>
    <t>STR051</t>
  </si>
  <si>
    <t>EMP0333</t>
  </si>
  <si>
    <t>20:03</t>
  </si>
  <si>
    <t>Weekend</t>
  </si>
  <si>
    <t>INV100002</t>
  </si>
  <si>
    <t>Q1</t>
  </si>
  <si>
    <t>CUST0114</t>
  </si>
  <si>
    <t>PRD019</t>
  </si>
  <si>
    <t>STR082</t>
  </si>
  <si>
    <t>EMP0115</t>
  </si>
  <si>
    <t>09:51</t>
  </si>
  <si>
    <t>INV100003</t>
  </si>
  <si>
    <t>Q3</t>
  </si>
  <si>
    <t>CUST0438</t>
  </si>
  <si>
    <t>PRD119</t>
  </si>
  <si>
    <t>STR008</t>
  </si>
  <si>
    <t>EMP0249</t>
  </si>
  <si>
    <t>09:53</t>
  </si>
  <si>
    <t>INV100004</t>
  </si>
  <si>
    <t>CUST0680</t>
  </si>
  <si>
    <t>PRD004</t>
  </si>
  <si>
    <t>STR100</t>
  </si>
  <si>
    <t>EMP0324</t>
  </si>
  <si>
    <t>18:43</t>
  </si>
  <si>
    <t>Weekday</t>
  </si>
  <si>
    <t>INV100005</t>
  </si>
  <si>
    <t>CUST0137</t>
  </si>
  <si>
    <t>PRD024</t>
  </si>
  <si>
    <t>STR127</t>
  </si>
  <si>
    <t>EMP0225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</si>
  <si>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</si>
  <si>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</si>
  <si>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</si>
  <si>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</si>
  <si>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</si>
  <si>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</si>
  <si>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</si>
  <si>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</si>
  <si>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</si>
  <si>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</si>
  <si>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EMP0015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</si>
  <si>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</si>
  <si>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</si>
  <si>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</si>
  <si>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</si>
  <si>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</si>
  <si>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</si>
  <si>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</si>
  <si>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</si>
  <si>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</si>
  <si>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</si>
  <si>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</si>
  <si>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</si>
  <si>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</si>
  <si>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</si>
  <si>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</si>
  <si>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</si>
  <si>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</si>
  <si>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</si>
  <si>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</si>
  <si>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Q4</t>
  </si>
  <si>
    <t>UNKNOWN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</si>
  <si>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</si>
  <si>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</si>
  <si>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</si>
  <si>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</si>
  <si>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</si>
  <si>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</si>
  <si>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</si>
  <si>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</si>
  <si>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</si>
  <si>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</si>
  <si>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</si>
  <si>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</si>
  <si>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</si>
  <si>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</si>
  <si>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</si>
  <si>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</si>
  <si>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</si>
  <si>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</si>
  <si>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</si>
  <si>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</si>
  <si>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</si>
  <si>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</si>
  <si>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</si>
  <si>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</si>
  <si>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</si>
  <si>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</si>
  <si>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</si>
  <si>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</si>
  <si>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</si>
  <si>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</si>
  <si>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</si>
  <si>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</si>
  <si>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</si>
  <si>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</si>
  <si>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</si>
  <si>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</si>
  <si>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</si>
  <si>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</si>
  <si>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</si>
  <si>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</si>
  <si>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</si>
  <si>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</si>
  <si>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</si>
  <si>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</si>
  <si>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</si>
  <si>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</si>
  <si>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</si>
  <si>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</si>
  <si>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</si>
  <si>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</si>
  <si>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</si>
  <si>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</si>
  <si>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</si>
  <si>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</si>
  <si>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</si>
  <si>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</si>
  <si>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</si>
  <si>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</si>
  <si>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</si>
  <si>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</si>
  <si>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</si>
  <si>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</si>
  <si>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</si>
  <si>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</si>
  <si>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</si>
  <si>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</si>
  <si>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</si>
  <si>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</si>
  <si>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</si>
  <si>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</si>
  <si>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</si>
  <si>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</si>
  <si>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</si>
  <si>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</si>
  <si>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</si>
  <si>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</si>
  <si>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</si>
  <si>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</si>
  <si>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</si>
  <si>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</si>
  <si>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</si>
  <si>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</si>
  <si>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</si>
  <si>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</si>
  <si>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</si>
  <si>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</si>
  <si>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</si>
  <si>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</si>
  <si>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</si>
  <si>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</si>
  <si>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</si>
  <si>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</si>
  <si>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</si>
  <si>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</si>
  <si>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</si>
  <si>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</si>
  <si>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</si>
  <si>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</si>
  <si>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</si>
  <si>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</si>
  <si>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</si>
  <si>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</si>
  <si>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</si>
  <si>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</si>
  <si>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</si>
  <si>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</si>
  <si>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</si>
  <si>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</si>
  <si>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</si>
  <si>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</si>
  <si>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</si>
  <si>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</si>
  <si>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</si>
  <si>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</si>
  <si>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</si>
  <si>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</si>
  <si>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</si>
  <si>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</si>
  <si>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</si>
  <si>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</si>
  <si>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</si>
  <si>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</si>
  <si>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</si>
  <si>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</si>
  <si>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</si>
  <si>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</si>
  <si>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</si>
  <si>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</si>
  <si>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</si>
  <si>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</si>
  <si>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</si>
  <si>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</si>
  <si>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</si>
  <si>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</si>
  <si>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</si>
  <si>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</si>
  <si>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</si>
  <si>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</si>
  <si>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</si>
  <si>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</si>
  <si>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</si>
  <si>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</si>
  <si>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</si>
  <si>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</si>
  <si>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</si>
  <si>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</si>
  <si>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</si>
  <si>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</si>
  <si>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</si>
  <si>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</si>
  <si>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</si>
  <si>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</si>
  <si>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</si>
  <si>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</si>
  <si>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</si>
  <si>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</si>
  <si>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</si>
  <si>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</si>
  <si>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</si>
  <si>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</si>
  <si>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</si>
  <si>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</si>
  <si>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</si>
  <si>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</si>
  <si>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</si>
  <si>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</si>
  <si>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</si>
  <si>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</si>
  <si>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</si>
  <si>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</si>
  <si>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</si>
  <si>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</si>
  <si>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</si>
  <si>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</si>
  <si>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</si>
  <si>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</si>
  <si>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</si>
  <si>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</si>
  <si>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</si>
  <si>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</si>
  <si>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</si>
  <si>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</si>
  <si>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</si>
  <si>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</si>
  <si>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</si>
  <si>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</si>
  <si>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</si>
  <si>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</si>
  <si>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</si>
  <si>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</si>
  <si>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</si>
  <si>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</si>
  <si>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</si>
  <si>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</si>
  <si>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</si>
  <si>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</si>
  <si>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</si>
  <si>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</si>
  <si>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</si>
  <si>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</si>
  <si>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</si>
  <si>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</si>
  <si>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</si>
  <si>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</si>
  <si>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</si>
  <si>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</si>
  <si>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</si>
  <si>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</si>
  <si>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</si>
  <si>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</si>
  <si>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</si>
  <si>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</si>
  <si>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</si>
  <si>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</si>
  <si>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</si>
  <si>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</si>
  <si>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</si>
  <si>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</si>
  <si>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</si>
  <si>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</si>
  <si>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</si>
  <si>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</si>
  <si>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</si>
  <si>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</si>
  <si>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</si>
  <si>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</si>
  <si>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</si>
  <si>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</si>
  <si>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</si>
  <si>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</si>
  <si>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</si>
  <si>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</si>
  <si>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</si>
  <si>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</si>
  <si>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</si>
  <si>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</si>
  <si>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</si>
  <si>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</si>
  <si>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</si>
  <si>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</si>
  <si>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</si>
  <si>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</si>
  <si>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</si>
  <si>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</si>
  <si>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</si>
  <si>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</si>
  <si>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</si>
  <si>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</si>
  <si>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</si>
  <si>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</si>
  <si>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</si>
  <si>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</si>
  <si>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</si>
  <si>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</si>
  <si>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</si>
  <si>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</si>
  <si>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</si>
  <si>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</si>
  <si>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</si>
  <si>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</si>
  <si>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</si>
  <si>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</si>
  <si>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</si>
  <si>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</si>
  <si>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</si>
  <si>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</si>
  <si>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</si>
  <si>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</si>
  <si>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</si>
  <si>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</si>
  <si>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</si>
  <si>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</si>
  <si>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</si>
  <si>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</si>
  <si>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</si>
  <si>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</si>
  <si>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</si>
  <si>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</si>
  <si>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</si>
  <si>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</si>
  <si>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</si>
  <si>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</si>
  <si>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</si>
  <si>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</si>
  <si>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</si>
  <si>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</si>
  <si>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</si>
  <si>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</si>
  <si>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</si>
  <si>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</si>
  <si>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</si>
  <si>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</si>
  <si>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</si>
  <si>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</si>
  <si>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</si>
  <si>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</si>
  <si>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</si>
  <si>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</si>
  <si>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</si>
  <si>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</si>
  <si>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</si>
  <si>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</si>
  <si>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</si>
  <si>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</si>
  <si>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</si>
  <si>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</si>
  <si>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</si>
  <si>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</si>
  <si>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</si>
  <si>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</si>
  <si>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</si>
  <si>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</si>
  <si>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</si>
  <si>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</si>
  <si>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</si>
  <si>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</si>
  <si>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</si>
  <si>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</si>
  <si>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</si>
  <si>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</si>
  <si>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</si>
  <si>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</si>
  <si>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</si>
  <si>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</si>
  <si>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</si>
  <si>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</si>
  <si>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</si>
  <si>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</si>
  <si>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</si>
  <si>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</si>
  <si>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</si>
  <si>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</si>
  <si>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</si>
  <si>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</si>
  <si>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</si>
  <si>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</si>
  <si>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</si>
  <si>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</si>
  <si>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</si>
  <si>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</si>
  <si>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</si>
  <si>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</si>
  <si>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</si>
  <si>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</si>
  <si>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</si>
  <si>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</si>
  <si>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</si>
  <si>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</si>
  <si>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</si>
  <si>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</si>
  <si>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</si>
  <si>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</si>
  <si>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</si>
  <si>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</si>
  <si>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</si>
  <si>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</si>
  <si>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</si>
  <si>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</si>
  <si>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</si>
  <si>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</si>
  <si>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</si>
  <si>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</si>
  <si>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</si>
  <si>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</si>
  <si>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</si>
  <si>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</si>
  <si>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</si>
  <si>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</si>
  <si>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</si>
  <si>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</si>
  <si>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</si>
  <si>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</si>
  <si>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</si>
  <si>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</si>
  <si>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</si>
  <si>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</si>
  <si>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</si>
  <si>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</si>
  <si>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</si>
  <si>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</si>
  <si>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</si>
  <si>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</si>
  <si>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</si>
  <si>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</si>
  <si>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</si>
  <si>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</si>
  <si>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</si>
  <si>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</si>
  <si>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</si>
  <si>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</si>
  <si>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</si>
  <si>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</si>
  <si>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</si>
  <si>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</si>
  <si>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</si>
  <si>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</si>
  <si>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</si>
  <si>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</si>
  <si>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</si>
  <si>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</si>
  <si>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</si>
  <si>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</si>
  <si>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</si>
  <si>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</si>
  <si>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</si>
  <si>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</si>
  <si>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</si>
  <si>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</si>
  <si>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</si>
  <si>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</si>
  <si>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</si>
  <si>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</si>
  <si>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</si>
  <si>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</si>
  <si>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</si>
  <si>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</si>
  <si>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</si>
  <si>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</si>
  <si>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</si>
  <si>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</si>
  <si>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</si>
  <si>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</si>
  <si>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</si>
  <si>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</si>
  <si>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</si>
  <si>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</si>
  <si>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</si>
  <si>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</si>
  <si>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</si>
  <si>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</si>
  <si>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</si>
  <si>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</si>
  <si>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</si>
  <si>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</si>
  <si>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</si>
  <si>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</si>
  <si>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</si>
  <si>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</si>
  <si>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</si>
  <si>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</si>
  <si>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</si>
  <si>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</si>
  <si>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</si>
  <si>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</si>
  <si>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</si>
  <si>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</si>
  <si>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</si>
  <si>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</si>
  <si>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</si>
  <si>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</si>
  <si>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</si>
  <si>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</si>
  <si>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</si>
  <si>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</si>
  <si>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</si>
  <si>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</si>
  <si>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</si>
  <si>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</si>
  <si>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</si>
  <si>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</si>
  <si>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</si>
  <si>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</si>
  <si>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</si>
  <si>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</si>
  <si>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</si>
  <si>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</si>
  <si>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</si>
  <si>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</si>
  <si>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</si>
  <si>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</si>
  <si>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</si>
  <si>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</si>
  <si>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</si>
  <si>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</si>
  <si>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</si>
  <si>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</si>
  <si>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</si>
  <si>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</si>
  <si>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</si>
  <si>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</si>
  <si>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</si>
  <si>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</si>
  <si>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</si>
  <si>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</si>
  <si>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</si>
  <si>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</si>
  <si>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</si>
  <si>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</si>
  <si>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</si>
  <si>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</si>
  <si>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</si>
  <si>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</si>
  <si>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</si>
  <si>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</si>
  <si>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</si>
  <si>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</si>
  <si>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</si>
  <si>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</si>
  <si>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</si>
  <si>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</si>
  <si>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</si>
  <si>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</si>
  <si>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</si>
  <si>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</si>
  <si>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</si>
  <si>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</si>
  <si>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</si>
  <si>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</si>
  <si>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</si>
  <si>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</si>
  <si>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</si>
  <si>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</si>
  <si>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</si>
  <si>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</si>
  <si>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</si>
  <si>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</si>
  <si>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</si>
  <si>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</si>
  <si>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</si>
  <si>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</si>
  <si>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</si>
  <si>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</si>
  <si>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</si>
  <si>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</si>
  <si>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</si>
  <si>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</si>
  <si>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</si>
  <si>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</si>
  <si>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</si>
  <si>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</si>
  <si>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</si>
  <si>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</si>
  <si>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</si>
  <si>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</si>
  <si>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</si>
  <si>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</si>
  <si>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</si>
  <si>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</si>
  <si>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</si>
  <si>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</si>
  <si>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</si>
  <si>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</si>
  <si>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</si>
  <si>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</si>
  <si>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</si>
  <si>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</si>
  <si>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</si>
  <si>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</si>
  <si>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</si>
  <si>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</si>
  <si>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</si>
  <si>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</si>
  <si>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</si>
  <si>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</si>
  <si>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</si>
  <si>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</si>
  <si>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</si>
  <si>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</si>
  <si>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</si>
  <si>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</si>
  <si>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</si>
  <si>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</si>
  <si>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</si>
  <si>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</si>
  <si>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</si>
  <si>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</si>
  <si>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</si>
  <si>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</si>
  <si>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</si>
  <si>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</si>
  <si>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</si>
  <si>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</si>
  <si>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</si>
  <si>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</si>
  <si>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</si>
  <si>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</si>
  <si>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</si>
  <si>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</si>
  <si>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</si>
  <si>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</si>
  <si>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</si>
  <si>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</si>
  <si>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</si>
  <si>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</si>
  <si>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</si>
  <si>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</si>
  <si>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</si>
  <si>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</si>
  <si>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</si>
  <si>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</si>
  <si>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</si>
  <si>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</si>
  <si>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</si>
  <si>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</si>
  <si>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</si>
  <si>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</si>
  <si>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</si>
  <si>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</si>
  <si>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</si>
  <si>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</si>
  <si>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</si>
  <si>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</si>
  <si>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</si>
  <si>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</si>
  <si>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</si>
  <si>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</si>
  <si>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</si>
  <si>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</si>
  <si>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</si>
  <si>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</si>
  <si>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</si>
  <si>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</si>
  <si>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</si>
  <si>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</si>
  <si>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</si>
  <si>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</si>
  <si>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</si>
  <si>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</si>
  <si>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</si>
  <si>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</si>
  <si>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</si>
  <si>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</si>
  <si>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</si>
  <si>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</si>
  <si>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</si>
  <si>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</si>
  <si>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</si>
  <si>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</si>
  <si>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</si>
  <si>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</si>
  <si>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</si>
  <si>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</si>
  <si>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</si>
  <si>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</si>
  <si>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</si>
  <si>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</si>
  <si>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</si>
  <si>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</si>
  <si>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</si>
  <si>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</si>
  <si>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</si>
  <si>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</si>
  <si>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</si>
  <si>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</si>
  <si>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</si>
  <si>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</si>
  <si>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</si>
  <si>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</si>
  <si>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</si>
  <si>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</si>
  <si>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</si>
  <si>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</si>
  <si>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</si>
  <si>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</si>
  <si>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</si>
  <si>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</si>
  <si>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</si>
  <si>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</si>
  <si>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</si>
  <si>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</si>
  <si>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</si>
  <si>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</si>
  <si>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</si>
  <si>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</si>
  <si>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</si>
  <si>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</si>
  <si>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</si>
  <si>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</si>
  <si>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</si>
  <si>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</si>
  <si>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</si>
  <si>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</si>
  <si>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</si>
  <si>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</si>
  <si>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</si>
  <si>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</si>
  <si>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</si>
  <si>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</si>
  <si>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</si>
  <si>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</si>
  <si>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</si>
  <si>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</si>
  <si>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</si>
  <si>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</si>
  <si>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</si>
  <si>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</si>
  <si>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</si>
  <si>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</si>
  <si>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</si>
  <si>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</si>
  <si>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</si>
  <si>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</si>
  <si>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</si>
  <si>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</si>
  <si>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</si>
  <si>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</si>
  <si>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</si>
  <si>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</si>
  <si>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</si>
  <si>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</si>
  <si>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</si>
  <si>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</si>
  <si>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</si>
  <si>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</si>
  <si>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</si>
  <si>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</si>
  <si>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</si>
  <si>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</si>
  <si>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</si>
  <si>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</si>
  <si>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</si>
  <si>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</si>
  <si>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</si>
  <si>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</si>
  <si>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</si>
  <si>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</si>
  <si>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</si>
  <si>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</si>
  <si>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</si>
  <si>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</si>
  <si>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</si>
  <si>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</si>
  <si>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</si>
  <si>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</si>
  <si>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</si>
  <si>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</si>
  <si>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</si>
  <si>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</si>
  <si>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</si>
  <si>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</si>
  <si>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</si>
  <si>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</si>
  <si>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</si>
  <si>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</si>
  <si>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</si>
  <si>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</si>
  <si>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</si>
  <si>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</si>
  <si>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</si>
  <si>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</si>
  <si>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</si>
  <si>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</si>
  <si>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</si>
  <si>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</si>
  <si>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</si>
  <si>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</si>
  <si>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</si>
  <si>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</si>
  <si>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</si>
  <si>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</si>
  <si>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</si>
  <si>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</si>
  <si>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</si>
  <si>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</si>
  <si>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</si>
  <si>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</si>
  <si>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</si>
  <si>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</si>
  <si>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</si>
  <si>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</si>
  <si>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</si>
  <si>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</si>
  <si>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</si>
  <si>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</si>
  <si>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</si>
  <si>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</si>
  <si>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</si>
  <si>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</si>
  <si>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</si>
  <si>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</si>
  <si>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</si>
  <si>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</si>
  <si>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</si>
  <si>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</si>
  <si>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</si>
  <si>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</si>
  <si>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</si>
  <si>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</si>
  <si>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</si>
  <si>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</si>
  <si>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</si>
  <si>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</si>
  <si>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</si>
  <si>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</si>
  <si>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</si>
  <si>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</si>
  <si>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</si>
  <si>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</si>
  <si>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</si>
  <si>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</si>
  <si>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</si>
  <si>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</si>
  <si>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</si>
  <si>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</si>
  <si>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</si>
  <si>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</si>
  <si>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</si>
  <si>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</si>
  <si>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</si>
  <si>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</si>
  <si>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</si>
  <si>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</si>
  <si>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</si>
  <si>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</si>
  <si>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</si>
  <si>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</si>
  <si>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</si>
  <si>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</si>
  <si>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</si>
  <si>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</si>
  <si>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</si>
  <si>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</si>
  <si>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</si>
  <si>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</si>
  <si>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</si>
  <si>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</si>
  <si>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</si>
  <si>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</si>
  <si>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</si>
  <si>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</si>
  <si>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</si>
  <si>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</si>
  <si>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</si>
  <si>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</si>
  <si>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</si>
  <si>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</si>
  <si>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</si>
  <si>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</si>
  <si>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</si>
  <si>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</si>
  <si>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</si>
  <si>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</si>
  <si>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</si>
  <si>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</si>
  <si>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</si>
  <si>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</si>
  <si>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</si>
  <si>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</si>
  <si>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</si>
  <si>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</si>
  <si>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</si>
  <si>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</si>
  <si>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</si>
  <si>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</si>
  <si>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</si>
  <si>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</si>
  <si>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</si>
  <si>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</si>
  <si>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</si>
  <si>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</si>
  <si>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</si>
  <si>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</si>
  <si>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</si>
  <si>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</si>
  <si>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</si>
  <si>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</si>
  <si>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</si>
  <si>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</si>
  <si>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</si>
  <si>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</si>
  <si>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</si>
  <si>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</si>
  <si>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</si>
  <si>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</si>
  <si>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</si>
  <si>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</si>
  <si>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</si>
  <si>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</si>
  <si>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</si>
  <si>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</si>
  <si>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</si>
  <si>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</si>
  <si>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</si>
  <si>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</si>
  <si>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</si>
  <si>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</si>
  <si>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</si>
  <si>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</si>
  <si>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</si>
  <si>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</si>
  <si>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</si>
  <si>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</si>
  <si>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</si>
  <si>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</si>
  <si>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</si>
  <si>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</si>
  <si>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</si>
  <si>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</si>
  <si>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</si>
  <si>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</si>
  <si>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</si>
  <si>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</si>
  <si>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</si>
  <si>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</si>
  <si>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</si>
  <si>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</si>
  <si>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</si>
  <si>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</si>
  <si>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</si>
  <si>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</si>
  <si>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</si>
  <si>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</si>
  <si>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</si>
  <si>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</si>
  <si>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</si>
  <si>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</si>
  <si>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</si>
  <si>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</si>
  <si>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</si>
  <si>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</si>
  <si>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</si>
  <si>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</si>
  <si>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</si>
  <si>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</si>
  <si>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</si>
  <si>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</si>
  <si>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</si>
  <si>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</si>
  <si>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</si>
  <si>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</si>
  <si>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</si>
  <si>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</si>
  <si>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</si>
  <si>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</si>
  <si>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</si>
  <si>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</si>
  <si>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</si>
  <si>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</si>
  <si>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</si>
  <si>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</si>
  <si>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</si>
  <si>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</si>
  <si>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</si>
  <si>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</si>
  <si>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</si>
  <si>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</si>
  <si>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</si>
  <si>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</si>
  <si>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</si>
  <si>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</si>
  <si>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</si>
  <si>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</si>
  <si>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</si>
  <si>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</si>
  <si>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</si>
  <si>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</si>
  <si>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</si>
  <si>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</si>
  <si>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</si>
  <si>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</si>
  <si>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</si>
  <si>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</si>
  <si>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</si>
  <si>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</si>
  <si>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</si>
  <si>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</si>
  <si>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</si>
  <si>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</si>
  <si>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</si>
  <si>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</si>
  <si>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</si>
  <si>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</si>
  <si>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</si>
  <si>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</si>
  <si>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</si>
  <si>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</si>
  <si>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</si>
  <si>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</si>
  <si>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</si>
  <si>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</si>
  <si>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</si>
  <si>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</si>
  <si>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</si>
  <si>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</si>
  <si>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</si>
  <si>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</si>
  <si>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</si>
  <si>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</si>
  <si>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</si>
  <si>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</si>
  <si>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</si>
  <si>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</si>
  <si>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</si>
  <si>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</si>
  <si>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</si>
  <si>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</si>
  <si>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</si>
  <si>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</si>
  <si>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</si>
  <si>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</si>
  <si>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</si>
  <si>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</si>
  <si>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</si>
  <si>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</si>
  <si>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</si>
  <si>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</si>
  <si>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</si>
  <si>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</si>
  <si>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</si>
  <si>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</si>
  <si>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</si>
  <si>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</si>
  <si>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</si>
  <si>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</si>
  <si>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</si>
  <si>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</si>
  <si>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</si>
  <si>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</si>
  <si>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</si>
  <si>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</si>
  <si>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</si>
  <si>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</si>
  <si>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</si>
  <si>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</si>
  <si>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</si>
  <si>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</si>
  <si>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</si>
  <si>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</si>
  <si>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</si>
  <si>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</si>
  <si>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</si>
  <si>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</si>
  <si>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</si>
  <si>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</si>
  <si>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</si>
  <si>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</si>
  <si>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</si>
  <si>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</si>
  <si>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</si>
  <si>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</si>
  <si>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</si>
  <si>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</si>
  <si>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</si>
  <si>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</si>
  <si>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</si>
  <si>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</si>
  <si>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</si>
  <si>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</si>
  <si>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</si>
  <si>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</si>
  <si>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</si>
  <si>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</si>
  <si>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</si>
  <si>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</si>
  <si>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</si>
  <si>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</si>
  <si>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</si>
  <si>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</si>
  <si>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</si>
  <si>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</si>
  <si>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</si>
  <si>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</si>
  <si>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</si>
  <si>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</si>
  <si>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</si>
  <si>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</si>
  <si>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</si>
  <si>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</si>
  <si>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</si>
  <si>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</si>
  <si>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</si>
  <si>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</si>
  <si>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</si>
  <si>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</si>
  <si>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</si>
  <si>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</si>
  <si>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</si>
  <si>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</si>
  <si>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</si>
  <si>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</si>
  <si>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</si>
  <si>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</si>
  <si>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</si>
  <si>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</si>
  <si>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</si>
  <si>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</si>
  <si>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</si>
  <si>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</si>
  <si>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</si>
  <si>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</si>
  <si>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</si>
  <si>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</si>
  <si>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</si>
  <si>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</si>
  <si>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</si>
  <si>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</si>
  <si>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</si>
  <si>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</si>
  <si>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</si>
  <si>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</si>
  <si>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</si>
  <si>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</si>
  <si>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</si>
  <si>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</si>
  <si>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</si>
  <si>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</si>
  <si>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</si>
  <si>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</si>
  <si>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</si>
  <si>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</si>
  <si>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</si>
  <si>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</si>
  <si>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</si>
  <si>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</si>
  <si>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</si>
  <si>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</si>
  <si>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</si>
  <si>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</si>
  <si>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</si>
  <si>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</si>
  <si>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</si>
  <si>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</si>
  <si>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</si>
  <si>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</si>
  <si>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</si>
  <si>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</si>
  <si>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</si>
  <si>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</si>
  <si>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</si>
  <si>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</si>
  <si>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</si>
  <si>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</si>
  <si>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</si>
  <si>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</si>
  <si>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</si>
  <si>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</si>
  <si>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</si>
  <si>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</si>
  <si>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</si>
  <si>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</si>
  <si>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</si>
  <si>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</si>
  <si>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</si>
  <si>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</si>
  <si>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</si>
  <si>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</si>
  <si>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</si>
  <si>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</si>
  <si>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</si>
  <si>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</si>
  <si>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</si>
  <si>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</si>
  <si>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</si>
  <si>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</si>
  <si>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</si>
  <si>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</si>
  <si>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</si>
  <si>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</si>
  <si>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</si>
  <si>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</si>
  <si>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</si>
  <si>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</si>
  <si>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</si>
  <si>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</si>
  <si>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</si>
  <si>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</si>
  <si>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</si>
  <si>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</si>
  <si>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</si>
  <si>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</si>
  <si>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</si>
  <si>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</si>
  <si>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</si>
  <si>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</si>
  <si>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</si>
  <si>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</si>
  <si>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</si>
  <si>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</si>
  <si>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</si>
  <si>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</si>
  <si>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</si>
  <si>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</si>
  <si>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</si>
  <si>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</si>
  <si>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</si>
  <si>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</si>
  <si>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</si>
  <si>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</si>
  <si>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</si>
  <si>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</si>
  <si>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</si>
  <si>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</si>
  <si>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</si>
  <si>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</si>
  <si>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</si>
  <si>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</si>
  <si>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</si>
  <si>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</si>
  <si>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</si>
  <si>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</si>
  <si>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</si>
  <si>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</si>
  <si>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</si>
  <si>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</si>
  <si>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</si>
  <si>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</si>
  <si>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</si>
  <si>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</si>
  <si>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</si>
  <si>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</si>
  <si>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</si>
  <si>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</si>
  <si>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</si>
  <si>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</si>
  <si>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</si>
  <si>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</si>
  <si>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</si>
  <si>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</si>
  <si>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</si>
  <si>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</si>
  <si>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</si>
  <si>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</si>
  <si>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</si>
  <si>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</si>
  <si>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</si>
  <si>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</si>
  <si>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</si>
  <si>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</si>
  <si>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</si>
  <si>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</si>
  <si>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</si>
  <si>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</si>
  <si>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</si>
  <si>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</si>
  <si>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</si>
  <si>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</si>
  <si>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</si>
  <si>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</si>
  <si>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</si>
  <si>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</si>
  <si>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</si>
  <si>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</si>
  <si>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</si>
  <si>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</si>
  <si>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</si>
  <si>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</si>
  <si>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</si>
  <si>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</si>
  <si>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</si>
  <si>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</si>
  <si>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</si>
  <si>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</si>
  <si>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</si>
  <si>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</si>
  <si>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</si>
  <si>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</si>
  <si>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</si>
  <si>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</si>
  <si>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</si>
  <si>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</si>
  <si>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</si>
  <si>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</si>
  <si>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</si>
  <si>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</si>
  <si>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</si>
  <si>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</si>
  <si>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</si>
  <si>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</si>
  <si>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</si>
  <si>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</si>
  <si>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</si>
  <si>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</si>
  <si>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</si>
  <si>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</si>
  <si>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</si>
  <si>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</si>
  <si>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</si>
  <si>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</si>
  <si>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</si>
  <si>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</si>
  <si>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</si>
  <si>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</si>
  <si>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</si>
  <si>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</si>
  <si>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</si>
  <si>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</si>
  <si>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</si>
  <si>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</si>
  <si>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</si>
  <si>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</si>
  <si>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</si>
  <si>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</si>
  <si>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</si>
  <si>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</si>
  <si>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</si>
  <si>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</si>
  <si>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</si>
  <si>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</si>
  <si>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</si>
  <si>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</si>
  <si>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</si>
  <si>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</si>
  <si>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</si>
  <si>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</si>
  <si>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</si>
  <si>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</si>
  <si>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</si>
  <si>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</si>
  <si>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</si>
  <si>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</si>
  <si>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</si>
  <si>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</si>
  <si>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</si>
  <si>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</si>
  <si>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</si>
  <si>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</si>
  <si>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</si>
  <si>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</si>
  <si>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</si>
  <si>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</si>
  <si>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</si>
  <si>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</si>
  <si>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</si>
  <si>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</si>
  <si>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</si>
  <si>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</si>
  <si>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</si>
  <si>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</si>
  <si>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</si>
  <si>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</si>
  <si>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</si>
  <si>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</si>
  <si>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</si>
  <si>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</si>
  <si>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</si>
  <si>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</si>
  <si>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</si>
  <si>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</si>
  <si>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</si>
  <si>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</si>
  <si>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</si>
  <si>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</si>
  <si>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</si>
  <si>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</si>
  <si>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</si>
  <si>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</si>
  <si>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</si>
  <si>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</si>
  <si>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</si>
  <si>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</si>
  <si>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</si>
  <si>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</si>
  <si>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</si>
  <si>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</si>
  <si>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</si>
  <si>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</si>
  <si>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</si>
  <si>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</si>
  <si>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</si>
  <si>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</si>
  <si>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</si>
  <si>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</si>
  <si>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</si>
  <si>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</si>
  <si>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</si>
  <si>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</si>
  <si>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</si>
  <si>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</si>
  <si>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</si>
  <si>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</si>
  <si>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</si>
  <si>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</si>
  <si>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</si>
  <si>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</si>
  <si>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</si>
  <si>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</si>
  <si>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</si>
  <si>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</si>
  <si>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</si>
  <si>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</si>
  <si>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</si>
  <si>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</si>
  <si>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</si>
  <si>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</si>
  <si>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</si>
  <si>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</si>
  <si>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</si>
  <si>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</si>
  <si>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</si>
  <si>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</si>
  <si>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</si>
  <si>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</si>
  <si>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</si>
  <si>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</si>
  <si>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</si>
  <si>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</si>
  <si>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</si>
  <si>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</si>
  <si>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</si>
  <si>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</si>
  <si>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</si>
  <si>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</si>
  <si>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</si>
  <si>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</si>
  <si>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</si>
  <si>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</si>
  <si>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</si>
  <si>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</si>
  <si>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</si>
  <si>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</si>
  <si>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</si>
  <si>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</si>
  <si>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</si>
  <si>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</si>
  <si>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</si>
  <si>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</si>
  <si>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</si>
  <si>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</si>
  <si>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</si>
  <si>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</si>
  <si>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</si>
  <si>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</si>
  <si>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</si>
  <si>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</si>
  <si>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</si>
  <si>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</si>
  <si>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</si>
  <si>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</si>
  <si>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</si>
  <si>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</si>
  <si>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</si>
  <si>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</si>
  <si>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</si>
  <si>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</si>
  <si>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</si>
  <si>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</si>
  <si>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</si>
  <si>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</si>
  <si>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</si>
  <si>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</si>
  <si>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</si>
  <si>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</si>
  <si>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</si>
  <si>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</si>
  <si>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</si>
  <si>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</si>
  <si>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</si>
  <si>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</si>
  <si>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</si>
  <si>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</si>
  <si>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</si>
  <si>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</si>
  <si>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</si>
  <si>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</si>
  <si>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</si>
  <si>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</si>
  <si>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</si>
  <si>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</si>
  <si>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</si>
  <si>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</si>
  <si>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</si>
  <si>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</si>
  <si>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</si>
  <si>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</si>
  <si>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</si>
  <si>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</si>
  <si>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</si>
  <si>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</si>
  <si>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</si>
  <si>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</si>
  <si>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</si>
  <si>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</si>
  <si>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</si>
  <si>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</si>
  <si>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</si>
  <si>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</si>
  <si>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</si>
  <si>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</si>
  <si>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</si>
  <si>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</si>
  <si>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</si>
  <si>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</si>
  <si>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</si>
  <si>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</si>
  <si>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</si>
  <si>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</si>
  <si>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</si>
  <si>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</si>
  <si>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</si>
  <si>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</si>
  <si>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</si>
  <si>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</si>
  <si>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</si>
  <si>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</si>
  <si>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</si>
  <si>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</si>
  <si>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</si>
  <si>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</si>
  <si>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</si>
  <si>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</si>
  <si>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</si>
  <si>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</si>
  <si>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</si>
  <si>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</si>
  <si>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</si>
  <si>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</si>
  <si>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</si>
  <si>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</si>
  <si>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</si>
  <si>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</si>
  <si>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</si>
  <si>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</si>
  <si>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</si>
  <si>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</si>
  <si>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</si>
  <si>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</si>
  <si>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</si>
  <si>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</si>
  <si>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</si>
  <si>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</si>
  <si>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</si>
  <si>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</si>
  <si>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</si>
  <si>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</si>
  <si>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</si>
  <si>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</si>
  <si>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</si>
  <si>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</si>
  <si>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</si>
  <si>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</si>
  <si>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</si>
  <si>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</si>
  <si>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</si>
  <si>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</si>
  <si>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</si>
  <si>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</si>
  <si>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</si>
  <si>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</si>
  <si>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</si>
  <si>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</si>
  <si>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</si>
  <si>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</si>
  <si>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</si>
  <si>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</si>
  <si>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</si>
  <si>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</si>
  <si>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</si>
  <si>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</si>
  <si>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</si>
  <si>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</si>
  <si>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</si>
  <si>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</si>
  <si>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</si>
  <si>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</si>
  <si>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</si>
  <si>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</si>
  <si>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</si>
  <si>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</si>
  <si>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</si>
  <si>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</si>
  <si>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</si>
  <si>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</si>
  <si>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</si>
  <si>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</si>
  <si>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</si>
  <si>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</si>
  <si>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</si>
  <si>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</si>
  <si>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</si>
  <si>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</si>
  <si>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</si>
  <si>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</si>
  <si>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</si>
  <si>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</si>
  <si>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</si>
  <si>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</si>
  <si>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</si>
  <si>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</si>
  <si>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</si>
  <si>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</si>
  <si>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</si>
  <si>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</si>
  <si>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</si>
  <si>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</si>
  <si>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</si>
  <si>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</si>
  <si>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</si>
  <si>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</si>
  <si>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</si>
  <si>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</si>
  <si>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</si>
  <si>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</si>
  <si>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</si>
  <si>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</si>
  <si>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</si>
  <si>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</si>
  <si>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</si>
  <si>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</si>
  <si>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</si>
  <si>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</si>
  <si>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</si>
  <si>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</si>
  <si>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</si>
  <si>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</si>
  <si>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</si>
  <si>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</si>
  <si>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</si>
  <si>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</si>
  <si>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</si>
  <si>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</si>
  <si>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</si>
  <si>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</si>
  <si>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</si>
  <si>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</si>
  <si>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</si>
  <si>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INV100459-02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</si>
  <si>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</si>
  <si>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</si>
  <si>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</si>
  <si>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</si>
  <si>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</si>
  <si>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</si>
  <si>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</si>
  <si>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</si>
  <si>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</si>
  <si>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</si>
  <si>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</si>
  <si>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</si>
  <si>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</si>
  <si>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</si>
  <si>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</si>
  <si>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</si>
  <si>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</si>
  <si>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</si>
  <si>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</si>
  <si>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</si>
  <si>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</si>
  <si>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</si>
  <si>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</si>
  <si>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</si>
  <si>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</si>
  <si>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</si>
  <si>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</si>
  <si>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</si>
  <si>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</si>
  <si>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</si>
  <si>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</si>
  <si>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</si>
  <si>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</si>
  <si>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</si>
  <si>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</si>
  <si>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</si>
  <si>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</si>
  <si>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</si>
  <si>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</si>
  <si>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</si>
  <si>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</si>
  <si>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</si>
  <si>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</si>
  <si>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</si>
  <si>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</si>
  <si>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</si>
  <si>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</si>
  <si>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</si>
  <si>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</si>
  <si>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</si>
  <si>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</si>
  <si>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</si>
  <si>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</si>
  <si>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</si>
  <si>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</si>
  <si>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</si>
  <si>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</si>
  <si>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</si>
  <si>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</si>
  <si>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</si>
  <si>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</si>
  <si>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</si>
  <si>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</si>
  <si>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</si>
  <si>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</si>
  <si>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</si>
  <si>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</si>
  <si>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</si>
  <si>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</si>
  <si>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</si>
  <si>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</si>
  <si>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</si>
  <si>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</si>
  <si>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</si>
  <si>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</si>
  <si>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</si>
  <si>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</si>
  <si>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</si>
  <si>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</si>
  <si>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</si>
  <si>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</si>
  <si>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</si>
  <si>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</si>
  <si>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</si>
  <si>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</si>
  <si>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</si>
  <si>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</si>
  <si>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</si>
  <si>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</si>
  <si>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</si>
  <si>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</si>
  <si>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</si>
  <si>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</si>
  <si>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</si>
  <si>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</si>
  <si>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</si>
  <si>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</si>
  <si>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</si>
  <si>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</si>
  <si>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</si>
  <si>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</si>
  <si>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</si>
  <si>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</si>
  <si>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</si>
  <si>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</si>
  <si>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</si>
  <si>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</si>
  <si>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</si>
  <si>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</si>
  <si>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</si>
  <si>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</si>
  <si>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</si>
  <si>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</si>
  <si>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</si>
  <si>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</si>
  <si>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</si>
  <si>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</si>
  <si>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</si>
  <si>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</si>
  <si>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</si>
  <si>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</si>
  <si>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</si>
  <si>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</si>
  <si>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</si>
  <si>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</si>
  <si>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</si>
  <si>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</si>
  <si>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</si>
  <si>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</si>
  <si>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</si>
  <si>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</si>
  <si>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</si>
  <si>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</si>
  <si>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</si>
  <si>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</si>
  <si>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</si>
  <si>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</si>
  <si>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</si>
  <si>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</si>
  <si>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</si>
  <si>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</si>
  <si>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</si>
  <si>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</si>
  <si>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</si>
  <si>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</si>
  <si>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</si>
  <si>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</si>
  <si>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</si>
  <si>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</si>
  <si>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</si>
  <si>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</si>
  <si>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</si>
  <si>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</si>
  <si>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</si>
  <si>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</si>
  <si>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</si>
  <si>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</si>
  <si>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</si>
  <si>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</si>
  <si>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</si>
  <si>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</si>
  <si>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</si>
  <si>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</si>
  <si>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</si>
  <si>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</si>
  <si>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</si>
  <si>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</si>
  <si>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</si>
  <si>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</si>
  <si>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</si>
  <si>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</si>
  <si>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</si>
  <si>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</si>
  <si>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</si>
  <si>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</si>
  <si>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</si>
  <si>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</si>
  <si>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</si>
  <si>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</si>
  <si>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</si>
  <si>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</si>
  <si>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</si>
  <si>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</si>
  <si>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</si>
  <si>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</si>
  <si>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</si>
  <si>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</si>
  <si>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</si>
  <si>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</si>
  <si>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</si>
  <si>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</si>
  <si>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</si>
  <si>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</si>
  <si>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</si>
  <si>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</si>
  <si>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</si>
  <si>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</si>
  <si>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</si>
  <si>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</si>
  <si>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</si>
  <si>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</si>
  <si>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</si>
  <si>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</si>
  <si>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</si>
  <si>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</si>
  <si>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</si>
  <si>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</si>
  <si>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</si>
  <si>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</si>
  <si>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</si>
  <si>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</si>
  <si>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</si>
  <si>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</si>
  <si>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</si>
  <si>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</si>
  <si>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</si>
  <si>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</si>
  <si>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</si>
  <si>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</si>
  <si>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</si>
  <si>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</si>
  <si>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</si>
  <si>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</si>
  <si>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</si>
  <si>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</si>
  <si>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</si>
  <si>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</si>
  <si>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</si>
  <si>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</si>
  <si>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</si>
  <si>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</si>
  <si>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</si>
  <si>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</si>
  <si>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</si>
  <si>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</si>
  <si>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</si>
  <si>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</si>
  <si>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</si>
  <si>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</si>
  <si>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</si>
  <si>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</si>
  <si>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</si>
  <si>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</si>
  <si>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</si>
  <si>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</si>
  <si>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</si>
  <si>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</si>
  <si>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</si>
  <si>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</si>
  <si>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</si>
  <si>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</si>
  <si>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</si>
  <si>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</si>
  <si>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</si>
  <si>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</si>
  <si>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</si>
  <si>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</si>
  <si>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</si>
  <si>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</si>
  <si>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</si>
  <si>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</si>
  <si>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</si>
  <si>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</si>
  <si>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</si>
  <si>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</si>
  <si>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</si>
  <si>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</si>
  <si>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</si>
  <si>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</si>
  <si>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</si>
  <si>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</si>
  <si>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</si>
  <si>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</si>
  <si>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</si>
  <si>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</si>
  <si>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</si>
  <si>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</si>
  <si>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</si>
  <si>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</si>
  <si>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</si>
  <si>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</si>
  <si>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</si>
  <si>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</si>
  <si>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</si>
  <si>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</si>
  <si>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</si>
  <si>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</si>
  <si>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</si>
  <si>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</si>
  <si>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</si>
  <si>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</si>
  <si>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</si>
  <si>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</si>
  <si>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</si>
  <si>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</si>
  <si>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</si>
  <si>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</si>
  <si>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</si>
  <si>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</si>
  <si>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</si>
  <si>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</si>
  <si>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</si>
  <si>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</si>
  <si>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</si>
  <si>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</si>
  <si>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</si>
  <si>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</si>
  <si>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</si>
  <si>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</si>
  <si>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</si>
  <si>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</si>
  <si>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</si>
  <si>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</si>
  <si>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</si>
  <si>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</si>
  <si>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</si>
  <si>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</si>
  <si>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</si>
  <si>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</si>
  <si>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</si>
  <si>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</si>
  <si>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</si>
  <si>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</si>
  <si>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</si>
  <si>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</si>
  <si>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</si>
  <si>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</si>
  <si>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</si>
  <si>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</si>
  <si>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</si>
  <si>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</si>
  <si>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</si>
  <si>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</si>
  <si>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</si>
  <si>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</si>
  <si>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</si>
  <si>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</si>
  <si>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</si>
  <si>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</si>
  <si>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</si>
  <si>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</si>
  <si>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</si>
  <si>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</si>
  <si>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</si>
  <si>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</si>
  <si>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</si>
  <si>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</si>
  <si>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</si>
  <si>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</si>
  <si>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</si>
  <si>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</si>
  <si>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</si>
  <si>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</si>
  <si>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</si>
  <si>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</si>
  <si>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</si>
  <si>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</si>
  <si>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</si>
  <si>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</si>
  <si>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</si>
  <si>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</si>
  <si>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</si>
  <si>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</si>
  <si>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</si>
  <si>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</si>
  <si>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</si>
  <si>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</si>
  <si>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</si>
  <si>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</si>
  <si>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</si>
  <si>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</si>
  <si>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</si>
  <si>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</si>
  <si>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</si>
  <si>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</si>
  <si>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</si>
  <si>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</si>
  <si>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</si>
  <si>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</si>
  <si>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</si>
  <si>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</si>
  <si>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</si>
  <si>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</si>
  <si>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</si>
  <si>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</si>
  <si>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</si>
  <si>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</si>
  <si>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</si>
  <si>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</si>
  <si>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</si>
  <si>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</si>
  <si>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</si>
  <si>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</si>
  <si>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</si>
  <si>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</si>
  <si>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</si>
  <si>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</si>
  <si>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</si>
  <si>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</si>
  <si>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</si>
  <si>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</si>
  <si>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</si>
  <si>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</si>
  <si>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</si>
  <si>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</si>
  <si>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</si>
  <si>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</si>
  <si>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</si>
  <si>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</si>
  <si>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</si>
  <si>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</si>
  <si>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</si>
  <si>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</si>
  <si>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</si>
  <si>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</si>
  <si>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</si>
  <si>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</si>
  <si>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</si>
  <si>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</si>
  <si>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</si>
  <si>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</si>
  <si>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</si>
  <si>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</si>
  <si>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</si>
  <si>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</si>
  <si>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</si>
  <si>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</si>
  <si>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</si>
  <si>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</si>
  <si>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</si>
  <si>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</si>
  <si>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</si>
  <si>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</si>
  <si>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</si>
  <si>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</si>
  <si>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</si>
  <si>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</si>
  <si>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</si>
  <si>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</si>
  <si>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</si>
  <si>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</si>
  <si>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</si>
  <si>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</si>
  <si>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</si>
  <si>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</si>
  <si>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</si>
  <si>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</si>
  <si>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</si>
  <si>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</si>
  <si>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</si>
  <si>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</si>
  <si>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</si>
  <si>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</si>
  <si>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</si>
  <si>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</si>
  <si>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</si>
  <si>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</si>
  <si>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</si>
  <si>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</si>
  <si>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</si>
  <si>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</si>
  <si>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</si>
  <si>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</si>
  <si>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</si>
  <si>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</si>
  <si>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</si>
  <si>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</si>
  <si>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</si>
  <si>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</si>
  <si>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</si>
  <si>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</si>
  <si>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</si>
  <si>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</si>
  <si>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</si>
  <si>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</si>
  <si>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</si>
  <si>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</si>
  <si>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</si>
  <si>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</si>
  <si>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</si>
  <si>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</si>
  <si>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</si>
  <si>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</si>
  <si>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</si>
  <si>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</si>
  <si>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</si>
  <si>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</si>
  <si>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</si>
  <si>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</si>
  <si>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</si>
  <si>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</si>
  <si>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</si>
  <si>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</si>
  <si>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</si>
  <si>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</si>
  <si>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</si>
  <si>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</si>
  <si>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</si>
  <si>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</si>
  <si>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</si>
  <si>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</si>
  <si>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</si>
  <si>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</si>
  <si>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</si>
  <si>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</si>
  <si>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</si>
  <si>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</si>
  <si>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</si>
  <si>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</si>
  <si>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</si>
  <si>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</si>
  <si>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</si>
  <si>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</si>
  <si>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</si>
  <si>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</si>
  <si>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</si>
  <si>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</si>
  <si>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</si>
  <si>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</si>
  <si>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</si>
  <si>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</si>
  <si>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</si>
  <si>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</si>
  <si>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</si>
  <si>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</si>
  <si>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</si>
  <si>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</si>
  <si>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</si>
  <si>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</si>
  <si>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</si>
  <si>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</si>
  <si>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</si>
  <si>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</si>
  <si>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</si>
  <si>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</si>
  <si>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</si>
  <si>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</si>
  <si>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</si>
  <si>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</si>
  <si>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</si>
  <si>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</si>
  <si>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</si>
  <si>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</si>
  <si>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</si>
  <si>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</si>
  <si>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</si>
  <si>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</si>
  <si>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</si>
  <si>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</si>
  <si>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</si>
  <si>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</si>
  <si>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</si>
  <si>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</si>
  <si>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</si>
  <si>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</si>
  <si>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</si>
  <si>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</si>
  <si>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</si>
  <si>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</si>
  <si>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</si>
  <si>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</si>
  <si>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</si>
  <si>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</si>
  <si>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</si>
  <si>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</si>
  <si>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</si>
  <si>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</si>
  <si>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</si>
  <si>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</si>
  <si>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</si>
  <si>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</si>
  <si>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</si>
  <si>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</si>
  <si>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</si>
  <si>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</si>
  <si>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</si>
  <si>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</si>
  <si>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</si>
  <si>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</si>
  <si>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</si>
  <si>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</si>
  <si>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</si>
  <si>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</si>
  <si>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</si>
  <si>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</si>
  <si>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</si>
  <si>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</si>
  <si>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</si>
  <si>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</si>
  <si>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</si>
  <si>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</si>
  <si>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</si>
  <si>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</si>
  <si>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</si>
  <si>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</si>
  <si>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</si>
  <si>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</si>
  <si>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</si>
  <si>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</si>
  <si>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</si>
  <si>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</si>
  <si>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</si>
  <si>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</si>
  <si>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</si>
  <si>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</si>
  <si>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</si>
  <si>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</si>
  <si>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</si>
  <si>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</si>
  <si>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</si>
  <si>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</si>
  <si>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</si>
  <si>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</si>
  <si>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</si>
  <si>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</si>
  <si>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</si>
  <si>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</si>
  <si>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</si>
  <si>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</si>
  <si>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</si>
  <si>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</si>
  <si>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</si>
  <si>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</si>
  <si>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</si>
  <si>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</si>
  <si>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</si>
  <si>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</si>
  <si>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</si>
  <si>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</si>
  <si>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</si>
  <si>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</si>
  <si>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</si>
  <si>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</si>
  <si>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</si>
  <si>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</si>
  <si>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</si>
  <si>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</si>
  <si>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</si>
  <si>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</si>
  <si>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</si>
  <si>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</si>
  <si>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</si>
  <si>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</si>
  <si>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</si>
  <si>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</si>
  <si>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</si>
  <si>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</si>
  <si>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</si>
  <si>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</si>
  <si>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</si>
  <si>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</si>
  <si>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</si>
  <si>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</si>
  <si>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</si>
  <si>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</si>
  <si>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</si>
  <si>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</si>
  <si>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</si>
  <si>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</si>
  <si>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</si>
  <si>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</si>
  <si>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</si>
  <si>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</si>
  <si>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</si>
  <si>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</si>
  <si>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</si>
  <si>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</si>
  <si>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</si>
  <si>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</si>
  <si>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</si>
  <si>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</si>
  <si>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</si>
  <si>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</si>
  <si>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</si>
  <si>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</si>
  <si>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</si>
  <si>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</si>
  <si>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</si>
  <si>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</si>
  <si>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</si>
  <si>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</si>
  <si>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</si>
  <si>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</si>
  <si>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</si>
  <si>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</si>
  <si>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</si>
  <si>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</si>
  <si>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</si>
  <si>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</si>
  <si>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</si>
  <si>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</si>
  <si>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</si>
  <si>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</si>
  <si>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</si>
  <si>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</si>
  <si>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</si>
  <si>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</si>
  <si>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</si>
  <si>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</si>
  <si>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</si>
  <si>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</si>
  <si>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</si>
  <si>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</si>
  <si>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</si>
  <si>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</si>
  <si>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</si>
  <si>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</si>
  <si>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</si>
  <si>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</si>
  <si>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</si>
  <si>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</si>
  <si>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</si>
  <si>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</si>
  <si>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</si>
  <si>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</si>
  <si>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</si>
  <si>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</si>
  <si>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</si>
  <si>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</si>
  <si>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</si>
  <si>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</si>
  <si>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</si>
  <si>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</si>
  <si>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</si>
  <si>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</si>
  <si>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</si>
  <si>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</si>
  <si>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</si>
  <si>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</si>
  <si>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</si>
  <si>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</si>
  <si>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</si>
  <si>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</si>
  <si>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</si>
  <si>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</si>
  <si>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</si>
  <si>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</si>
  <si>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</si>
  <si>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</si>
  <si>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</si>
  <si>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</si>
  <si>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</si>
  <si>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</si>
  <si>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</si>
  <si>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</si>
  <si>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</si>
  <si>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</si>
  <si>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</si>
  <si>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</si>
  <si>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</si>
  <si>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</si>
  <si>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</si>
  <si>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</si>
  <si>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</si>
  <si>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</si>
  <si>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</si>
  <si>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</si>
  <si>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</si>
  <si>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</si>
  <si>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</si>
  <si>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</si>
  <si>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</si>
  <si>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</si>
  <si>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</si>
  <si>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</si>
  <si>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</si>
  <si>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</si>
  <si>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</si>
  <si>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</si>
  <si>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</si>
  <si>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</si>
  <si>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</si>
  <si>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</si>
  <si>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</si>
  <si>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</si>
  <si>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</si>
  <si>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</si>
  <si>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</si>
  <si>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</si>
  <si>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</si>
  <si>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</si>
  <si>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</si>
  <si>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</si>
  <si>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</si>
  <si>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</si>
  <si>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</si>
  <si>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</si>
  <si>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</si>
  <si>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</si>
  <si>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</si>
  <si>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</si>
  <si>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</si>
  <si>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</si>
  <si>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</si>
  <si>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</si>
  <si>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</si>
  <si>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</si>
  <si>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</si>
  <si>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</si>
  <si>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</si>
  <si>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</si>
  <si>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</si>
  <si>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</si>
  <si>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</si>
  <si>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</si>
  <si>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</si>
  <si>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</si>
  <si>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</si>
  <si>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</si>
  <si>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</si>
  <si>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</si>
  <si>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</si>
  <si>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</si>
  <si>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</si>
  <si>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</si>
  <si>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</si>
  <si>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</si>
  <si>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</si>
  <si>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</si>
  <si>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</si>
  <si>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</si>
  <si>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</si>
  <si>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</si>
  <si>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</si>
  <si>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</si>
  <si>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</si>
  <si>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</si>
  <si>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</si>
  <si>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</si>
  <si>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</si>
  <si>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</si>
  <si>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</si>
  <si>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</si>
  <si>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</si>
  <si>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</si>
  <si>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</si>
  <si>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</si>
  <si>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</si>
  <si>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</si>
  <si>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</si>
  <si>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</si>
  <si>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</si>
  <si>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</si>
  <si>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</si>
  <si>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</si>
  <si>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</si>
  <si>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</si>
  <si>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</si>
  <si>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</si>
  <si>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</si>
  <si>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</si>
  <si>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</si>
  <si>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</si>
  <si>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</si>
  <si>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</si>
  <si>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</si>
  <si>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</si>
  <si>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</si>
  <si>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</si>
  <si>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</si>
  <si>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</si>
  <si>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</si>
  <si>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</si>
  <si>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</si>
  <si>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</si>
  <si>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</si>
  <si>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</si>
  <si>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</si>
  <si>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</si>
  <si>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</si>
  <si>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</si>
  <si>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</si>
  <si>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</si>
  <si>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</si>
  <si>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</si>
  <si>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</si>
  <si>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</si>
  <si>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</si>
  <si>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</si>
  <si>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</si>
  <si>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</si>
  <si>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</si>
  <si>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</si>
  <si>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</si>
  <si>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</si>
  <si>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</si>
  <si>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</si>
  <si>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</si>
  <si>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</si>
  <si>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</si>
  <si>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</si>
  <si>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</si>
  <si>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</si>
  <si>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</si>
  <si>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</si>
  <si>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</si>
  <si>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</si>
  <si>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</si>
  <si>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</si>
  <si>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</si>
  <si>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</si>
  <si>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</si>
  <si>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</si>
  <si>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</si>
  <si>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</si>
  <si>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</si>
  <si>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INV100347-02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</si>
  <si>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</si>
  <si>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</si>
  <si>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</si>
  <si>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</si>
  <si>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</si>
  <si>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</si>
  <si>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</si>
  <si>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</si>
  <si>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</si>
  <si>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</si>
  <si>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</si>
  <si>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</si>
  <si>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</si>
  <si>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</si>
  <si>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</si>
  <si>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</si>
  <si>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</si>
  <si>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</si>
  <si>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</si>
  <si>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</si>
  <si>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</si>
  <si>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</si>
  <si>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</si>
  <si>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</si>
  <si>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</si>
  <si>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</si>
  <si>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</si>
  <si>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</si>
  <si>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</si>
  <si>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</si>
  <si>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</si>
  <si>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</si>
  <si>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</si>
  <si>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</si>
  <si>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</si>
  <si>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</si>
  <si>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</si>
  <si>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</si>
  <si>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</si>
  <si>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</si>
  <si>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</si>
  <si>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</si>
  <si>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</si>
  <si>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</si>
  <si>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</si>
  <si>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</si>
  <si>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</si>
  <si>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</si>
  <si>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</si>
  <si>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</si>
  <si>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</si>
  <si>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</si>
  <si>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</si>
  <si>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</si>
  <si>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</si>
  <si>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</si>
  <si>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</si>
  <si>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</si>
  <si>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</si>
  <si>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</si>
  <si>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</si>
  <si>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</si>
  <si>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</si>
  <si>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</si>
  <si>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</si>
  <si>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</si>
  <si>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</si>
  <si>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</si>
  <si>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</si>
  <si>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</si>
  <si>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</si>
  <si>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</si>
  <si>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</si>
  <si>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</si>
  <si>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</si>
  <si>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</si>
  <si>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</si>
  <si>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</si>
  <si>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</si>
  <si>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</si>
  <si>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</si>
  <si>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</si>
  <si>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</si>
  <si>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</si>
  <si>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</si>
  <si>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</si>
  <si>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</si>
  <si>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</si>
  <si>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</si>
  <si>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</si>
  <si>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</si>
  <si>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</si>
  <si>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</si>
  <si>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</si>
  <si>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</si>
  <si>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</si>
  <si>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</si>
  <si>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</si>
  <si>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</si>
  <si>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</si>
  <si>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</si>
  <si>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</si>
  <si>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</si>
  <si>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</si>
  <si>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</si>
  <si>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</si>
  <si>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</si>
  <si>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</si>
  <si>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</si>
  <si>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</si>
  <si>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</si>
  <si>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</si>
  <si>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</si>
  <si>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</si>
  <si>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</si>
  <si>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</si>
  <si>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</si>
  <si>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</si>
  <si>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</si>
  <si>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</si>
  <si>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</si>
  <si>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</si>
  <si>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</si>
  <si>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</si>
  <si>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</si>
  <si>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</si>
  <si>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</si>
  <si>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</si>
  <si>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</si>
  <si>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</si>
  <si>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</si>
  <si>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</si>
  <si>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</si>
  <si>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</si>
  <si>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</si>
  <si>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</si>
  <si>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</si>
  <si>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</si>
  <si>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</si>
  <si>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</si>
  <si>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</si>
  <si>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</si>
  <si>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</si>
  <si>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</si>
  <si>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</si>
  <si>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</si>
  <si>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</si>
  <si>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</si>
  <si>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</si>
  <si>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</si>
  <si>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</si>
  <si>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</si>
  <si>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</si>
  <si>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</si>
  <si>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</si>
  <si>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</si>
  <si>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</si>
  <si>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</si>
  <si>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</si>
  <si>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</si>
  <si>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</si>
  <si>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</si>
  <si>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</si>
  <si>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</si>
  <si>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</si>
  <si>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</si>
  <si>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</si>
  <si>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</si>
  <si>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</si>
  <si>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</si>
  <si>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</si>
  <si>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</si>
  <si>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</si>
  <si>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</si>
  <si>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</si>
  <si>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</si>
  <si>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</si>
  <si>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</si>
  <si>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</si>
  <si>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</si>
  <si>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</si>
  <si>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</si>
  <si>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</si>
  <si>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</si>
  <si>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</si>
  <si>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</si>
  <si>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</si>
  <si>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</si>
  <si>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</si>
  <si>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</si>
  <si>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</si>
  <si>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</si>
  <si>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</si>
  <si>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</si>
  <si>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</si>
  <si>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</si>
  <si>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</si>
  <si>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</si>
  <si>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</si>
  <si>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</si>
  <si>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</si>
  <si>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</si>
  <si>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</si>
  <si>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</si>
  <si>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</si>
  <si>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</si>
  <si>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</si>
  <si>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</si>
  <si>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</si>
  <si>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</si>
  <si>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</si>
  <si>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</si>
  <si>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</si>
  <si>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</si>
  <si>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</si>
  <si>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</si>
  <si>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</si>
  <si>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</si>
  <si>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</si>
  <si>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</si>
  <si>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</si>
  <si>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</si>
  <si>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</si>
  <si>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</si>
  <si>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</si>
  <si>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</si>
  <si>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</si>
  <si>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</si>
  <si>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</si>
  <si>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</si>
  <si>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</si>
  <si>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</si>
  <si>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</si>
  <si>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</si>
  <si>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</si>
  <si>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</si>
  <si>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</si>
  <si>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</si>
  <si>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</si>
  <si>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</si>
  <si>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</si>
  <si>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</si>
  <si>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</si>
  <si>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</si>
  <si>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</si>
  <si>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</si>
  <si>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</si>
  <si>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</si>
  <si>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</si>
  <si>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</si>
  <si>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</si>
  <si>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</si>
  <si>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</si>
  <si>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</si>
  <si>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</si>
  <si>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</si>
  <si>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</si>
  <si>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</si>
  <si>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</si>
  <si>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</si>
  <si>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</si>
  <si>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</si>
  <si>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</si>
  <si>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</si>
  <si>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</si>
  <si>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</si>
  <si>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</si>
  <si>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</si>
  <si>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</si>
  <si>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</si>
  <si>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</si>
  <si>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</si>
  <si>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</si>
  <si>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</si>
  <si>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</si>
  <si>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</si>
  <si>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</si>
  <si>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</si>
  <si>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</si>
  <si>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</si>
  <si>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</si>
  <si>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</si>
  <si>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</si>
  <si>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</si>
  <si>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</si>
  <si>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</si>
  <si>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</si>
  <si>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</si>
  <si>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</si>
  <si>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</si>
  <si>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</si>
  <si>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</si>
  <si>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</si>
  <si>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</si>
  <si>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</si>
  <si>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</si>
  <si>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</si>
  <si>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</si>
  <si>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</si>
  <si>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</si>
  <si>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</si>
  <si>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</si>
  <si>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</si>
  <si>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</si>
  <si>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</si>
  <si>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</si>
  <si>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</si>
  <si>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</si>
  <si>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</si>
  <si>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</si>
  <si>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</si>
  <si>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</si>
  <si>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</si>
  <si>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</si>
  <si>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</si>
  <si>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</si>
  <si>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</si>
  <si>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</si>
  <si>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</si>
  <si>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</si>
  <si>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</si>
  <si>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</si>
  <si>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</si>
  <si>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</si>
  <si>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</si>
  <si>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</si>
  <si>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</si>
  <si>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</si>
  <si>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</si>
  <si>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</si>
  <si>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</si>
  <si>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</si>
  <si>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</si>
  <si>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</si>
  <si>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</si>
  <si>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</si>
  <si>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</si>
  <si>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</si>
  <si>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</si>
  <si>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</si>
  <si>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</si>
  <si>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</si>
  <si>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</si>
  <si>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</si>
  <si>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</si>
  <si>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</si>
  <si>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</si>
  <si>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</si>
  <si>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</si>
  <si>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</si>
  <si>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</si>
  <si>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</si>
  <si>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</si>
  <si>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</si>
  <si>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</si>
  <si>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</si>
  <si>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</si>
  <si>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</si>
  <si>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</si>
  <si>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</si>
  <si>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</si>
  <si>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</si>
  <si>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</si>
  <si>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</si>
  <si>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</si>
  <si>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</si>
  <si>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</si>
  <si>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</si>
  <si>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</si>
  <si>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</si>
  <si>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</si>
  <si>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</si>
  <si>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</si>
  <si>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</si>
  <si>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</si>
  <si>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</si>
  <si>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</si>
  <si>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</si>
  <si>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</si>
  <si>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</si>
  <si>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</si>
  <si>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</si>
  <si>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</si>
  <si>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</si>
  <si>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</si>
  <si>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</si>
  <si>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</si>
  <si>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</si>
  <si>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</si>
  <si>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</si>
  <si>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</si>
  <si>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</si>
  <si>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</si>
  <si>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</si>
  <si>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</si>
  <si>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</si>
  <si>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</si>
  <si>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</si>
  <si>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</si>
  <si>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</si>
  <si>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</si>
  <si>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</si>
  <si>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</si>
  <si>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INV101187-02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</si>
  <si>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</si>
  <si>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</si>
  <si>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</si>
  <si>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</si>
  <si>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</si>
  <si>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</si>
  <si>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</si>
  <si>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</si>
  <si>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</si>
  <si>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</si>
  <si>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</si>
  <si>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</si>
  <si>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</si>
  <si>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</si>
  <si>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</si>
  <si>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</si>
  <si>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</si>
  <si>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</si>
  <si>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</si>
  <si>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</si>
  <si>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</si>
  <si>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</si>
  <si>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</si>
  <si>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</si>
  <si>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</si>
  <si>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</si>
  <si>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</si>
  <si>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</si>
  <si>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</si>
  <si>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</si>
  <si>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</si>
  <si>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</si>
  <si>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</si>
  <si>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</si>
  <si>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</si>
  <si>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</si>
  <si>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</si>
  <si>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</si>
  <si>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</si>
  <si>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</si>
  <si>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</si>
  <si>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</si>
  <si>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</si>
  <si>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</si>
  <si>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</si>
  <si>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</si>
  <si>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</si>
  <si>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</si>
  <si>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</si>
  <si>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</si>
  <si>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</si>
  <si>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</si>
  <si>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</si>
  <si>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</si>
  <si>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</si>
  <si>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</si>
  <si>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</si>
  <si>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</si>
  <si>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</si>
  <si>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</si>
  <si>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</si>
  <si>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</si>
  <si>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</si>
  <si>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</si>
  <si>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</si>
  <si>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</si>
  <si>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</si>
  <si>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</si>
  <si>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</si>
  <si>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</si>
  <si>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</si>
  <si>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</si>
  <si>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</si>
  <si>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</si>
  <si>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</si>
  <si>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</si>
  <si>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</si>
  <si>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</si>
  <si>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</si>
  <si>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</si>
  <si>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</si>
  <si>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</si>
  <si>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</si>
  <si>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</si>
  <si>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</si>
  <si>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</si>
  <si>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</si>
  <si>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</si>
  <si>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</si>
  <si>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</si>
  <si>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</si>
  <si>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</si>
  <si>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</si>
  <si>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</si>
  <si>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</si>
  <si>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</si>
  <si>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</si>
  <si>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</si>
  <si>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</si>
  <si>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</si>
  <si>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</si>
  <si>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</si>
  <si>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</si>
  <si>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</si>
  <si>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</si>
  <si>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</si>
  <si>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</si>
  <si>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</si>
  <si>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</si>
  <si>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</si>
  <si>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</si>
  <si>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</si>
  <si>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</si>
  <si>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</si>
  <si>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</si>
  <si>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</si>
  <si>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</si>
  <si>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</si>
  <si>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</si>
  <si>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</si>
  <si>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</si>
  <si>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</si>
  <si>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</si>
  <si>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</si>
  <si>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</si>
  <si>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</si>
  <si>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</si>
  <si>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</si>
  <si>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</si>
  <si>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</si>
  <si>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</si>
  <si>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</si>
  <si>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</si>
  <si>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</si>
  <si>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</si>
  <si>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</si>
  <si>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</si>
  <si>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</si>
  <si>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</si>
  <si>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</si>
  <si>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</si>
  <si>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</si>
  <si>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</si>
  <si>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</si>
  <si>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</si>
  <si>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</si>
  <si>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</si>
  <si>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</si>
  <si>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</si>
  <si>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</si>
  <si>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</si>
  <si>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</si>
  <si>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</si>
  <si>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</si>
  <si>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</si>
  <si>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</si>
  <si>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</si>
  <si>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</si>
  <si>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</si>
  <si>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</si>
  <si>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</si>
  <si>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</si>
  <si>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</si>
  <si>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</si>
  <si>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</si>
  <si>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</si>
  <si>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</si>
  <si>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</si>
  <si>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</si>
  <si>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</si>
  <si>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</si>
  <si>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</si>
  <si>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</si>
  <si>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</si>
  <si>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</si>
  <si>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</si>
  <si>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</si>
  <si>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</si>
  <si>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</si>
  <si>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</si>
  <si>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</si>
  <si>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</si>
  <si>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</si>
  <si>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</si>
  <si>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</si>
  <si>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</si>
  <si>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</si>
  <si>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</si>
  <si>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</si>
  <si>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</si>
  <si>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</si>
  <si>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</si>
  <si>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</si>
  <si>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</si>
  <si>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</si>
  <si>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</si>
  <si>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</si>
  <si>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</si>
  <si>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</si>
  <si>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</si>
  <si>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</si>
  <si>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</si>
  <si>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</si>
  <si>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</si>
  <si>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</si>
  <si>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</si>
  <si>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</si>
  <si>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</si>
  <si>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</si>
  <si>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</si>
  <si>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</si>
  <si>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</si>
  <si>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</si>
  <si>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</si>
  <si>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</si>
  <si>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</si>
  <si>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</si>
  <si>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</si>
  <si>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</si>
  <si>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</si>
  <si>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</si>
  <si>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</si>
  <si>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</si>
  <si>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</si>
  <si>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</si>
  <si>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</si>
  <si>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</si>
  <si>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</si>
  <si>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</si>
  <si>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</si>
  <si>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</si>
  <si>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</si>
  <si>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</si>
  <si>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</si>
  <si>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</si>
  <si>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</si>
  <si>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</si>
  <si>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</si>
  <si>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</si>
  <si>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</si>
  <si>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</si>
  <si>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</si>
  <si>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</si>
  <si>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</si>
  <si>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</si>
  <si>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</si>
  <si>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</si>
  <si>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</si>
  <si>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</si>
  <si>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</si>
  <si>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</si>
  <si>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</si>
  <si>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</si>
  <si>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</si>
  <si>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</si>
  <si>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</si>
  <si>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INV101275-02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</si>
  <si>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</si>
  <si>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</si>
  <si>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</si>
  <si>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</si>
  <si>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</si>
  <si>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</si>
  <si>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</si>
  <si>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</si>
  <si>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</si>
  <si>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</si>
  <si>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</si>
  <si>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</si>
  <si>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</si>
  <si>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</si>
  <si>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</si>
  <si>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</si>
  <si>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</si>
  <si>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</si>
  <si>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</si>
  <si>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</si>
  <si>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</si>
  <si>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</si>
  <si>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</si>
  <si>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</si>
  <si>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</si>
  <si>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</si>
  <si>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</si>
  <si>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</si>
  <si>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</si>
  <si>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</si>
  <si>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</si>
  <si>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</si>
  <si>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</si>
  <si>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</si>
  <si>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</si>
  <si>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</si>
  <si>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</si>
  <si>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</si>
  <si>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</si>
  <si>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</si>
  <si>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</si>
  <si>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</si>
  <si>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</si>
  <si>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</si>
  <si>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</si>
  <si>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</si>
  <si>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</si>
  <si>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</si>
  <si>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</si>
  <si>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</si>
  <si>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</si>
  <si>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</si>
  <si>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</si>
  <si>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</si>
  <si>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</si>
  <si>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</si>
  <si>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</si>
  <si>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</si>
  <si>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</si>
  <si>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</si>
  <si>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</si>
  <si>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</si>
  <si>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</si>
  <si>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</si>
  <si>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</si>
  <si>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</si>
  <si>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</si>
  <si>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</si>
  <si>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</si>
  <si>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</si>
  <si>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</si>
  <si>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</si>
  <si>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</si>
  <si>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</si>
  <si>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</si>
  <si>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</si>
  <si>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</si>
  <si>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</si>
  <si>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</si>
  <si>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</si>
  <si>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</si>
  <si>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</si>
  <si>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</si>
  <si>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</si>
  <si>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</si>
  <si>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</si>
  <si>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</si>
  <si>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</si>
  <si>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</si>
  <si>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</si>
  <si>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</si>
  <si>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</si>
  <si>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</si>
  <si>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</si>
  <si>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</si>
  <si>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</si>
  <si>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</si>
  <si>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</si>
  <si>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</si>
  <si>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</si>
  <si>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</si>
  <si>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INV101447</t>
  </si>
  <si>
    <t>12:28</t>
  </si>
  <si>
    <t>INV101448</t>
  </si>
  <si>
    <t>INV101449</t>
  </si>
  <si>
    <t>INV101450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</si>
  <si>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</si>
  <si>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</si>
  <si>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</si>
  <si>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</si>
  <si>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</si>
  <si>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</si>
  <si>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</si>
  <si>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</si>
  <si>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</si>
  <si>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</si>
  <si>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</si>
  <si>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</si>
  <si>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</si>
  <si>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</si>
  <si>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</si>
  <si>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</si>
  <si>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</si>
  <si>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</si>
  <si>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</si>
  <si>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</si>
  <si>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</si>
  <si>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</si>
  <si>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</si>
  <si>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</si>
  <si>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</si>
  <si>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</si>
  <si>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INV101471</t>
  </si>
  <si>
    <t>CUST0488</t>
  </si>
  <si>
    <t>INV101472</t>
  </si>
  <si>
    <t>CUST0357</t>
  </si>
  <si>
    <t>INV101473</t>
  </si>
  <si>
    <t>INV101474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</si>
  <si>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</si>
  <si>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</si>
  <si>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</si>
  <si>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</si>
  <si>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</si>
  <si>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</si>
  <si>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</si>
  <si>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</si>
  <si>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</si>
  <si>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</si>
  <si>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</si>
  <si>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</si>
  <si>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</si>
  <si>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</si>
  <si>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</si>
  <si>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</si>
  <si>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</si>
  <si>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</si>
  <si>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</si>
  <si>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</si>
  <si>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</si>
  <si>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</si>
  <si>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</si>
  <si>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</si>
  <si>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</si>
  <si>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</si>
  <si>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</si>
  <si>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</si>
  <si>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</si>
  <si>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</si>
  <si>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</si>
  <si>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</si>
  <si>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</si>
  <si>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</si>
  <si>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</si>
  <si>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</si>
  <si>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</si>
  <si>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</si>
  <si>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</si>
  <si>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</si>
  <si>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</si>
  <si>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</si>
  <si>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</si>
  <si>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</si>
  <si>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</si>
  <si>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</si>
  <si>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</si>
  <si>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</si>
  <si>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</si>
  <si>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</si>
  <si>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</si>
  <si>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</si>
  <si>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</si>
  <si>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</si>
  <si>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</si>
  <si>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</si>
  <si>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</si>
  <si>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</si>
  <si>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</si>
  <si>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</si>
  <si>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</si>
  <si>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</si>
  <si>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</si>
  <si>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</si>
  <si>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</si>
  <si>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</si>
  <si>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</si>
  <si>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</si>
  <si>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</si>
  <si>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</si>
  <si>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</si>
  <si>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</si>
  <si>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</si>
  <si>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</si>
  <si>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</si>
  <si>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</si>
  <si>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</si>
  <si>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</si>
  <si>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</si>
  <si>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</si>
  <si>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</si>
  <si>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</si>
  <si>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</si>
  <si>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</si>
  <si>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</si>
  <si>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</si>
  <si>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</si>
  <si>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</si>
  <si>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</si>
  <si>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</si>
  <si>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</si>
  <si>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</si>
  <si>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</si>
  <si>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</si>
  <si>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</si>
  <si>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</si>
  <si>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</si>
  <si>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</si>
  <si>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</si>
  <si>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</si>
  <si>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</si>
  <si>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</si>
  <si>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</si>
  <si>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</si>
  <si>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</si>
  <si>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</si>
  <si>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</si>
  <si>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</si>
  <si>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</si>
  <si>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</si>
  <si>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</si>
  <si>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</si>
  <si>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</si>
  <si>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</si>
  <si>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</si>
  <si>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</si>
  <si>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</si>
  <si>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</si>
  <si>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</si>
  <si>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</si>
  <si>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</si>
  <si>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</si>
  <si>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</si>
  <si>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</si>
  <si>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</si>
  <si>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</si>
  <si>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</si>
  <si>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</si>
  <si>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</si>
  <si>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</si>
  <si>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</si>
  <si>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</si>
  <si>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</si>
  <si>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</si>
  <si>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</si>
  <si>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</si>
  <si>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</si>
  <si>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</si>
  <si>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</si>
  <si>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</si>
  <si>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</si>
  <si>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</si>
  <si>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</si>
  <si>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</si>
  <si>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</si>
  <si>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</si>
  <si>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</si>
  <si>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</si>
  <si>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</si>
  <si>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</si>
  <si>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</si>
  <si>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</si>
  <si>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</si>
  <si>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</si>
  <si>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</si>
  <si>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</si>
  <si>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</si>
  <si>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</si>
  <si>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</si>
  <si>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</si>
  <si>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</si>
  <si>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</si>
  <si>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</si>
  <si>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</si>
  <si>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</si>
  <si>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</si>
  <si>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</si>
  <si>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</si>
  <si>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</si>
  <si>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</si>
  <si>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</si>
  <si>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</si>
  <si>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</si>
  <si>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</si>
  <si>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</si>
  <si>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</si>
  <si>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</si>
  <si>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</si>
  <si>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</si>
  <si>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</si>
  <si>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</si>
  <si>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</si>
  <si>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</si>
  <si>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</si>
  <si>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</si>
  <si>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</si>
  <si>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</si>
  <si>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</si>
  <si>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</si>
  <si>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</si>
  <si>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</si>
  <si>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</si>
  <si>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</si>
  <si>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</si>
  <si>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</si>
  <si>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</si>
  <si>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</si>
  <si>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</si>
  <si>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</si>
  <si>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</si>
  <si>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</si>
  <si>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</si>
  <si>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</si>
  <si>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</si>
  <si>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</si>
  <si>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</si>
  <si>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</si>
  <si>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</si>
  <si>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</si>
  <si>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</si>
  <si>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</si>
  <si>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</si>
  <si>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</si>
  <si>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</si>
  <si>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</si>
  <si>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</si>
  <si>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</si>
  <si>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</si>
  <si>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</si>
  <si>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</si>
  <si>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</si>
  <si>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</si>
  <si>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</si>
  <si>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</si>
  <si>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</si>
  <si>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</si>
  <si>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</si>
  <si>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</si>
  <si>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</si>
  <si>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</si>
  <si>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</si>
  <si>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</si>
  <si>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</si>
  <si>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</si>
  <si>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</si>
  <si>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</si>
  <si>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</si>
  <si>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</si>
  <si>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</si>
  <si>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</si>
  <si>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</si>
  <si>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</si>
  <si>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</si>
  <si>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</si>
  <si>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</si>
  <si>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</si>
  <si>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</si>
  <si>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</si>
  <si>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</si>
  <si>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</si>
  <si>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</si>
  <si>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</si>
  <si>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</si>
  <si>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</si>
  <si>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</si>
  <si>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</si>
  <si>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</si>
  <si>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</si>
  <si>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</si>
  <si>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</si>
  <si>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</si>
  <si>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</si>
  <si>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</si>
  <si>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</si>
  <si>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</si>
  <si>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</si>
  <si>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</si>
  <si>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</si>
  <si>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</si>
  <si>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</si>
  <si>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</si>
  <si>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</si>
  <si>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</si>
  <si>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</si>
  <si>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</si>
  <si>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</si>
  <si>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</si>
  <si>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</si>
  <si>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</si>
  <si>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</si>
  <si>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</si>
  <si>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</si>
  <si>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</si>
  <si>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</si>
  <si>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</si>
  <si>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</si>
  <si>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</si>
  <si>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</si>
  <si>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</si>
  <si>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</si>
  <si>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</si>
  <si>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</si>
  <si>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</si>
  <si>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</si>
  <si>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</si>
  <si>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</si>
  <si>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</si>
  <si>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</si>
  <si>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</si>
  <si>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</si>
  <si>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</si>
  <si>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</si>
  <si>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</si>
  <si>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</si>
  <si>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</si>
  <si>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</si>
  <si>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</si>
  <si>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</si>
  <si>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</si>
  <si>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</si>
  <si>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</si>
  <si>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</si>
  <si>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</si>
  <si>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</si>
  <si>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</si>
  <si>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</si>
  <si>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</si>
  <si>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</si>
  <si>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</si>
  <si>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</si>
  <si>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</si>
  <si>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</si>
  <si>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</si>
  <si>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</si>
  <si>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</si>
  <si>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</si>
  <si>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</si>
  <si>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</si>
  <si>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</si>
  <si>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</si>
  <si>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</si>
  <si>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</si>
  <si>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</si>
  <si>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</si>
  <si>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</si>
  <si>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</si>
  <si>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</si>
  <si>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</si>
  <si>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</si>
  <si>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</si>
  <si>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</si>
  <si>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</si>
  <si>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</si>
  <si>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</si>
  <si>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</si>
  <si>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</si>
  <si>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</si>
  <si>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</si>
  <si>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</si>
  <si>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</si>
  <si>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</si>
  <si>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</si>
  <si>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</si>
  <si>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</si>
  <si>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</si>
  <si>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</si>
  <si>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</si>
  <si>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</si>
  <si>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</si>
  <si>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</si>
  <si>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</si>
  <si>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</si>
  <si>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</si>
  <si>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</si>
  <si>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</si>
  <si>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</si>
  <si>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</si>
  <si>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</si>
  <si>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</si>
  <si>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</si>
  <si>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</si>
  <si>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</si>
  <si>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</si>
  <si>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</si>
  <si>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</si>
  <si>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</si>
  <si>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</si>
  <si>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</si>
  <si>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</si>
  <si>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</si>
  <si>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</si>
  <si>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</si>
  <si>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</si>
  <si>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</si>
  <si>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</si>
  <si>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</si>
  <si>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</si>
  <si>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</si>
  <si>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</si>
  <si>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</si>
  <si>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</si>
  <si>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</si>
  <si>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</si>
  <si>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</si>
  <si>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</si>
  <si>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</si>
  <si>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</si>
  <si>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</si>
  <si>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</si>
  <si>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</si>
  <si>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</si>
  <si>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</si>
  <si>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</si>
  <si>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</si>
  <si>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</si>
  <si>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</si>
  <si>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</si>
  <si>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</si>
  <si>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</si>
  <si>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</si>
  <si>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</si>
  <si>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</si>
  <si>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</si>
  <si>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</si>
  <si>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</si>
  <si>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</si>
  <si>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</si>
  <si>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</si>
  <si>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</si>
  <si>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</si>
  <si>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</si>
  <si>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</si>
  <si>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</si>
  <si>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</si>
  <si>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</si>
  <si>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</si>
  <si>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</si>
  <si>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</si>
  <si>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</si>
  <si>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</si>
  <si>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</si>
  <si>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</si>
  <si>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</si>
  <si>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</si>
  <si>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</si>
  <si>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</si>
  <si>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</si>
  <si>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</si>
  <si>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</si>
  <si>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</si>
  <si>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</si>
  <si>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</si>
  <si>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</si>
  <si>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</si>
  <si>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</si>
  <si>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</si>
  <si>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</si>
  <si>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</si>
  <si>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</si>
  <si>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</si>
  <si>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</si>
  <si>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</si>
  <si>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</si>
  <si>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INV100916-02</t>
  </si>
  <si>
    <t>INV101844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</si>
  <si>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</si>
  <si>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</si>
  <si>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</si>
  <si>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</si>
  <si>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</si>
  <si>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</si>
  <si>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</si>
  <si>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</si>
  <si>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</si>
  <si>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</si>
  <si>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</si>
  <si>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</si>
  <si>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</si>
  <si>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</si>
  <si>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</si>
  <si>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</si>
  <si>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</si>
  <si>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</si>
  <si>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</si>
  <si>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</si>
  <si>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</si>
  <si>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</si>
  <si>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</si>
  <si>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</si>
  <si>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</si>
  <si>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</si>
  <si>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</si>
  <si>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</si>
  <si>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</si>
  <si>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</si>
  <si>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</si>
  <si>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</si>
  <si>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</si>
  <si>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</si>
  <si>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</si>
  <si>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</si>
  <si>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</si>
  <si>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</si>
  <si>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</si>
  <si>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</si>
  <si>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</si>
  <si>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</si>
  <si>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</si>
  <si>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</si>
  <si>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</si>
  <si>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</si>
  <si>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</si>
  <si>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</si>
  <si>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</si>
  <si>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</si>
  <si>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</si>
  <si>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</si>
  <si>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</si>
  <si>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</si>
  <si>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</si>
  <si>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</si>
  <si>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</si>
  <si>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</si>
  <si>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</si>
  <si>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</si>
  <si>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</si>
  <si>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</si>
  <si>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</si>
  <si>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</si>
  <si>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</si>
  <si>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</si>
  <si>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</si>
  <si>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</si>
  <si>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</si>
  <si>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</si>
  <si>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</si>
  <si>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</si>
  <si>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</si>
  <si>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</si>
  <si>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</si>
  <si>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</si>
  <si>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</si>
  <si>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</si>
  <si>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</si>
  <si>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</si>
  <si>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</si>
  <si>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</si>
  <si>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</si>
  <si>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</si>
  <si>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</si>
  <si>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</si>
  <si>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</si>
  <si>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</si>
  <si>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</si>
  <si>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</si>
  <si>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</si>
  <si>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</si>
  <si>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</si>
  <si>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</si>
  <si>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</si>
  <si>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</si>
  <si>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</si>
  <si>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</si>
  <si>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</si>
  <si>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</si>
  <si>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</si>
  <si>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</si>
  <si>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</si>
  <si>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</si>
  <si>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</si>
  <si>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</si>
  <si>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</si>
  <si>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</si>
  <si>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</si>
  <si>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</si>
  <si>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</si>
  <si>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</si>
  <si>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</si>
  <si>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</si>
  <si>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</si>
  <si>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</si>
  <si>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</si>
  <si>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</si>
  <si>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</si>
  <si>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</si>
  <si>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</si>
  <si>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</si>
  <si>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</si>
  <si>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</si>
  <si>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</si>
  <si>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</si>
  <si>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</si>
  <si>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</si>
  <si>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</si>
  <si>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</si>
  <si>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</si>
  <si>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</si>
  <si>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</si>
  <si>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</si>
  <si>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</si>
  <si>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</si>
  <si>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</si>
  <si>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</si>
  <si>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</si>
  <si>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</si>
  <si>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</si>
  <si>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</si>
  <si>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</si>
  <si>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</si>
  <si>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</si>
  <si>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</si>
  <si>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</si>
  <si>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INV101969</t>
  </si>
  <si>
    <t>INV101970-02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</si>
  <si>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</si>
  <si>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</si>
  <si>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</si>
  <si>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</si>
  <si>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</si>
  <si>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</si>
  <si>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</si>
  <si>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</si>
  <si>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</si>
  <si>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</si>
  <si>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</si>
  <si>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</si>
  <si>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</si>
  <si>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</si>
  <si>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</si>
  <si>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</si>
  <si>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</si>
  <si>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</si>
  <si>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</si>
  <si>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</si>
  <si>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</si>
  <si>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</si>
  <si>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</si>
  <si>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</si>
  <si>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</si>
  <si>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</si>
  <si>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</si>
  <si>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</si>
  <si>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</si>
  <si>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</si>
  <si>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</si>
  <si>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</si>
  <si>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</si>
  <si>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</si>
  <si>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</si>
  <si>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</si>
  <si>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</si>
  <si>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</si>
  <si>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</si>
  <si>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</si>
  <si>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</si>
  <si>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</si>
  <si>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</si>
  <si>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</si>
  <si>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</si>
  <si>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</si>
  <si>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</si>
  <si>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</si>
  <si>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</si>
  <si>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</si>
  <si>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</si>
  <si>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</si>
  <si>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</si>
  <si>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</si>
  <si>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</si>
  <si>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</si>
  <si>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</si>
  <si>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</si>
  <si>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</si>
  <si>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</si>
  <si>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</si>
  <si>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</si>
  <si>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</si>
  <si>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</si>
  <si>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</si>
  <si>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</si>
  <si>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</si>
  <si>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</si>
  <si>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</si>
  <si>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</si>
  <si>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</si>
  <si>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</si>
  <si>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</si>
  <si>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</si>
  <si>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</si>
  <si>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</si>
  <si>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</si>
  <si>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</si>
  <si>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</si>
  <si>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</si>
  <si>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</si>
  <si>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</si>
  <si>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</si>
  <si>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</si>
  <si>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</si>
  <si>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</si>
  <si>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</si>
  <si>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</si>
  <si>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</si>
  <si>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</si>
  <si>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</si>
  <si>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</si>
  <si>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</si>
  <si>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</si>
  <si>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</si>
  <si>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</si>
  <si>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</si>
  <si>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</si>
  <si>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</si>
  <si>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</si>
  <si>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</si>
  <si>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</si>
  <si>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</si>
  <si>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</si>
  <si>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</si>
  <si>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</si>
  <si>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</si>
  <si>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</si>
  <si>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</si>
  <si>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</si>
  <si>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</si>
  <si>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</si>
  <si>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</si>
  <si>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</si>
  <si>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</si>
  <si>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</si>
  <si>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</si>
  <si>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</si>
  <si>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</si>
  <si>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</si>
  <si>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</si>
  <si>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</si>
  <si>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</si>
  <si>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</si>
  <si>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</si>
  <si>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</si>
  <si>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</si>
  <si>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</si>
  <si>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</si>
  <si>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</si>
  <si>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</si>
  <si>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</si>
  <si>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</si>
  <si>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</si>
  <si>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</si>
  <si>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</si>
  <si>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</si>
  <si>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</si>
  <si>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</si>
  <si>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</si>
  <si>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</si>
  <si>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</si>
  <si>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</si>
  <si>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</si>
  <si>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</si>
  <si>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</si>
  <si>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</si>
  <si>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</si>
  <si>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</si>
  <si>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</si>
  <si>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</si>
  <si>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</si>
  <si>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</si>
  <si>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</si>
  <si>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</si>
  <si>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</si>
  <si>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</si>
  <si>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</si>
  <si>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</si>
  <si>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</si>
  <si>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</si>
  <si>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</si>
  <si>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</si>
  <si>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</si>
  <si>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</si>
  <si>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</si>
  <si>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</si>
  <si>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</si>
  <si>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</si>
  <si>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</si>
  <si>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</si>
  <si>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</si>
  <si>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</si>
  <si>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</si>
  <si>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</si>
  <si>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</si>
  <si>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</si>
  <si>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</si>
  <si>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</si>
  <si>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</si>
  <si>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</si>
  <si>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</si>
  <si>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INV100701-02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</si>
  <si>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</si>
  <si>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</si>
  <si>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</si>
  <si>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</si>
  <si>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</si>
  <si>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</si>
  <si>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</si>
  <si>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</si>
  <si>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</si>
  <si>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</si>
  <si>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</si>
  <si>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</si>
  <si>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</si>
  <si>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</si>
  <si>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</si>
  <si>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</si>
  <si>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</si>
  <si>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</si>
  <si>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</si>
  <si>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</si>
  <si>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</si>
  <si>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</si>
  <si>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</si>
  <si>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</si>
  <si>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</si>
  <si>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</si>
  <si>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</si>
  <si>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</si>
  <si>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</si>
  <si>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</si>
  <si>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</si>
  <si>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</si>
  <si>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</si>
  <si>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</si>
  <si>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</si>
  <si>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</si>
  <si>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</si>
  <si>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</si>
  <si>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</si>
  <si>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</si>
  <si>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</si>
  <si>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</si>
  <si>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</si>
  <si>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</si>
  <si>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</si>
  <si>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</si>
  <si>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</si>
  <si>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</si>
  <si>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</si>
  <si>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</si>
  <si>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</si>
  <si>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</si>
  <si>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</si>
  <si>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</si>
  <si>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</si>
  <si>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</si>
  <si>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</si>
  <si>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</si>
  <si>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</si>
  <si>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</si>
  <si>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</si>
  <si>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</si>
  <si>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</si>
  <si>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</si>
  <si>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</si>
  <si>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</si>
  <si>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</si>
  <si>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</si>
  <si>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</si>
  <si>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</si>
  <si>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</si>
  <si>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</si>
  <si>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</si>
  <si>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</si>
  <si>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</si>
  <si>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</si>
  <si>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</si>
  <si>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</si>
  <si>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</si>
  <si>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</si>
  <si>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</si>
  <si>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</si>
  <si>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</si>
  <si>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</si>
  <si>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</si>
  <si>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</si>
  <si>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</si>
  <si>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</si>
  <si>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</si>
  <si>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</si>
  <si>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</si>
  <si>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</si>
  <si>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</si>
  <si>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</si>
  <si>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</si>
  <si>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</si>
  <si>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</si>
  <si>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</si>
  <si>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</si>
  <si>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</si>
  <si>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</si>
  <si>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</si>
  <si>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</si>
  <si>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</si>
  <si>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</si>
  <si>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</si>
  <si>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</si>
  <si>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</si>
  <si>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</si>
  <si>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</si>
  <si>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</si>
  <si>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</si>
  <si>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</si>
  <si>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</si>
  <si>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</si>
  <si>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</si>
  <si>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</si>
  <si>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</si>
  <si>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</si>
  <si>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</si>
  <si>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</si>
  <si>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</si>
  <si>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</si>
  <si>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</si>
  <si>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</si>
  <si>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</si>
  <si>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</si>
  <si>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</si>
  <si>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</si>
  <si>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</si>
  <si>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</si>
  <si>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</si>
  <si>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</si>
  <si>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</si>
  <si>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</si>
  <si>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</si>
  <si>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</si>
  <si>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</si>
  <si>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</si>
  <si>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</si>
  <si>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</si>
  <si>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</si>
  <si>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</si>
  <si>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</si>
  <si>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</si>
  <si>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</si>
  <si>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</si>
  <si>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</si>
  <si>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</si>
  <si>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</si>
  <si>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</si>
  <si>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</si>
  <si>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</si>
  <si>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</si>
  <si>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</si>
  <si>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</si>
  <si>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</si>
  <si>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</si>
  <si>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</si>
  <si>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</si>
  <si>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</si>
  <si>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</si>
  <si>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</si>
  <si>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</si>
  <si>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</si>
  <si>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</si>
  <si>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</si>
  <si>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INV100425-02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</si>
  <si>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</si>
  <si>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</si>
  <si>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</si>
  <si>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</si>
  <si>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</si>
  <si>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</si>
  <si>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</si>
  <si>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</si>
  <si>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</si>
  <si>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</si>
  <si>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</si>
  <si>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</si>
  <si>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</si>
  <si>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</si>
  <si>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</si>
  <si>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</si>
  <si>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</si>
  <si>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</si>
  <si>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</si>
  <si>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</si>
  <si>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</si>
  <si>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</si>
  <si>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</si>
  <si>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</si>
  <si>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</si>
  <si>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</si>
  <si>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</si>
  <si>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</si>
  <si>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</si>
  <si>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</si>
  <si>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</si>
  <si>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</si>
  <si>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</si>
  <si>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</si>
  <si>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</si>
  <si>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</si>
  <si>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</si>
  <si>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</si>
  <si>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</si>
  <si>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</si>
  <si>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</si>
  <si>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</si>
  <si>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</si>
  <si>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</si>
  <si>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</si>
  <si>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</si>
  <si>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</si>
  <si>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</si>
  <si>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</si>
  <si>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</si>
  <si>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</si>
  <si>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</si>
  <si>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</si>
  <si>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INV101944-02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</si>
  <si>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</si>
  <si>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</si>
  <si>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</si>
  <si>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</si>
  <si>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</si>
  <si>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</si>
  <si>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</si>
  <si>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</si>
  <si>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</si>
  <si>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</si>
  <si>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</si>
  <si>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</si>
  <si>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</si>
  <si>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</si>
  <si>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</si>
  <si>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</si>
  <si>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</si>
  <si>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</si>
  <si>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</si>
  <si>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</si>
  <si>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</si>
  <si>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</si>
  <si>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</si>
  <si>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</si>
  <si>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</si>
  <si>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</si>
  <si>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</si>
  <si>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</si>
  <si>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</si>
  <si>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</si>
  <si>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INV102360-02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</si>
  <si>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</si>
  <si>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</si>
  <si>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</si>
  <si>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</si>
  <si>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</si>
  <si>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</si>
  <si>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</si>
  <si>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</si>
  <si>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</si>
  <si>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</si>
  <si>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</si>
  <si>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</si>
  <si>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</si>
  <si>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</si>
  <si>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</si>
  <si>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</si>
  <si>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</si>
  <si>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</si>
  <si>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</si>
  <si>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</si>
  <si>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</si>
  <si>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</si>
  <si>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</si>
  <si>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</si>
  <si>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</si>
  <si>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</si>
  <si>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</si>
  <si>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</si>
  <si>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</si>
  <si>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</si>
  <si>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</si>
  <si>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</si>
  <si>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</si>
  <si>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</si>
  <si>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</si>
  <si>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</si>
  <si>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</si>
  <si>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</si>
  <si>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</si>
  <si>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</si>
  <si>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</si>
  <si>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</si>
  <si>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</si>
  <si>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</si>
  <si>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</si>
  <si>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</si>
  <si>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</si>
  <si>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</si>
  <si>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</si>
  <si>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</si>
  <si>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</si>
  <si>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</si>
  <si>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</si>
  <si>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</si>
  <si>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</si>
  <si>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</si>
  <si>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</si>
  <si>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</si>
  <si>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</si>
  <si>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</si>
  <si>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</si>
  <si>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</si>
  <si>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</si>
  <si>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</si>
  <si>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</si>
  <si>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</si>
  <si>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</si>
  <si>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</si>
  <si>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</si>
  <si>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</si>
  <si>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</si>
  <si>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</si>
  <si>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</si>
  <si>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</si>
  <si>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</si>
  <si>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</si>
  <si>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</si>
  <si>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</si>
  <si>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</si>
  <si>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</si>
  <si>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</si>
  <si>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</si>
  <si>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</si>
  <si>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</si>
  <si>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</si>
  <si>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</si>
  <si>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</si>
  <si>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</si>
  <si>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</si>
  <si>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</si>
  <si>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</si>
  <si>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</si>
  <si>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</si>
  <si>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</si>
  <si>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</si>
  <si>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</si>
  <si>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</si>
  <si>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</si>
  <si>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</si>
  <si>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</si>
  <si>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</si>
  <si>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</si>
  <si>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</si>
  <si>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</si>
  <si>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</si>
  <si>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</si>
  <si>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</si>
  <si>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</si>
  <si>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</si>
  <si>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</si>
  <si>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</si>
  <si>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</si>
  <si>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</si>
  <si>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</si>
  <si>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</si>
  <si>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</si>
  <si>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</si>
  <si>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</si>
  <si>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</si>
  <si>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</si>
  <si>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</si>
  <si>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</si>
  <si>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</si>
  <si>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</si>
  <si>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</si>
  <si>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</si>
  <si>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</si>
  <si>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</si>
  <si>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</si>
  <si>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</si>
  <si>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</si>
  <si>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</si>
  <si>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</si>
  <si>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</si>
  <si>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</si>
  <si>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</si>
  <si>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</si>
  <si>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</si>
  <si>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</si>
  <si>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</si>
  <si>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</si>
  <si>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</si>
  <si>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</si>
  <si>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</si>
  <si>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</si>
  <si>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</si>
  <si>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</si>
  <si>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</si>
  <si>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</si>
  <si>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</si>
  <si>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</si>
  <si>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</si>
  <si>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Check</t>
  </si>
  <si>
    <t>Result</t>
  </si>
  <si>
    <t>Rows</t>
  </si>
  <si>
    <t>Columns</t>
  </si>
  <si>
    <t>Blank values after cleaning</t>
  </si>
  <si>
    <t>Duplicate rows</t>
  </si>
  <si>
    <t>Original invoice numbers duplicated</t>
  </si>
  <si>
    <t>Unique transaction IDs</t>
  </si>
  <si>
    <t>Date range</t>
  </si>
  <si>
    <t>10-Mar-2025 to 31-Mar-2026</t>
  </si>
  <si>
    <t>Payment modes after standardization</t>
  </si>
  <si>
    <t>Cash, Credit Card, Debit Card, Net Banking, UPI, Wallet</t>
  </si>
  <si>
    <t>Sales amount reconciliation</t>
  </si>
  <si>
    <t>Sales = (Qty × Unit Price − Discount) × 1.15 tax; source values retained</t>
  </si>
  <si>
    <t>Profit reconciliation</t>
  </si>
  <si>
    <t>Profit ≈ Sales Amount − Cost Amount; source values retained</t>
  </si>
  <si>
    <t>FreshMart Dashboard – Build Guide</t>
  </si>
  <si>
    <t>Purpose</t>
  </si>
  <si>
    <t>Create a dashboard matching the TrendKart style using Sales_Data as the source.</t>
  </si>
  <si>
    <t>Recommended KPIs</t>
  </si>
  <si>
    <t>Total Transactions; Total Quantity; Total Sales; Total Profit; Profit Margin; Returned Transactions</t>
  </si>
  <si>
    <t>Recommended charts</t>
  </si>
  <si>
    <t>Monthly Sales Trend; Sales by Payment Mode; Sales by Channel; Profit by Month; Top 10 Stores by Sales; Returns by Status</t>
  </si>
  <si>
    <t>Filters / Slicers</t>
  </si>
  <si>
    <t>Year; Month; Payment Mode; Sales Channel; Day Type; Return Status</t>
  </si>
  <si>
    <t>Important note</t>
  </si>
  <si>
    <t>Invoice_Number has 10 duplicate values across 2,500 rows. Transaction_ID was added so each transaction row remains uniquely countable without deleting legitimate rows.</t>
  </si>
  <si>
    <t>Data source</t>
  </si>
  <si>
    <t>Sales_Data Excel table: FreshMartSales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</si>
</sst>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  <numFmt numFmtId="181" formatCode="&quot;₹&quot;#,##0.00_);[Red]\(&quot;₹&quot;#,##0.00\)"/>
  </numFmts>
  <fonts count="26">
    <font>
      <sz val="11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8" fillId="1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180" fontId="0" fillId="0" borderId="0" xfId="0" applyNumberFormat="1"/>
    <xf numFmtId="4" fontId="0" fillId="0" borderId="0" xfId="0" applyNumberFormat="1"/>
    <xf numFmtId="9" fontId="0" fillId="0" borderId="0" xfId="0" applyNumberFormat="1"/>
    <xf numFmtId="10" fontId="0" fillId="0" borderId="0" xfId="0" applyNumberFormat="1"/>
    <xf numFmtId="37" fontId="0" fillId="0" borderId="0" xfId="0" applyNumberFormat="1"/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181" fontId="5" fillId="12" borderId="2" xfId="0" applyNumberFormat="1" applyFont="1" applyFill="1" applyBorder="1" applyAlignment="1">
      <alignment horizontal="center" vertical="center"/>
    </xf>
    <xf numFmtId="181" fontId="5" fillId="13" borderId="2" xfId="0" applyNumberFormat="1" applyFont="1" applyFill="1" applyBorder="1" applyAlignment="1">
      <alignment horizontal="center" vertical="center"/>
    </xf>
    <xf numFmtId="10" fontId="5" fillId="14" borderId="2" xfId="3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8">
    <dxf>
      <numFmt numFmtId="181" formatCode="&quot;₹&quot;#,##0.00_);[Red]\(&quot;₹&quot;#,##0.00\)"/>
    </dxf>
    <dxf>
      <numFmt numFmtId="181" formatCode="&quot;₹&quot;#,##0.00_);[Red]\(&quot;₹&quot;#,##0.00\)"/>
    </dxf>
    <dxf>
      <numFmt numFmtId="181" formatCode="&quot;₹&quot;#,##0.00_);[Red]\(&quot;₹&quot;#,##0.00\)"/>
    </dxf>
    <dxf>
      <numFmt numFmtId="181" formatCode="&quot;₹&quot;#,##0.00_);[Red]\(&quot;₹&quot;#,##0.00\)"/>
    </dxf>
    <dxf>
      <numFmt numFmtId="181" formatCode="&quot;₹&quot;#,##0.00_);[Red]\(&quot;₹&quot;#,##0.00\)"/>
    </dxf>
    <dxf>
      <numFmt numFmtId="181" formatCode="&quot;₹&quot;#,##0.00_);[Red]\(&quot;₹&quot;#,##0.00\)"/>
    </dxf>
    <dxf>
      <numFmt numFmtId="181" formatCode="&quot;₹&quot;#,##0.00_);[Red]\(&quot;₹&quot;#,##0.00\)"/>
    </dxf>
    <dxf>
      <numFmt numFmtId="182" formatCode="0.00_);[Red]\(0.00\)"/>
    </dxf>
    <dxf>
      <numFmt numFmtId="183" formatCode="0.00_);[Red]\(0.00\)"/>
    </dxf>
    <dxf>
      <numFmt numFmtId="184" formatCode="0.00_);[Red]\(0.00\)"/>
    </dxf>
    <dxf>
      <numFmt numFmtId="185" formatCode="0.00_);[Red]\(0.00\)"/>
    </dxf>
    <dxf>
      <numFmt numFmtId="186" formatCode="0.00_);[Red]\(0.00\)"/>
    </dxf>
    <dxf>
      <numFmt numFmtId="187" formatCode="0.00_);[Red]\(0.00\)"/>
    </dxf>
    <dxf>
      <numFmt numFmtId="37" formatCode="#,##0;\-#,##0"/>
    </dxf>
    <dxf>
      <numFmt numFmtId="37" formatCode="#,##0;\-#,##0"/>
    </dxf>
    <dxf>
      <numFmt numFmtId="37" formatCode="#,##0;\-#,##0"/>
    </dxf>
    <dxf>
      <numFmt numFmtId="37" formatCode="#,##0;\-#,##0"/>
    </dxf>
    <dxf>
      <numFmt numFmtId="37" formatCode="#,##0;\-#,##0"/>
    </dxf>
    <dxf>
      <numFmt numFmtId="37" formatCode="#,##0;\-#,##0"/>
    </dxf>
    <dxf>
      <numFmt numFmtId="180" formatCode="dd/mmm/yyyy"/>
    </dxf>
    <dxf>
      <numFmt numFmtId="4" formatCode="#,##0.00"/>
    </dxf>
    <dxf>
      <numFmt numFmtId="9" formatCode="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0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microsoft.com/office/2007/relationships/slicerCache" Target="slicerCaches/slicerCache4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[FreshMart_Sales_Cleaned.xlsx]pivort!PivotTable1</c:name>
    <c:fmtId val="4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SALES BY PAYMENT MODE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pivort!$B$3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pivort!$A$4:$A$10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Wallet</c:v>
                </c:pt>
              </c:strCache>
            </c:strRef>
          </c:cat>
          <c:val>
            <c:numRef>
              <c:f>pivort!$B$4:$B$10</c:f>
              <c:numCache>
                <c:formatCode>#,##0;\-#,##0</c:formatCode>
                <c:ptCount val="6"/>
                <c:pt idx="0">
                  <c:v>432694.8</c:v>
                </c:pt>
                <c:pt idx="1">
                  <c:v>468798.76</c:v>
                </c:pt>
                <c:pt idx="2">
                  <c:v>490398.19</c:v>
                </c:pt>
                <c:pt idx="3">
                  <c:v>438113.87</c:v>
                </c:pt>
                <c:pt idx="4">
                  <c:v>549309.6</c:v>
                </c:pt>
                <c:pt idx="5">
                  <c:v>489117.379999999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02813883"/>
        <c:axId val="688737287"/>
      </c:barChart>
      <c:catAx>
        <c:axId val="8028138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88737287"/>
        <c:crosses val="autoZero"/>
        <c:auto val="1"/>
        <c:lblAlgn val="ctr"/>
        <c:lblOffset val="100"/>
        <c:noMultiLvlLbl val="0"/>
      </c:catAx>
      <c:valAx>
        <c:axId val="68873728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#,##0;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028138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9015ec7-6d48-431a-a35d-869ab80f999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[FreshMart_Sales_Cleaned.xlsx]Pivot_Monthly!PivotTable2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Pivot_Monthly!$C$3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Pivot_Monthly!$A$4:$B$19</c:f>
              <c:multiLvlStrCache>
                <c:ptCount val="13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</c:lvl>
                <c:lvl>
                  <c:pt idx="0">
                    <c:v>2025</c:v>
                  </c:pt>
                  <c:pt idx="10">
                    <c:v>2026</c:v>
                  </c:pt>
                </c:lvl>
              </c:multiLvlStrCache>
            </c:multiLvlStrRef>
          </c:cat>
          <c:val>
            <c:numRef>
              <c:f>Pivot_Monthly!$C$4:$C$19</c:f>
              <c:numCache>
                <c:formatCode>General</c:formatCode>
                <c:ptCount val="13"/>
                <c:pt idx="0">
                  <c:v>1682.32</c:v>
                </c:pt>
                <c:pt idx="1">
                  <c:v>195249.44</c:v>
                </c:pt>
                <c:pt idx="2">
                  <c:v>223829.24</c:v>
                </c:pt>
                <c:pt idx="3">
                  <c:v>226577.54</c:v>
                </c:pt>
                <c:pt idx="4">
                  <c:v>171047.56</c:v>
                </c:pt>
                <c:pt idx="5">
                  <c:v>193434.23</c:v>
                </c:pt>
                <c:pt idx="6">
                  <c:v>239642.24</c:v>
                </c:pt>
                <c:pt idx="7">
                  <c:v>445171.86</c:v>
                </c:pt>
                <c:pt idx="8">
                  <c:v>303499.88</c:v>
                </c:pt>
                <c:pt idx="9">
                  <c:v>335655.2</c:v>
                </c:pt>
                <c:pt idx="10">
                  <c:v>121730.91</c:v>
                </c:pt>
                <c:pt idx="11">
                  <c:v>169237.23</c:v>
                </c:pt>
                <c:pt idx="12">
                  <c:v>241674.95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567490"/>
        <c:axId val="60822780"/>
      </c:lineChart>
      <c:catAx>
        <c:axId val="990567490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0822780"/>
        <c:crosses val="autoZero"/>
        <c:auto val="1"/>
        <c:lblAlgn val="ctr"/>
        <c:lblOffset val="100"/>
        <c:noMultiLvlLbl val="0"/>
      </c:catAx>
      <c:valAx>
        <c:axId val="6082278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9056749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dfee772-00dd-4935-bfd9-07e2e1bd7e3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[FreshMart_Sales_Cleaned.xlsx]Pivot_Channel!PivotTable3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CHANNEL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Pivot_Channel!$B$3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>
                <c:manualLayout>
                  <c:x val="0.173488939209197"/>
                  <c:y val="0.1197088163925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10782093711897"/>
                  <c:y val="0.2685359935292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3168437554433"/>
                  <c:y val="-0.21353464545699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Pivot_Channel!$A$4:$A$7</c:f>
              <c:strCache>
                <c:ptCount val="3"/>
                <c:pt idx="0">
                  <c:v>In-Store</c:v>
                </c:pt>
                <c:pt idx="1">
                  <c:v>Mobile App</c:v>
                </c:pt>
                <c:pt idx="2">
                  <c:v>Online</c:v>
                </c:pt>
              </c:strCache>
            </c:strRef>
          </c:cat>
          <c:val>
            <c:numRef>
              <c:f>Pivot_Channel!$B$4:$B$7</c:f>
              <c:numCache>
                <c:formatCode>General</c:formatCode>
                <c:ptCount val="3"/>
                <c:pt idx="0">
                  <c:v>1969380.3</c:v>
                </c:pt>
                <c:pt idx="1">
                  <c:v>286557.95</c:v>
                </c:pt>
                <c:pt idx="2">
                  <c:v>612494.35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695798-f8c4-4306-845f-728640dc3c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[FreshMart_Sales_Cleaned.xlsx]Pivot_Profit!PivotTable4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MONTHLY PROFIT PERFORMANCE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Pivot_Profit!$C$3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2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Pivot_Profit!$A$4:$B$19</c:f>
              <c:multiLvlStrCache>
                <c:ptCount val="13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</c:lvl>
                <c:lvl>
                  <c:pt idx="0">
                    <c:v>2025</c:v>
                  </c:pt>
                  <c:pt idx="10">
                    <c:v>2026</c:v>
                  </c:pt>
                </c:lvl>
              </c:multiLvlStrCache>
            </c:multiLvlStrRef>
          </c:cat>
          <c:val>
            <c:numRef>
              <c:f>Pivot_Profit!$C$4:$C$19</c:f>
              <c:numCache>
                <c:formatCode>General</c:formatCode>
                <c:ptCount val="13"/>
                <c:pt idx="0">
                  <c:v>252.44</c:v>
                </c:pt>
                <c:pt idx="1">
                  <c:v>50155.37</c:v>
                </c:pt>
                <c:pt idx="2">
                  <c:v>61161.92</c:v>
                </c:pt>
                <c:pt idx="3">
                  <c:v>58096.27</c:v>
                </c:pt>
                <c:pt idx="4">
                  <c:v>42067</c:v>
                </c:pt>
                <c:pt idx="5">
                  <c:v>49379.88</c:v>
                </c:pt>
                <c:pt idx="6">
                  <c:v>58943.03</c:v>
                </c:pt>
                <c:pt idx="7">
                  <c:v>115133.04</c:v>
                </c:pt>
                <c:pt idx="8">
                  <c:v>79014.61</c:v>
                </c:pt>
                <c:pt idx="9">
                  <c:v>88664.43</c:v>
                </c:pt>
                <c:pt idx="10">
                  <c:v>29980.87</c:v>
                </c:pt>
                <c:pt idx="11">
                  <c:v>43151.69</c:v>
                </c:pt>
                <c:pt idx="12">
                  <c:v>61358.34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546447"/>
        <c:axId val="954915060"/>
      </c:barChart>
      <c:catAx>
        <c:axId val="151546447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54915060"/>
        <c:crosses val="autoZero"/>
        <c:auto val="1"/>
        <c:lblAlgn val="ctr"/>
        <c:lblOffset val="100"/>
        <c:noMultiLvlLbl val="0"/>
      </c:catAx>
      <c:valAx>
        <c:axId val="9549150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51546447"/>
        <c:crosses val="autoZero"/>
        <c:crossBetween val="between"/>
      </c:valAx>
      <c:spPr>
        <a:noFill/>
        <a:ln w="6350">
          <a:solidFill>
            <a:schemeClr val="tx1">
              <a:lumMod val="50000"/>
              <a:lumOff val="50000"/>
              <a:alpha val="25000"/>
            </a:schemeClr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40acb18-5dad-4609-8a1a-97f41072f547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[FreshMart_Sales_Cleaned.xlsx]Pivot_Stores!PivotTable5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STORES BY SALES</a:t>
            </a:r>
          </a:p>
        </c:rich>
      </c:tx>
      <c:layout>
        <c:manualLayout>
          <c:xMode val="edge"/>
          <c:yMode val="edge"/>
          <c:x val="0.281513157894737"/>
          <c:y val="0.0333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Pivot_Stores!$B$3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Pivot_Stores!$A$4:$A$14</c:f>
              <c:strCache>
                <c:ptCount val="10"/>
                <c:pt idx="0">
                  <c:v>STR086</c:v>
                </c:pt>
                <c:pt idx="1">
                  <c:v>STR059</c:v>
                </c:pt>
                <c:pt idx="2">
                  <c:v>STR033</c:v>
                </c:pt>
                <c:pt idx="3">
                  <c:v>STR018</c:v>
                </c:pt>
                <c:pt idx="4">
                  <c:v>STR097</c:v>
                </c:pt>
                <c:pt idx="5">
                  <c:v>STR092</c:v>
                </c:pt>
                <c:pt idx="6">
                  <c:v>STR056</c:v>
                </c:pt>
                <c:pt idx="7">
                  <c:v>STR036</c:v>
                </c:pt>
                <c:pt idx="8">
                  <c:v>STR023</c:v>
                </c:pt>
                <c:pt idx="9">
                  <c:v>STR080</c:v>
                </c:pt>
              </c:strCache>
            </c:strRef>
          </c:cat>
          <c:val>
            <c:numRef>
              <c:f>Pivot_Stores!$B$4:$B$14</c:f>
              <c:numCache>
                <c:formatCode>General</c:formatCode>
                <c:ptCount val="10"/>
                <c:pt idx="0">
                  <c:v>36723.73</c:v>
                </c:pt>
                <c:pt idx="1">
                  <c:v>34742.58</c:v>
                </c:pt>
                <c:pt idx="2">
                  <c:v>34391.99</c:v>
                </c:pt>
                <c:pt idx="3">
                  <c:v>31485.48</c:v>
                </c:pt>
                <c:pt idx="4">
                  <c:v>31447.34</c:v>
                </c:pt>
                <c:pt idx="5">
                  <c:v>30207.06</c:v>
                </c:pt>
                <c:pt idx="6">
                  <c:v>29715.49</c:v>
                </c:pt>
                <c:pt idx="7">
                  <c:v>29122.22</c:v>
                </c:pt>
                <c:pt idx="8">
                  <c:v>29035</c:v>
                </c:pt>
                <c:pt idx="9">
                  <c:v>28821.34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40070027"/>
        <c:axId val="989185067"/>
      </c:barChart>
      <c:catAx>
        <c:axId val="7400700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9185067"/>
        <c:crosses val="autoZero"/>
        <c:auto val="1"/>
        <c:lblAlgn val="ctr"/>
        <c:lblOffset val="100"/>
        <c:noMultiLvlLbl val="0"/>
      </c:catAx>
      <c:valAx>
        <c:axId val="9891850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00700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dd60891-f7ea-477e-83c7-ace9d86caba5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[FreshMart_Sales_Cleaned.xlsx]Pivot_Returns!PivotTable6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RETURN STATUS</a:t>
            </a:r>
          </a:p>
        </c:rich>
      </c:tx>
      <c:layout>
        <c:manualLayout>
          <c:xMode val="edge"/>
          <c:yMode val="edge"/>
          <c:x val="0.332074557269653"/>
          <c:y val="0.049021109976166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Pivot_Returns!$B$3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205817923186344"/>
                  <c:y val="0.07189592554761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215626436152752"/>
                  <c:y val="-0.03758370219044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Pivot_Returns!$A$4:$A$6</c:f>
              <c:strCache>
                <c:ptCount val="2"/>
                <c:pt idx="0">
                  <c:v>Not Returned</c:v>
                </c:pt>
                <c:pt idx="1">
                  <c:v>Returned</c:v>
                </c:pt>
              </c:strCache>
            </c:strRef>
          </c:cat>
          <c:val>
            <c:numRef>
              <c:f>Pivot_Returns!$B$4:$B$6</c:f>
              <c:numCache>
                <c:formatCode>General</c:formatCode>
                <c:ptCount val="2"/>
                <c:pt idx="0">
                  <c:v>2386</c:v>
                </c:pt>
                <c:pt idx="1">
                  <c:v>114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a598ae-c32e-40e1-9253-047749581233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601980</xdr:colOff>
      <xdr:row>8</xdr:row>
      <xdr:rowOff>152400</xdr:rowOff>
    </xdr:from>
    <xdr:to>
      <xdr:col>16</xdr:col>
      <xdr:colOff>24765</xdr:colOff>
      <xdr:row>25</xdr:row>
      <xdr:rowOff>38100</xdr:rowOff>
    </xdr:to>
    <xdr:graphicFrame>
      <xdr:nvGraphicFramePr>
        <xdr:cNvPr id="3" name="Chart 2" descr="7b0a202020202263686172745265734964223a202234353536333835220a7d0a"/>
        <xdr:cNvGraphicFramePr/>
      </xdr:nvGraphicFramePr>
      <xdr:xfrm>
        <a:off x="4869180" y="1661160"/>
        <a:ext cx="4909185" cy="2994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8</xdr:row>
      <xdr:rowOff>152400</xdr:rowOff>
    </xdr:from>
    <xdr:to>
      <xdr:col>7</xdr:col>
      <xdr:colOff>603885</xdr:colOff>
      <xdr:row>25</xdr:row>
      <xdr:rowOff>38735</xdr:rowOff>
    </xdr:to>
    <xdr:graphicFrame>
      <xdr:nvGraphicFramePr>
        <xdr:cNvPr id="4" name="Chart 3" descr="7b0a202020202263686172745265734964223a20223230343638373831220a7d0a"/>
        <xdr:cNvGraphicFramePr/>
      </xdr:nvGraphicFramePr>
      <xdr:xfrm>
        <a:off x="7620" y="1661160"/>
        <a:ext cx="4863465" cy="2995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25</xdr:row>
      <xdr:rowOff>175260</xdr:rowOff>
    </xdr:from>
    <xdr:to>
      <xdr:col>8</xdr:col>
      <xdr:colOff>34290</xdr:colOff>
      <xdr:row>42</xdr:row>
      <xdr:rowOff>7620</xdr:rowOff>
    </xdr:to>
    <xdr:graphicFrame>
      <xdr:nvGraphicFramePr>
        <xdr:cNvPr id="5" name="Chart 4" descr="7b0a202020202263686172745265734964223a202234353338343530220a7d0a"/>
        <xdr:cNvGraphicFramePr/>
      </xdr:nvGraphicFramePr>
      <xdr:xfrm>
        <a:off x="7620" y="4792980"/>
        <a:ext cx="4903470" cy="294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</xdr:colOff>
      <xdr:row>26</xdr:row>
      <xdr:rowOff>0</xdr:rowOff>
    </xdr:from>
    <xdr:to>
      <xdr:col>16</xdr:col>
      <xdr:colOff>116840</xdr:colOff>
      <xdr:row>42</xdr:row>
      <xdr:rowOff>0</xdr:rowOff>
    </xdr:to>
    <xdr:graphicFrame>
      <xdr:nvGraphicFramePr>
        <xdr:cNvPr id="6" name="Chart 5" descr="7b0a202020202263686172745265734964223a20223230343732303435220a7d0a"/>
        <xdr:cNvGraphicFramePr/>
      </xdr:nvGraphicFramePr>
      <xdr:xfrm>
        <a:off x="4884420" y="4800600"/>
        <a:ext cx="498602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</xdr:colOff>
      <xdr:row>42</xdr:row>
      <xdr:rowOff>175260</xdr:rowOff>
    </xdr:from>
    <xdr:to>
      <xdr:col>8</xdr:col>
      <xdr:colOff>10795</xdr:colOff>
      <xdr:row>60</xdr:row>
      <xdr:rowOff>6985</xdr:rowOff>
    </xdr:to>
    <xdr:graphicFrame>
      <xdr:nvGraphicFramePr>
        <xdr:cNvPr id="7" name="Chart 6" descr="7b0a202020202263686172745265734964223a20223230333532363935220a7d0a"/>
        <xdr:cNvGraphicFramePr/>
      </xdr:nvGraphicFramePr>
      <xdr:xfrm>
        <a:off x="7620" y="7901940"/>
        <a:ext cx="4879975" cy="3123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43</xdr:row>
      <xdr:rowOff>7620</xdr:rowOff>
    </xdr:from>
    <xdr:to>
      <xdr:col>16</xdr:col>
      <xdr:colOff>10160</xdr:colOff>
      <xdr:row>60</xdr:row>
      <xdr:rowOff>6985</xdr:rowOff>
    </xdr:to>
    <xdr:graphicFrame>
      <xdr:nvGraphicFramePr>
        <xdr:cNvPr id="8" name="Chart 7" descr="7b0a202020202263686172745265734964223a20223230323931393734220a7d0a"/>
        <xdr:cNvGraphicFramePr/>
      </xdr:nvGraphicFramePr>
      <xdr:xfrm>
        <a:off x="4876800" y="7917180"/>
        <a:ext cx="4886960" cy="3108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899160</xdr:colOff>
      <xdr:row>6</xdr:row>
      <xdr:rowOff>106680</xdr:rowOff>
    </xdr:from>
    <xdr:to>
      <xdr:col>5</xdr:col>
      <xdr:colOff>30480</xdr:colOff>
      <xdr:row>17</xdr:row>
      <xdr:rowOff>111125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Payment_Mo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4260" y="1203960"/>
              <a:ext cx="1828800" cy="2016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274320</xdr:colOff>
      <xdr:row>7</xdr:row>
      <xdr:rowOff>22860</xdr:rowOff>
    </xdr:from>
    <xdr:to>
      <xdr:col>8</xdr:col>
      <xdr:colOff>274320</xdr:colOff>
      <xdr:row>12</xdr:row>
      <xdr:rowOff>65405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Years (Transaction_Date)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s (Transaction_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93080" y="1303020"/>
              <a:ext cx="1828800" cy="956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228600</xdr:colOff>
      <xdr:row>6</xdr:row>
      <xdr:rowOff>160020</xdr:rowOff>
    </xdr:from>
    <xdr:to>
      <xdr:col>5</xdr:col>
      <xdr:colOff>228600</xdr:colOff>
      <xdr:row>13</xdr:row>
      <xdr:rowOff>180340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Sales_Chann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_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9400" y="1257300"/>
              <a:ext cx="1828800" cy="1300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106680</xdr:colOff>
      <xdr:row>6</xdr:row>
      <xdr:rowOff>160020</xdr:rowOff>
    </xdr:from>
    <xdr:to>
      <xdr:col>5</xdr:col>
      <xdr:colOff>106680</xdr:colOff>
      <xdr:row>12</xdr:row>
      <xdr:rowOff>51435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turn_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turn_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9400" y="1257300"/>
              <a:ext cx="1828800" cy="988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1.9474074074" refreshedBy="Judson" recordCount="2500">
  <cacheSource type="worksheet">
    <worksheetSource name="Table1"/>
  </cacheSource>
  <cacheFields count="27">
    <cacheField name="Transaction_ID" numFmtId="0">
      <sharedItems count="2500">
        <s v="INV100001"/>
        <s v="INV100002"/>
        <s v="INV100003"/>
        <s v="INV100004"/>
        <s v="INV100005"/>
        <s v="INV100006"/>
        <s v="INV100007"/>
        <s v="INV100008"/>
        <s v="INV100009"/>
        <s v="INV100010"/>
        <s v="INV100011"/>
        <s v="INV100012"/>
        <s v="INV100013"/>
        <s v="INV100014"/>
        <s v="INV100015"/>
        <s v="INV100016"/>
        <s v="INV100017"/>
        <s v="INV100018"/>
        <s v="INV100019"/>
        <s v="INV100020"/>
        <s v="INV100021"/>
        <s v="INV100022"/>
        <s v="INV100023"/>
        <s v="INV100024"/>
        <s v="INV100025"/>
        <s v="INV100026"/>
        <s v="INV100027"/>
        <s v="INV100028"/>
        <s v="INV100029"/>
        <s v="INV100030"/>
        <s v="INV100031"/>
        <s v="INV100032"/>
        <s v="INV100033"/>
        <s v="INV100034"/>
        <s v="INV100035"/>
        <s v="INV100036"/>
        <s v="INV100037"/>
        <s v="INV100038"/>
        <s v="INV100039"/>
        <s v="INV100040"/>
        <s v="INV100041"/>
        <s v="INV100042"/>
        <s v="INV100043"/>
        <s v="INV100044"/>
        <s v="INV100045"/>
        <s v="INV100046"/>
        <s v="INV100047"/>
        <s v="INV100048"/>
        <s v="INV100049"/>
        <s v="INV100050"/>
        <s v="INV100051"/>
        <s v="INV100052"/>
        <s v="INV100053"/>
        <s v="INV100054"/>
        <s v="INV100055"/>
        <s v="INV100056"/>
        <s v="INV100057"/>
        <s v="INV100058"/>
        <s v="INV100059"/>
        <s v="INV100060"/>
        <s v="INV100061"/>
        <s v="INV100062"/>
        <s v="INV100063"/>
        <s v="INV100064"/>
        <s v="INV100065"/>
        <s v="INV100066"/>
        <s v="INV100067"/>
        <s v="INV100068"/>
        <s v="INV100069"/>
        <s v="INV100070"/>
        <s v="INV100071"/>
        <s v="INV100072"/>
        <s v="INV100073"/>
        <s v="INV100074"/>
        <s v="INV100075"/>
        <s v="INV100076"/>
        <s v="INV100077"/>
        <s v="INV100078"/>
        <s v="INV100079"/>
        <s v="INV100080"/>
        <s v="INV100081"/>
        <s v="INV100082"/>
        <s v="INV100083"/>
        <s v="INV100084"/>
        <s v="INV100085"/>
        <s v="INV100086"/>
        <s v="INV100087"/>
        <s v="INV100088"/>
        <s v="INV100089"/>
        <s v="INV100090"/>
        <s v="INV100091"/>
        <s v="INV100092"/>
        <s v="INV100093"/>
        <s v="INV100094"/>
        <s v="INV100095"/>
        <s v="INV100096"/>
        <s v="INV100097"/>
        <s v="INV100098"/>
        <s v="INV100099"/>
        <s v="INV100100"/>
        <s v="INV100101"/>
        <s v="INV100102"/>
        <s v="INV100103"/>
        <s v="INV100104"/>
        <s v="INV100105"/>
        <s v="INV100106"/>
        <s v="INV100107"/>
        <s v="INV100108"/>
        <s v="INV100109"/>
        <s v="INV100110"/>
        <s v="INV100111"/>
        <s v="INV100112"/>
        <s v="INV100113"/>
        <s v="INV100114"/>
        <s v="INV100115"/>
        <s v="INV100459"/>
        <s v="INV100117"/>
        <s v="INV100118"/>
        <s v="INV100119"/>
        <s v="INV100120"/>
        <s v="INV100121"/>
        <s v="INV100122"/>
        <s v="INV100123"/>
        <s v="INV100124"/>
        <s v="INV100125"/>
        <s v="INV100126"/>
        <s v="INV100127"/>
        <s v="INV100128"/>
        <s v="INV100129"/>
        <s v="INV100130"/>
        <s v="INV100131"/>
        <s v="INV100132"/>
        <s v="INV100133"/>
        <s v="INV100134"/>
        <s v="INV100135"/>
        <s v="INV100136"/>
        <s v="INV100137"/>
        <s v="INV100138"/>
        <s v="INV100139"/>
        <s v="INV100140"/>
        <s v="INV100141"/>
        <s v="INV100142"/>
        <s v="INV100143"/>
        <s v="INV100144"/>
        <s v="INV100145"/>
        <s v="INV100146"/>
        <s v="INV100147"/>
        <s v="INV100148"/>
        <s v="INV100149"/>
        <s v="INV100150"/>
        <s v="INV100151"/>
        <s v="INV100152"/>
        <s v="INV100153"/>
        <s v="INV100154"/>
        <s v="INV100155"/>
        <s v="INV100156"/>
        <s v="INV100157"/>
        <s v="INV100158"/>
        <s v="INV100159"/>
        <s v="INV100160"/>
        <s v="INV100161"/>
        <s v="INV100162"/>
        <s v="INV100163"/>
        <s v="INV100164"/>
        <s v="INV100165"/>
        <s v="INV100166"/>
        <s v="INV100167"/>
        <s v="INV100168"/>
        <s v="INV100169"/>
        <s v="INV100170"/>
        <s v="INV100171"/>
        <s v="INV100172"/>
        <s v="INV100173"/>
        <s v="INV100174"/>
        <s v="INV100175"/>
        <s v="INV100176"/>
        <s v="INV100177"/>
        <s v="INV100178"/>
        <s v="INV100179"/>
        <s v="INV100180"/>
        <s v="INV100181"/>
        <s v="INV100182"/>
        <s v="INV100183"/>
        <s v="INV100184"/>
        <s v="INV100185"/>
        <s v="INV100186"/>
        <s v="INV100187"/>
        <s v="INV100188"/>
        <s v="INV100189"/>
        <s v="INV100190"/>
        <s v="INV100191"/>
        <s v="INV100192"/>
        <s v="INV100193"/>
        <s v="INV100194"/>
        <s v="INV100195"/>
        <s v="INV100196"/>
        <s v="INV100197"/>
        <s v="INV100198"/>
        <s v="INV100199"/>
        <s v="INV100200"/>
        <s v="INV100201"/>
        <s v="INV100202"/>
        <s v="INV100203"/>
        <s v="INV100204"/>
        <s v="INV100205"/>
        <s v="INV100206"/>
        <s v="INV100207"/>
        <s v="INV100208"/>
        <s v="INV100209"/>
        <s v="INV100210"/>
        <s v="INV100211"/>
        <s v="INV100212"/>
        <s v="INV100213"/>
        <s v="INV100214"/>
        <s v="INV100215"/>
        <s v="INV100216"/>
        <s v="INV100217"/>
        <s v="INV100218"/>
        <s v="INV100219"/>
        <s v="INV100220"/>
        <s v="INV100221"/>
        <s v="INV100222"/>
        <s v="INV100223"/>
        <s v="INV100224"/>
        <s v="INV100225"/>
        <s v="INV100226"/>
        <s v="INV100227"/>
        <s v="INV100228"/>
        <s v="INV100229"/>
        <s v="INV100230"/>
        <s v="INV100231"/>
        <s v="INV100232"/>
        <s v="INV100233"/>
        <s v="INV100234"/>
        <s v="INV100235"/>
        <s v="INV100236"/>
        <s v="INV100237"/>
        <s v="INV100238"/>
        <s v="INV100239"/>
        <s v="INV100240"/>
        <s v="INV100241"/>
        <s v="INV100242"/>
        <s v="INV100243"/>
        <s v="INV100244"/>
        <s v="INV100245"/>
        <s v="INV100246"/>
        <s v="INV100247"/>
        <s v="INV100248"/>
        <s v="INV100249"/>
        <s v="INV100250"/>
        <s v="INV100251"/>
        <s v="INV100252"/>
        <s v="INV100253"/>
        <s v="INV100254"/>
        <s v="INV100255"/>
        <s v="INV100256"/>
        <s v="INV100257"/>
        <s v="INV100258"/>
        <s v="INV100259"/>
        <s v="INV100260"/>
        <s v="INV100261"/>
        <s v="INV100262"/>
        <s v="INV100263"/>
        <s v="INV100264"/>
        <s v="INV100265"/>
        <s v="INV100266"/>
        <s v="INV100267"/>
        <s v="INV100268"/>
        <s v="INV100269"/>
        <s v="INV100270"/>
        <s v="INV100271"/>
        <s v="INV100272"/>
        <s v="INV100273"/>
        <s v="INV100274"/>
        <s v="INV100275"/>
        <s v="INV100276"/>
        <s v="INV100277"/>
        <s v="INV100278"/>
        <s v="INV100279"/>
        <s v="INV100280"/>
        <s v="INV100281"/>
        <s v="INV100282"/>
        <s v="INV100283"/>
        <s v="INV100284"/>
        <s v="INV100285"/>
        <s v="INV100286"/>
        <s v="INV100287"/>
        <s v="INV100288"/>
        <s v="INV100289"/>
        <s v="INV100290"/>
        <s v="INV100291"/>
        <s v="INV100292"/>
        <s v="INV100293"/>
        <s v="INV100294"/>
        <s v="INV100295"/>
        <s v="INV100296"/>
        <s v="INV100297"/>
        <s v="INV100298"/>
        <s v="INV100299"/>
        <s v="INV100300"/>
        <s v="INV100301"/>
        <s v="INV100302"/>
        <s v="INV100303"/>
        <s v="INV100304"/>
        <s v="INV100305"/>
        <s v="INV100306"/>
        <s v="INV100307"/>
        <s v="INV100308"/>
        <s v="INV100309"/>
        <s v="INV100310"/>
        <s v="INV100311"/>
        <s v="INV100312"/>
        <s v="INV100313"/>
        <s v="INV100314"/>
        <s v="INV100315"/>
        <s v="INV100316"/>
        <s v="INV100317"/>
        <s v="INV100318"/>
        <s v="INV100319"/>
        <s v="INV100320"/>
        <s v="INV100321"/>
        <s v="INV100322"/>
        <s v="INV100323"/>
        <s v="INV100324"/>
        <s v="INV100325"/>
        <s v="INV100326"/>
        <s v="INV100327"/>
        <s v="INV100328"/>
        <s v="INV100329"/>
        <s v="INV100330"/>
        <s v="INV100331"/>
        <s v="INV100332"/>
        <s v="INV100333"/>
        <s v="INV100334"/>
        <s v="INV100335"/>
        <s v="INV100336"/>
        <s v="INV100337"/>
        <s v="INV100338"/>
        <s v="INV100339"/>
        <s v="INV100340"/>
        <s v="INV100341"/>
        <s v="INV100342"/>
        <s v="INV100343"/>
        <s v="INV100344"/>
        <s v="INV100345"/>
        <s v="INV100346"/>
        <s v="INV100347"/>
        <s v="INV100348"/>
        <s v="INV100349"/>
        <s v="INV100350"/>
        <s v="INV100351"/>
        <s v="INV100352"/>
        <s v="INV100353"/>
        <s v="INV100354"/>
        <s v="INV100355"/>
        <s v="INV100356"/>
        <s v="INV100357"/>
        <s v="INV100358"/>
        <s v="INV100359"/>
        <s v="INV100360"/>
        <s v="INV100361"/>
        <s v="INV100362"/>
        <s v="INV100363"/>
        <s v="INV100364"/>
        <s v="INV100365"/>
        <s v="INV100366"/>
        <s v="INV100367"/>
        <s v="INV100368"/>
        <s v="INV100369"/>
        <s v="INV100370"/>
        <s v="INV100371"/>
        <s v="INV100372"/>
        <s v="INV100373"/>
        <s v="INV100374"/>
        <s v="INV100375"/>
        <s v="INV100376"/>
        <s v="INV100377"/>
        <s v="INV100378"/>
        <s v="INV100379"/>
        <s v="INV100380"/>
        <s v="INV100381"/>
        <s v="INV100382"/>
        <s v="INV100383"/>
        <s v="INV100384"/>
        <s v="INV100385"/>
        <s v="INV100386"/>
        <s v="INV100387"/>
        <s v="INV100388"/>
        <s v="INV100389"/>
        <s v="INV100390"/>
        <s v="INV100391"/>
        <s v="INV100392"/>
        <s v="INV100393"/>
        <s v="INV100394"/>
        <s v="INV100395"/>
        <s v="INV100396"/>
        <s v="INV100397"/>
        <s v="INV100398"/>
        <s v="INV100399"/>
        <s v="INV100400"/>
        <s v="INV100401"/>
        <s v="INV100402"/>
        <s v="INV100403"/>
        <s v="INV100404"/>
        <s v="INV100405"/>
        <s v="INV100406"/>
        <s v="INV100407"/>
        <s v="INV100408"/>
        <s v="INV100409"/>
        <s v="INV100410"/>
        <s v="INV100411"/>
        <s v="INV100412"/>
        <s v="INV100413"/>
        <s v="INV100414"/>
        <s v="INV100415"/>
        <s v="INV100416"/>
        <s v="INV100417"/>
        <s v="INV100418"/>
        <s v="INV100419"/>
        <s v="INV100420"/>
        <s v="INV100421"/>
        <s v="INV100422"/>
        <s v="INV100423"/>
        <s v="INV100424"/>
        <s v="INV100425"/>
        <s v="INV100426"/>
        <s v="INV100427"/>
        <s v="INV100428"/>
        <s v="INV100429"/>
        <s v="INV100430"/>
        <s v="INV100431"/>
        <s v="INV100432"/>
        <s v="INV100433"/>
        <s v="INV100434"/>
        <s v="INV100435"/>
        <s v="INV100436"/>
        <s v="INV100437"/>
        <s v="INV100438"/>
        <s v="INV100439"/>
        <s v="INV100440"/>
        <s v="INV100441"/>
        <s v="INV100442"/>
        <s v="INV100443"/>
        <s v="INV100444"/>
        <s v="INV100445"/>
        <s v="INV100446"/>
        <s v="INV100447"/>
        <s v="INV100448"/>
        <s v="INV100449"/>
        <s v="INV100450"/>
        <s v="INV100451"/>
        <s v="INV100452"/>
        <s v="INV100453"/>
        <s v="INV100454"/>
        <s v="INV100455"/>
        <s v="INV100456"/>
        <s v="INV100457"/>
        <s v="INV100458"/>
        <s v="INV100459-02"/>
        <s v="INV100460"/>
        <s v="INV100461"/>
        <s v="INV100462"/>
        <s v="INV100463"/>
        <s v="INV100464"/>
        <s v="INV100465"/>
        <s v="INV100466"/>
        <s v="INV100467"/>
        <s v="INV100468"/>
        <s v="INV100469"/>
        <s v="INV100470"/>
        <s v="INV100471"/>
        <s v="INV100472"/>
        <s v="INV100473"/>
        <s v="INV100474"/>
        <s v="INV100475"/>
        <s v="INV100476"/>
        <s v="INV100477"/>
        <s v="INV100478"/>
        <s v="INV100479"/>
        <s v="INV100480"/>
        <s v="INV100481"/>
        <s v="INV100482"/>
        <s v="INV100483"/>
        <s v="INV100484"/>
        <s v="INV100485"/>
        <s v="INV100486"/>
        <s v="INV100487"/>
        <s v="INV100488"/>
        <s v="INV100489"/>
        <s v="INV100490"/>
        <s v="INV100491"/>
        <s v="INV100492"/>
        <s v="INV100493"/>
        <s v="INV100494"/>
        <s v="INV100495"/>
        <s v="INV100496"/>
        <s v="INV100497"/>
        <s v="INV100498"/>
        <s v="INV100499"/>
        <s v="INV100500"/>
        <s v="INV100501"/>
        <s v="INV100502"/>
        <s v="INV100503"/>
        <s v="INV100504"/>
        <s v="INV100505"/>
        <s v="INV100506"/>
        <s v="INV100507"/>
        <s v="INV100508"/>
        <s v="INV100509"/>
        <s v="INV100510"/>
        <s v="INV100511"/>
        <s v="INV100512"/>
        <s v="INV100513"/>
        <s v="INV100514"/>
        <s v="INV100515"/>
        <s v="INV100516"/>
        <s v="INV100517"/>
        <s v="INV100518"/>
        <s v="INV100519"/>
        <s v="INV100520"/>
        <s v="INV100521"/>
        <s v="INV100522"/>
        <s v="INV100523"/>
        <s v="INV100524"/>
        <s v="INV100525"/>
        <s v="INV100526"/>
        <s v="INV100527"/>
        <s v="INV100528"/>
        <s v="INV100529"/>
        <s v="INV100530"/>
        <s v="INV100531"/>
        <s v="INV100532"/>
        <s v="INV100533"/>
        <s v="INV100534"/>
        <s v="INV100535"/>
        <s v="INV100536"/>
        <s v="INV100537"/>
        <s v="INV100538"/>
        <s v="INV100539"/>
        <s v="INV100540"/>
        <s v="INV100541"/>
        <s v="INV100542"/>
        <s v="INV100543"/>
        <s v="INV100544"/>
        <s v="INV100545"/>
        <s v="INV100546"/>
        <s v="INV100547"/>
        <s v="INV100548"/>
        <s v="INV100549"/>
        <s v="INV100550"/>
        <s v="INV100551"/>
        <s v="INV100552"/>
        <s v="INV100553"/>
        <s v="INV100554"/>
        <s v="INV100555"/>
        <s v="INV100556"/>
        <s v="INV100557"/>
        <s v="INV100558"/>
        <s v="INV100559"/>
        <s v="INV100560"/>
        <s v="INV100561"/>
        <s v="INV100562"/>
        <s v="INV100563"/>
        <s v="INV100564"/>
        <s v="INV100565"/>
        <s v="INV100566"/>
        <s v="INV100567"/>
        <s v="INV100568"/>
        <s v="INV100569"/>
        <s v="INV100570"/>
        <s v="INV100571"/>
        <s v="INV100572"/>
        <s v="INV100573"/>
        <s v="INV100574"/>
        <s v="INV100575"/>
        <s v="INV100576"/>
        <s v="INV100577"/>
        <s v="INV100578"/>
        <s v="INV100579"/>
        <s v="INV100580"/>
        <s v="INV100581"/>
        <s v="INV100582"/>
        <s v="INV100583"/>
        <s v="INV100584"/>
        <s v="INV100585"/>
        <s v="INV100586"/>
        <s v="INV100587"/>
        <s v="INV100588"/>
        <s v="INV100589"/>
        <s v="INV100590"/>
        <s v="INV100591"/>
        <s v="INV100592"/>
        <s v="INV100593"/>
        <s v="INV100594"/>
        <s v="INV100595"/>
        <s v="INV100596"/>
        <s v="INV100597"/>
        <s v="INV100598"/>
        <s v="INV100599"/>
        <s v="INV100600"/>
        <s v="INV100601"/>
        <s v="INV100602"/>
        <s v="INV100603"/>
        <s v="INV100604"/>
        <s v="INV100605"/>
        <s v="INV100606"/>
        <s v="INV100607"/>
        <s v="INV100608"/>
        <s v="INV100609"/>
        <s v="INV100610"/>
        <s v="INV100611"/>
        <s v="INV100612"/>
        <s v="INV100613"/>
        <s v="INV100614"/>
        <s v="INV100615"/>
        <s v="INV100616"/>
        <s v="INV100617"/>
        <s v="INV100618"/>
        <s v="INV100619"/>
        <s v="INV100620"/>
        <s v="INV100621"/>
        <s v="INV100622"/>
        <s v="INV100623"/>
        <s v="INV100624"/>
        <s v="INV100625"/>
        <s v="INV100626"/>
        <s v="INV100627"/>
        <s v="INV100628"/>
        <s v="INV100629"/>
        <s v="INV100630"/>
        <s v="INV100631"/>
        <s v="INV100632"/>
        <s v="INV100633"/>
        <s v="INV100634"/>
        <s v="INV100635"/>
        <s v="INV100636"/>
        <s v="INV100637"/>
        <s v="INV101970"/>
        <s v="INV100639"/>
        <s v="INV100640"/>
        <s v="INV100641"/>
        <s v="INV100642"/>
        <s v="INV100643"/>
        <s v="INV100644"/>
        <s v="INV100645"/>
        <s v="INV100646"/>
        <s v="INV100647"/>
        <s v="INV100648"/>
        <s v="INV100649"/>
        <s v="INV100650"/>
        <s v="INV100651"/>
        <s v="INV100652"/>
        <s v="INV100653"/>
        <s v="INV100654"/>
        <s v="INV100655"/>
        <s v="INV100656"/>
        <s v="INV100657"/>
        <s v="INV100658"/>
        <s v="INV100659"/>
        <s v="INV100660"/>
        <s v="INV100661"/>
        <s v="INV100662"/>
        <s v="INV100663"/>
        <s v="INV100664"/>
        <s v="INV100665"/>
        <s v="INV100666"/>
        <s v="INV100667"/>
        <s v="INV100668"/>
        <s v="INV100669"/>
        <s v="INV100670"/>
        <s v="INV100671"/>
        <s v="INV100672"/>
        <s v="INV100673"/>
        <s v="INV100674"/>
        <s v="INV100675"/>
        <s v="INV100676"/>
        <s v="INV100677"/>
        <s v="INV100678"/>
        <s v="INV100679"/>
        <s v="INV100680"/>
        <s v="INV100681"/>
        <s v="INV100682"/>
        <s v="INV100683"/>
        <s v="INV100684"/>
        <s v="INV100685"/>
        <s v="INV100686"/>
        <s v="INV100687"/>
        <s v="INV100688"/>
        <s v="INV100689"/>
        <s v="INV100690"/>
        <s v="INV100691"/>
        <s v="INV100692"/>
        <s v="INV100693"/>
        <s v="INV100694"/>
        <s v="INV100695"/>
        <s v="INV100696"/>
        <s v="INV100697"/>
        <s v="INV100698"/>
        <s v="INV100699"/>
        <s v="INV100700"/>
        <s v="INV100701"/>
        <s v="INV100702"/>
        <s v="INV100703"/>
        <s v="INV100704"/>
        <s v="INV100705"/>
        <s v="INV100706"/>
        <s v="INV100707"/>
        <s v="INV100708"/>
        <s v="INV100709"/>
        <s v="INV100710"/>
        <s v="INV100711"/>
        <s v="INV100712"/>
        <s v="INV100713"/>
        <s v="INV100714"/>
        <s v="INV100715"/>
        <s v="INV100716"/>
        <s v="INV100717"/>
        <s v="INV100718"/>
        <s v="INV100719"/>
        <s v="INV100720"/>
        <s v="INV100721"/>
        <s v="INV100722"/>
        <s v="INV100723"/>
        <s v="INV100724"/>
        <s v="INV100725"/>
        <s v="INV100726"/>
        <s v="INV100727"/>
        <s v="INV100728"/>
        <s v="INV100729"/>
        <s v="INV100730"/>
        <s v="INV100731"/>
        <s v="INV100732"/>
        <s v="INV100733"/>
        <s v="INV100734"/>
        <s v="INV100735"/>
        <s v="INV100736"/>
        <s v="INV100737"/>
        <s v="INV100738"/>
        <s v="INV100739"/>
        <s v="INV100740"/>
        <s v="INV100741"/>
        <s v="INV100742"/>
        <s v="INV100743"/>
        <s v="INV100744"/>
        <s v="INV100745"/>
        <s v="INV100746"/>
        <s v="INV100747"/>
        <s v="INV100748"/>
        <s v="INV100749"/>
        <s v="INV100750"/>
        <s v="INV101187"/>
        <s v="INV100752"/>
        <s v="INV100753"/>
        <s v="INV100754"/>
        <s v="INV100755"/>
        <s v="INV100756"/>
        <s v="INV100757"/>
        <s v="INV100758"/>
        <s v="INV100759"/>
        <s v="INV100760"/>
        <s v="INV100761"/>
        <s v="INV100762"/>
        <s v="INV100763"/>
        <s v="INV100764"/>
        <s v="INV100765"/>
        <s v="INV100766"/>
        <s v="INV100767"/>
        <s v="INV100768"/>
        <s v="INV100769"/>
        <s v="INV100770"/>
        <s v="INV100771"/>
        <s v="INV100772"/>
        <s v="INV100773"/>
        <s v="INV100774"/>
        <s v="INV100775"/>
        <s v="INV100776"/>
        <s v="INV100777"/>
        <s v="INV100778"/>
        <s v="INV100779"/>
        <s v="INV100780"/>
        <s v="INV100781"/>
        <s v="INV100782"/>
        <s v="INV100783"/>
        <s v="INV100784"/>
        <s v="INV100785"/>
        <s v="INV100786"/>
        <s v="INV100787"/>
        <s v="INV100788"/>
        <s v="INV100789"/>
        <s v="INV100790"/>
        <s v="INV100791"/>
        <s v="INV100792"/>
        <s v="INV100793"/>
        <s v="INV100794"/>
        <s v="INV100795"/>
        <s v="INV100796"/>
        <s v="INV100797"/>
        <s v="INV100798"/>
        <s v="INV100799"/>
        <s v="INV100800"/>
        <s v="INV100801"/>
        <s v="INV100802"/>
        <s v="INV100803"/>
        <s v="INV100804"/>
        <s v="INV100805"/>
        <s v="INV100806"/>
        <s v="INV100807"/>
        <s v="INV100808"/>
        <s v="INV100809"/>
        <s v="INV100810"/>
        <s v="INV100811"/>
        <s v="INV100812"/>
        <s v="INV100813"/>
        <s v="INV100814"/>
        <s v="INV100815"/>
        <s v="INV100816"/>
        <s v="INV100817"/>
        <s v="INV100818"/>
        <s v="INV100819"/>
        <s v="INV100820"/>
        <s v="INV100821"/>
        <s v="INV100822"/>
        <s v="INV100823"/>
        <s v="INV100824"/>
        <s v="INV100825"/>
        <s v="INV100826"/>
        <s v="INV100827"/>
        <s v="INV100828"/>
        <s v="INV100829"/>
        <s v="INV100830"/>
        <s v="INV100831"/>
        <s v="INV100832"/>
        <s v="INV100833"/>
        <s v="INV100834"/>
        <s v="INV100835"/>
        <s v="INV100836"/>
        <s v="INV100837"/>
        <s v="INV100838"/>
        <s v="INV100839"/>
        <s v="INV100840"/>
        <s v="INV100841"/>
        <s v="INV100842"/>
        <s v="INV100843"/>
        <s v="INV100844"/>
        <s v="INV100845"/>
        <s v="INV100846"/>
        <s v="INV100847"/>
        <s v="INV100848"/>
        <s v="INV100849"/>
        <s v="INV100850"/>
        <s v="INV100851"/>
        <s v="INV100852"/>
        <s v="INV100853"/>
        <s v="INV100854"/>
        <s v="INV100855"/>
        <s v="INV100856"/>
        <s v="INV100857"/>
        <s v="INV100858"/>
        <s v="INV100859"/>
        <s v="INV100860"/>
        <s v="INV100861"/>
        <s v="INV100862"/>
        <s v="INV100863"/>
        <s v="INV100864"/>
        <s v="INV100865"/>
        <s v="INV100866"/>
        <s v="INV100867"/>
        <s v="INV100868"/>
        <s v="INV100869"/>
        <s v="INV100870"/>
        <s v="INV100871"/>
        <s v="INV100872"/>
        <s v="INV100873"/>
        <s v="INV100874"/>
        <s v="INV100875"/>
        <s v="INV100876"/>
        <s v="INV100877"/>
        <s v="INV100878"/>
        <s v="INV100879"/>
        <s v="INV100880"/>
        <s v="INV100881"/>
        <s v="INV100882"/>
        <s v="INV100883"/>
        <s v="INV100884"/>
        <s v="INV100885"/>
        <s v="INV100886"/>
        <s v="INV100887"/>
        <s v="INV100888"/>
        <s v="INV100889"/>
        <s v="INV100890"/>
        <s v="INV100891"/>
        <s v="INV100892"/>
        <s v="INV100893"/>
        <s v="INV100894"/>
        <s v="INV100895"/>
        <s v="INV100896"/>
        <s v="INV100897"/>
        <s v="INV100898"/>
        <s v="INV100899"/>
        <s v="INV100900"/>
        <s v="INV100901"/>
        <s v="INV100902"/>
        <s v="INV100903"/>
        <s v="INV100904"/>
        <s v="INV100905"/>
        <s v="INV100906"/>
        <s v="INV100907"/>
        <s v="INV100908"/>
        <s v="INV100909"/>
        <s v="INV100910"/>
        <s v="INV100911"/>
        <s v="INV100912"/>
        <s v="INV100913"/>
        <s v="INV100914"/>
        <s v="INV100915"/>
        <s v="INV100916"/>
        <s v="INV100917"/>
        <s v="INV100918"/>
        <s v="INV100919"/>
        <s v="INV100347-02"/>
        <s v="INV100921"/>
        <s v="INV100922"/>
        <s v="INV100923"/>
        <s v="INV100924"/>
        <s v="INV100925"/>
        <s v="INV100926"/>
        <s v="INV100927"/>
        <s v="INV100928"/>
        <s v="INV100929"/>
        <s v="INV100930"/>
        <s v="INV100931"/>
        <s v="INV100932"/>
        <s v="INV100933"/>
        <s v="INV100934"/>
        <s v="INV100935"/>
        <s v="INV100936"/>
        <s v="INV100937"/>
        <s v="INV100938"/>
        <s v="INV100939"/>
        <s v="INV100940"/>
        <s v="INV100941"/>
        <s v="INV100942"/>
        <s v="INV100943"/>
        <s v="INV100944"/>
        <s v="INV100945"/>
        <s v="INV100946"/>
        <s v="INV100947"/>
        <s v="INV100948"/>
        <s v="INV100949"/>
        <s v="INV100950"/>
        <s v="INV100951"/>
        <s v="INV100952"/>
        <s v="INV100953"/>
        <s v="INV100954"/>
        <s v="INV100955"/>
        <s v="INV100956"/>
        <s v="INV100957"/>
        <s v="INV100958"/>
        <s v="INV100959"/>
        <s v="INV100960"/>
        <s v="INV100961"/>
        <s v="INV100962"/>
        <s v="INV100963"/>
        <s v="INV100964"/>
        <s v="INV100965"/>
        <s v="INV100966"/>
        <s v="INV100967"/>
        <s v="INV100968"/>
        <s v="INV100969"/>
        <s v="INV100970"/>
        <s v="INV100971"/>
        <s v="INV100972"/>
        <s v="INV100973"/>
        <s v="INV100974"/>
        <s v="INV100975"/>
        <s v="INV100976"/>
        <s v="INV100977"/>
        <s v="INV100978"/>
        <s v="INV100979"/>
        <s v="INV100980"/>
        <s v="INV100981"/>
        <s v="INV100982"/>
        <s v="INV100983"/>
        <s v="INV100984"/>
        <s v="INV100985"/>
        <s v="INV100986"/>
        <s v="INV100987"/>
        <s v="INV100988"/>
        <s v="INV100989"/>
        <s v="INV100990"/>
        <s v="INV100991"/>
        <s v="INV100992"/>
        <s v="INV100993"/>
        <s v="INV100994"/>
        <s v="INV100995"/>
        <s v="INV100996"/>
        <s v="INV100997"/>
        <s v="INV100998"/>
        <s v="INV100999"/>
        <s v="INV101000"/>
        <s v="INV101001"/>
        <s v="INV101002"/>
        <s v="INV101003"/>
        <s v="INV101004"/>
        <s v="INV101005"/>
        <s v="INV101006"/>
        <s v="INV101007"/>
        <s v="INV101008"/>
        <s v="INV101009"/>
        <s v="INV101010"/>
        <s v="INV101011"/>
        <s v="INV101012"/>
        <s v="INV101013"/>
        <s v="INV101014"/>
        <s v="INV101015"/>
        <s v="INV101016"/>
        <s v="INV101017"/>
        <s v="INV101018"/>
        <s v="INV101019"/>
        <s v="INV101020"/>
        <s v="INV101021"/>
        <s v="INV101022"/>
        <s v="INV101023"/>
        <s v="INV101024"/>
        <s v="INV101025"/>
        <s v="INV101026"/>
        <s v="INV101027"/>
        <s v="INV101028"/>
        <s v="INV101029"/>
        <s v="INV101030"/>
        <s v="INV101031"/>
        <s v="INV101032"/>
        <s v="INV101033"/>
        <s v="INV101034"/>
        <s v="INV101035"/>
        <s v="INV101036"/>
        <s v="INV101037"/>
        <s v="INV101038"/>
        <s v="INV101039"/>
        <s v="INV101040"/>
        <s v="INV101041"/>
        <s v="INV101042"/>
        <s v="INV101043"/>
        <s v="INV101044"/>
        <s v="INV101045"/>
        <s v="INV101046"/>
        <s v="INV101047"/>
        <s v="INV101048"/>
        <s v="INV101049"/>
        <s v="INV101050"/>
        <s v="INV101051"/>
        <s v="INV101052"/>
        <s v="INV101053"/>
        <s v="INV101054"/>
        <s v="INV101055"/>
        <s v="INV101056"/>
        <s v="INV101057"/>
        <s v="INV101058"/>
        <s v="INV101059"/>
        <s v="INV101060"/>
        <s v="INV101061"/>
        <s v="INV101062"/>
        <s v="INV101063"/>
        <s v="INV101064"/>
        <s v="INV101065"/>
        <s v="INV101066"/>
        <s v="INV101067"/>
        <s v="INV101068"/>
        <s v="INV101069"/>
        <s v="INV101070"/>
        <s v="INV101071"/>
        <s v="INV101072"/>
        <s v="INV101073"/>
        <s v="INV101074"/>
        <s v="INV101075"/>
        <s v="INV101076"/>
        <s v="INV101077"/>
        <s v="INV101078"/>
        <s v="INV101079"/>
        <s v="INV101080"/>
        <s v="INV101081"/>
        <s v="INV101082"/>
        <s v="INV101083"/>
        <s v="INV101084"/>
        <s v="INV101085"/>
        <s v="INV101086"/>
        <s v="INV101087"/>
        <s v="INV101088"/>
        <s v="INV101089"/>
        <s v="INV101090"/>
        <s v="INV101091"/>
        <s v="INV101092"/>
        <s v="INV101093"/>
        <s v="INV101094"/>
        <s v="INV101095"/>
        <s v="INV101096"/>
        <s v="INV101097"/>
        <s v="INV101098"/>
        <s v="INV101099"/>
        <s v="INV101100"/>
        <s v="INV101101"/>
        <s v="INV101102"/>
        <s v="INV101103"/>
        <s v="INV101104"/>
        <s v="INV101105"/>
        <s v="INV101106"/>
        <s v="INV101107"/>
        <s v="INV101108"/>
        <s v="INV101109"/>
        <s v="INV101110"/>
        <s v="INV101111"/>
        <s v="INV101112"/>
        <s v="INV101113"/>
        <s v="INV101114"/>
        <s v="INV101115"/>
        <s v="INV101116"/>
        <s v="INV101117"/>
        <s v="INV101118"/>
        <s v="INV101119"/>
        <s v="INV101120"/>
        <s v="INV101121"/>
        <s v="INV101122"/>
        <s v="INV101123"/>
        <s v="INV101124"/>
        <s v="INV101125"/>
        <s v="INV101126"/>
        <s v="INV101127"/>
        <s v="INV101128"/>
        <s v="INV101129"/>
        <s v="INV101130"/>
        <s v="INV101131"/>
        <s v="INV101132"/>
        <s v="INV101133"/>
        <s v="INV101134"/>
        <s v="INV101135"/>
        <s v="INV101136"/>
        <s v="INV101137"/>
        <s v="INV101138"/>
        <s v="INV101139"/>
        <s v="INV101140"/>
        <s v="INV101141"/>
        <s v="INV101142"/>
        <s v="INV101143"/>
        <s v="INV101144"/>
        <s v="INV101145"/>
        <s v="INV101146"/>
        <s v="INV101147"/>
        <s v="INV101148"/>
        <s v="INV101149"/>
        <s v="INV101150"/>
        <s v="INV101151"/>
        <s v="INV101152"/>
        <s v="INV101153"/>
        <s v="INV101154"/>
        <s v="INV101155"/>
        <s v="INV101156"/>
        <s v="INV101157"/>
        <s v="INV101158"/>
        <s v="INV101159"/>
        <s v="INV101160"/>
        <s v="INV101161"/>
        <s v="INV101162"/>
        <s v="INV101163"/>
        <s v="INV101164"/>
        <s v="INV101165"/>
        <s v="INV101166"/>
        <s v="INV101167"/>
        <s v="INV101168"/>
        <s v="INV101169"/>
        <s v="INV101170"/>
        <s v="INV101171"/>
        <s v="INV101172"/>
        <s v="INV101173"/>
        <s v="INV101174"/>
        <s v="INV101175"/>
        <s v="INV101176"/>
        <s v="INV101177"/>
        <s v="INV101178"/>
        <s v="INV101179"/>
        <s v="INV101180"/>
        <s v="INV101181"/>
        <s v="INV101182"/>
        <s v="INV101183"/>
        <s v="INV101184"/>
        <s v="INV101185"/>
        <s v="INV101186"/>
        <s v="INV101187-02"/>
        <s v="INV101188"/>
        <s v="INV101189"/>
        <s v="INV101190"/>
        <s v="INV101191"/>
        <s v="INV101192"/>
        <s v="INV101193"/>
        <s v="INV101194"/>
        <s v="INV101195"/>
        <s v="INV101196"/>
        <s v="INV101197"/>
        <s v="INV101198"/>
        <s v="INV101199"/>
        <s v="INV101200"/>
        <s v="INV101201"/>
        <s v="INV101202"/>
        <s v="INV101203"/>
        <s v="INV101204"/>
        <s v="INV101205"/>
        <s v="INV101206"/>
        <s v="INV101207"/>
        <s v="INV101208"/>
        <s v="INV101209"/>
        <s v="INV101210"/>
        <s v="INV101211"/>
        <s v="INV101212"/>
        <s v="INV101213"/>
        <s v="INV101214"/>
        <s v="INV101215"/>
        <s v="INV101216"/>
        <s v="INV101217"/>
        <s v="INV101218"/>
        <s v="INV101219"/>
        <s v="INV101220"/>
        <s v="INV101221"/>
        <s v="INV101222"/>
        <s v="INV101223"/>
        <s v="INV101224"/>
        <s v="INV101225"/>
        <s v="INV101226"/>
        <s v="INV101227"/>
        <s v="INV101228"/>
        <s v="INV101229"/>
        <s v="INV101230"/>
        <s v="INV101231"/>
        <s v="INV101232"/>
        <s v="INV101233"/>
        <s v="INV101234"/>
        <s v="INV101235"/>
        <s v="INV101236"/>
        <s v="INV101237"/>
        <s v="INV101238"/>
        <s v="INV101239"/>
        <s v="INV101240"/>
        <s v="INV101241"/>
        <s v="INV101242"/>
        <s v="INV101243"/>
        <s v="INV101244"/>
        <s v="INV101245"/>
        <s v="INV101246"/>
        <s v="INV101247"/>
        <s v="INV101248"/>
        <s v="INV101249"/>
        <s v="INV101250"/>
        <s v="INV101251"/>
        <s v="INV101252"/>
        <s v="INV101253"/>
        <s v="INV101254"/>
        <s v="INV101255"/>
        <s v="INV101256"/>
        <s v="INV101257"/>
        <s v="INV101258"/>
        <s v="INV101259"/>
        <s v="INV101260"/>
        <s v="INV101261"/>
        <s v="INV101262"/>
        <s v="INV101263"/>
        <s v="INV101264"/>
        <s v="INV101265"/>
        <s v="INV101266"/>
        <s v="INV101267"/>
        <s v="INV101268"/>
        <s v="INV101269"/>
        <s v="INV101270"/>
        <s v="INV101271"/>
        <s v="INV101272"/>
        <s v="INV101273"/>
        <s v="INV101274"/>
        <s v="INV101275"/>
        <s v="INV101276"/>
        <s v="INV101277"/>
        <s v="INV101278"/>
        <s v="INV101279"/>
        <s v="INV101280"/>
        <s v="INV101281"/>
        <s v="INV101282"/>
        <s v="INV101283"/>
        <s v="INV101284"/>
        <s v="INV101285"/>
        <s v="INV101286"/>
        <s v="INV101287"/>
        <s v="INV101288"/>
        <s v="INV101289"/>
        <s v="INV101290"/>
        <s v="INV101291"/>
        <s v="INV101292"/>
        <s v="INV101293"/>
        <s v="INV101294"/>
        <s v="INV101295"/>
        <s v="INV101296"/>
        <s v="INV101297"/>
        <s v="INV101298"/>
        <s v="INV101299"/>
        <s v="INV101300"/>
        <s v="INV101301"/>
        <s v="INV101302"/>
        <s v="INV101303"/>
        <s v="INV101304"/>
        <s v="INV101305"/>
        <s v="INV101306"/>
        <s v="INV101307"/>
        <s v="INV101308"/>
        <s v="INV101309"/>
        <s v="INV101310"/>
        <s v="INV101311"/>
        <s v="INV101312"/>
        <s v="INV101313"/>
        <s v="INV101314"/>
        <s v="INV101315"/>
        <s v="INV101316"/>
        <s v="INV101317"/>
        <s v="INV101318"/>
        <s v="INV101319"/>
        <s v="INV101320"/>
        <s v="INV101321"/>
        <s v="INV101322"/>
        <s v="INV101323"/>
        <s v="INV101324"/>
        <s v="INV101325"/>
        <s v="INV101326"/>
        <s v="INV101327"/>
        <s v="INV101328"/>
        <s v="INV101329"/>
        <s v="INV101330"/>
        <s v="INV101331"/>
        <s v="INV101332"/>
        <s v="INV101333"/>
        <s v="INV101334"/>
        <s v="INV101335"/>
        <s v="INV101336"/>
        <s v="INV101337"/>
        <s v="INV101338"/>
        <s v="INV101339"/>
        <s v="INV101340"/>
        <s v="INV101341"/>
        <s v="INV101342"/>
        <s v="INV101343"/>
        <s v="INV101344"/>
        <s v="INV101345"/>
        <s v="INV101346"/>
        <s v="INV101347"/>
        <s v="INV101348"/>
        <s v="INV101349"/>
        <s v="INV101350"/>
        <s v="INV101351"/>
        <s v="INV101352"/>
        <s v="INV101353"/>
        <s v="INV101354"/>
        <s v="INV101355"/>
        <s v="INV101356"/>
        <s v="INV101357"/>
        <s v="INV101358"/>
        <s v="INV101359"/>
        <s v="INV101360"/>
        <s v="INV101361"/>
        <s v="INV101362"/>
        <s v="INV101363"/>
        <s v="INV101364"/>
        <s v="INV101365"/>
        <s v="INV101366"/>
        <s v="INV101275-02"/>
        <s v="INV101368"/>
        <s v="INV101369"/>
        <s v="INV101370"/>
        <s v="INV101371"/>
        <s v="INV101372"/>
        <s v="INV101373"/>
        <s v="INV101374"/>
        <s v="INV101375"/>
        <s v="INV101376"/>
        <s v="INV101377"/>
        <s v="INV101378"/>
        <s v="INV101379"/>
        <s v="INV101380"/>
        <s v="INV101381"/>
        <s v="INV101382"/>
        <s v="INV101383"/>
        <s v="INV101384"/>
        <s v="INV101385"/>
        <s v="INV101386"/>
        <s v="INV101387"/>
        <s v="INV101388"/>
        <s v="INV101389"/>
        <s v="INV101390"/>
        <s v="INV101391"/>
        <s v="INV101392"/>
        <s v="INV101393"/>
        <s v="INV101394"/>
        <s v="INV101395"/>
        <s v="INV101396"/>
        <s v="INV101397"/>
        <s v="INV101398"/>
        <s v="INV101399"/>
        <s v="INV101400"/>
        <s v="INV101401"/>
        <s v="INV101402"/>
        <s v="INV101403"/>
        <s v="INV101404"/>
        <s v="INV101405"/>
        <s v="INV101406"/>
        <s v="INV101407"/>
        <s v="INV101408"/>
        <s v="INV101409"/>
        <s v="INV101410"/>
        <s v="INV101411"/>
        <s v="INV101412"/>
        <s v="INV101413"/>
        <s v="INV101414"/>
        <s v="INV101415"/>
        <s v="INV101416"/>
        <s v="INV101417"/>
        <s v="INV101418"/>
        <s v="INV101419"/>
        <s v="INV101420"/>
        <s v="INV101421"/>
        <s v="INV101422"/>
        <s v="INV101423"/>
        <s v="INV101424"/>
        <s v="INV101425"/>
        <s v="INV101426"/>
        <s v="INV101427"/>
        <s v="INV101428"/>
        <s v="INV101429"/>
        <s v="INV101430"/>
        <s v="INV101431"/>
        <s v="INV101432"/>
        <s v="INV101433"/>
        <s v="INV101434"/>
        <s v="INV101435"/>
        <s v="INV101436"/>
        <s v="INV101437"/>
        <s v="INV101438"/>
        <s v="INV101439"/>
        <s v="INV101440"/>
        <s v="INV101441"/>
        <s v="INV101442"/>
        <s v="INV101443"/>
        <s v="INV101444"/>
        <s v="INV101445"/>
        <s v="INV101446"/>
        <s v="INV101447"/>
        <s v="INV101448"/>
        <s v="INV101449"/>
        <s v="INV101450"/>
        <s v="INV101451"/>
        <s v="INV101452"/>
        <s v="INV101453"/>
        <s v="INV101454"/>
        <s v="INV101455"/>
        <s v="INV101456"/>
        <s v="INV101457"/>
        <s v="INV101458"/>
        <s v="INV101459"/>
        <s v="INV101460"/>
        <s v="INV101461"/>
        <s v="INV101462"/>
        <s v="INV101463"/>
        <s v="INV101464"/>
        <s v="INV101465"/>
        <s v="INV101466"/>
        <s v="INV101467"/>
        <s v="INV101468"/>
        <s v="INV101469"/>
        <s v="INV101470"/>
        <s v="INV101471"/>
        <s v="INV101472"/>
        <s v="INV101473"/>
        <s v="INV101474"/>
        <s v="INV101475"/>
        <s v="INV101476"/>
        <s v="INV101477"/>
        <s v="INV101478"/>
        <s v="INV101479"/>
        <s v="INV101480"/>
        <s v="INV101481"/>
        <s v="INV101482"/>
        <s v="INV101483"/>
        <s v="INV101484"/>
        <s v="INV101485"/>
        <s v="INV101486"/>
        <s v="INV101487"/>
        <s v="INV101488"/>
        <s v="INV101489"/>
        <s v="INV101490"/>
        <s v="INV101491"/>
        <s v="INV101492"/>
        <s v="INV101493"/>
        <s v="INV101494"/>
        <s v="INV101495"/>
        <s v="INV101496"/>
        <s v="INV101497"/>
        <s v="INV101498"/>
        <s v="INV101499"/>
        <s v="INV101500"/>
        <s v="INV101501"/>
        <s v="INV101502"/>
        <s v="INV101503"/>
        <s v="INV101504"/>
        <s v="INV101505"/>
        <s v="INV101506"/>
        <s v="INV101507"/>
        <s v="INV101508"/>
        <s v="INV101509"/>
        <s v="INV101510"/>
        <s v="INV101511"/>
        <s v="INV101512"/>
        <s v="INV101513"/>
        <s v="INV101514"/>
        <s v="INV101515"/>
        <s v="INV101516"/>
        <s v="INV101517"/>
        <s v="INV101518"/>
        <s v="INV101519"/>
        <s v="INV101520"/>
        <s v="INV101521"/>
        <s v="INV101522"/>
        <s v="INV101523"/>
        <s v="INV101524"/>
        <s v="INV101525"/>
        <s v="INV101526"/>
        <s v="INV101527"/>
        <s v="INV101528"/>
        <s v="INV101529"/>
        <s v="INV101530"/>
        <s v="INV101531"/>
        <s v="INV101532"/>
        <s v="INV101533"/>
        <s v="INV101534"/>
        <s v="INV101535"/>
        <s v="INV101536"/>
        <s v="INV101537"/>
        <s v="INV101538"/>
        <s v="INV101539"/>
        <s v="INV101540"/>
        <s v="INV101541"/>
        <s v="INV101542"/>
        <s v="INV101543"/>
        <s v="INV101544"/>
        <s v="INV101545"/>
        <s v="INV101546"/>
        <s v="INV101547"/>
        <s v="INV101548"/>
        <s v="INV101549"/>
        <s v="INV101550"/>
        <s v="INV101551"/>
        <s v="INV101552"/>
        <s v="INV101553"/>
        <s v="INV101554"/>
        <s v="INV101555"/>
        <s v="INV101556"/>
        <s v="INV101557"/>
        <s v="INV101558"/>
        <s v="INV101559"/>
        <s v="INV101560"/>
        <s v="INV101561"/>
        <s v="INV101562"/>
        <s v="INV101563"/>
        <s v="INV101564"/>
        <s v="INV101565"/>
        <s v="INV101566"/>
        <s v="INV101567"/>
        <s v="INV101568"/>
        <s v="INV101569"/>
        <s v="INV101570"/>
        <s v="INV101571"/>
        <s v="INV101572"/>
        <s v="INV101573"/>
        <s v="INV101574"/>
        <s v="INV101575"/>
        <s v="INV101576"/>
        <s v="INV101577"/>
        <s v="INV101578"/>
        <s v="INV101579"/>
        <s v="INV101580"/>
        <s v="INV101581"/>
        <s v="INV101582"/>
        <s v="INV101583"/>
        <s v="INV101584"/>
        <s v="INV101585"/>
        <s v="INV101586"/>
        <s v="INV101587"/>
        <s v="INV101588"/>
        <s v="INV101589"/>
        <s v="INV101590"/>
        <s v="INV101591"/>
        <s v="INV101592"/>
        <s v="INV101593"/>
        <s v="INV101594"/>
        <s v="INV101595"/>
        <s v="INV101596"/>
        <s v="INV101597"/>
        <s v="INV101598"/>
        <s v="INV101599"/>
        <s v="INV101600"/>
        <s v="INV101601"/>
        <s v="INV101602"/>
        <s v="INV101603"/>
        <s v="INV101604"/>
        <s v="INV101605"/>
        <s v="INV101606"/>
        <s v="INV101607"/>
        <s v="INV101608"/>
        <s v="INV101609"/>
        <s v="INV101610"/>
        <s v="INV101611"/>
        <s v="INV101612"/>
        <s v="INV101613"/>
        <s v="INV101614"/>
        <s v="INV101615"/>
        <s v="INV101616"/>
        <s v="INV101617"/>
        <s v="INV101618"/>
        <s v="INV101619"/>
        <s v="INV101620"/>
        <s v="INV101621"/>
        <s v="INV101622"/>
        <s v="INV101623"/>
        <s v="INV101624"/>
        <s v="INV101625"/>
        <s v="INV101626"/>
        <s v="INV101627"/>
        <s v="INV101628"/>
        <s v="INV101629"/>
        <s v="INV101630"/>
        <s v="INV101631"/>
        <s v="INV101632"/>
        <s v="INV101633"/>
        <s v="INV101634"/>
        <s v="INV101635"/>
        <s v="INV101636"/>
        <s v="INV101637"/>
        <s v="INV101638"/>
        <s v="INV101639"/>
        <s v="INV101640"/>
        <s v="INV101641"/>
        <s v="INV101642"/>
        <s v="INV101643"/>
        <s v="INV101644"/>
        <s v="INV101645"/>
        <s v="INV101646"/>
        <s v="INV101647"/>
        <s v="INV101648"/>
        <s v="INV101649"/>
        <s v="INV101650"/>
        <s v="INV101651"/>
        <s v="INV101652"/>
        <s v="INV101653"/>
        <s v="INV101654"/>
        <s v="INV101655"/>
        <s v="INV101656"/>
        <s v="INV101657"/>
        <s v="INV101658"/>
        <s v="INV101659"/>
        <s v="INV101660"/>
        <s v="INV101661"/>
        <s v="INV101662"/>
        <s v="INV101663"/>
        <s v="INV101664"/>
        <s v="INV101665"/>
        <s v="INV101666"/>
        <s v="INV101667"/>
        <s v="INV101668"/>
        <s v="INV101669"/>
        <s v="INV101670"/>
        <s v="INV101671"/>
        <s v="INV101672"/>
        <s v="INV101673"/>
        <s v="INV101674"/>
        <s v="INV101675"/>
        <s v="INV101676"/>
        <s v="INV101677"/>
        <s v="INV101678"/>
        <s v="INV101679"/>
        <s v="INV101680"/>
        <s v="INV101681"/>
        <s v="INV101682"/>
        <s v="INV101683"/>
        <s v="INV101684"/>
        <s v="INV101685"/>
        <s v="INV101686"/>
        <s v="INV101687"/>
        <s v="INV101688"/>
        <s v="INV101689"/>
        <s v="INV101690"/>
        <s v="INV101691"/>
        <s v="INV101692"/>
        <s v="INV101693"/>
        <s v="INV101694"/>
        <s v="INV101695"/>
        <s v="INV101696"/>
        <s v="INV101697"/>
        <s v="INV101698"/>
        <s v="INV101699"/>
        <s v="INV101700"/>
        <s v="INV101701"/>
        <s v="INV101702"/>
        <s v="INV101703"/>
        <s v="INV101704"/>
        <s v="INV101705"/>
        <s v="INV101706"/>
        <s v="INV101707"/>
        <s v="INV101708"/>
        <s v="INV101709"/>
        <s v="INV101710"/>
        <s v="INV101711"/>
        <s v="INV101712"/>
        <s v="INV101713"/>
        <s v="INV101714"/>
        <s v="INV101715"/>
        <s v="INV101716"/>
        <s v="INV101717"/>
        <s v="INV101718"/>
        <s v="INV101719"/>
        <s v="INV101720"/>
        <s v="INV101721"/>
        <s v="INV101722"/>
        <s v="INV101723"/>
        <s v="INV101724"/>
        <s v="INV101725"/>
        <s v="INV101726"/>
        <s v="INV101727"/>
        <s v="INV101728"/>
        <s v="INV101729"/>
        <s v="INV101730"/>
        <s v="INV101731"/>
        <s v="INV101732"/>
        <s v="INV101733"/>
        <s v="INV101734"/>
        <s v="INV101735"/>
        <s v="INV101736"/>
        <s v="INV101737"/>
        <s v="INV101738"/>
        <s v="INV101739"/>
        <s v="INV101740"/>
        <s v="INV101741"/>
        <s v="INV101742"/>
        <s v="INV101743"/>
        <s v="INV101744"/>
        <s v="INV101745"/>
        <s v="INV101746"/>
        <s v="INV101747"/>
        <s v="INV101748"/>
        <s v="INV101749"/>
        <s v="INV101750"/>
        <s v="INV101751"/>
        <s v="INV101752"/>
        <s v="INV101753"/>
        <s v="INV101754"/>
        <s v="INV101755"/>
        <s v="INV101756"/>
        <s v="INV101757"/>
        <s v="INV101758"/>
        <s v="INV101759"/>
        <s v="INV101760"/>
        <s v="INV101761"/>
        <s v="INV101762"/>
        <s v="INV101763"/>
        <s v="INV101764"/>
        <s v="INV101765"/>
        <s v="INV101766"/>
        <s v="INV101767"/>
        <s v="INV101768"/>
        <s v="INV101769"/>
        <s v="INV101770"/>
        <s v="INV101771"/>
        <s v="INV101772"/>
        <s v="INV101773"/>
        <s v="INV101774"/>
        <s v="INV101775"/>
        <s v="INV101776"/>
        <s v="INV101777"/>
        <s v="INV101778"/>
        <s v="INV101779"/>
        <s v="INV101780"/>
        <s v="INV101781"/>
        <s v="INV101782"/>
        <s v="INV101783"/>
        <s v="INV101784"/>
        <s v="INV101785"/>
        <s v="INV101786"/>
        <s v="INV101787"/>
        <s v="INV101788"/>
        <s v="INV101789"/>
        <s v="INV101790"/>
        <s v="INV101791"/>
        <s v="INV101792"/>
        <s v="INV101793"/>
        <s v="INV101794"/>
        <s v="INV101795"/>
        <s v="INV101796"/>
        <s v="INV101797"/>
        <s v="INV101798"/>
        <s v="INV101799"/>
        <s v="INV101800"/>
        <s v="INV101801"/>
        <s v="INV101802"/>
        <s v="INV101803"/>
        <s v="INV101804"/>
        <s v="INV101805"/>
        <s v="INV101806"/>
        <s v="INV101807"/>
        <s v="INV101808"/>
        <s v="INV101809"/>
        <s v="INV101810"/>
        <s v="INV101811"/>
        <s v="INV101812"/>
        <s v="INV101813"/>
        <s v="INV101814"/>
        <s v="INV101815"/>
        <s v="INV101816"/>
        <s v="INV101817"/>
        <s v="INV101818"/>
        <s v="INV101819"/>
        <s v="INV101820"/>
        <s v="INV101821"/>
        <s v="INV101822"/>
        <s v="INV101823"/>
        <s v="INV101824"/>
        <s v="INV101825"/>
        <s v="INV101826"/>
        <s v="INV101827"/>
        <s v="INV101828"/>
        <s v="INV101829"/>
        <s v="INV101830"/>
        <s v="INV101831"/>
        <s v="INV101832"/>
        <s v="INV101833"/>
        <s v="INV101834"/>
        <s v="INV101835"/>
        <s v="INV101836"/>
        <s v="INV101837"/>
        <s v="INV101838"/>
        <s v="INV101839"/>
        <s v="INV101840"/>
        <s v="INV101841"/>
        <s v="INV101842"/>
        <s v="INV100916-02"/>
        <s v="INV101844"/>
        <s v="INV101845"/>
        <s v="INV101846"/>
        <s v="INV101847"/>
        <s v="INV101848"/>
        <s v="INV101849"/>
        <s v="INV101850"/>
        <s v="INV101851"/>
        <s v="INV101852"/>
        <s v="INV101853"/>
        <s v="INV101854"/>
        <s v="INV101855"/>
        <s v="INV101856"/>
        <s v="INV101857"/>
        <s v="INV101858"/>
        <s v="INV101859"/>
        <s v="INV101860"/>
        <s v="INV101861"/>
        <s v="INV101862"/>
        <s v="INV101863"/>
        <s v="INV101864"/>
        <s v="INV101865"/>
        <s v="INV101866"/>
        <s v="INV101867"/>
        <s v="INV101868"/>
        <s v="INV101869"/>
        <s v="INV101870"/>
        <s v="INV101871"/>
        <s v="INV101872"/>
        <s v="INV101873"/>
        <s v="INV101874"/>
        <s v="INV101875"/>
        <s v="INV101876"/>
        <s v="INV101877"/>
        <s v="INV101878"/>
        <s v="INV101879"/>
        <s v="INV101880"/>
        <s v="INV101881"/>
        <s v="INV101882"/>
        <s v="INV101883"/>
        <s v="INV101884"/>
        <s v="INV101885"/>
        <s v="INV101886"/>
        <s v="INV101887"/>
        <s v="INV101888"/>
        <s v="INV101889"/>
        <s v="INV101890"/>
        <s v="INV101891"/>
        <s v="INV101892"/>
        <s v="INV101893"/>
        <s v="INV101894"/>
        <s v="INV101895"/>
        <s v="INV101896"/>
        <s v="INV101897"/>
        <s v="INV101898"/>
        <s v="INV101899"/>
        <s v="INV101900"/>
        <s v="INV101901"/>
        <s v="INV101902"/>
        <s v="INV101903"/>
        <s v="INV101904"/>
        <s v="INV101905"/>
        <s v="INV101906"/>
        <s v="INV101907"/>
        <s v="INV101908"/>
        <s v="INV101909"/>
        <s v="INV101910"/>
        <s v="INV101911"/>
        <s v="INV101912"/>
        <s v="INV101913"/>
        <s v="INV101914"/>
        <s v="INV101915"/>
        <s v="INV101916"/>
        <s v="INV101917"/>
        <s v="INV101918"/>
        <s v="INV101919"/>
        <s v="INV101920"/>
        <s v="INV101921"/>
        <s v="INV101922"/>
        <s v="INV101923"/>
        <s v="INV101924"/>
        <s v="INV101925"/>
        <s v="INV101926"/>
        <s v="INV101927"/>
        <s v="INV101928"/>
        <s v="INV101929"/>
        <s v="INV101930"/>
        <s v="INV101931"/>
        <s v="INV101932"/>
        <s v="INV101933"/>
        <s v="INV101934"/>
        <s v="INV101935"/>
        <s v="INV101936"/>
        <s v="INV101937"/>
        <s v="INV101938"/>
        <s v="INV101939"/>
        <s v="INV101940"/>
        <s v="INV101941"/>
        <s v="INV101942"/>
        <s v="INV101943"/>
        <s v="INV101944"/>
        <s v="INV101945"/>
        <s v="INV101946"/>
        <s v="INV101947"/>
        <s v="INV101948"/>
        <s v="INV101949"/>
        <s v="INV101950"/>
        <s v="INV101951"/>
        <s v="INV101952"/>
        <s v="INV101953"/>
        <s v="INV101954"/>
        <s v="INV101955"/>
        <s v="INV101956"/>
        <s v="INV101957"/>
        <s v="INV101958"/>
        <s v="INV101959"/>
        <s v="INV101960"/>
        <s v="INV101961"/>
        <s v="INV101962"/>
        <s v="INV101963"/>
        <s v="INV101964"/>
        <s v="INV101965"/>
        <s v="INV101966"/>
        <s v="INV101967"/>
        <s v="INV101968"/>
        <s v="INV101969"/>
        <s v="INV101970-02"/>
        <s v="INV101971"/>
        <s v="INV101972"/>
        <s v="INV101973"/>
        <s v="INV101974"/>
        <s v="INV101975"/>
        <s v="INV101976"/>
        <s v="INV101977"/>
        <s v="INV101978"/>
        <s v="INV101979"/>
        <s v="INV101980"/>
        <s v="INV102360"/>
        <s v="INV101982"/>
        <s v="INV101983"/>
        <s v="INV101984"/>
        <s v="INV101985"/>
        <s v="INV101986"/>
        <s v="INV101987"/>
        <s v="INV101988"/>
        <s v="INV101989"/>
        <s v="INV101990"/>
        <s v="INV101991"/>
        <s v="INV101992"/>
        <s v="INV101993"/>
        <s v="INV101994"/>
        <s v="INV101995"/>
        <s v="INV101996"/>
        <s v="INV101997"/>
        <s v="INV101998"/>
        <s v="INV101999"/>
        <s v="INV102000"/>
        <s v="INV102001"/>
        <s v="INV102002"/>
        <s v="INV102003"/>
        <s v="INV102004"/>
        <s v="INV102005"/>
        <s v="INV102006"/>
        <s v="INV102007"/>
        <s v="INV102008"/>
        <s v="INV102009"/>
        <s v="INV102010"/>
        <s v="INV102011"/>
        <s v="INV102012"/>
        <s v="INV102013"/>
        <s v="INV102014"/>
        <s v="INV102015"/>
        <s v="INV102016"/>
        <s v="INV102017"/>
        <s v="INV102018"/>
        <s v="INV102019"/>
        <s v="INV102020"/>
        <s v="INV102021"/>
        <s v="INV102022"/>
        <s v="INV102023"/>
        <s v="INV102024"/>
        <s v="INV102025"/>
        <s v="INV102026"/>
        <s v="INV102027"/>
        <s v="INV102028"/>
        <s v="INV102029"/>
        <s v="INV102030"/>
        <s v="INV102031"/>
        <s v="INV102032"/>
        <s v="INV102033"/>
        <s v="INV102034"/>
        <s v="INV102035"/>
        <s v="INV102036"/>
        <s v="INV102037"/>
        <s v="INV102038"/>
        <s v="INV102039"/>
        <s v="INV102040"/>
        <s v="INV102041"/>
        <s v="INV102042"/>
        <s v="INV102043"/>
        <s v="INV102044"/>
        <s v="INV102045"/>
        <s v="INV102046"/>
        <s v="INV102047"/>
        <s v="INV102048"/>
        <s v="INV102049"/>
        <s v="INV102050"/>
        <s v="INV102051"/>
        <s v="INV102052"/>
        <s v="INV102053"/>
        <s v="INV102054"/>
        <s v="INV102055"/>
        <s v="INV102056"/>
        <s v="INV102057"/>
        <s v="INV102058"/>
        <s v="INV102059"/>
        <s v="INV102060"/>
        <s v="INV102061"/>
        <s v="INV102062"/>
        <s v="INV102063"/>
        <s v="INV102064"/>
        <s v="INV102065"/>
        <s v="INV102066"/>
        <s v="INV102067"/>
        <s v="INV102068"/>
        <s v="INV102069"/>
        <s v="INV102070"/>
        <s v="INV102071"/>
        <s v="INV102072"/>
        <s v="INV102073"/>
        <s v="INV102074"/>
        <s v="INV102075"/>
        <s v="INV102076"/>
        <s v="INV102077"/>
        <s v="INV102078"/>
        <s v="INV102079"/>
        <s v="INV102080"/>
        <s v="INV102081"/>
        <s v="INV102082"/>
        <s v="INV102083"/>
        <s v="INV102084"/>
        <s v="INV102085"/>
        <s v="INV102086"/>
        <s v="INV102087"/>
        <s v="INV102088"/>
        <s v="INV102089"/>
        <s v="INV102090"/>
        <s v="INV102091"/>
        <s v="INV102092"/>
        <s v="INV102093"/>
        <s v="INV102094"/>
        <s v="INV102095"/>
        <s v="INV102096"/>
        <s v="INV102097"/>
        <s v="INV102098"/>
        <s v="INV102099"/>
        <s v="INV102100"/>
        <s v="INV102101"/>
        <s v="INV102102"/>
        <s v="INV102103"/>
        <s v="INV102104"/>
        <s v="INV102105"/>
        <s v="INV102106"/>
        <s v="INV102107"/>
        <s v="INV102108"/>
        <s v="INV102109"/>
        <s v="INV102110"/>
        <s v="INV102111"/>
        <s v="INV102112"/>
        <s v="INV102113"/>
        <s v="INV102114"/>
        <s v="INV102115"/>
        <s v="INV102116"/>
        <s v="INV102117"/>
        <s v="INV102118"/>
        <s v="INV102119"/>
        <s v="INV102120"/>
        <s v="INV102121"/>
        <s v="INV102122"/>
        <s v="INV102123"/>
        <s v="INV102124"/>
        <s v="INV102125"/>
        <s v="INV102126"/>
        <s v="INV102127"/>
        <s v="INV102128"/>
        <s v="INV102129"/>
        <s v="INV102130"/>
        <s v="INV102131"/>
        <s v="INV102132"/>
        <s v="INV100701-02"/>
        <s v="INV102134"/>
        <s v="INV102135"/>
        <s v="INV102136"/>
        <s v="INV102137"/>
        <s v="INV102138"/>
        <s v="INV102139"/>
        <s v="INV102140"/>
        <s v="INV102141"/>
        <s v="INV102142"/>
        <s v="INV102143"/>
        <s v="INV102144"/>
        <s v="INV102145"/>
        <s v="INV102146"/>
        <s v="INV102147"/>
        <s v="INV102148"/>
        <s v="INV102149"/>
        <s v="INV102150"/>
        <s v="INV102151"/>
        <s v="INV102152"/>
        <s v="INV102153"/>
        <s v="INV102154"/>
        <s v="INV102155"/>
        <s v="INV102156"/>
        <s v="INV102157"/>
        <s v="INV102158"/>
        <s v="INV102159"/>
        <s v="INV102160"/>
        <s v="INV102161"/>
        <s v="INV102162"/>
        <s v="INV102163"/>
        <s v="INV102164"/>
        <s v="INV102165"/>
        <s v="INV102166"/>
        <s v="INV102167"/>
        <s v="INV102168"/>
        <s v="INV102169"/>
        <s v="INV102170"/>
        <s v="INV102171"/>
        <s v="INV102172"/>
        <s v="INV102173"/>
        <s v="INV102174"/>
        <s v="INV102175"/>
        <s v="INV102176"/>
        <s v="INV102177"/>
        <s v="INV102178"/>
        <s v="INV102179"/>
        <s v="INV102180"/>
        <s v="INV102181"/>
        <s v="INV102182"/>
        <s v="INV102183"/>
        <s v="INV102184"/>
        <s v="INV102185"/>
        <s v="INV102186"/>
        <s v="INV102187"/>
        <s v="INV102188"/>
        <s v="INV102189"/>
        <s v="INV102190"/>
        <s v="INV102191"/>
        <s v="INV102192"/>
        <s v="INV102193"/>
        <s v="INV102194"/>
        <s v="INV102195"/>
        <s v="INV102196"/>
        <s v="INV102197"/>
        <s v="INV102198"/>
        <s v="INV102199"/>
        <s v="INV102200"/>
        <s v="INV102201"/>
        <s v="INV102202"/>
        <s v="INV102203"/>
        <s v="INV102204"/>
        <s v="INV102205"/>
        <s v="INV102206"/>
        <s v="INV102207"/>
        <s v="INV102208"/>
        <s v="INV102209"/>
        <s v="INV102210"/>
        <s v="INV102211"/>
        <s v="INV102212"/>
        <s v="INV102213"/>
        <s v="INV102214"/>
        <s v="INV102215"/>
        <s v="INV102216"/>
        <s v="INV102217"/>
        <s v="INV102218"/>
        <s v="INV102219"/>
        <s v="INV102220"/>
        <s v="INV102221"/>
        <s v="INV102222"/>
        <s v="INV102223"/>
        <s v="INV102224"/>
        <s v="INV102225"/>
        <s v="INV102226"/>
        <s v="INV102227"/>
        <s v="INV102228"/>
        <s v="INV102229"/>
        <s v="INV102230"/>
        <s v="INV102231"/>
        <s v="INV102232"/>
        <s v="INV102233"/>
        <s v="INV102234"/>
        <s v="INV102235"/>
        <s v="INV102236"/>
        <s v="INV102237"/>
        <s v="INV102238"/>
        <s v="INV102239"/>
        <s v="INV102240"/>
        <s v="INV102241"/>
        <s v="INV102242"/>
        <s v="INV102243"/>
        <s v="INV102244"/>
        <s v="INV102245"/>
        <s v="INV102246"/>
        <s v="INV102247"/>
        <s v="INV102248"/>
        <s v="INV102249"/>
        <s v="INV102250"/>
        <s v="INV102251"/>
        <s v="INV102252"/>
        <s v="INV102253"/>
        <s v="INV102254"/>
        <s v="INV102255"/>
        <s v="INV102256"/>
        <s v="INV102257"/>
        <s v="INV102258"/>
        <s v="INV102259"/>
        <s v="INV102260"/>
        <s v="INV102261"/>
        <s v="INV102262"/>
        <s v="INV102263"/>
        <s v="INV102264"/>
        <s v="INV102265"/>
        <s v="INV102266"/>
        <s v="INV102267"/>
        <s v="INV102268"/>
        <s v="INV102269"/>
        <s v="INV102270"/>
        <s v="INV102271"/>
        <s v="INV102272"/>
        <s v="INV102273"/>
        <s v="INV102274"/>
        <s v="INV102275"/>
        <s v="INV102276"/>
        <s v="INV102277"/>
        <s v="INV102278"/>
        <s v="INV102279"/>
        <s v="INV102280"/>
        <s v="INV100425-02"/>
        <s v="INV102282"/>
        <s v="INV102283"/>
        <s v="INV102284"/>
        <s v="INV102285"/>
        <s v="INV102286"/>
        <s v="INV102287"/>
        <s v="INV102288"/>
        <s v="INV102289"/>
        <s v="INV102290"/>
        <s v="INV102291"/>
        <s v="INV102292"/>
        <s v="INV102293"/>
        <s v="INV102294"/>
        <s v="INV102295"/>
        <s v="INV102296"/>
        <s v="INV102297"/>
        <s v="INV102298"/>
        <s v="INV102299"/>
        <s v="INV102300"/>
        <s v="INV102301"/>
        <s v="INV102302"/>
        <s v="INV102303"/>
        <s v="INV102304"/>
        <s v="INV102305"/>
        <s v="INV102306"/>
        <s v="INV102307"/>
        <s v="INV102308"/>
        <s v="INV102309"/>
        <s v="INV102310"/>
        <s v="INV102311"/>
        <s v="INV102312"/>
        <s v="INV102313"/>
        <s v="INV102314"/>
        <s v="INV102315"/>
        <s v="INV102316"/>
        <s v="INV102317"/>
        <s v="INV102318"/>
        <s v="INV102319"/>
        <s v="INV102320"/>
        <s v="INV102321"/>
        <s v="INV102322"/>
        <s v="INV102323"/>
        <s v="INV102324"/>
        <s v="INV102325"/>
        <s v="INV102326"/>
        <s v="INV102327"/>
        <s v="INV102328"/>
        <s v="INV102329"/>
        <s v="INV102330"/>
        <s v="INV102331"/>
        <s v="INV101944-02"/>
        <s v="INV102333"/>
        <s v="INV102334"/>
        <s v="INV102335"/>
        <s v="INV102336"/>
        <s v="INV102337"/>
        <s v="INV102338"/>
        <s v="INV102339"/>
        <s v="INV102340"/>
        <s v="INV102341"/>
        <s v="INV102342"/>
        <s v="INV102343"/>
        <s v="INV102344"/>
        <s v="INV102345"/>
        <s v="INV102346"/>
        <s v="INV102347"/>
        <s v="INV102348"/>
        <s v="INV102349"/>
        <s v="INV102350"/>
        <s v="INV102351"/>
        <s v="INV102352"/>
        <s v="INV102353"/>
        <s v="INV102354"/>
        <s v="INV102355"/>
        <s v="INV102356"/>
        <s v="INV102357"/>
        <s v="INV102358"/>
        <s v="INV102359"/>
        <s v="INV102360-02"/>
        <s v="INV102361"/>
        <s v="INV102362"/>
        <s v="INV102363"/>
        <s v="INV102364"/>
        <s v="INV102365"/>
        <s v="INV102366"/>
        <s v="INV102367"/>
        <s v="INV102368"/>
        <s v="INV102369"/>
        <s v="INV102370"/>
        <s v="INV102371"/>
        <s v="INV102372"/>
        <s v="INV102373"/>
        <s v="INV102374"/>
        <s v="INV102375"/>
        <s v="INV102376"/>
        <s v="INV102377"/>
        <s v="INV102378"/>
        <s v="INV102379"/>
        <s v="INV102380"/>
        <s v="INV102381"/>
        <s v="INV102382"/>
        <s v="INV102383"/>
        <s v="INV102384"/>
        <s v="INV102385"/>
        <s v="INV102386"/>
        <s v="INV102387"/>
        <s v="INV102388"/>
        <s v="INV102389"/>
        <s v="INV102390"/>
        <s v="INV102391"/>
        <s v="INV102392"/>
        <s v="INV102393"/>
        <s v="INV102394"/>
        <s v="INV102395"/>
        <s v="INV102396"/>
        <s v="INV102397"/>
        <s v="INV102398"/>
        <s v="INV102399"/>
        <s v="INV102400"/>
        <s v="INV102401"/>
        <s v="INV102402"/>
        <s v="INV102403"/>
        <s v="INV102404"/>
        <s v="INV102405"/>
        <s v="INV102406"/>
        <s v="INV102407"/>
        <s v="INV102408"/>
        <s v="INV102409"/>
        <s v="INV102410"/>
        <s v="INV102411"/>
        <s v="INV102412"/>
        <s v="INV102413"/>
        <s v="INV102414"/>
        <s v="INV102415"/>
        <s v="INV102416"/>
        <s v="INV102417"/>
        <s v="INV102418"/>
        <s v="INV102419"/>
        <s v="INV102420"/>
        <s v="INV102421"/>
        <s v="INV102422"/>
        <s v="INV102423"/>
        <s v="INV102424"/>
        <s v="INV102425"/>
        <s v="INV102426"/>
        <s v="INV102427"/>
        <s v="INV102428"/>
        <s v="INV102429"/>
        <s v="INV102430"/>
        <s v="INV102431"/>
        <s v="INV102432"/>
        <s v="INV102433"/>
        <s v="INV102434"/>
        <s v="INV102435"/>
        <s v="INV102436"/>
        <s v="INV102437"/>
        <s v="INV102438"/>
        <s v="INV102439"/>
        <s v="INV102440"/>
        <s v="INV102441"/>
        <s v="INV102442"/>
        <s v="INV102443"/>
        <s v="INV102444"/>
        <s v="INV102445"/>
        <s v="INV102446"/>
        <s v="INV102447"/>
        <s v="INV102448"/>
        <s v="INV102449"/>
        <s v="INV102450"/>
        <s v="INV102451"/>
        <s v="INV102452"/>
        <s v="INV102453"/>
        <s v="INV102454"/>
        <s v="INV102455"/>
        <s v="INV102456"/>
        <s v="INV102457"/>
        <s v="INV102458"/>
        <s v="INV102459"/>
        <s v="INV102460"/>
        <s v="INV102461"/>
        <s v="INV102462"/>
        <s v="INV102463"/>
        <s v="INV102464"/>
        <s v="INV102465"/>
        <s v="INV102466"/>
        <s v="INV102467"/>
        <s v="INV102468"/>
        <s v="INV102469"/>
        <s v="INV102470"/>
        <s v="INV102471"/>
        <s v="INV102472"/>
        <s v="INV102473"/>
        <s v="INV102474"/>
        <s v="INV102475"/>
        <s v="INV102476"/>
        <s v="INV102477"/>
        <s v="INV102478"/>
        <s v="INV102479"/>
        <s v="INV102480"/>
        <s v="INV102481"/>
        <s v="INV102482"/>
        <s v="INV102483"/>
        <s v="INV102484"/>
        <s v="INV102485"/>
        <s v="INV102486"/>
        <s v="INV102487"/>
        <s v="INV102488"/>
        <s v="INV102489"/>
        <s v="INV102490"/>
        <s v="INV102491"/>
        <s v="INV102492"/>
        <s v="INV102493"/>
        <s v="INV102494"/>
        <s v="INV102495"/>
        <s v="INV102496"/>
        <s v="INV102497"/>
        <s v="INV102498"/>
        <s v="INV102499"/>
        <s v="INV102500"/>
      </sharedItems>
    </cacheField>
    <cacheField name="Invoice_Number" numFmtId="0">
      <sharedItems count="2490">
        <s v="INV100001"/>
        <s v="INV100002"/>
        <s v="INV100003"/>
        <s v="INV100004"/>
        <s v="INV100005"/>
        <s v="INV100006"/>
        <s v="INV100007"/>
        <s v="INV100008"/>
        <s v="INV100009"/>
        <s v="INV100010"/>
        <s v="INV100011"/>
        <s v="INV100012"/>
        <s v="INV100013"/>
        <s v="INV100014"/>
        <s v="INV100015"/>
        <s v="INV100016"/>
        <s v="INV100017"/>
        <s v="INV100018"/>
        <s v="INV100019"/>
        <s v="INV100020"/>
        <s v="INV100021"/>
        <s v="INV100022"/>
        <s v="INV100023"/>
        <s v="INV100024"/>
        <s v="INV100025"/>
        <s v="INV100026"/>
        <s v="INV100027"/>
        <s v="INV100028"/>
        <s v="INV100029"/>
        <s v="INV100030"/>
        <s v="INV100031"/>
        <s v="INV100032"/>
        <s v="INV100033"/>
        <s v="INV100034"/>
        <s v="INV100035"/>
        <s v="INV100036"/>
        <s v="INV100037"/>
        <s v="INV100038"/>
        <s v="INV100039"/>
        <s v="INV100040"/>
        <s v="INV100041"/>
        <s v="INV100042"/>
        <s v="INV100043"/>
        <s v="INV100044"/>
        <s v="INV100045"/>
        <s v="INV100046"/>
        <s v="INV100047"/>
        <s v="INV100048"/>
        <s v="INV100049"/>
        <s v="INV100050"/>
        <s v="INV100051"/>
        <s v="INV100052"/>
        <s v="INV100053"/>
        <s v="INV100054"/>
        <s v="INV100055"/>
        <s v="INV100056"/>
        <s v="INV100057"/>
        <s v="INV100058"/>
        <s v="INV100059"/>
        <s v="INV100060"/>
        <s v="INV100061"/>
        <s v="INV100062"/>
        <s v="INV100063"/>
        <s v="INV100064"/>
        <s v="INV100065"/>
        <s v="INV100066"/>
        <s v="INV100067"/>
        <s v="INV100068"/>
        <s v="INV100069"/>
        <s v="INV100070"/>
        <s v="INV100071"/>
        <s v="INV100072"/>
        <s v="INV100073"/>
        <s v="INV100074"/>
        <s v="INV100075"/>
        <s v="INV100076"/>
        <s v="INV100077"/>
        <s v="INV100078"/>
        <s v="INV100079"/>
        <s v="INV100080"/>
        <s v="INV100081"/>
        <s v="INV100082"/>
        <s v="INV100083"/>
        <s v="INV100084"/>
        <s v="INV100085"/>
        <s v="INV100086"/>
        <s v="INV100087"/>
        <s v="INV100088"/>
        <s v="INV100089"/>
        <s v="INV100090"/>
        <s v="INV100091"/>
        <s v="INV100092"/>
        <s v="INV100093"/>
        <s v="INV100094"/>
        <s v="INV100095"/>
        <s v="INV100096"/>
        <s v="INV100097"/>
        <s v="INV100098"/>
        <s v="INV100099"/>
        <s v="INV100100"/>
        <s v="INV100101"/>
        <s v="INV100102"/>
        <s v="INV100103"/>
        <s v="INV100104"/>
        <s v="INV100105"/>
        <s v="INV100106"/>
        <s v="INV100107"/>
        <s v="INV100108"/>
        <s v="INV100109"/>
        <s v="INV100110"/>
        <s v="INV100111"/>
        <s v="INV100112"/>
        <s v="INV100113"/>
        <s v="INV100114"/>
        <s v="INV100115"/>
        <s v="INV100459"/>
        <s v="INV100117"/>
        <s v="INV100118"/>
        <s v="INV100119"/>
        <s v="INV100120"/>
        <s v="INV100121"/>
        <s v="INV100122"/>
        <s v="INV100123"/>
        <s v="INV100124"/>
        <s v="INV100125"/>
        <s v="INV100126"/>
        <s v="INV100127"/>
        <s v="INV100128"/>
        <s v="INV100129"/>
        <s v="INV100130"/>
        <s v="INV100131"/>
        <s v="INV100132"/>
        <s v="INV100133"/>
        <s v="INV100134"/>
        <s v="INV100135"/>
        <s v="INV100136"/>
        <s v="INV100137"/>
        <s v="INV100138"/>
        <s v="INV100139"/>
        <s v="INV100140"/>
        <s v="INV100141"/>
        <s v="INV100142"/>
        <s v="INV100143"/>
        <s v="INV100144"/>
        <s v="INV100145"/>
        <s v="INV100146"/>
        <s v="INV100147"/>
        <s v="INV100148"/>
        <s v="INV100149"/>
        <s v="INV100150"/>
        <s v="INV100151"/>
        <s v="INV100152"/>
        <s v="INV100153"/>
        <s v="INV100154"/>
        <s v="INV100155"/>
        <s v="INV100156"/>
        <s v="INV100157"/>
        <s v="INV100158"/>
        <s v="INV100159"/>
        <s v="INV100160"/>
        <s v="INV100161"/>
        <s v="INV100162"/>
        <s v="INV100163"/>
        <s v="INV100164"/>
        <s v="INV100165"/>
        <s v="INV100166"/>
        <s v="INV100167"/>
        <s v="INV100168"/>
        <s v="INV100169"/>
        <s v="INV100170"/>
        <s v="INV100171"/>
        <s v="INV100172"/>
        <s v="INV100173"/>
        <s v="INV100174"/>
        <s v="INV100175"/>
        <s v="INV100176"/>
        <s v="INV100177"/>
        <s v="INV100178"/>
        <s v="INV100179"/>
        <s v="INV100180"/>
        <s v="INV100181"/>
        <s v="INV100182"/>
        <s v="INV100183"/>
        <s v="INV100184"/>
        <s v="INV100185"/>
        <s v="INV100186"/>
        <s v="INV100187"/>
        <s v="INV100188"/>
        <s v="INV100189"/>
        <s v="INV100190"/>
        <s v="INV100191"/>
        <s v="INV100192"/>
        <s v="INV100193"/>
        <s v="INV100194"/>
        <s v="INV100195"/>
        <s v="INV100196"/>
        <s v="INV100197"/>
        <s v="INV100198"/>
        <s v="INV100199"/>
        <s v="INV100200"/>
        <s v="INV100201"/>
        <s v="INV100202"/>
        <s v="INV100203"/>
        <s v="INV100204"/>
        <s v="INV100205"/>
        <s v="INV100206"/>
        <s v="INV100207"/>
        <s v="INV100208"/>
        <s v="INV100209"/>
        <s v="INV100210"/>
        <s v="INV100211"/>
        <s v="INV100212"/>
        <s v="INV100213"/>
        <s v="INV100214"/>
        <s v="INV100215"/>
        <s v="INV100216"/>
        <s v="INV100217"/>
        <s v="INV100218"/>
        <s v="INV100219"/>
        <s v="INV100220"/>
        <s v="INV100221"/>
        <s v="INV100222"/>
        <s v="INV100223"/>
        <s v="INV100224"/>
        <s v="INV100225"/>
        <s v="INV100226"/>
        <s v="INV100227"/>
        <s v="INV100228"/>
        <s v="INV100229"/>
        <s v="INV100230"/>
        <s v="INV100231"/>
        <s v="INV100232"/>
        <s v="INV100233"/>
        <s v="INV100234"/>
        <s v="INV100235"/>
        <s v="INV100236"/>
        <s v="INV100237"/>
        <s v="INV100238"/>
        <s v="INV100239"/>
        <s v="INV100240"/>
        <s v="INV100241"/>
        <s v="INV100242"/>
        <s v="INV100243"/>
        <s v="INV100244"/>
        <s v="INV100245"/>
        <s v="INV100246"/>
        <s v="INV100247"/>
        <s v="INV100248"/>
        <s v="INV100249"/>
        <s v="INV100250"/>
        <s v="INV100251"/>
        <s v="INV100252"/>
        <s v="INV100253"/>
        <s v="INV100254"/>
        <s v="INV100255"/>
        <s v="INV100256"/>
        <s v="INV100257"/>
        <s v="INV100258"/>
        <s v="INV100259"/>
        <s v="INV100260"/>
        <s v="INV100261"/>
        <s v="INV100262"/>
        <s v="INV100263"/>
        <s v="INV100264"/>
        <s v="INV100265"/>
        <s v="INV100266"/>
        <s v="INV100267"/>
        <s v="INV100268"/>
        <s v="INV100269"/>
        <s v="INV100270"/>
        <s v="INV100271"/>
        <s v="INV100272"/>
        <s v="INV100273"/>
        <s v="INV100274"/>
        <s v="INV100275"/>
        <s v="INV100276"/>
        <s v="INV100277"/>
        <s v="INV100278"/>
        <s v="INV100279"/>
        <s v="INV100280"/>
        <s v="INV100281"/>
        <s v="INV100282"/>
        <s v="INV100283"/>
        <s v="INV100284"/>
        <s v="INV100285"/>
        <s v="INV100286"/>
        <s v="INV100287"/>
        <s v="INV100288"/>
        <s v="INV100289"/>
        <s v="INV100290"/>
        <s v="INV100291"/>
        <s v="INV100292"/>
        <s v="INV100293"/>
        <s v="INV100294"/>
        <s v="INV100295"/>
        <s v="INV100296"/>
        <s v="INV100297"/>
        <s v="INV100298"/>
        <s v="INV100299"/>
        <s v="INV100300"/>
        <s v="INV100301"/>
        <s v="INV100302"/>
        <s v="INV100303"/>
        <s v="INV100304"/>
        <s v="INV100305"/>
        <s v="INV100306"/>
        <s v="INV100307"/>
        <s v="INV100308"/>
        <s v="INV100309"/>
        <s v="INV100310"/>
        <s v="INV100311"/>
        <s v="INV100312"/>
        <s v="INV100313"/>
        <s v="INV100314"/>
        <s v="INV100315"/>
        <s v="INV100316"/>
        <s v="INV100317"/>
        <s v="INV100318"/>
        <s v="INV100319"/>
        <s v="INV100320"/>
        <s v="INV100321"/>
        <s v="INV100322"/>
        <s v="INV100323"/>
        <s v="INV100324"/>
        <s v="INV100325"/>
        <s v="INV100326"/>
        <s v="INV100327"/>
        <s v="INV100328"/>
        <s v="INV100329"/>
        <s v="INV100330"/>
        <s v="INV100331"/>
        <s v="INV100332"/>
        <s v="INV100333"/>
        <s v="INV100334"/>
        <s v="INV100335"/>
        <s v="INV100336"/>
        <s v="INV100337"/>
        <s v="INV100338"/>
        <s v="INV100339"/>
        <s v="INV100340"/>
        <s v="INV100341"/>
        <s v="INV100342"/>
        <s v="INV100343"/>
        <s v="INV100344"/>
        <s v="INV100345"/>
        <s v="INV100346"/>
        <s v="INV100347"/>
        <s v="INV100348"/>
        <s v="INV100349"/>
        <s v="INV100350"/>
        <s v="INV100351"/>
        <s v="INV100352"/>
        <s v="INV100353"/>
        <s v="INV100354"/>
        <s v="INV100355"/>
        <s v="INV100356"/>
        <s v="INV100357"/>
        <s v="INV100358"/>
        <s v="INV100359"/>
        <s v="INV100360"/>
        <s v="INV100361"/>
        <s v="INV100362"/>
        <s v="INV100363"/>
        <s v="INV100364"/>
        <s v="INV100365"/>
        <s v="INV100366"/>
        <s v="INV100367"/>
        <s v="INV100368"/>
        <s v="INV100369"/>
        <s v="INV100370"/>
        <s v="INV100371"/>
        <s v="INV100372"/>
        <s v="INV100373"/>
        <s v="INV100374"/>
        <s v="INV100375"/>
        <s v="INV100376"/>
        <s v="INV100377"/>
        <s v="INV100378"/>
        <s v="INV100379"/>
        <s v="INV100380"/>
        <s v="INV100381"/>
        <s v="INV100382"/>
        <s v="INV100383"/>
        <s v="INV100384"/>
        <s v="INV100385"/>
        <s v="INV100386"/>
        <s v="INV100387"/>
        <s v="INV100388"/>
        <s v="INV100389"/>
        <s v="INV100390"/>
        <s v="INV100391"/>
        <s v="INV100392"/>
        <s v="INV100393"/>
        <s v="INV100394"/>
        <s v="INV100395"/>
        <s v="INV100396"/>
        <s v="INV100397"/>
        <s v="INV100398"/>
        <s v="INV100399"/>
        <s v="INV100400"/>
        <s v="INV100401"/>
        <s v="INV100402"/>
        <s v="INV100403"/>
        <s v="INV100404"/>
        <s v="INV100405"/>
        <s v="INV100406"/>
        <s v="INV100407"/>
        <s v="INV100408"/>
        <s v="INV100409"/>
        <s v="INV100410"/>
        <s v="INV100411"/>
        <s v="INV100412"/>
        <s v="INV100413"/>
        <s v="INV100414"/>
        <s v="INV100415"/>
        <s v="INV100416"/>
        <s v="INV100417"/>
        <s v="INV100418"/>
        <s v="INV100419"/>
        <s v="INV100420"/>
        <s v="INV100421"/>
        <s v="INV100422"/>
        <s v="INV100423"/>
        <s v="INV100424"/>
        <s v="INV100425"/>
        <s v="INV100426"/>
        <s v="INV100427"/>
        <s v="INV100428"/>
        <s v="INV100429"/>
        <s v="INV100430"/>
        <s v="INV100431"/>
        <s v="INV100432"/>
        <s v="INV100433"/>
        <s v="INV100434"/>
        <s v="INV100435"/>
        <s v="INV100436"/>
        <s v="INV100437"/>
        <s v="INV100438"/>
        <s v="INV100439"/>
        <s v="INV100440"/>
        <s v="INV100441"/>
        <s v="INV100442"/>
        <s v="INV100443"/>
        <s v="INV100444"/>
        <s v="INV100445"/>
        <s v="INV100446"/>
        <s v="INV100447"/>
        <s v="INV100448"/>
        <s v="INV100449"/>
        <s v="INV100450"/>
        <s v="INV100451"/>
        <s v="INV100452"/>
        <s v="INV100453"/>
        <s v="INV100454"/>
        <s v="INV100455"/>
        <s v="INV100456"/>
        <s v="INV100457"/>
        <s v="INV100458"/>
        <s v="INV100460"/>
        <s v="INV100461"/>
        <s v="INV100462"/>
        <s v="INV100463"/>
        <s v="INV100464"/>
        <s v="INV100465"/>
        <s v="INV100466"/>
        <s v="INV100467"/>
        <s v="INV100468"/>
        <s v="INV100469"/>
        <s v="INV100470"/>
        <s v="INV100471"/>
        <s v="INV100472"/>
        <s v="INV100473"/>
        <s v="INV100474"/>
        <s v="INV100475"/>
        <s v="INV100476"/>
        <s v="INV100477"/>
        <s v="INV100478"/>
        <s v="INV100479"/>
        <s v="INV100480"/>
        <s v="INV100481"/>
        <s v="INV100482"/>
        <s v="INV100483"/>
        <s v="INV100484"/>
        <s v="INV100485"/>
        <s v="INV100486"/>
        <s v="INV100487"/>
        <s v="INV100488"/>
        <s v="INV100489"/>
        <s v="INV100490"/>
        <s v="INV100491"/>
        <s v="INV100492"/>
        <s v="INV100493"/>
        <s v="INV100494"/>
        <s v="INV100495"/>
        <s v="INV100496"/>
        <s v="INV100497"/>
        <s v="INV100498"/>
        <s v="INV100499"/>
        <s v="INV100500"/>
        <s v="INV100501"/>
        <s v="INV100502"/>
        <s v="INV100503"/>
        <s v="INV100504"/>
        <s v="INV100505"/>
        <s v="INV100506"/>
        <s v="INV100507"/>
        <s v="INV100508"/>
        <s v="INV100509"/>
        <s v="INV100510"/>
        <s v="INV100511"/>
        <s v="INV100512"/>
        <s v="INV100513"/>
        <s v="INV100514"/>
        <s v="INV100515"/>
        <s v="INV100516"/>
        <s v="INV100517"/>
        <s v="INV100518"/>
        <s v="INV100519"/>
        <s v="INV100520"/>
        <s v="INV100521"/>
        <s v="INV100522"/>
        <s v="INV100523"/>
        <s v="INV100524"/>
        <s v="INV100525"/>
        <s v="INV100526"/>
        <s v="INV100527"/>
        <s v="INV100528"/>
        <s v="INV100529"/>
        <s v="INV100530"/>
        <s v="INV100531"/>
        <s v="INV100532"/>
        <s v="INV100533"/>
        <s v="INV100534"/>
        <s v="INV100535"/>
        <s v="INV100536"/>
        <s v="INV100537"/>
        <s v="INV100538"/>
        <s v="INV100539"/>
        <s v="INV100540"/>
        <s v="INV100541"/>
        <s v="INV100542"/>
        <s v="INV100543"/>
        <s v="INV100544"/>
        <s v="INV100545"/>
        <s v="INV100546"/>
        <s v="INV100547"/>
        <s v="INV100548"/>
        <s v="INV100549"/>
        <s v="INV100550"/>
        <s v="INV100551"/>
        <s v="INV100552"/>
        <s v="INV100553"/>
        <s v="INV100554"/>
        <s v="INV100555"/>
        <s v="INV100556"/>
        <s v="INV100557"/>
        <s v="INV100558"/>
        <s v="INV100559"/>
        <s v="INV100560"/>
        <s v="INV100561"/>
        <s v="INV100562"/>
        <s v="INV100563"/>
        <s v="INV100564"/>
        <s v="INV100565"/>
        <s v="INV100566"/>
        <s v="INV100567"/>
        <s v="INV100568"/>
        <s v="INV100569"/>
        <s v="INV100570"/>
        <s v="INV100571"/>
        <s v="INV100572"/>
        <s v="INV100573"/>
        <s v="INV100574"/>
        <s v="INV100575"/>
        <s v="INV100576"/>
        <s v="INV100577"/>
        <s v="INV100578"/>
        <s v="INV100579"/>
        <s v="INV100580"/>
        <s v="INV100581"/>
        <s v="INV100582"/>
        <s v="INV100583"/>
        <s v="INV100584"/>
        <s v="INV100585"/>
        <s v="INV100586"/>
        <s v="INV100587"/>
        <s v="INV100588"/>
        <s v="INV100589"/>
        <s v="INV100590"/>
        <s v="INV100591"/>
        <s v="INV100592"/>
        <s v="INV100593"/>
        <s v="INV100594"/>
        <s v="INV100595"/>
        <s v="INV100596"/>
        <s v="INV100597"/>
        <s v="INV100598"/>
        <s v="INV100599"/>
        <s v="INV100600"/>
        <s v="INV100601"/>
        <s v="INV100602"/>
        <s v="INV100603"/>
        <s v="INV100604"/>
        <s v="INV100605"/>
        <s v="INV100606"/>
        <s v="INV100607"/>
        <s v="INV100608"/>
        <s v="INV100609"/>
        <s v="INV100610"/>
        <s v="INV100611"/>
        <s v="INV100612"/>
        <s v="INV100613"/>
        <s v="INV100614"/>
        <s v="INV100615"/>
        <s v="INV100616"/>
        <s v="INV100617"/>
        <s v="INV100618"/>
        <s v="INV100619"/>
        <s v="INV100620"/>
        <s v="INV100621"/>
        <s v="INV100622"/>
        <s v="INV100623"/>
        <s v="INV100624"/>
        <s v="INV100625"/>
        <s v="INV100626"/>
        <s v="INV100627"/>
        <s v="INV100628"/>
        <s v="INV100629"/>
        <s v="INV100630"/>
        <s v="INV100631"/>
        <s v="INV100632"/>
        <s v="INV100633"/>
        <s v="INV100634"/>
        <s v="INV100635"/>
        <s v="INV100636"/>
        <s v="INV100637"/>
        <s v="INV101970"/>
        <s v="INV100639"/>
        <s v="INV100640"/>
        <s v="INV100641"/>
        <s v="INV100642"/>
        <s v="INV100643"/>
        <s v="INV100644"/>
        <s v="INV100645"/>
        <s v="INV100646"/>
        <s v="INV100647"/>
        <s v="INV100648"/>
        <s v="INV100649"/>
        <s v="INV100650"/>
        <s v="INV100651"/>
        <s v="INV100652"/>
        <s v="INV100653"/>
        <s v="INV100654"/>
        <s v="INV100655"/>
        <s v="INV100656"/>
        <s v="INV100657"/>
        <s v="INV100658"/>
        <s v="INV100659"/>
        <s v="INV100660"/>
        <s v="INV100661"/>
        <s v="INV100662"/>
        <s v="INV100663"/>
        <s v="INV100664"/>
        <s v="INV100665"/>
        <s v="INV100666"/>
        <s v="INV100667"/>
        <s v="INV100668"/>
        <s v="INV100669"/>
        <s v="INV100670"/>
        <s v="INV100671"/>
        <s v="INV100672"/>
        <s v="INV100673"/>
        <s v="INV100674"/>
        <s v="INV100675"/>
        <s v="INV100676"/>
        <s v="INV100677"/>
        <s v="INV100678"/>
        <s v="INV100679"/>
        <s v="INV100680"/>
        <s v="INV100681"/>
        <s v="INV100682"/>
        <s v="INV100683"/>
        <s v="INV100684"/>
        <s v="INV100685"/>
        <s v="INV100686"/>
        <s v="INV100687"/>
        <s v="INV100688"/>
        <s v="INV100689"/>
        <s v="INV100690"/>
        <s v="INV100691"/>
        <s v="INV100692"/>
        <s v="INV100693"/>
        <s v="INV100694"/>
        <s v="INV100695"/>
        <s v="INV100696"/>
        <s v="INV100697"/>
        <s v="INV100698"/>
        <s v="INV100699"/>
        <s v="INV100700"/>
        <s v="INV100701"/>
        <s v="INV100702"/>
        <s v="INV100703"/>
        <s v="INV100704"/>
        <s v="INV100705"/>
        <s v="INV100706"/>
        <s v="INV100707"/>
        <s v="INV100708"/>
        <s v="INV100709"/>
        <s v="INV100710"/>
        <s v="INV100711"/>
        <s v="INV100712"/>
        <s v="INV100713"/>
        <s v="INV100714"/>
        <s v="INV100715"/>
        <s v="INV100716"/>
        <s v="INV100717"/>
        <s v="INV100718"/>
        <s v="INV100719"/>
        <s v="INV100720"/>
        <s v="INV100721"/>
        <s v="INV100722"/>
        <s v="INV100723"/>
        <s v="INV100724"/>
        <s v="INV100725"/>
        <s v="INV100726"/>
        <s v="INV100727"/>
        <s v="INV100728"/>
        <s v="INV100729"/>
        <s v="INV100730"/>
        <s v="INV100731"/>
        <s v="INV100732"/>
        <s v="INV100733"/>
        <s v="INV100734"/>
        <s v="INV100735"/>
        <s v="INV100736"/>
        <s v="INV100737"/>
        <s v="INV100738"/>
        <s v="INV100739"/>
        <s v="INV100740"/>
        <s v="INV100741"/>
        <s v="INV100742"/>
        <s v="INV100743"/>
        <s v="INV100744"/>
        <s v="INV100745"/>
        <s v="INV100746"/>
        <s v="INV100747"/>
        <s v="INV100748"/>
        <s v="INV100749"/>
        <s v="INV100750"/>
        <s v="INV101187"/>
        <s v="INV100752"/>
        <s v="INV100753"/>
        <s v="INV100754"/>
        <s v="INV100755"/>
        <s v="INV100756"/>
        <s v="INV100757"/>
        <s v="INV100758"/>
        <s v="INV100759"/>
        <s v="INV100760"/>
        <s v="INV100761"/>
        <s v="INV100762"/>
        <s v="INV100763"/>
        <s v="INV100764"/>
        <s v="INV100765"/>
        <s v="INV100766"/>
        <s v="INV100767"/>
        <s v="INV100768"/>
        <s v="INV100769"/>
        <s v="INV100770"/>
        <s v="INV100771"/>
        <s v="INV100772"/>
        <s v="INV100773"/>
        <s v="INV100774"/>
        <s v="INV100775"/>
        <s v="INV100776"/>
        <s v="INV100777"/>
        <s v="INV100778"/>
        <s v="INV100779"/>
        <s v="INV100780"/>
        <s v="INV100781"/>
        <s v="INV100782"/>
        <s v="INV100783"/>
        <s v="INV100784"/>
        <s v="INV100785"/>
        <s v="INV100786"/>
        <s v="INV100787"/>
        <s v="INV100788"/>
        <s v="INV100789"/>
        <s v="INV100790"/>
        <s v="INV100791"/>
        <s v="INV100792"/>
        <s v="INV100793"/>
        <s v="INV100794"/>
        <s v="INV100795"/>
        <s v="INV100796"/>
        <s v="INV100797"/>
        <s v="INV100798"/>
        <s v="INV100799"/>
        <s v="INV100800"/>
        <s v="INV100801"/>
        <s v="INV100802"/>
        <s v="INV100803"/>
        <s v="INV100804"/>
        <s v="INV100805"/>
        <s v="INV100806"/>
        <s v="INV100807"/>
        <s v="INV100808"/>
        <s v="INV100809"/>
        <s v="INV100810"/>
        <s v="INV100811"/>
        <s v="INV100812"/>
        <s v="INV100813"/>
        <s v="INV100814"/>
        <s v="INV100815"/>
        <s v="INV100816"/>
        <s v="INV100817"/>
        <s v="INV100818"/>
        <s v="INV100819"/>
        <s v="INV100820"/>
        <s v="INV100821"/>
        <s v="INV100822"/>
        <s v="INV100823"/>
        <s v="INV100824"/>
        <s v="INV100825"/>
        <s v="INV100826"/>
        <s v="INV100827"/>
        <s v="INV100828"/>
        <s v="INV100829"/>
        <s v="INV100830"/>
        <s v="INV100831"/>
        <s v="INV100832"/>
        <s v="INV100833"/>
        <s v="INV100834"/>
        <s v="INV100835"/>
        <s v="INV100836"/>
        <s v="INV100837"/>
        <s v="INV100838"/>
        <s v="INV100839"/>
        <s v="INV100840"/>
        <s v="INV100841"/>
        <s v="INV100842"/>
        <s v="INV100843"/>
        <s v="INV100844"/>
        <s v="INV100845"/>
        <s v="INV100846"/>
        <s v="INV100847"/>
        <s v="INV100848"/>
        <s v="INV100849"/>
        <s v="INV100850"/>
        <s v="INV100851"/>
        <s v="INV100852"/>
        <s v="INV100853"/>
        <s v="INV100854"/>
        <s v="INV100855"/>
        <s v="INV100856"/>
        <s v="INV100857"/>
        <s v="INV100858"/>
        <s v="INV100859"/>
        <s v="INV100860"/>
        <s v="INV100861"/>
        <s v="INV100862"/>
        <s v="INV100863"/>
        <s v="INV100864"/>
        <s v="INV100865"/>
        <s v="INV100866"/>
        <s v="INV100867"/>
        <s v="INV100868"/>
        <s v="INV100869"/>
        <s v="INV100870"/>
        <s v="INV100871"/>
        <s v="INV100872"/>
        <s v="INV100873"/>
        <s v="INV100874"/>
        <s v="INV100875"/>
        <s v="INV100876"/>
        <s v="INV100877"/>
        <s v="INV100878"/>
        <s v="INV100879"/>
        <s v="INV100880"/>
        <s v="INV100881"/>
        <s v="INV100882"/>
        <s v="INV100883"/>
        <s v="INV100884"/>
        <s v="INV100885"/>
        <s v="INV100886"/>
        <s v="INV100887"/>
        <s v="INV100888"/>
        <s v="INV100889"/>
        <s v="INV100890"/>
        <s v="INV100891"/>
        <s v="INV100892"/>
        <s v="INV100893"/>
        <s v="INV100894"/>
        <s v="INV100895"/>
        <s v="INV100896"/>
        <s v="INV100897"/>
        <s v="INV100898"/>
        <s v="INV100899"/>
        <s v="INV100900"/>
        <s v="INV100901"/>
        <s v="INV100902"/>
        <s v="INV100903"/>
        <s v="INV100904"/>
        <s v="INV100905"/>
        <s v="INV100906"/>
        <s v="INV100907"/>
        <s v="INV100908"/>
        <s v="INV100909"/>
        <s v="INV100910"/>
        <s v="INV100911"/>
        <s v="INV100912"/>
        <s v="INV100913"/>
        <s v="INV100914"/>
        <s v="INV100915"/>
        <s v="INV100916"/>
        <s v="INV100917"/>
        <s v="INV100918"/>
        <s v="INV100919"/>
        <s v="INV100921"/>
        <s v="INV100922"/>
        <s v="INV100923"/>
        <s v="INV100924"/>
        <s v="INV100925"/>
        <s v="INV100926"/>
        <s v="INV100927"/>
        <s v="INV100928"/>
        <s v="INV100929"/>
        <s v="INV100930"/>
        <s v="INV100931"/>
        <s v="INV100932"/>
        <s v="INV100933"/>
        <s v="INV100934"/>
        <s v="INV100935"/>
        <s v="INV100936"/>
        <s v="INV100937"/>
        <s v="INV100938"/>
        <s v="INV100939"/>
        <s v="INV100940"/>
        <s v="INV100941"/>
        <s v="INV100942"/>
        <s v="INV100943"/>
        <s v="INV100944"/>
        <s v="INV100945"/>
        <s v="INV100946"/>
        <s v="INV100947"/>
        <s v="INV100948"/>
        <s v="INV100949"/>
        <s v="INV100950"/>
        <s v="INV100951"/>
        <s v="INV100952"/>
        <s v="INV100953"/>
        <s v="INV100954"/>
        <s v="INV100955"/>
        <s v="INV100956"/>
        <s v="INV100957"/>
        <s v="INV100958"/>
        <s v="INV100959"/>
        <s v="INV100960"/>
        <s v="INV100961"/>
        <s v="INV100962"/>
        <s v="INV100963"/>
        <s v="INV100964"/>
        <s v="INV100965"/>
        <s v="INV100966"/>
        <s v="INV100967"/>
        <s v="INV100968"/>
        <s v="INV100969"/>
        <s v="INV100970"/>
        <s v="INV100971"/>
        <s v="INV100972"/>
        <s v="INV100973"/>
        <s v="INV100974"/>
        <s v="INV100975"/>
        <s v="INV100976"/>
        <s v="INV100977"/>
        <s v="INV100978"/>
        <s v="INV100979"/>
        <s v="INV100980"/>
        <s v="INV100981"/>
        <s v="INV100982"/>
        <s v="INV100983"/>
        <s v="INV100984"/>
        <s v="INV100985"/>
        <s v="INV100986"/>
        <s v="INV100987"/>
        <s v="INV100988"/>
        <s v="INV100989"/>
        <s v="INV100990"/>
        <s v="INV100991"/>
        <s v="INV100992"/>
        <s v="INV100993"/>
        <s v="INV100994"/>
        <s v="INV100995"/>
        <s v="INV100996"/>
        <s v="INV100997"/>
        <s v="INV100998"/>
        <s v="INV100999"/>
        <s v="INV101000"/>
        <s v="INV101001"/>
        <s v="INV101002"/>
        <s v="INV101003"/>
        <s v="INV101004"/>
        <s v="INV101005"/>
        <s v="INV101006"/>
        <s v="INV101007"/>
        <s v="INV101008"/>
        <s v="INV101009"/>
        <s v="INV101010"/>
        <s v="INV101011"/>
        <s v="INV101012"/>
        <s v="INV101013"/>
        <s v="INV101014"/>
        <s v="INV101015"/>
        <s v="INV101016"/>
        <s v="INV101017"/>
        <s v="INV101018"/>
        <s v="INV101019"/>
        <s v="INV101020"/>
        <s v="INV101021"/>
        <s v="INV101022"/>
        <s v="INV101023"/>
        <s v="INV101024"/>
        <s v="INV101025"/>
        <s v="INV101026"/>
        <s v="INV101027"/>
        <s v="INV101028"/>
        <s v="INV101029"/>
        <s v="INV101030"/>
        <s v="INV101031"/>
        <s v="INV101032"/>
        <s v="INV101033"/>
        <s v="INV101034"/>
        <s v="INV101035"/>
        <s v="INV101036"/>
        <s v="INV101037"/>
        <s v="INV101038"/>
        <s v="INV101039"/>
        <s v="INV101040"/>
        <s v="INV101041"/>
        <s v="INV101042"/>
        <s v="INV101043"/>
        <s v="INV101044"/>
        <s v="INV101045"/>
        <s v="INV101046"/>
        <s v="INV101047"/>
        <s v="INV101048"/>
        <s v="INV101049"/>
        <s v="INV101050"/>
        <s v="INV101051"/>
        <s v="INV101052"/>
        <s v="INV101053"/>
        <s v="INV101054"/>
        <s v="INV101055"/>
        <s v="INV101056"/>
        <s v="INV101057"/>
        <s v="INV101058"/>
        <s v="INV101059"/>
        <s v="INV101060"/>
        <s v="INV101061"/>
        <s v="INV101062"/>
        <s v="INV101063"/>
        <s v="INV101064"/>
        <s v="INV101065"/>
        <s v="INV101066"/>
        <s v="INV101067"/>
        <s v="INV101068"/>
        <s v="INV101069"/>
        <s v="INV101070"/>
        <s v="INV101071"/>
        <s v="INV101072"/>
        <s v="INV101073"/>
        <s v="INV101074"/>
        <s v="INV101075"/>
        <s v="INV101076"/>
        <s v="INV101077"/>
        <s v="INV101078"/>
        <s v="INV101079"/>
        <s v="INV101080"/>
        <s v="INV101081"/>
        <s v="INV101082"/>
        <s v="INV101083"/>
        <s v="INV101084"/>
        <s v="INV101085"/>
        <s v="INV101086"/>
        <s v="INV101087"/>
        <s v="INV101088"/>
        <s v="INV101089"/>
        <s v="INV101090"/>
        <s v="INV101091"/>
        <s v="INV101092"/>
        <s v="INV101093"/>
        <s v="INV101094"/>
        <s v="INV101095"/>
        <s v="INV101096"/>
        <s v="INV101097"/>
        <s v="INV101098"/>
        <s v="INV101099"/>
        <s v="INV101100"/>
        <s v="INV101101"/>
        <s v="INV101102"/>
        <s v="INV101103"/>
        <s v="INV101104"/>
        <s v="INV101105"/>
        <s v="INV101106"/>
        <s v="INV101107"/>
        <s v="INV101108"/>
        <s v="INV101109"/>
        <s v="INV101110"/>
        <s v="INV101111"/>
        <s v="INV101112"/>
        <s v="INV101113"/>
        <s v="INV101114"/>
        <s v="INV101115"/>
        <s v="INV101116"/>
        <s v="INV101117"/>
        <s v="INV101118"/>
        <s v="INV101119"/>
        <s v="INV101120"/>
        <s v="INV101121"/>
        <s v="INV101122"/>
        <s v="INV101123"/>
        <s v="INV101124"/>
        <s v="INV101125"/>
        <s v="INV101126"/>
        <s v="INV101127"/>
        <s v="INV101128"/>
        <s v="INV101129"/>
        <s v="INV101130"/>
        <s v="INV101131"/>
        <s v="INV101132"/>
        <s v="INV101133"/>
        <s v="INV101134"/>
        <s v="INV101135"/>
        <s v="INV101136"/>
        <s v="INV101137"/>
        <s v="INV101138"/>
        <s v="INV101139"/>
        <s v="INV101140"/>
        <s v="INV101141"/>
        <s v="INV101142"/>
        <s v="INV101143"/>
        <s v="INV101144"/>
        <s v="INV101145"/>
        <s v="INV101146"/>
        <s v="INV101147"/>
        <s v="INV101148"/>
        <s v="INV101149"/>
        <s v="INV101150"/>
        <s v="INV101151"/>
        <s v="INV101152"/>
        <s v="INV101153"/>
        <s v="INV101154"/>
        <s v="INV101155"/>
        <s v="INV101156"/>
        <s v="INV101157"/>
        <s v="INV101158"/>
        <s v="INV101159"/>
        <s v="INV101160"/>
        <s v="INV101161"/>
        <s v="INV101162"/>
        <s v="INV101163"/>
        <s v="INV101164"/>
        <s v="INV101165"/>
        <s v="INV101166"/>
        <s v="INV101167"/>
        <s v="INV101168"/>
        <s v="INV101169"/>
        <s v="INV101170"/>
        <s v="INV101171"/>
        <s v="INV101172"/>
        <s v="INV101173"/>
        <s v="INV101174"/>
        <s v="INV101175"/>
        <s v="INV101176"/>
        <s v="INV101177"/>
        <s v="INV101178"/>
        <s v="INV101179"/>
        <s v="INV101180"/>
        <s v="INV101181"/>
        <s v="INV101182"/>
        <s v="INV101183"/>
        <s v="INV101184"/>
        <s v="INV101185"/>
        <s v="INV101186"/>
        <s v="INV101188"/>
        <s v="INV101189"/>
        <s v="INV101190"/>
        <s v="INV101191"/>
        <s v="INV101192"/>
        <s v="INV101193"/>
        <s v="INV101194"/>
        <s v="INV101195"/>
        <s v="INV101196"/>
        <s v="INV101197"/>
        <s v="INV101198"/>
        <s v="INV101199"/>
        <s v="INV101200"/>
        <s v="INV101201"/>
        <s v="INV101202"/>
        <s v="INV101203"/>
        <s v="INV101204"/>
        <s v="INV101205"/>
        <s v="INV101206"/>
        <s v="INV101207"/>
        <s v="INV101208"/>
        <s v="INV101209"/>
        <s v="INV101210"/>
        <s v="INV101211"/>
        <s v="INV101212"/>
        <s v="INV101213"/>
        <s v="INV101214"/>
        <s v="INV101215"/>
        <s v="INV101216"/>
        <s v="INV101217"/>
        <s v="INV101218"/>
        <s v="INV101219"/>
        <s v="INV101220"/>
        <s v="INV101221"/>
        <s v="INV101222"/>
        <s v="INV101223"/>
        <s v="INV101224"/>
        <s v="INV101225"/>
        <s v="INV101226"/>
        <s v="INV101227"/>
        <s v="INV101228"/>
        <s v="INV101229"/>
        <s v="INV101230"/>
        <s v="INV101231"/>
        <s v="INV101232"/>
        <s v="INV101233"/>
        <s v="INV101234"/>
        <s v="INV101235"/>
        <s v="INV101236"/>
        <s v="INV101237"/>
        <s v="INV101238"/>
        <s v="INV101239"/>
        <s v="INV101240"/>
        <s v="INV101241"/>
        <s v="INV101242"/>
        <s v="INV101243"/>
        <s v="INV101244"/>
        <s v="INV101245"/>
        <s v="INV101246"/>
        <s v="INV101247"/>
        <s v="INV101248"/>
        <s v="INV101249"/>
        <s v="INV101250"/>
        <s v="INV101251"/>
        <s v="INV101252"/>
        <s v="INV101253"/>
        <s v="INV101254"/>
        <s v="INV101255"/>
        <s v="INV101256"/>
        <s v="INV101257"/>
        <s v="INV101258"/>
        <s v="INV101259"/>
        <s v="INV101260"/>
        <s v="INV101261"/>
        <s v="INV101262"/>
        <s v="INV101263"/>
        <s v="INV101264"/>
        <s v="INV101265"/>
        <s v="INV101266"/>
        <s v="INV101267"/>
        <s v="INV101268"/>
        <s v="INV101269"/>
        <s v="INV101270"/>
        <s v="INV101271"/>
        <s v="INV101272"/>
        <s v="INV101273"/>
        <s v="INV101274"/>
        <s v="INV101275"/>
        <s v="INV101276"/>
        <s v="INV101277"/>
        <s v="INV101278"/>
        <s v="INV101279"/>
        <s v="INV101280"/>
        <s v="INV101281"/>
        <s v="INV101282"/>
        <s v="INV101283"/>
        <s v="INV101284"/>
        <s v="INV101285"/>
        <s v="INV101286"/>
        <s v="INV101287"/>
        <s v="INV101288"/>
        <s v="INV101289"/>
        <s v="INV101290"/>
        <s v="INV101291"/>
        <s v="INV101292"/>
        <s v="INV101293"/>
        <s v="INV101294"/>
        <s v="INV101295"/>
        <s v="INV101296"/>
        <s v="INV101297"/>
        <s v="INV101298"/>
        <s v="INV101299"/>
        <s v="INV101300"/>
        <s v="INV101301"/>
        <s v="INV101302"/>
        <s v="INV101303"/>
        <s v="INV101304"/>
        <s v="INV101305"/>
        <s v="INV101306"/>
        <s v="INV101307"/>
        <s v="INV101308"/>
        <s v="INV101309"/>
        <s v="INV101310"/>
        <s v="INV101311"/>
        <s v="INV101312"/>
        <s v="INV101313"/>
        <s v="INV101314"/>
        <s v="INV101315"/>
        <s v="INV101316"/>
        <s v="INV101317"/>
        <s v="INV101318"/>
        <s v="INV101319"/>
        <s v="INV101320"/>
        <s v="INV101321"/>
        <s v="INV101322"/>
        <s v="INV101323"/>
        <s v="INV101324"/>
        <s v="INV101325"/>
        <s v="INV101326"/>
        <s v="INV101327"/>
        <s v="INV101328"/>
        <s v="INV101329"/>
        <s v="INV101330"/>
        <s v="INV101331"/>
        <s v="INV101332"/>
        <s v="INV101333"/>
        <s v="INV101334"/>
        <s v="INV101335"/>
        <s v="INV101336"/>
        <s v="INV101337"/>
        <s v="INV101338"/>
        <s v="INV101339"/>
        <s v="INV101340"/>
        <s v="INV101341"/>
        <s v="INV101342"/>
        <s v="INV101343"/>
        <s v="INV101344"/>
        <s v="INV101345"/>
        <s v="INV101346"/>
        <s v="INV101347"/>
        <s v="INV101348"/>
        <s v="INV101349"/>
        <s v="INV101350"/>
        <s v="INV101351"/>
        <s v="INV101352"/>
        <s v="INV101353"/>
        <s v="INV101354"/>
        <s v="INV101355"/>
        <s v="INV101356"/>
        <s v="INV101357"/>
        <s v="INV101358"/>
        <s v="INV101359"/>
        <s v="INV101360"/>
        <s v="INV101361"/>
        <s v="INV101362"/>
        <s v="INV101363"/>
        <s v="INV101364"/>
        <s v="INV101365"/>
        <s v="INV101366"/>
        <s v="INV101368"/>
        <s v="INV101369"/>
        <s v="INV101370"/>
        <s v="INV101371"/>
        <s v="INV101372"/>
        <s v="INV101373"/>
        <s v="INV101374"/>
        <s v="INV101375"/>
        <s v="INV101376"/>
        <s v="INV101377"/>
        <s v="INV101378"/>
        <s v="INV101379"/>
        <s v="INV101380"/>
        <s v="INV101381"/>
        <s v="INV101382"/>
        <s v="INV101383"/>
        <s v="INV101384"/>
        <s v="INV101385"/>
        <s v="INV101386"/>
        <s v="INV101387"/>
        <s v="INV101388"/>
        <s v="INV101389"/>
        <s v="INV101390"/>
        <s v="INV101391"/>
        <s v="INV101392"/>
        <s v="INV101393"/>
        <s v="INV101394"/>
        <s v="INV101395"/>
        <s v="INV101396"/>
        <s v="INV101397"/>
        <s v="INV101398"/>
        <s v="INV101399"/>
        <s v="INV101400"/>
        <s v="INV101401"/>
        <s v="INV101402"/>
        <s v="INV101403"/>
        <s v="INV101404"/>
        <s v="INV101405"/>
        <s v="INV101406"/>
        <s v="INV101407"/>
        <s v="INV101408"/>
        <s v="INV101409"/>
        <s v="INV101410"/>
        <s v="INV101411"/>
        <s v="INV101412"/>
        <s v="INV101413"/>
        <s v="INV101414"/>
        <s v="INV101415"/>
        <s v="INV101416"/>
        <s v="INV101417"/>
        <s v="INV101418"/>
        <s v="INV101419"/>
        <s v="INV101420"/>
        <s v="INV101421"/>
        <s v="INV101422"/>
        <s v="INV101423"/>
        <s v="INV101424"/>
        <s v="INV101425"/>
        <s v="INV101426"/>
        <s v="INV101427"/>
        <s v="INV101428"/>
        <s v="INV101429"/>
        <s v="INV101430"/>
        <s v="INV101431"/>
        <s v="INV101432"/>
        <s v="INV101433"/>
        <s v="INV101434"/>
        <s v="INV101435"/>
        <s v="INV101436"/>
        <s v="INV101437"/>
        <s v="INV101438"/>
        <s v="INV101439"/>
        <s v="INV101440"/>
        <s v="INV101441"/>
        <s v="INV101442"/>
        <s v="INV101443"/>
        <s v="INV101444"/>
        <s v="INV101445"/>
        <s v="INV101446"/>
        <s v="INV101447"/>
        <s v="INV101448"/>
        <s v="INV101449"/>
        <s v="INV101450"/>
        <s v="INV101451"/>
        <s v="INV101452"/>
        <s v="INV101453"/>
        <s v="INV101454"/>
        <s v="INV101455"/>
        <s v="INV101456"/>
        <s v="INV101457"/>
        <s v="INV101458"/>
        <s v="INV101459"/>
        <s v="INV101460"/>
        <s v="INV101461"/>
        <s v="INV101462"/>
        <s v="INV101463"/>
        <s v="INV101464"/>
        <s v="INV101465"/>
        <s v="INV101466"/>
        <s v="INV101467"/>
        <s v="INV101468"/>
        <s v="INV101469"/>
        <s v="INV101470"/>
        <s v="INV101471"/>
        <s v="INV101472"/>
        <s v="INV101473"/>
        <s v="INV101474"/>
        <s v="INV101475"/>
        <s v="INV101476"/>
        <s v="INV101477"/>
        <s v="INV101478"/>
        <s v="INV101479"/>
        <s v="INV101480"/>
        <s v="INV101481"/>
        <s v="INV101482"/>
        <s v="INV101483"/>
        <s v="INV101484"/>
        <s v="INV101485"/>
        <s v="INV101486"/>
        <s v="INV101487"/>
        <s v="INV101488"/>
        <s v="INV101489"/>
        <s v="INV101490"/>
        <s v="INV101491"/>
        <s v="INV101492"/>
        <s v="INV101493"/>
        <s v="INV101494"/>
        <s v="INV101495"/>
        <s v="INV101496"/>
        <s v="INV101497"/>
        <s v="INV101498"/>
        <s v="INV101499"/>
        <s v="INV101500"/>
        <s v="INV101501"/>
        <s v="INV101502"/>
        <s v="INV101503"/>
        <s v="INV101504"/>
        <s v="INV101505"/>
        <s v="INV101506"/>
        <s v="INV101507"/>
        <s v="INV101508"/>
        <s v="INV101509"/>
        <s v="INV101510"/>
        <s v="INV101511"/>
        <s v="INV101512"/>
        <s v="INV101513"/>
        <s v="INV101514"/>
        <s v="INV101515"/>
        <s v="INV101516"/>
        <s v="INV101517"/>
        <s v="INV101518"/>
        <s v="INV101519"/>
        <s v="INV101520"/>
        <s v="INV101521"/>
        <s v="INV101522"/>
        <s v="INV101523"/>
        <s v="INV101524"/>
        <s v="INV101525"/>
        <s v="INV101526"/>
        <s v="INV101527"/>
        <s v="INV101528"/>
        <s v="INV101529"/>
        <s v="INV101530"/>
        <s v="INV101531"/>
        <s v="INV101532"/>
        <s v="INV101533"/>
        <s v="INV101534"/>
        <s v="INV101535"/>
        <s v="INV101536"/>
        <s v="INV101537"/>
        <s v="INV101538"/>
        <s v="INV101539"/>
        <s v="INV101540"/>
        <s v="INV101541"/>
        <s v="INV101542"/>
        <s v="INV101543"/>
        <s v="INV101544"/>
        <s v="INV101545"/>
        <s v="INV101546"/>
        <s v="INV101547"/>
        <s v="INV101548"/>
        <s v="INV101549"/>
        <s v="INV101550"/>
        <s v="INV101551"/>
        <s v="INV101552"/>
        <s v="INV101553"/>
        <s v="INV101554"/>
        <s v="INV101555"/>
        <s v="INV101556"/>
        <s v="INV101557"/>
        <s v="INV101558"/>
        <s v="INV101559"/>
        <s v="INV101560"/>
        <s v="INV101561"/>
        <s v="INV101562"/>
        <s v="INV101563"/>
        <s v="INV101564"/>
        <s v="INV101565"/>
        <s v="INV101566"/>
        <s v="INV101567"/>
        <s v="INV101568"/>
        <s v="INV101569"/>
        <s v="INV101570"/>
        <s v="INV101571"/>
        <s v="INV101572"/>
        <s v="INV101573"/>
        <s v="INV101574"/>
        <s v="INV101575"/>
        <s v="INV101576"/>
        <s v="INV101577"/>
        <s v="INV101578"/>
        <s v="INV101579"/>
        <s v="INV101580"/>
        <s v="INV101581"/>
        <s v="INV101582"/>
        <s v="INV101583"/>
        <s v="INV101584"/>
        <s v="INV101585"/>
        <s v="INV101586"/>
        <s v="INV101587"/>
        <s v="INV101588"/>
        <s v="INV101589"/>
        <s v="INV101590"/>
        <s v="INV101591"/>
        <s v="INV101592"/>
        <s v="INV101593"/>
        <s v="INV101594"/>
        <s v="INV101595"/>
        <s v="INV101596"/>
        <s v="INV101597"/>
        <s v="INV101598"/>
        <s v="INV101599"/>
        <s v="INV101600"/>
        <s v="INV101601"/>
        <s v="INV101602"/>
        <s v="INV101603"/>
        <s v="INV101604"/>
        <s v="INV101605"/>
        <s v="INV101606"/>
        <s v="INV101607"/>
        <s v="INV101608"/>
        <s v="INV101609"/>
        <s v="INV101610"/>
        <s v="INV101611"/>
        <s v="INV101612"/>
        <s v="INV101613"/>
        <s v="INV101614"/>
        <s v="INV101615"/>
        <s v="INV101616"/>
        <s v="INV101617"/>
        <s v="INV101618"/>
        <s v="INV101619"/>
        <s v="INV101620"/>
        <s v="INV101621"/>
        <s v="INV101622"/>
        <s v="INV101623"/>
        <s v="INV101624"/>
        <s v="INV101625"/>
        <s v="INV101626"/>
        <s v="INV101627"/>
        <s v="INV101628"/>
        <s v="INV101629"/>
        <s v="INV101630"/>
        <s v="INV101631"/>
        <s v="INV101632"/>
        <s v="INV101633"/>
        <s v="INV101634"/>
        <s v="INV101635"/>
        <s v="INV101636"/>
        <s v="INV101637"/>
        <s v="INV101638"/>
        <s v="INV101639"/>
        <s v="INV101640"/>
        <s v="INV101641"/>
        <s v="INV101642"/>
        <s v="INV101643"/>
        <s v="INV101644"/>
        <s v="INV101645"/>
        <s v="INV101646"/>
        <s v="INV101647"/>
        <s v="INV101648"/>
        <s v="INV101649"/>
        <s v="INV101650"/>
        <s v="INV101651"/>
        <s v="INV101652"/>
        <s v="INV101653"/>
        <s v="INV101654"/>
        <s v="INV101655"/>
        <s v="INV101656"/>
        <s v="INV101657"/>
        <s v="INV101658"/>
        <s v="INV101659"/>
        <s v="INV101660"/>
        <s v="INV101661"/>
        <s v="INV101662"/>
        <s v="INV101663"/>
        <s v="INV101664"/>
        <s v="INV101665"/>
        <s v="INV101666"/>
        <s v="INV101667"/>
        <s v="INV101668"/>
        <s v="INV101669"/>
        <s v="INV101670"/>
        <s v="INV101671"/>
        <s v="INV101672"/>
        <s v="INV101673"/>
        <s v="INV101674"/>
        <s v="INV101675"/>
        <s v="INV101676"/>
        <s v="INV101677"/>
        <s v="INV101678"/>
        <s v="INV101679"/>
        <s v="INV101680"/>
        <s v="INV101681"/>
        <s v="INV101682"/>
        <s v="INV101683"/>
        <s v="INV101684"/>
        <s v="INV101685"/>
        <s v="INV101686"/>
        <s v="INV101687"/>
        <s v="INV101688"/>
        <s v="INV101689"/>
        <s v="INV101690"/>
        <s v="INV101691"/>
        <s v="INV101692"/>
        <s v="INV101693"/>
        <s v="INV101694"/>
        <s v="INV101695"/>
        <s v="INV101696"/>
        <s v="INV101697"/>
        <s v="INV101698"/>
        <s v="INV101699"/>
        <s v="INV101700"/>
        <s v="INV101701"/>
        <s v="INV101702"/>
        <s v="INV101703"/>
        <s v="INV101704"/>
        <s v="INV101705"/>
        <s v="INV101706"/>
        <s v="INV101707"/>
        <s v="INV101708"/>
        <s v="INV101709"/>
        <s v="INV101710"/>
        <s v="INV101711"/>
        <s v="INV101712"/>
        <s v="INV101713"/>
        <s v="INV101714"/>
        <s v="INV101715"/>
        <s v="INV101716"/>
        <s v="INV101717"/>
        <s v="INV101718"/>
        <s v="INV101719"/>
        <s v="INV101720"/>
        <s v="INV101721"/>
        <s v="INV101722"/>
        <s v="INV101723"/>
        <s v="INV101724"/>
        <s v="INV101725"/>
        <s v="INV101726"/>
        <s v="INV101727"/>
        <s v="INV101728"/>
        <s v="INV101729"/>
        <s v="INV101730"/>
        <s v="INV101731"/>
        <s v="INV101732"/>
        <s v="INV101733"/>
        <s v="INV101734"/>
        <s v="INV101735"/>
        <s v="INV101736"/>
        <s v="INV101737"/>
        <s v="INV101738"/>
        <s v="INV101739"/>
        <s v="INV101740"/>
        <s v="INV101741"/>
        <s v="INV101742"/>
        <s v="INV101743"/>
        <s v="INV101744"/>
        <s v="INV101745"/>
        <s v="INV101746"/>
        <s v="INV101747"/>
        <s v="INV101748"/>
        <s v="INV101749"/>
        <s v="INV101750"/>
        <s v="INV101751"/>
        <s v="INV101752"/>
        <s v="INV101753"/>
        <s v="INV101754"/>
        <s v="INV101755"/>
        <s v="INV101756"/>
        <s v="INV101757"/>
        <s v="INV101758"/>
        <s v="INV101759"/>
        <s v="INV101760"/>
        <s v="INV101761"/>
        <s v="INV101762"/>
        <s v="INV101763"/>
        <s v="INV101764"/>
        <s v="INV101765"/>
        <s v="INV101766"/>
        <s v="INV101767"/>
        <s v="INV101768"/>
        <s v="INV101769"/>
        <s v="INV101770"/>
        <s v="INV101771"/>
        <s v="INV101772"/>
        <s v="INV101773"/>
        <s v="INV101774"/>
        <s v="INV101775"/>
        <s v="INV101776"/>
        <s v="INV101777"/>
        <s v="INV101778"/>
        <s v="INV101779"/>
        <s v="INV101780"/>
        <s v="INV101781"/>
        <s v="INV101782"/>
        <s v="INV101783"/>
        <s v="INV101784"/>
        <s v="INV101785"/>
        <s v="INV101786"/>
        <s v="INV101787"/>
        <s v="INV101788"/>
        <s v="INV101789"/>
        <s v="INV101790"/>
        <s v="INV101791"/>
        <s v="INV101792"/>
        <s v="INV101793"/>
        <s v="INV101794"/>
        <s v="INV101795"/>
        <s v="INV101796"/>
        <s v="INV101797"/>
        <s v="INV101798"/>
        <s v="INV101799"/>
        <s v="INV101800"/>
        <s v="INV101801"/>
        <s v="INV101802"/>
        <s v="INV101803"/>
        <s v="INV101804"/>
        <s v="INV101805"/>
        <s v="INV101806"/>
        <s v="INV101807"/>
        <s v="INV101808"/>
        <s v="INV101809"/>
        <s v="INV101810"/>
        <s v="INV101811"/>
        <s v="INV101812"/>
        <s v="INV101813"/>
        <s v="INV101814"/>
        <s v="INV101815"/>
        <s v="INV101816"/>
        <s v="INV101817"/>
        <s v="INV101818"/>
        <s v="INV101819"/>
        <s v="INV101820"/>
        <s v="INV101821"/>
        <s v="INV101822"/>
        <s v="INV101823"/>
        <s v="INV101824"/>
        <s v="INV101825"/>
        <s v="INV101826"/>
        <s v="INV101827"/>
        <s v="INV101828"/>
        <s v="INV101829"/>
        <s v="INV101830"/>
        <s v="INV101831"/>
        <s v="INV101832"/>
        <s v="INV101833"/>
        <s v="INV101834"/>
        <s v="INV101835"/>
        <s v="INV101836"/>
        <s v="INV101837"/>
        <s v="INV101838"/>
        <s v="INV101839"/>
        <s v="INV101840"/>
        <s v="INV101841"/>
        <s v="INV101842"/>
        <s v="INV101844"/>
        <s v="INV101845"/>
        <s v="INV101846"/>
        <s v="INV101847"/>
        <s v="INV101848"/>
        <s v="INV101849"/>
        <s v="INV101850"/>
        <s v="INV101851"/>
        <s v="INV101852"/>
        <s v="INV101853"/>
        <s v="INV101854"/>
        <s v="INV101855"/>
        <s v="INV101856"/>
        <s v="INV101857"/>
        <s v="INV101858"/>
        <s v="INV101859"/>
        <s v="INV101860"/>
        <s v="INV101861"/>
        <s v="INV101862"/>
        <s v="INV101863"/>
        <s v="INV101864"/>
        <s v="INV101865"/>
        <s v="INV101866"/>
        <s v="INV101867"/>
        <s v="INV101868"/>
        <s v="INV101869"/>
        <s v="INV101870"/>
        <s v="INV101871"/>
        <s v="INV101872"/>
        <s v="INV101873"/>
        <s v="INV101874"/>
        <s v="INV101875"/>
        <s v="INV101876"/>
        <s v="INV101877"/>
        <s v="INV101878"/>
        <s v="INV101879"/>
        <s v="INV101880"/>
        <s v="INV101881"/>
        <s v="INV101882"/>
        <s v="INV101883"/>
        <s v="INV101884"/>
        <s v="INV101885"/>
        <s v="INV101886"/>
        <s v="INV101887"/>
        <s v="INV101888"/>
        <s v="INV101889"/>
        <s v="INV101890"/>
        <s v="INV101891"/>
        <s v="INV101892"/>
        <s v="INV101893"/>
        <s v="INV101894"/>
        <s v="INV101895"/>
        <s v="INV101896"/>
        <s v="INV101897"/>
        <s v="INV101898"/>
        <s v="INV101899"/>
        <s v="INV101900"/>
        <s v="INV101901"/>
        <s v="INV101902"/>
        <s v="INV101903"/>
        <s v="INV101904"/>
        <s v="INV101905"/>
        <s v="INV101906"/>
        <s v="INV101907"/>
        <s v="INV101908"/>
        <s v="INV101909"/>
        <s v="INV101910"/>
        <s v="INV101911"/>
        <s v="INV101912"/>
        <s v="INV101913"/>
        <s v="INV101914"/>
        <s v="INV101915"/>
        <s v="INV101916"/>
        <s v="INV101917"/>
        <s v="INV101918"/>
        <s v="INV101919"/>
        <s v="INV101920"/>
        <s v="INV101921"/>
        <s v="INV101922"/>
        <s v="INV101923"/>
        <s v="INV101924"/>
        <s v="INV101925"/>
        <s v="INV101926"/>
        <s v="INV101927"/>
        <s v="INV101928"/>
        <s v="INV101929"/>
        <s v="INV101930"/>
        <s v="INV101931"/>
        <s v="INV101932"/>
        <s v="INV101933"/>
        <s v="INV101934"/>
        <s v="INV101935"/>
        <s v="INV101936"/>
        <s v="INV101937"/>
        <s v="INV101938"/>
        <s v="INV101939"/>
        <s v="INV101940"/>
        <s v="INV101941"/>
        <s v="INV101942"/>
        <s v="INV101943"/>
        <s v="INV101944"/>
        <s v="INV101945"/>
        <s v="INV101946"/>
        <s v="INV101947"/>
        <s v="INV101948"/>
        <s v="INV101949"/>
        <s v="INV101950"/>
        <s v="INV101951"/>
        <s v="INV101952"/>
        <s v="INV101953"/>
        <s v="INV101954"/>
        <s v="INV101955"/>
        <s v="INV101956"/>
        <s v="INV101957"/>
        <s v="INV101958"/>
        <s v="INV101959"/>
        <s v="INV101960"/>
        <s v="INV101961"/>
        <s v="INV101962"/>
        <s v="INV101963"/>
        <s v="INV101964"/>
        <s v="INV101965"/>
        <s v="INV101966"/>
        <s v="INV101967"/>
        <s v="INV101968"/>
        <s v="INV101969"/>
        <s v="INV101971"/>
        <s v="INV101972"/>
        <s v="INV101973"/>
        <s v="INV101974"/>
        <s v="INV101975"/>
        <s v="INV101976"/>
        <s v="INV101977"/>
        <s v="INV101978"/>
        <s v="INV101979"/>
        <s v="INV101980"/>
        <s v="INV102360"/>
        <s v="INV101982"/>
        <s v="INV101983"/>
        <s v="INV101984"/>
        <s v="INV101985"/>
        <s v="INV101986"/>
        <s v="INV101987"/>
        <s v="INV101988"/>
        <s v="INV101989"/>
        <s v="INV101990"/>
        <s v="INV101991"/>
        <s v="INV101992"/>
        <s v="INV101993"/>
        <s v="INV101994"/>
        <s v="INV101995"/>
        <s v="INV101996"/>
        <s v="INV101997"/>
        <s v="INV101998"/>
        <s v="INV101999"/>
        <s v="INV102000"/>
        <s v="INV102001"/>
        <s v="INV102002"/>
        <s v="INV102003"/>
        <s v="INV102004"/>
        <s v="INV102005"/>
        <s v="INV102006"/>
        <s v="INV102007"/>
        <s v="INV102008"/>
        <s v="INV102009"/>
        <s v="INV102010"/>
        <s v="INV102011"/>
        <s v="INV102012"/>
        <s v="INV102013"/>
        <s v="INV102014"/>
        <s v="INV102015"/>
        <s v="INV102016"/>
        <s v="INV102017"/>
        <s v="INV102018"/>
        <s v="INV102019"/>
        <s v="INV102020"/>
        <s v="INV102021"/>
        <s v="INV102022"/>
        <s v="INV102023"/>
        <s v="INV102024"/>
        <s v="INV102025"/>
        <s v="INV102026"/>
        <s v="INV102027"/>
        <s v="INV102028"/>
        <s v="INV102029"/>
        <s v="INV102030"/>
        <s v="INV102031"/>
        <s v="INV102032"/>
        <s v="INV102033"/>
        <s v="INV102034"/>
        <s v="INV102035"/>
        <s v="INV102036"/>
        <s v="INV102037"/>
        <s v="INV102038"/>
        <s v="INV102039"/>
        <s v="INV102040"/>
        <s v="INV102041"/>
        <s v="INV102042"/>
        <s v="INV102043"/>
        <s v="INV102044"/>
        <s v="INV102045"/>
        <s v="INV102046"/>
        <s v="INV102047"/>
        <s v="INV102048"/>
        <s v="INV102049"/>
        <s v="INV102050"/>
        <s v="INV102051"/>
        <s v="INV102052"/>
        <s v="INV102053"/>
        <s v="INV102054"/>
        <s v="INV102055"/>
        <s v="INV102056"/>
        <s v="INV102057"/>
        <s v="INV102058"/>
        <s v="INV102059"/>
        <s v="INV102060"/>
        <s v="INV102061"/>
        <s v="INV102062"/>
        <s v="INV102063"/>
        <s v="INV102064"/>
        <s v="INV102065"/>
        <s v="INV102066"/>
        <s v="INV102067"/>
        <s v="INV102068"/>
        <s v="INV102069"/>
        <s v="INV102070"/>
        <s v="INV102071"/>
        <s v="INV102072"/>
        <s v="INV102073"/>
        <s v="INV102074"/>
        <s v="INV102075"/>
        <s v="INV102076"/>
        <s v="INV102077"/>
        <s v="INV102078"/>
        <s v="INV102079"/>
        <s v="INV102080"/>
        <s v="INV102081"/>
        <s v="INV102082"/>
        <s v="INV102083"/>
        <s v="INV102084"/>
        <s v="INV102085"/>
        <s v="INV102086"/>
        <s v="INV102087"/>
        <s v="INV102088"/>
        <s v="INV102089"/>
        <s v="INV102090"/>
        <s v="INV102091"/>
        <s v="INV102092"/>
        <s v="INV102093"/>
        <s v="INV102094"/>
        <s v="INV102095"/>
        <s v="INV102096"/>
        <s v="INV102097"/>
        <s v="INV102098"/>
        <s v="INV102099"/>
        <s v="INV102100"/>
        <s v="INV102101"/>
        <s v="INV102102"/>
        <s v="INV102103"/>
        <s v="INV102104"/>
        <s v="INV102105"/>
        <s v="INV102106"/>
        <s v="INV102107"/>
        <s v="INV102108"/>
        <s v="INV102109"/>
        <s v="INV102110"/>
        <s v="INV102111"/>
        <s v="INV102112"/>
        <s v="INV102113"/>
        <s v="INV102114"/>
        <s v="INV102115"/>
        <s v="INV102116"/>
        <s v="INV102117"/>
        <s v="INV102118"/>
        <s v="INV102119"/>
        <s v="INV102120"/>
        <s v="INV102121"/>
        <s v="INV102122"/>
        <s v="INV102123"/>
        <s v="INV102124"/>
        <s v="INV102125"/>
        <s v="INV102126"/>
        <s v="INV102127"/>
        <s v="INV102128"/>
        <s v="INV102129"/>
        <s v="INV102130"/>
        <s v="INV102131"/>
        <s v="INV102132"/>
        <s v="INV102134"/>
        <s v="INV102135"/>
        <s v="INV102136"/>
        <s v="INV102137"/>
        <s v="INV102138"/>
        <s v="INV102139"/>
        <s v="INV102140"/>
        <s v="INV102141"/>
        <s v="INV102142"/>
        <s v="INV102143"/>
        <s v="INV102144"/>
        <s v="INV102145"/>
        <s v="INV102146"/>
        <s v="INV102147"/>
        <s v="INV102148"/>
        <s v="INV102149"/>
        <s v="INV102150"/>
        <s v="INV102151"/>
        <s v="INV102152"/>
        <s v="INV102153"/>
        <s v="INV102154"/>
        <s v="INV102155"/>
        <s v="INV102156"/>
        <s v="INV102157"/>
        <s v="INV102158"/>
        <s v="INV102159"/>
        <s v="INV102160"/>
        <s v="INV102161"/>
        <s v="INV102162"/>
        <s v="INV102163"/>
        <s v="INV102164"/>
        <s v="INV102165"/>
        <s v="INV102166"/>
        <s v="INV102167"/>
        <s v="INV102168"/>
        <s v="INV102169"/>
        <s v="INV102170"/>
        <s v="INV102171"/>
        <s v="INV102172"/>
        <s v="INV102173"/>
        <s v="INV102174"/>
        <s v="INV102175"/>
        <s v="INV102176"/>
        <s v="INV102177"/>
        <s v="INV102178"/>
        <s v="INV102179"/>
        <s v="INV102180"/>
        <s v="INV102181"/>
        <s v="INV102182"/>
        <s v="INV102183"/>
        <s v="INV102184"/>
        <s v="INV102185"/>
        <s v="INV102186"/>
        <s v="INV102187"/>
        <s v="INV102188"/>
        <s v="INV102189"/>
        <s v="INV102190"/>
        <s v="INV102191"/>
        <s v="INV102192"/>
        <s v="INV102193"/>
        <s v="INV102194"/>
        <s v="INV102195"/>
        <s v="INV102196"/>
        <s v="INV102197"/>
        <s v="INV102198"/>
        <s v="INV102199"/>
        <s v="INV102200"/>
        <s v="INV102201"/>
        <s v="INV102202"/>
        <s v="INV102203"/>
        <s v="INV102204"/>
        <s v="INV102205"/>
        <s v="INV102206"/>
        <s v="INV102207"/>
        <s v="INV102208"/>
        <s v="INV102209"/>
        <s v="INV102210"/>
        <s v="INV102211"/>
        <s v="INV102212"/>
        <s v="INV102213"/>
        <s v="INV102214"/>
        <s v="INV102215"/>
        <s v="INV102216"/>
        <s v="INV102217"/>
        <s v="INV102218"/>
        <s v="INV102219"/>
        <s v="INV102220"/>
        <s v="INV102221"/>
        <s v="INV102222"/>
        <s v="INV102223"/>
        <s v="INV102224"/>
        <s v="INV102225"/>
        <s v="INV102226"/>
        <s v="INV102227"/>
        <s v="INV102228"/>
        <s v="INV102229"/>
        <s v="INV102230"/>
        <s v="INV102231"/>
        <s v="INV102232"/>
        <s v="INV102233"/>
        <s v="INV102234"/>
        <s v="INV102235"/>
        <s v="INV102236"/>
        <s v="INV102237"/>
        <s v="INV102238"/>
        <s v="INV102239"/>
        <s v="INV102240"/>
        <s v="INV102241"/>
        <s v="INV102242"/>
        <s v="INV102243"/>
        <s v="INV102244"/>
        <s v="INV102245"/>
        <s v="INV102246"/>
        <s v="INV102247"/>
        <s v="INV102248"/>
        <s v="INV102249"/>
        <s v="INV102250"/>
        <s v="INV102251"/>
        <s v="INV102252"/>
        <s v="INV102253"/>
        <s v="INV102254"/>
        <s v="INV102255"/>
        <s v="INV102256"/>
        <s v="INV102257"/>
        <s v="INV102258"/>
        <s v="INV102259"/>
        <s v="INV102260"/>
        <s v="INV102261"/>
        <s v="INV102262"/>
        <s v="INV102263"/>
        <s v="INV102264"/>
        <s v="INV102265"/>
        <s v="INV102266"/>
        <s v="INV102267"/>
        <s v="INV102268"/>
        <s v="INV102269"/>
        <s v="INV102270"/>
        <s v="INV102271"/>
        <s v="INV102272"/>
        <s v="INV102273"/>
        <s v="INV102274"/>
        <s v="INV102275"/>
        <s v="INV102276"/>
        <s v="INV102277"/>
        <s v="INV102278"/>
        <s v="INV102279"/>
        <s v="INV102280"/>
        <s v="INV102282"/>
        <s v="INV102283"/>
        <s v="INV102284"/>
        <s v="INV102285"/>
        <s v="INV102286"/>
        <s v="INV102287"/>
        <s v="INV102288"/>
        <s v="INV102289"/>
        <s v="INV102290"/>
        <s v="INV102291"/>
        <s v="INV102292"/>
        <s v="INV102293"/>
        <s v="INV102294"/>
        <s v="INV102295"/>
        <s v="INV102296"/>
        <s v="INV102297"/>
        <s v="INV102298"/>
        <s v="INV102299"/>
        <s v="INV102300"/>
        <s v="INV102301"/>
        <s v="INV102302"/>
        <s v="INV102303"/>
        <s v="INV102304"/>
        <s v="INV102305"/>
        <s v="INV102306"/>
        <s v="INV102307"/>
        <s v="INV102308"/>
        <s v="INV102309"/>
        <s v="INV102310"/>
        <s v="INV102311"/>
        <s v="INV102312"/>
        <s v="INV102313"/>
        <s v="INV102314"/>
        <s v="INV102315"/>
        <s v="INV102316"/>
        <s v="INV102317"/>
        <s v="INV102318"/>
        <s v="INV102319"/>
        <s v="INV102320"/>
        <s v="INV102321"/>
        <s v="INV102322"/>
        <s v="INV102323"/>
        <s v="INV102324"/>
        <s v="INV102325"/>
        <s v="INV102326"/>
        <s v="INV102327"/>
        <s v="INV102328"/>
        <s v="INV102329"/>
        <s v="INV102330"/>
        <s v="INV102331"/>
        <s v="INV102333"/>
        <s v="INV102334"/>
        <s v="INV102335"/>
        <s v="INV102336"/>
        <s v="INV102337"/>
        <s v="INV102338"/>
        <s v="INV102339"/>
        <s v="INV102340"/>
        <s v="INV102341"/>
        <s v="INV102342"/>
        <s v="INV102343"/>
        <s v="INV102344"/>
        <s v="INV102345"/>
        <s v="INV102346"/>
        <s v="INV102347"/>
        <s v="INV102348"/>
        <s v="INV102349"/>
        <s v="INV102350"/>
        <s v="INV102351"/>
        <s v="INV102352"/>
        <s v="INV102353"/>
        <s v="INV102354"/>
        <s v="INV102355"/>
        <s v="INV102356"/>
        <s v="INV102357"/>
        <s v="INV102358"/>
        <s v="INV102359"/>
        <s v="INV102361"/>
        <s v="INV102362"/>
        <s v="INV102363"/>
        <s v="INV102364"/>
        <s v="INV102365"/>
        <s v="INV102366"/>
        <s v="INV102367"/>
        <s v="INV102368"/>
        <s v="INV102369"/>
        <s v="INV102370"/>
        <s v="INV102371"/>
        <s v="INV102372"/>
        <s v="INV102373"/>
        <s v="INV102374"/>
        <s v="INV102375"/>
        <s v="INV102376"/>
        <s v="INV102377"/>
        <s v="INV102378"/>
        <s v="INV102379"/>
        <s v="INV102380"/>
        <s v="INV102381"/>
        <s v="INV102382"/>
        <s v="INV102383"/>
        <s v="INV102384"/>
        <s v="INV102385"/>
        <s v="INV102386"/>
        <s v="INV102387"/>
        <s v="INV102388"/>
        <s v="INV102389"/>
        <s v="INV102390"/>
        <s v="INV102391"/>
        <s v="INV102392"/>
        <s v="INV102393"/>
        <s v="INV102394"/>
        <s v="INV102395"/>
        <s v="INV102396"/>
        <s v="INV102397"/>
        <s v="INV102398"/>
        <s v="INV102399"/>
        <s v="INV102400"/>
        <s v="INV102401"/>
        <s v="INV102402"/>
        <s v="INV102403"/>
        <s v="INV102404"/>
        <s v="INV102405"/>
        <s v="INV102406"/>
        <s v="INV102407"/>
        <s v="INV102408"/>
        <s v="INV102409"/>
        <s v="INV102410"/>
        <s v="INV102411"/>
        <s v="INV102412"/>
        <s v="INV102413"/>
        <s v="INV102414"/>
        <s v="INV102415"/>
        <s v="INV102416"/>
        <s v="INV102417"/>
        <s v="INV102418"/>
        <s v="INV102419"/>
        <s v="INV102420"/>
        <s v="INV102421"/>
        <s v="INV102422"/>
        <s v="INV102423"/>
        <s v="INV102424"/>
        <s v="INV102425"/>
        <s v="INV102426"/>
        <s v="INV102427"/>
        <s v="INV102428"/>
        <s v="INV102429"/>
        <s v="INV102430"/>
        <s v="INV102431"/>
        <s v="INV102432"/>
        <s v="INV102433"/>
        <s v="INV102434"/>
        <s v="INV102435"/>
        <s v="INV102436"/>
        <s v="INV102437"/>
        <s v="INV102438"/>
        <s v="INV102439"/>
        <s v="INV102440"/>
        <s v="INV102441"/>
        <s v="INV102442"/>
        <s v="INV102443"/>
        <s v="INV102444"/>
        <s v="INV102445"/>
        <s v="INV102446"/>
        <s v="INV102447"/>
        <s v="INV102448"/>
        <s v="INV102449"/>
        <s v="INV102450"/>
        <s v="INV102451"/>
        <s v="INV102452"/>
        <s v="INV102453"/>
        <s v="INV102454"/>
        <s v="INV102455"/>
        <s v="INV102456"/>
        <s v="INV102457"/>
        <s v="INV102458"/>
        <s v="INV102459"/>
        <s v="INV102460"/>
        <s v="INV102461"/>
        <s v="INV102462"/>
        <s v="INV102463"/>
        <s v="INV102464"/>
        <s v="INV102465"/>
        <s v="INV102466"/>
        <s v="INV102467"/>
        <s v="INV102468"/>
        <s v="INV102469"/>
        <s v="INV102470"/>
        <s v="INV102471"/>
        <s v="INV102472"/>
        <s v="INV102473"/>
        <s v="INV102474"/>
        <s v="INV102475"/>
        <s v="INV102476"/>
        <s v="INV102477"/>
        <s v="INV102478"/>
        <s v="INV102479"/>
        <s v="INV102480"/>
        <s v="INV102481"/>
        <s v="INV102482"/>
        <s v="INV102483"/>
        <s v="INV102484"/>
        <s v="INV102485"/>
        <s v="INV102486"/>
        <s v="INV102487"/>
        <s v="INV102488"/>
        <s v="INV102489"/>
        <s v="INV102490"/>
        <s v="INV102491"/>
        <s v="INV102492"/>
        <s v="INV102493"/>
        <s v="INV102494"/>
        <s v="INV102495"/>
        <s v="INV102496"/>
        <s v="INV102497"/>
        <s v="INV102498"/>
        <s v="INV102499"/>
        <s v="INV102500"/>
      </sharedItems>
    </cacheField>
    <cacheField name="Transaction_Date" numFmtId="0">
      <sharedItems containsSemiMixedTypes="0" containsString="0" containsNonDate="0" containsDate="1" minDate="2025-03-10T00:00:00" maxDate="2026-03-31T00:00:00" count="363">
        <d v="2025-06-28T00:00:00"/>
        <d v="2026-03-22T00:00:00"/>
        <d v="2025-09-20T00:00:00"/>
        <d v="2025-07-10T00:00:00"/>
        <d v="2025-07-06T00:00:00"/>
        <d v="2025-06-19T00:00:00"/>
        <d v="2025-07-19T00:00:00"/>
        <d v="2026-03-29T00:00:00"/>
        <d v="2025-08-24T00:00:00"/>
        <d v="2025-05-30T00:00:00"/>
        <d v="2025-11-19T00:00:00"/>
        <d v="2026-03-11T00:00:00"/>
        <d v="2025-05-15T00:00:00"/>
        <d v="2025-09-09T00:00:00"/>
        <d v="2025-06-07T00:00:00"/>
        <d v="2025-11-06T00:00:00"/>
        <d v="2025-11-01T00:00:00"/>
        <d v="2026-03-10T00:00:00"/>
        <d v="2025-09-11T00:00:00"/>
        <d v="2025-05-26T00:00:00"/>
        <d v="2026-03-31T00:00:00"/>
        <d v="2025-09-18T00:00:00"/>
        <d v="2025-07-04T00:00:00"/>
        <d v="2025-09-14T00:00:00"/>
        <d v="2026-02-21T00:00:00"/>
        <d v="2025-09-16T00:00:00"/>
        <d v="2025-10-11T00:00:00"/>
        <d v="2025-09-10T00:00:00"/>
        <d v="2025-04-16T00:00:00"/>
        <d v="2025-12-13T00:00:00"/>
        <d v="2025-11-30T00:00:00"/>
        <d v="2026-02-28T00:00:00"/>
        <d v="2025-10-28T00:00:00"/>
        <d v="2025-10-05T00:00:00"/>
        <d v="2025-04-20T00:00:00"/>
        <d v="2025-10-09T00:00:00"/>
        <d v="2026-02-19T00:00:00"/>
        <d v="2025-05-04T00:00:00"/>
        <d v="2026-01-11T00:00:00"/>
        <d v="2025-07-30T00:00:00"/>
        <d v="2025-09-13T00:00:00"/>
        <d v="2026-01-18T00:00:00"/>
        <d v="2025-10-26T00:00:00"/>
        <d v="2025-11-18T00:00:00"/>
        <d v="2025-10-25T00:00:00"/>
        <d v="2026-01-17T00:00:00"/>
        <d v="2025-12-29T00:00:00"/>
        <d v="2025-05-03T00:00:00"/>
        <d v="2025-06-05T00:00:00"/>
        <d v="2025-06-08T00:00:00"/>
        <d v="2025-12-11T00:00:00"/>
        <d v="2025-11-04T00:00:00"/>
        <d v="2025-04-12T00:00:00"/>
        <d v="2026-01-24T00:00:00"/>
        <d v="2025-05-23T00:00:00"/>
        <d v="2025-04-13T00:00:00"/>
        <d v="2025-06-17T00:00:00"/>
        <d v="2025-12-21T00:00:00"/>
        <d v="2026-03-16T00:00:00"/>
        <d v="2026-01-04T00:00:00"/>
        <d v="2026-03-20T00:00:00"/>
        <d v="2025-11-14T00:00:00"/>
        <d v="2025-12-08T00:00:00"/>
        <d v="2025-04-26T00:00:00"/>
        <d v="2025-09-12T00:00:00"/>
        <d v="2025-10-04T00:00:00"/>
        <d v="2025-04-19T00:00:00"/>
        <d v="2025-10-12T00:00:00"/>
        <d v="2025-11-11T00:00:00"/>
        <d v="2025-10-02T00:00:00"/>
        <d v="2025-09-25T00:00:00"/>
        <d v="2026-01-25T00:00:00"/>
        <d v="2026-03-05T00:00:00"/>
        <d v="2025-11-20T00:00:00"/>
        <d v="2025-10-16T00:00:00"/>
        <d v="2025-07-16T00:00:00"/>
        <d v="2025-04-27T00:00:00"/>
        <d v="2025-08-04T00:00:00"/>
        <d v="2025-10-31T00:00:00"/>
        <d v="2026-03-28T00:00:00"/>
        <d v="2025-10-18T00:00:00"/>
        <d v="2025-12-28T00:00:00"/>
        <d v="2025-08-30T00:00:00"/>
        <d v="2026-03-21T00:00:00"/>
        <d v="2025-04-28T00:00:00"/>
        <d v="2025-05-11T00:00:00"/>
        <d v="2025-11-29T00:00:00"/>
        <d v="2025-12-06T00:00:00"/>
        <d v="2026-02-03T00:00:00"/>
        <d v="2025-08-09T00:00:00"/>
        <d v="2026-02-27T00:00:00"/>
        <d v="2026-03-18T00:00:00"/>
        <d v="2025-08-16T00:00:00"/>
        <d v="2025-04-06T00:00:00"/>
        <d v="2025-08-25T00:00:00"/>
        <d v="2025-10-29T00:00:00"/>
        <d v="2025-07-26T00:00:00"/>
        <d v="2025-08-08T00:00:00"/>
        <d v="2025-11-25T00:00:00"/>
        <d v="2025-11-16T00:00:00"/>
        <d v="2025-08-10T00:00:00"/>
        <d v="2025-06-15T00:00:00"/>
        <d v="2025-10-24T00:00:00"/>
        <d v="2025-08-14T00:00:00"/>
        <d v="2026-02-14T00:00:00"/>
        <d v="2025-11-22T00:00:00"/>
        <d v="2025-07-21T00:00:00"/>
        <d v="2025-10-20T00:00:00"/>
        <d v="2025-05-20T00:00:00"/>
        <d v="2026-02-20T00:00:00"/>
        <d v="2026-03-07T00:00:00"/>
        <d v="2025-12-10T00:00:00"/>
        <d v="2025-12-16T00:00:00"/>
        <d v="2025-08-22T00:00:00"/>
        <d v="2026-03-03T00:00:00"/>
        <d v="2025-12-18T00:00:00"/>
        <d v="2025-10-03T00:00:00"/>
        <d v="2025-06-26T00:00:00"/>
        <d v="2025-05-10T00:00:00"/>
        <d v="2026-02-11T00:00:00"/>
        <d v="2025-12-09T00:00:00"/>
        <d v="2025-08-12T00:00:00"/>
        <d v="2025-12-01T00:00:00"/>
        <d v="2025-10-08T00:00:00"/>
        <d v="2025-05-29T00:00:00"/>
        <d v="2025-05-07T00:00:00"/>
        <d v="2025-06-24T00:00:00"/>
        <d v="2025-05-25T00:00:00"/>
        <d v="2025-06-25T00:00:00"/>
        <d v="2026-01-01T00:00:00"/>
        <d v="2025-09-07T00:00:00"/>
        <d v="2025-11-09T00:00:00"/>
        <d v="2026-03-08T00:00:00"/>
        <d v="2025-12-14T00:00:00"/>
        <d v="2026-02-02T00:00:00"/>
        <d v="2026-02-15T00:00:00"/>
        <d v="2025-12-20T00:00:00"/>
        <d v="2026-02-04T00:00:00"/>
        <d v="2025-12-19T00:00:00"/>
        <d v="2025-12-24T00:00:00"/>
        <d v="2025-04-01T00:00:00"/>
        <d v="2025-06-21T00:00:00"/>
        <d v="2025-10-06T00:00:00"/>
        <d v="2026-03-02T00:00:00"/>
        <d v="2025-09-03T00:00:00"/>
        <d v="2025-04-10T00:00:00"/>
        <d v="2025-09-05T00:00:00"/>
        <d v="2025-09-15T00:00:00"/>
        <d v="2026-03-25T00:00:00"/>
        <d v="2025-07-27T00:00:00"/>
        <d v="2025-09-24T00:00:00"/>
        <d v="2025-11-07T00:00:00"/>
        <d v="2025-10-13T00:00:00"/>
        <d v="2025-12-04T00:00:00"/>
        <d v="2025-05-13T00:00:00"/>
        <d v="2025-10-27T00:00:00"/>
        <d v="2025-09-21T00:00:00"/>
        <d v="2026-02-12T00:00:00"/>
        <d v="2025-08-13T00:00:00"/>
        <d v="2025-12-05T00:00:00"/>
        <d v="2025-09-28T00:00:00"/>
        <d v="2026-03-14T00:00:00"/>
        <d v="2025-10-19T00:00:00"/>
        <d v="2025-04-21T00:00:00"/>
        <d v="2025-11-21T00:00:00"/>
        <d v="2025-06-01T00:00:00"/>
        <d v="2025-08-21T00:00:00"/>
        <d v="2026-02-23T00:00:00"/>
        <d v="2025-11-15T00:00:00"/>
        <d v="2025-06-22T00:00:00"/>
        <d v="2025-07-15T00:00:00"/>
        <d v="2026-02-24T00:00:00"/>
        <d v="2025-12-27T00:00:00"/>
        <d v="2026-01-22T00:00:00"/>
        <d v="2025-08-27T00:00:00"/>
        <d v="2025-06-04T00:00:00"/>
        <d v="2025-05-17T00:00:00"/>
        <d v="2025-12-25T00:00:00"/>
        <d v="2025-12-15T00:00:00"/>
        <d v="2025-12-23T00:00:00"/>
        <d v="2026-02-13T00:00:00"/>
        <d v="2025-07-25T00:00:00"/>
        <d v="2025-04-30T00:00:00"/>
        <d v="2025-05-12T00:00:00"/>
        <d v="2025-08-29T00:00:00"/>
        <d v="2025-10-23T00:00:00"/>
        <d v="2025-06-30T00:00:00"/>
        <d v="2026-03-01T00:00:00"/>
        <d v="2025-08-02T00:00:00"/>
        <d v="2025-11-12T00:00:00"/>
        <d v="2025-08-03T00:00:00"/>
        <d v="2025-11-26T00:00:00"/>
        <d v="2025-07-13T00:00:00"/>
        <d v="2025-11-24T00:00:00"/>
        <d v="2025-10-30T00:00:00"/>
        <d v="2025-06-13T00:00:00"/>
        <d v="2025-05-24T00:00:00"/>
        <d v="2025-12-12T00:00:00"/>
        <d v="2025-05-08T00:00:00"/>
        <d v="2025-09-04T00:00:00"/>
        <d v="2025-04-22T00:00:00"/>
        <d v="2026-02-25T00:00:00"/>
        <d v="2025-08-28T00:00:00"/>
        <d v="2025-08-23T00:00:00"/>
        <d v="2025-05-22T00:00:00"/>
        <d v="2025-07-23T00:00:00"/>
        <d v="2025-12-26T00:00:00"/>
        <d v="2026-01-03T00:00:00"/>
        <d v="2025-08-19T00:00:00"/>
        <d v="2025-04-04T00:00:00"/>
        <d v="2025-07-28T00:00:00"/>
        <d v="2025-12-02T00:00:00"/>
        <d v="2026-03-12T00:00:00"/>
        <d v="2025-08-26T00:00:00"/>
        <d v="2025-07-01T00:00:00"/>
        <d v="2025-12-07T00:00:00"/>
        <d v="2025-10-21T00:00:00"/>
        <d v="2025-08-31T00:00:00"/>
        <d v="2025-09-29T00:00:00"/>
        <d v="2025-07-29T00:00:00"/>
        <d v="2025-07-24T00:00:00"/>
        <d v="2025-05-31T00:00:00"/>
        <d v="2025-07-14T00:00:00"/>
        <d v="2026-01-05T00:00:00"/>
        <d v="2026-01-16T00:00:00"/>
        <d v="2025-06-02T00:00:00"/>
        <d v="2025-06-16T00:00:00"/>
        <d v="2025-10-10T00:00:00"/>
        <d v="2025-11-23T00:00:00"/>
        <d v="2026-03-15T00:00:00"/>
        <d v="2025-08-01T00:00:00"/>
        <d v="2025-05-16T00:00:00"/>
        <d v="2026-02-08T00:00:00"/>
        <d v="2025-08-05T00:00:00"/>
        <d v="2025-11-08T00:00:00"/>
        <d v="2025-03-10T00:00:00"/>
        <d v="2025-07-31T00:00:00"/>
        <d v="2025-07-05T00:00:00"/>
        <d v="2025-07-07T00:00:00"/>
        <d v="2025-04-03T00:00:00"/>
        <d v="2025-04-05T00:00:00"/>
        <d v="2026-01-09T00:00:00"/>
        <d v="2026-02-07T00:00:00"/>
        <d v="2025-06-03T00:00:00"/>
        <d v="2025-05-14T00:00:00"/>
        <d v="2025-11-13T00:00:00"/>
        <d v="2025-05-01T00:00:00"/>
        <d v="2025-05-18T00:00:00"/>
        <d v="2025-05-09T00:00:00"/>
        <d v="2025-05-27T00:00:00"/>
        <d v="2025-10-17T00:00:00"/>
        <d v="2026-03-09T00:00:00"/>
        <d v="2025-11-05T00:00:00"/>
        <d v="2025-12-17T00:00:00"/>
        <d v="2026-02-09T00:00:00"/>
        <d v="2025-06-27T00:00:00"/>
        <d v="2025-07-20T00:00:00"/>
        <d v="2025-07-22T00:00:00"/>
        <d v="2025-12-03T00:00:00"/>
        <d v="2025-04-02T00:00:00"/>
        <d v="2025-12-22T00:00:00"/>
        <d v="2026-01-08T00:00:00"/>
        <d v="2025-08-18T00:00:00"/>
        <d v="2025-09-22T00:00:00"/>
        <d v="2026-02-16T00:00:00"/>
        <d v="2025-07-11T00:00:00"/>
        <d v="2025-11-02T00:00:00"/>
        <d v="2025-07-08T00:00:00"/>
        <d v="2025-11-28T00:00:00"/>
        <d v="2025-04-11T00:00:00"/>
        <d v="2025-09-23T00:00:00"/>
        <d v="2026-02-17T00:00:00"/>
        <d v="2025-09-30T00:00:00"/>
        <d v="2025-06-11T00:00:00"/>
        <d v="2025-10-15T00:00:00"/>
        <d v="2025-09-17T00:00:00"/>
        <d v="2026-02-10T00:00:00"/>
        <d v="2025-09-26T00:00:00"/>
        <d v="2026-01-06T00:00:00"/>
        <d v="2026-03-27T00:00:00"/>
        <d v="2026-03-23T00:00:00"/>
        <d v="2025-09-02T00:00:00"/>
        <d v="2025-09-27T00:00:00"/>
        <d v="2026-01-19T00:00:00"/>
        <d v="2025-12-30T00:00:00"/>
        <d v="2025-04-25T00:00:00"/>
        <d v="2025-08-06T00:00:00"/>
        <d v="2025-06-29T00:00:00"/>
        <d v="2026-01-27T00:00:00"/>
        <d v="2026-03-06T00:00:00"/>
        <d v="2026-03-13T00:00:00"/>
        <d v="2025-10-01T00:00:00"/>
        <d v="2025-08-07T00:00:00"/>
        <d v="2025-05-02T00:00:00"/>
        <d v="2025-04-15T00:00:00"/>
        <d v="2025-08-17T00:00:00"/>
        <d v="2026-01-28T00:00:00"/>
        <d v="2025-10-14T00:00:00"/>
        <d v="2025-06-10T00:00:00"/>
        <d v="2026-01-14T00:00:00"/>
        <d v="2025-06-18T00:00:00"/>
        <d v="2025-04-08T00:00:00"/>
        <d v="2025-09-01T00:00:00"/>
        <d v="2025-09-19T00:00:00"/>
        <d v="2025-05-21T00:00:00"/>
        <d v="2025-06-06T00:00:00"/>
        <d v="2025-09-08T00:00:00"/>
        <d v="2026-02-01T00:00:00"/>
        <d v="2025-04-14T00:00:00"/>
        <d v="2025-07-03T00:00:00"/>
        <d v="2025-06-20T00:00:00"/>
        <d v="2025-06-14T00:00:00"/>
        <d v="2026-01-23T00:00:00"/>
        <d v="2025-09-06T00:00:00"/>
        <d v="2026-01-31T00:00:00"/>
        <d v="2026-01-29T00:00:00"/>
        <d v="2026-01-02T00:00:00"/>
        <d v="2025-04-17T00:00:00"/>
        <d v="2026-01-07T00:00:00"/>
        <d v="2026-02-26T00:00:00"/>
        <d v="2025-07-12T00:00:00"/>
        <d v="2025-04-29T00:00:00"/>
        <d v="2026-01-20T00:00:00"/>
        <d v="2025-05-28T00:00:00"/>
        <d v="2025-11-10T00:00:00"/>
        <d v="2026-03-24T00:00:00"/>
        <d v="2026-01-21T00:00:00"/>
        <d v="2025-12-31T00:00:00"/>
        <d v="2025-07-02T00:00:00"/>
        <d v="2026-02-22T00:00:00"/>
        <d v="2025-07-18T00:00:00"/>
        <d v="2026-03-19T00:00:00"/>
        <d v="2025-04-24T00:00:00"/>
        <d v="2025-04-18T00:00:00"/>
        <d v="2025-07-17T00:00:00"/>
        <d v="2025-10-22T00:00:00"/>
        <d v="2025-06-09T00:00:00"/>
        <d v="2025-05-19T00:00:00"/>
        <d v="2026-02-06T00:00:00"/>
        <d v="2026-03-26T00:00:00"/>
        <d v="2026-03-30T00:00:00"/>
        <d v="2025-06-23T00:00:00"/>
        <d v="2026-01-26T00:00:00"/>
        <d v="2025-04-09T00:00:00"/>
        <d v="2025-07-09T00:00:00"/>
        <d v="2025-04-23T00:00:00"/>
        <d v="2025-11-03T00:00:00"/>
        <d v="2026-01-15T00:00:00"/>
        <d v="2025-08-11T00:00:00"/>
        <d v="2025-06-12T00:00:00"/>
        <d v="2026-03-04T00:00:00"/>
        <d v="2026-01-12T00:00:00"/>
        <d v="2026-03-17T00:00:00"/>
        <d v="2025-11-27T00:00:00"/>
        <d v="2025-08-20T00:00:00"/>
        <d v="2025-04-07T00:00:00"/>
        <d v="2026-02-18T00:00:00"/>
        <d v="2025-11-17T00:00:00"/>
        <d v="2026-01-10T00:00:00"/>
        <d v="2025-08-15T00:00:00"/>
        <d v="2026-01-30T00:00:00"/>
        <d v="2025-10-07T00:00:00"/>
        <d v="2025-05-06T00:00:00"/>
      </sharedItems>
      <fieldGroup base="2">
        <rangePr groupBy="months" startDate="2025-03-10T00:00:00" endDate="2026-03-31T00:00:00" groupInterval="1"/>
        <groupItems count="14">
          <s v="&lt;10-03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3-2026"/>
        </groupItems>
      </fieldGroup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Month" numFmtId="0">
      <sharedItems containsSemiMixedTypes="0" containsString="0" containsNumber="1" containsInteger="1" minValue="1" maxValue="12" count="12">
        <n v="6"/>
        <n v="3"/>
        <n v="9"/>
        <n v="7"/>
        <n v="8"/>
        <n v="5"/>
        <n v="11"/>
        <n v="2"/>
        <n v="10"/>
        <n v="4"/>
        <n v="12"/>
        <n v="1"/>
      </sharedItems>
    </cacheField>
    <cacheField name="Month_Name" numFmtId="0">
      <sharedItems count="12">
        <s v="Jun"/>
        <s v="Mar"/>
        <s v="Sep"/>
        <s v="Jul"/>
        <s v="Aug"/>
        <s v="May"/>
        <s v="Nov"/>
        <s v="Feb"/>
        <s v="Oct"/>
        <s v="Apr"/>
        <s v="Dec"/>
        <s v="Jan"/>
      </sharedItems>
    </cacheField>
    <cacheField name="Quarter" numFmtId="0">
      <sharedItems count="4">
        <s v="Q2"/>
        <s v="Q1"/>
        <s v="Q3"/>
        <s v="Q4"/>
      </sharedItems>
    </cacheField>
    <cacheField name="Customer_ID" numFmtId="0">
      <sharedItems count="649">
        <s v="CUST0525"/>
        <s v="CUST0114"/>
        <s v="CUST0438"/>
        <s v="CUST0680"/>
        <s v="CUST0137"/>
        <s v="CUST0384"/>
        <s v="CUST0447"/>
        <s v="CUST0267"/>
        <s v="CUST0151"/>
        <s v="CUST0041"/>
        <s v="UNKNOWN"/>
        <s v="CUST0574"/>
        <s v="CUST0496"/>
        <s v="CUST0362"/>
        <s v="CUST0191"/>
        <s v="CUST0381"/>
        <s v="CUST0633"/>
        <s v="CUST0065"/>
        <s v="CUST0237"/>
        <s v="CUST0589"/>
        <s v="CUST0398"/>
        <s v="CUST0058"/>
        <s v="CUST0150"/>
        <s v="CUST0507"/>
        <s v="CUST0057"/>
        <s v="CUST0611"/>
        <s v="CUST0051"/>
        <s v="CUST0523"/>
        <s v="CUST0344"/>
        <s v="CUST0545"/>
        <s v="CUST0361"/>
        <s v="CUST0023"/>
        <s v="CUST0464"/>
        <s v="CUST0641"/>
        <s v="CUST0542"/>
        <s v="CUST0212"/>
        <s v="CUST0572"/>
        <s v="CUST0394"/>
        <s v="CUST0231"/>
        <s v="CUST0309"/>
        <s v="CUST0006"/>
        <s v="CUST0165"/>
        <s v="CUST0664"/>
        <s v="CUST0505"/>
        <s v="CUST0676"/>
        <s v="CUST0221"/>
        <s v="CUST0445"/>
        <s v="CUST0205"/>
        <s v="CUST0106"/>
        <s v="CUST0179"/>
        <s v="CUST0178"/>
        <s v="CUST0462"/>
        <s v="CUST0067"/>
        <s v="CUST0140"/>
        <s v="CUST0493"/>
        <s v="CUST0168"/>
        <s v="CUST0499"/>
        <s v="CUST0100"/>
        <s v="CUST0653"/>
        <s v="CUST0481"/>
        <s v="CUST0389"/>
        <s v="CUST0634"/>
        <s v="CUST0246"/>
        <s v="CUST0468"/>
        <s v="CUST0636"/>
        <s v="CUST0074"/>
        <s v="CUST0118"/>
        <s v="CUST0475"/>
        <s v="CUST0177"/>
        <s v="CUST0473"/>
        <s v="CUST0414"/>
        <s v="CUST0197"/>
        <s v="CUST0284"/>
        <s v="CUST0567"/>
        <s v="CUST0206"/>
        <s v="CUST0133"/>
        <s v="CUST0647"/>
        <s v="CUST0654"/>
        <s v="CUST0279"/>
        <s v="CUST0125"/>
        <s v="CUST0501"/>
        <s v="CUST0450"/>
        <s v="CUST0380"/>
        <s v="CUST0502"/>
        <s v="CUST0216"/>
        <s v="CUST0613"/>
        <s v="CUST0368"/>
        <s v="CUST0420"/>
        <s v="CUST0028"/>
        <s v="CUST0263"/>
        <s v="CUST0551"/>
        <s v="CUST0063"/>
        <s v="CUST0396"/>
        <s v="CUST0684"/>
        <s v="CUST0568"/>
        <s v="CUST0060"/>
        <s v="CUST0594"/>
        <s v="CUST0129"/>
        <s v="CUST0402"/>
        <s v="CUST0405"/>
        <s v="CUST0183"/>
        <s v="CUST0014"/>
        <s v="CUST0036"/>
        <s v="CUST0346"/>
        <s v="CUST0345"/>
        <s v="CUST0289"/>
        <s v="CUST0040"/>
        <s v="CUST0369"/>
        <s v="CUST0119"/>
        <s v="CUST0024"/>
        <s v="CUST0418"/>
        <s v="CUST0333"/>
        <s v="CUST0280"/>
        <s v="CUST0147"/>
        <s v="CUST0017"/>
        <s v="CUST0055"/>
        <s v="CUST0022"/>
        <s v="CUST0086"/>
        <s v="CUST0620"/>
        <s v="CUST0207"/>
        <s v="CUST0573"/>
        <s v="CUST0271"/>
        <s v="CUST0655"/>
        <s v="CUST0540"/>
        <s v="CUST0638"/>
        <s v="CUST0233"/>
        <s v="CUST0010"/>
        <s v="CUST0232"/>
        <s v="CUST0416"/>
        <s v="CUST0541"/>
        <s v="CUST0257"/>
        <s v="CUST0546"/>
        <s v="CUST0062"/>
        <s v="CUST0270"/>
        <s v="CUST0691"/>
        <s v="CUST0308"/>
        <s v="CUST0047"/>
        <s v="CUST0614"/>
        <s v="CUST0011"/>
        <s v="CUST0631"/>
        <s v="CUST0330"/>
        <s v="CUST0669"/>
        <s v="CUST0453"/>
        <s v="CUST0337"/>
        <s v="CUST0059"/>
        <s v="CUST0503"/>
        <s v="CUST0578"/>
        <s v="CUST0645"/>
        <s v="CUST0519"/>
        <s v="CUST0657"/>
        <s v="CUST0692"/>
        <s v="CUST0277"/>
        <s v="CUST0596"/>
        <s v="CUST0203"/>
        <s v="CUST0577"/>
        <s v="CUST0406"/>
        <s v="CUST0605"/>
        <s v="CUST0095"/>
        <s v="CUST0171"/>
        <s v="CUST0027"/>
        <s v="CUST0506"/>
        <s v="CUST0283"/>
        <s v="CUST0255"/>
        <s v="CUST0287"/>
        <s v="CUST0360"/>
        <s v="CUST0686"/>
        <s v="CUST0094"/>
        <s v="CUST0101"/>
        <s v="CUST0253"/>
        <s v="CUST0485"/>
        <s v="CUST0335"/>
        <s v="CUST0570"/>
        <s v="CUST0618"/>
        <s v="CUST0138"/>
        <s v="CUST0353"/>
        <s v="CUST0336"/>
        <s v="CUST0188"/>
        <s v="CUST0375"/>
        <s v="CUST0325"/>
        <s v="CUST0200"/>
        <s v="CUST0235"/>
        <s v="CUST0088"/>
        <s v="CUST0494"/>
        <s v="CUST0535"/>
        <s v="CUST0209"/>
        <s v="CUST0415"/>
        <s v="CUST0442"/>
        <s v="CUST0111"/>
        <s v="CUST0297"/>
        <s v="CUST0288"/>
        <s v="CUST0580"/>
        <s v="CUST0486"/>
        <s v="CUST0141"/>
        <s v="CUST0372"/>
        <s v="CUST0446"/>
        <s v="CUST0112"/>
        <s v="CUST0045"/>
        <s v="CUST0576"/>
        <s v="CUST0298"/>
        <s v="CUST0591"/>
        <s v="CUST0524"/>
        <s v="CUST0052"/>
        <s v="CUST0599"/>
        <s v="CUST0153"/>
        <s v="CUST0579"/>
        <s v="CUST0455"/>
        <s v="CUST0459"/>
        <s v="CUST0228"/>
        <s v="CUST0031"/>
        <s v="CUST0081"/>
        <s v="CUST0467"/>
        <s v="CUST0187"/>
        <s v="CUST0642"/>
        <s v="CUST0427"/>
        <s v="CUST0412"/>
        <s v="CUST0443"/>
        <s v="CUST0658"/>
        <s v="CUST0082"/>
        <s v="CUST0092"/>
        <s v="CUST0046"/>
        <s v="CUST0005"/>
        <s v="CUST0254"/>
        <s v="CUST0132"/>
        <s v="CUST0300"/>
        <s v="CUST0156"/>
        <s v="CUST0554"/>
        <s v="CUST0320"/>
        <s v="CUST0113"/>
        <s v="CUST0666"/>
        <s v="CUST0470"/>
        <s v="CUST0025"/>
        <s v="CUST0490"/>
        <s v="CUST0571"/>
        <s v="CUST0517"/>
        <s v="CUST0192"/>
        <s v="CUST0403"/>
        <s v="CUST0668"/>
        <s v="CUST0190"/>
        <s v="CUST0689"/>
        <s v="CUST0637"/>
        <s v="CUST0437"/>
        <s v="CUST0529"/>
        <s v="CUST0181"/>
        <s v="CUST0260"/>
        <s v="CUST0659"/>
        <s v="CUST0029"/>
        <s v="CUST0244"/>
        <s v="CUST0497"/>
        <s v="CUST0581"/>
        <s v="CUST0202"/>
        <s v="CUST0068"/>
        <s v="CUST0397"/>
        <s v="CUST0604"/>
        <s v="CUST0035"/>
        <s v="CUST0136"/>
        <s v="CUST0435"/>
        <s v="CUST0518"/>
        <s v="CUST0395"/>
        <s v="CUST0457"/>
        <s v="CUST0174"/>
        <s v="CUST0020"/>
        <s v="CUST0661"/>
        <s v="CUST0350"/>
        <s v="CUST0307"/>
        <s v="CUST0219"/>
        <s v="CUST0303"/>
        <s v="CUST0340"/>
        <s v="CUST0694"/>
        <s v="CUST0172"/>
        <s v="CUST0049"/>
        <s v="CUST0167"/>
        <s v="CUST0422"/>
        <s v="CUST0198"/>
        <s v="CUST0673"/>
        <s v="CUST0477"/>
        <s v="CUST0296"/>
        <s v="CUST0433"/>
        <s v="CUST0621"/>
        <s v="CUST0595"/>
        <s v="CUST0451"/>
        <s v="CUST0622"/>
        <s v="CUST0586"/>
        <s v="CUST0534"/>
        <s v="CUST0592"/>
        <s v="CUST0210"/>
        <s v="CUST0461"/>
        <s v="CUST0250"/>
        <s v="CUST0075"/>
        <s v="CUST0054"/>
        <s v="CUST0053"/>
        <s v="CUST0454"/>
        <s v="CUST0683"/>
        <s v="CUST0096"/>
        <s v="CUST0021"/>
        <s v="CUST0328"/>
        <s v="CUST0500"/>
        <s v="CUST0670"/>
        <s v="CUST0665"/>
        <s v="CUST0160"/>
        <s v="CUST0269"/>
        <s v="CUST0679"/>
        <s v="CUST0555"/>
        <s v="CUST0030"/>
        <s v="CUST0424"/>
        <s v="CUST0227"/>
        <s v="CUST0056"/>
        <s v="CUST0610"/>
        <s v="CUST0351"/>
        <s v="CUST0008"/>
        <s v="CUST0413"/>
        <s v="CUST0508"/>
        <s v="CUST0386"/>
        <s v="CUST0617"/>
        <s v="CUST0480"/>
        <s v="CUST0516"/>
        <s v="CUST0520"/>
        <s v="CUST0318"/>
        <s v="CUST0158"/>
        <s v="CUST0526"/>
        <s v="CUST0643"/>
        <s v="CUST0682"/>
        <s v="CUST0324"/>
        <s v="CUST0184"/>
        <s v="CUST0122"/>
        <s v="CUST0528"/>
        <s v="CUST0600"/>
        <s v="CUST0329"/>
        <s v="CUST0671"/>
        <s v="CUST0225"/>
        <s v="CUST0285"/>
        <s v="CUST0479"/>
        <s v="CUST0685"/>
        <s v="CUST0560"/>
        <s v="CUST0569"/>
        <s v="CUST0236"/>
        <s v="CUST0452"/>
        <s v="CUST0612"/>
        <s v="CUST0444"/>
        <s v="CUST0515"/>
        <s v="CUST0635"/>
        <s v="CUST0514"/>
        <s v="CUST0090"/>
        <s v="CUST0078"/>
        <s v="CUST0625"/>
        <s v="CUST0558"/>
        <s v="CUST0123"/>
        <s v="CUST0162"/>
        <s v="CUST0173"/>
        <s v="CUST0363"/>
        <s v="CUST0697"/>
        <s v="CUST0410"/>
        <s v="CUST0498"/>
        <s v="CUST0071"/>
        <s v="CUST0110"/>
        <s v="CUST0195"/>
        <s v="CUST0378"/>
        <s v="CUST0695"/>
        <s v="CUST0061"/>
        <s v="CUST0099"/>
        <s v="CUST0677"/>
        <s v="CUST0370"/>
        <s v="CUST0474"/>
        <s v="CUST0559"/>
        <s v="CUST0698"/>
        <s v="CUST0089"/>
        <s v="CUST0699"/>
        <s v="CUST0224"/>
        <s v="CUST0327"/>
        <s v="CUST0161"/>
        <s v="CUST0356"/>
        <s v="CUST0632"/>
        <s v="CUST0230"/>
        <s v="CUST0449"/>
        <s v="CUST0259"/>
        <s v="CUST0130"/>
        <s v="CUST0548"/>
        <s v="CUST0037"/>
        <s v="CUST0215"/>
        <s v="CUST0425"/>
        <s v="CUST0313"/>
        <s v="CUST0149"/>
        <s v="CUST0602"/>
        <s v="CUST0522"/>
        <s v="CUST0660"/>
        <s v="CUST0373"/>
        <s v="CUST0536"/>
        <s v="CUST0223"/>
        <s v="CUST0627"/>
        <s v="CUST0069"/>
        <s v="CUST0409"/>
        <s v="CUST0315"/>
        <s v="CUST0436"/>
        <s v="CUST0264"/>
        <s v="CUST0379"/>
        <s v="CUST0317"/>
        <s v="CUST0116"/>
        <s v="CUST0194"/>
        <s v="CUST0185"/>
        <s v="CUST0640"/>
        <s v="CUST0304"/>
        <s v="CUST0083"/>
        <s v="CUST0186"/>
        <s v="CUST0152"/>
        <s v="CUST0242"/>
        <s v="CUST0615"/>
        <s v="CUST0690"/>
        <s v="CUST0286"/>
        <s v="CUST0115"/>
        <s v="CUST0463"/>
        <s v="CUST0310"/>
        <s v="CUST0630"/>
        <s v="CUST0343"/>
        <s v="CUST0262"/>
        <s v="CUST0587"/>
        <s v="CUST0105"/>
        <s v="CUST0539"/>
        <s v="CUST0258"/>
        <s v="CUST0169"/>
        <s v="CUST0616"/>
        <s v="CUST0484"/>
        <s v="CUST0489"/>
        <s v="CUST0400"/>
        <s v="CUST0531"/>
        <s v="CUST0590"/>
        <s v="CUST0341"/>
        <s v="CUST0042"/>
        <s v="CUST0139"/>
        <s v="CUST0084"/>
        <s v="CUST0487"/>
        <s v="CUST0439"/>
        <s v="CUST0076"/>
        <s v="CUST0352"/>
        <s v="CUST0034"/>
        <s v="CUST0064"/>
        <s v="CUST0252"/>
        <s v="CUST0512"/>
        <s v="CUST0584"/>
        <s v="CUST0002"/>
        <s v="CUST0331"/>
        <s v="CUST0305"/>
        <s v="CUST0354"/>
        <s v="CUST0091"/>
        <s v="CUST0204"/>
        <s v="CUST0609"/>
        <s v="CUST0274"/>
        <s v="CUST0693"/>
        <s v="CUST0103"/>
        <s v="CUST0085"/>
        <s v="CUST0629"/>
        <s v="CUST0282"/>
        <s v="CUST0146"/>
        <s v="CUST0323"/>
        <s v="CUST0292"/>
        <s v="CUST0392"/>
        <s v="CUST0565"/>
        <s v="CUST0108"/>
        <s v="CUST0319"/>
        <s v="CUST0018"/>
        <s v="CUST0448"/>
        <s v="CUST0672"/>
        <s v="CUST0293"/>
        <s v="CUST0347"/>
        <s v="CUST0472"/>
        <s v="CUST0456"/>
        <s v="CUST0275"/>
        <s v="CUST0550"/>
        <s v="CUST0511"/>
        <s v="CUST0299"/>
        <s v="CUST0390"/>
        <s v="CUST0338"/>
        <s v="CUST0553"/>
        <s v="CUST0562"/>
        <s v="CUST0281"/>
        <s v="CUST0342"/>
        <s v="CUST0674"/>
        <s v="CUST0367"/>
        <s v="CUST0121"/>
        <s v="CUST0044"/>
        <s v="CUST0675"/>
        <s v="CUST0383"/>
        <s v="CUST0365"/>
        <s v="CUST0603"/>
        <s v="CUST0311"/>
        <s v="CUST0482"/>
        <s v="CUST0039"/>
        <s v="CUST0564"/>
        <s v="CUST0144"/>
        <s v="CUST0033"/>
        <s v="CUST0544"/>
        <s v="CUST0364"/>
        <s v="CUST0663"/>
        <s v="CUST0302"/>
        <s v="CUST0510"/>
        <s v="CUST0431"/>
        <s v="CUST0650"/>
        <s v="CUST0175"/>
        <s v="CUST0399"/>
        <s v="CUST0135"/>
        <s v="CUST0211"/>
        <s v="CUST0681"/>
        <s v="CUST0440"/>
        <s v="CUST0199"/>
        <s v="CUST0077"/>
        <s v="CUST0428"/>
        <s v="CUST0295"/>
        <s v="CUST0007"/>
        <s v="CUST0538"/>
        <s v="CUST0465"/>
        <s v="CUST0530"/>
        <s v="CUST0585"/>
        <s v="CUST0483"/>
        <s v="CUST0646"/>
        <s v="CUST0619"/>
        <s v="CUST0404"/>
        <s v="CUST0127"/>
        <s v="CUST0155"/>
        <s v="CUST0583"/>
        <s v="CUST0243"/>
        <s v="CUST0408"/>
        <s v="CUST0163"/>
        <s v="CUST0401"/>
        <s v="CUST0421"/>
        <s v="CUST0371"/>
        <s v="CUST0434"/>
        <s v="CUST0142"/>
        <s v="CUST0180"/>
        <s v="CUST0547"/>
        <s v="CUST0504"/>
        <s v="CUST0189"/>
        <s v="CUST0222"/>
        <s v="CUST0417"/>
        <s v="CUST0598"/>
        <s v="CUST0532"/>
        <s v="CUST0294"/>
        <s v="CUST0001"/>
        <s v="CUST0458"/>
        <s v="CUST0214"/>
        <s v="CUST0312"/>
        <s v="CUST0126"/>
        <s v="CUST0248"/>
        <s v="CUST0667"/>
        <s v="CUST0009"/>
        <s v="CUST0247"/>
        <s v="CUST0193"/>
        <s v="CUST0182"/>
        <s v="CUST0639"/>
        <s v="CUST0229"/>
        <s v="CUST0527"/>
        <s v="CUST0087"/>
        <s v="CUST0157"/>
        <s v="CUST0495"/>
        <s v="CUST0107"/>
        <s v="CUST0072"/>
        <s v="CUST0429"/>
        <s v="CUST0070"/>
        <s v="CUST0321"/>
        <s v="CUST0109"/>
        <s v="CUST0032"/>
        <s v="CUST0201"/>
        <s v="CUST0015"/>
        <s v="CUST0249"/>
        <s v="CUST0131"/>
        <s v="CUST0419"/>
        <s v="CUST0566"/>
        <s v="CUST0238"/>
        <s v="CUST0097"/>
        <s v="CUST0349"/>
        <s v="CUST0426"/>
        <s v="CUST0266"/>
        <s v="CUST0291"/>
        <s v="CUST0662"/>
        <s v="CUST0441"/>
        <s v="CUST0278"/>
        <s v="CUST0407"/>
        <s v="CUST0488"/>
        <s v="CUST0357"/>
        <s v="CUST0651"/>
        <s v="CUST0256"/>
        <s v="CUST0290"/>
        <s v="CUST0491"/>
        <s v="CUST0549"/>
        <s v="CUST0471"/>
        <s v="CUST0561"/>
        <s v="CUST0080"/>
        <s v="CUST0124"/>
        <s v="CUST0143"/>
        <s v="CUST0597"/>
        <s v="CUST0234"/>
        <s v="CUST0316"/>
        <s v="CUST0556"/>
        <s v="CUST0588"/>
        <s v="CUST0120"/>
        <s v="CUST0607"/>
        <s v="CUST0582"/>
        <s v="CUST0134"/>
        <s v="CUST0104"/>
        <s v="CUST0628"/>
        <s v="CUST0251"/>
        <s v="CUST0066"/>
        <s v="CUST0239"/>
        <s v="CUST0513"/>
        <s v="CUST0159"/>
        <s v="CUST0154"/>
        <s v="CUST0688"/>
        <s v="CUST0543"/>
        <s v="CUST0048"/>
        <s v="CUST0644"/>
        <s v="CUST0145"/>
        <s v="CUST0509"/>
        <s v="CUST0678"/>
        <s v="CUST0102"/>
        <s v="CUST0268"/>
        <s v="CUST0334"/>
        <s v="CUST0043"/>
        <s v="CUST0492"/>
        <s v="CUST0537"/>
        <s v="CUST0652"/>
        <s v="CUST0026"/>
        <s v="CUST0276"/>
        <s v="CUST0016"/>
        <s v="CUST0117"/>
        <s v="CUST0012"/>
        <s v="CUST0073"/>
        <s v="CUST0176"/>
        <s v="CUST0093"/>
        <s v="CUST0377"/>
        <s v="CUST0004"/>
        <s v="CUST0563"/>
        <s v="CUST0272"/>
        <s v="CUST0322"/>
        <s v="CUST0385"/>
        <s v="CUST0624"/>
        <s v="CUST0359"/>
        <s v="CUST0220"/>
        <s v="CUST0552"/>
        <s v="CUST0306"/>
        <s v="CUST0700"/>
        <s v="CUST0656"/>
        <s v="CUST0648"/>
        <s v="CUST0593"/>
        <s v="CUST0326"/>
        <s v="CUST0355"/>
        <s v="CUST0038"/>
        <s v="CUST0208"/>
        <s v="CUST0170"/>
        <s v="CUST0606"/>
        <s v="CUST0265"/>
        <s v="CUST0387"/>
        <s v="CUST0098"/>
      </sharedItems>
    </cacheField>
    <cacheField name="Product_ID" numFmtId="0">
      <sharedItems count="151">
        <s v="PRD138"/>
        <s v="PRD019"/>
        <s v="PRD119"/>
        <s v="PRD004"/>
        <s v="PRD024"/>
        <s v="PRD031"/>
        <s v="PRD030"/>
        <s v="PRD105"/>
        <s v="PRD079"/>
        <s v="PRD021"/>
        <s v="PRD142"/>
        <s v="PRD014"/>
        <s v="PRD016"/>
        <s v="PRD128"/>
        <s v="PRD032"/>
        <s v="PRD022"/>
        <s v="PRD135"/>
        <s v="PRD131"/>
        <s v="PRD007"/>
        <s v="PRD029"/>
        <s v="PRD108"/>
        <s v="PRD104"/>
        <s v="PRD111"/>
        <s v="PRD103"/>
        <s v="PRD033"/>
        <s v="PRD124"/>
        <s v="PRD096"/>
        <s v="PRD051"/>
        <s v="PRD005"/>
        <s v="PRD061"/>
        <s v="PRD049"/>
        <s v="PRD012"/>
        <s v="PRD133"/>
        <s v="PRD121"/>
        <s v="PRD125"/>
        <s v="PRD025"/>
        <s v="PRD118"/>
        <s v="PRD050"/>
        <s v="PRD034"/>
        <s v="PRD063"/>
        <s v="PRD143"/>
        <s v="PRD059"/>
        <s v="PRD006"/>
        <s v="PRD008"/>
        <s v="PRD026"/>
        <s v="PRD147"/>
        <s v="PRD102"/>
        <s v="PRD037"/>
        <s v="PRD067"/>
        <s v="PRD062"/>
        <s v="PRD134"/>
        <s v="PRD015"/>
        <s v="PRD028"/>
        <s v="PRD071"/>
        <s v="PRD085"/>
        <s v="PRD098"/>
        <s v="PRD020"/>
        <s v="PRD002"/>
        <s v="PRD001"/>
        <s v="PRD093"/>
        <s v="PRD100"/>
        <s v="PRD089"/>
        <s v="PRD076"/>
        <s v="PRD097"/>
        <s v="PRD087"/>
        <s v="PRD003"/>
        <s v="PRD018"/>
        <s v="PRD099"/>
        <s v="PRD035"/>
        <s v="PRD110"/>
        <s v="PRD088"/>
        <s v="PRD055"/>
        <s v="PRD112"/>
        <s v="PRD064"/>
        <s v="PRD084"/>
        <s v="PRD066"/>
        <s v="PRD052"/>
        <s v="PRD141"/>
        <s v="PRD027"/>
        <s v="PRD095"/>
        <s v="PRD058"/>
        <s v="PRD086"/>
        <s v="PRD136"/>
        <s v="PRD127"/>
        <s v="PRD092"/>
        <s v="PRD115"/>
        <s v="PRD109"/>
        <s v="PRD101"/>
        <s v="PRD047"/>
        <s v="PRD013"/>
        <s v="UNKNOWN"/>
        <s v="PRD091"/>
        <s v="PRD106"/>
        <s v="PRD009"/>
        <s v="PRD011"/>
        <s v="PRD040"/>
        <s v="PRD137"/>
        <s v="PRD041"/>
        <s v="PRD072"/>
        <s v="PRD077"/>
        <s v="PRD149"/>
        <s v="PRD094"/>
        <s v="PRD054"/>
        <s v="PRD080"/>
        <s v="PRD150"/>
        <s v="PRD053"/>
        <s v="PRD082"/>
        <s v="PRD083"/>
        <s v="PRD090"/>
        <s v="PRD017"/>
        <s v="PRD132"/>
        <s v="PRD056"/>
        <s v="PRD038"/>
        <s v="PRD078"/>
        <s v="PRD065"/>
        <s v="PRD075"/>
        <s v="PRD107"/>
        <s v="PRD126"/>
        <s v="PRD069"/>
        <s v="PRD048"/>
        <s v="PRD114"/>
        <s v="PRD120"/>
        <s v="PRD010"/>
        <s v="PRD113"/>
        <s v="PRD129"/>
        <s v="PRD044"/>
        <s v="PRD081"/>
        <s v="PRD057"/>
        <s v="PRD123"/>
        <s v="PRD122"/>
        <s v="PRD146"/>
        <s v="PRD068"/>
        <s v="PRD070"/>
        <s v="PRD144"/>
        <s v="PRD023"/>
        <s v="PRD117"/>
        <s v="PRD043"/>
        <s v="PRD148"/>
        <s v="PRD140"/>
        <s v="PRD039"/>
        <s v="PRD073"/>
        <s v="PRD045"/>
        <s v="PRD139"/>
        <s v="PRD116"/>
        <s v="PRD046"/>
        <s v="PRD060"/>
        <s v="PRD042"/>
        <s v="PRD036"/>
        <s v="PRD130"/>
        <s v="PRD145"/>
        <s v="PRD074"/>
      </sharedItems>
    </cacheField>
    <cacheField name="Store_ID" numFmtId="0">
      <sharedItems count="179">
        <s v="STR051"/>
        <s v="STR082"/>
        <s v="STR008"/>
        <s v="STR100"/>
        <s v="STR127"/>
        <s v="STR025"/>
        <s v="STR059"/>
        <s v="STR019"/>
        <s v="STR062"/>
        <s v="STR071"/>
        <s v="STR084"/>
        <s v="STR158"/>
        <s v="STR042"/>
        <s v="STR060"/>
        <s v="STR005"/>
        <s v="STR091"/>
        <s v="STR075"/>
        <s v="STR114"/>
        <s v="STR027"/>
        <s v="STR053"/>
        <s v="STR049"/>
        <s v="STR020"/>
        <s v="STR173"/>
        <s v="STR001"/>
        <s v="STR104"/>
        <s v="STR086"/>
        <s v="STR043"/>
        <s v="STR088"/>
        <s v="STR017"/>
        <s v="STR077"/>
        <s v="STR072"/>
        <s v="STR015"/>
        <s v="STR034"/>
        <s v="STR032"/>
        <s v="STR022"/>
        <s v="STR087"/>
        <s v="STR026"/>
        <s v="STR122"/>
        <s v="STR124"/>
        <s v="STR044"/>
        <s v="STR050"/>
        <s v="STR035"/>
        <s v="STR039"/>
        <s v="STR069"/>
        <s v="STR144"/>
        <s v="STR068"/>
        <s v="STR092"/>
        <s v="STR006"/>
        <s v="STR003"/>
        <s v="STR089"/>
        <s v="STR047"/>
        <s v="STR136"/>
        <s v="STR033"/>
        <s v="STR141"/>
        <s v="STR048"/>
        <s v="STR138"/>
        <s v="STR012"/>
        <s v="STR076"/>
        <s v="STR031"/>
        <s v="STR045"/>
        <s v="STR130"/>
        <s v="STR013"/>
        <s v="STR139"/>
        <s v="STR004"/>
        <s v="STR155"/>
        <s v="STR131"/>
        <s v="STR079"/>
        <s v="STR175"/>
        <s v="STR099"/>
        <s v="STR145"/>
        <s v="STR120"/>
        <s v="STR119"/>
        <s v="STR018"/>
        <s v="STR030"/>
        <s v="STR037"/>
        <s v="STR097"/>
        <s v="STR101"/>
        <s v="STR160"/>
        <s v="STR016"/>
        <s v="STR132"/>
        <s v="STR014"/>
        <s v="STR024"/>
        <s v="STR085"/>
        <s v="STR010"/>
        <s v="STR081"/>
        <s v="STR162"/>
        <s v="STR123"/>
        <s v="STR098"/>
        <s v="STR106"/>
        <s v="STR110"/>
        <s v="STR070"/>
        <s v="STR140"/>
        <s v="STR143"/>
        <s v="STR118"/>
        <s v="STR109"/>
        <s v="STR002"/>
        <s v="STR108"/>
        <s v="STR165"/>
        <s v="STR073"/>
        <s v="STR007"/>
        <s v="STR038"/>
        <s v="STR167"/>
        <s v="STR074"/>
        <s v="STR095"/>
        <s v="STR125"/>
        <s v="STR134"/>
        <s v="STR052"/>
        <s v="STR021"/>
        <s v="STR064"/>
        <s v="STR180"/>
        <s v="STR113"/>
        <s v="STR159"/>
        <s v="STR055"/>
        <s v="STR029"/>
        <s v="STR023"/>
        <s v="STR028"/>
        <s v="STR096"/>
        <s v="STR148"/>
        <s v="STR121"/>
        <s v="STR011"/>
        <s v="STR171"/>
        <s v="STR151"/>
        <s v="STR040"/>
        <s v="STR067"/>
        <s v="STR046"/>
        <s v="STR163"/>
        <s v="STR154"/>
        <s v="STR107"/>
        <s v="STR041"/>
        <s v="STR103"/>
        <s v="STR080"/>
        <s v="STR157"/>
        <s v="STR135"/>
        <s v="STR058"/>
        <s v="STR150"/>
        <s v="STR172"/>
        <s v="STR078"/>
        <s v="STR056"/>
        <s v="STR102"/>
        <s v="STR111"/>
        <s v="STR090"/>
        <s v="STR057"/>
        <s v="STR065"/>
        <s v="STR105"/>
        <s v="STR036"/>
        <s v="STR147"/>
        <s v="STR061"/>
        <s v="STR174"/>
        <s v="STR133"/>
        <s v="STR126"/>
        <s v="STR009"/>
        <s v="STR112"/>
        <s v="STR094"/>
        <s v="STR117"/>
        <s v="STR115"/>
        <s v="STR164"/>
        <s v="STR178"/>
        <s v="STR179"/>
        <s v="STR054"/>
        <s v="STR063"/>
        <s v="STR152"/>
        <s v="STR083"/>
        <s v="STR153"/>
        <s v="STR161"/>
        <s v="STR176"/>
        <s v="STR129"/>
        <s v="STR149"/>
        <s v="STR128"/>
        <s v="STR170"/>
        <s v="STR146"/>
        <s v="STR142"/>
        <s v="STR177"/>
        <s v="STR137"/>
        <s v="UNKNOWN"/>
        <s v="STR116"/>
        <s v="STR093"/>
        <s v="STR156"/>
        <s v="STR168"/>
        <s v="STR169"/>
      </sharedItems>
    </cacheField>
    <cacheField name="Employee_ID" numFmtId="0">
      <sharedItems count="345">
        <s v="EMP0333"/>
        <s v="EMP0115"/>
        <s v="EMP0249"/>
        <s v="EMP0324"/>
        <s v="EMP0225"/>
        <s v="EMP0281"/>
        <s v="EMP0015"/>
        <s v="EMP0273"/>
        <s v="EMP0350"/>
        <s v="EMP0189"/>
        <s v="EMP0288"/>
        <s v="EMP0107"/>
        <s v="EMP0261"/>
        <s v="EMP0294"/>
        <s v="EMP0127"/>
        <s v="EMP0280"/>
        <s v="EMP0300"/>
        <s v="EMP0276"/>
        <s v="EMP0143"/>
        <s v="EMP0007"/>
        <s v="EMP0017"/>
        <s v="EMP0029"/>
        <s v="EMP0019"/>
        <s v="EMP0048"/>
        <s v="EMP0067"/>
        <s v="EMP0183"/>
        <s v="EMP0263"/>
        <s v="EMP0167"/>
        <s v="EMP0229"/>
        <s v="EMP0092"/>
        <s v="EMP0030"/>
        <s v="EMP0124"/>
        <s v="EMP0284"/>
        <s v="EMP0278"/>
        <s v="EMP0059"/>
        <s v="EMP0133"/>
        <s v="EMP0222"/>
        <s v="EMP0253"/>
        <s v="EMP0262"/>
        <s v="EMP0349"/>
        <s v="EMP0164"/>
        <s v="EMP0239"/>
        <s v="EMP0208"/>
        <s v="EMP0210"/>
        <s v="EMP0158"/>
        <s v="EMP0061"/>
        <s v="EMP0248"/>
        <s v="EMP0047"/>
        <s v="EMP0233"/>
        <s v="EMP0122"/>
        <s v="EMP0148"/>
        <s v="EMP0265"/>
        <s v="EMP0245"/>
        <s v="EMP0105"/>
        <s v="EMP0190"/>
        <s v="EMP0108"/>
        <s v="EMP0070"/>
        <s v="EMP0024"/>
        <s v="EMP0213"/>
        <s v="EMP0312"/>
        <s v="EMP0125"/>
        <s v="EMP0142"/>
        <s v="EMP0033"/>
        <s v="EMP0099"/>
        <s v="EMP0174"/>
        <s v="EMP0057"/>
        <s v="EMP0217"/>
        <s v="EMP0242"/>
        <s v="EMP0042"/>
        <s v="EMP0046"/>
        <s v="EMP0212"/>
        <s v="EMP0175"/>
        <s v="EMP0191"/>
        <s v="EMP0163"/>
        <s v="EMP0077"/>
        <s v="EMP0295"/>
        <s v="EMP0043"/>
        <s v="EMP0169"/>
        <s v="EMP0256"/>
        <s v="EMP0161"/>
        <s v="EMP0344"/>
        <s v="EMP0110"/>
        <s v="EMP0062"/>
        <s v="EMP0311"/>
        <s v="EMP0214"/>
        <s v="EMP0308"/>
        <s v="EMP0036"/>
        <s v="EMP0162"/>
        <s v="EMP0060"/>
        <s v="EMP0146"/>
        <s v="EMP0016"/>
        <s v="EMP0073"/>
        <s v="EMP0050"/>
        <s v="EMP0151"/>
        <s v="EMP0198"/>
        <s v="EMP0005"/>
        <s v="EMP0154"/>
        <s v="EMP0106"/>
        <s v="EMP0129"/>
        <s v="EMP0226"/>
        <s v="EMP0132"/>
        <s v="EMP0032"/>
        <s v="EMP0155"/>
        <s v="EMP0287"/>
        <s v="EMP0096"/>
        <s v="EMP0314"/>
        <s v="EMP0323"/>
        <s v="EMP0012"/>
        <s v="EMP0187"/>
        <s v="EMP0201"/>
        <s v="EMP0145"/>
        <s v="EMP0254"/>
        <s v="EMP0204"/>
        <s v="EMP0223"/>
        <s v="EMP0181"/>
        <s v="EMP0121"/>
        <s v="EMP0299"/>
        <s v="EMP0180"/>
        <s v="EMP0053"/>
        <s v="EMP0185"/>
        <s v="EMP0171"/>
        <s v="EMP0209"/>
        <s v="EMP0153"/>
        <s v="EMP0114"/>
        <s v="EMP0289"/>
        <s v="EMP0255"/>
        <s v="EMP0152"/>
        <s v="EMP0078"/>
        <s v="EMP0270"/>
        <s v="EMP0177"/>
        <s v="EMP0139"/>
        <s v="EMP0013"/>
        <s v="EMP0232"/>
        <s v="EMP0346"/>
        <s v="EMP0228"/>
        <s v="EMP0093"/>
        <s v="EMP0339"/>
        <s v="EMP0052"/>
        <s v="EMP0336"/>
        <s v="EMP0166"/>
        <s v="EMP0069"/>
        <s v="EMP0068"/>
        <s v="EMP0296"/>
        <s v="EMP0313"/>
        <s v="EMP0199"/>
        <s v="EMP0083"/>
        <s v="EMP0235"/>
        <s v="EMP0301"/>
        <s v="EMP0088"/>
        <s v="EMP0319"/>
        <s v="EMP0250"/>
        <s v="EMP0131"/>
        <s v="EMP0268"/>
        <s v="EMP0205"/>
        <s v="EMP0130"/>
        <s v="EMP0116"/>
        <s v="EMP0230"/>
        <s v="EMP0341"/>
        <s v="EMP0028"/>
        <s v="EMP0277"/>
        <s v="EMP0031"/>
        <s v="EMP0247"/>
        <s v="EMP0087"/>
        <s v="EMP0292"/>
        <s v="EMP0165"/>
        <s v="EMP0038"/>
        <s v="EMP0343"/>
        <s v="EMP0097"/>
        <s v="EMP0306"/>
        <s v="EMP0086"/>
        <s v="EMP0034"/>
        <s v="EMP0231"/>
        <s v="EMP0066"/>
        <s v="EMP0251"/>
        <s v="EMP0340"/>
        <s v="EMP0285"/>
        <s v="EMP0283"/>
        <s v="EMP0021"/>
        <s v="EMP0320"/>
        <s v="EMP0182"/>
        <s v="EMP0111"/>
        <s v="EMP0220"/>
        <s v="EMP0186"/>
        <s v="EMP0023"/>
        <s v="EMP0184"/>
        <s v="EMP0272"/>
        <s v="EMP0157"/>
        <s v="EMP0079"/>
        <s v="EMP0010"/>
        <s v="EMP0315"/>
        <s v="EMP0331"/>
        <s v="EMP0298"/>
        <s v="EMP0011"/>
        <s v="EMP0109"/>
        <s v="EMP0219"/>
        <s v="EMP0168"/>
        <s v="EMP0192"/>
        <s v="EMP0150"/>
        <s v="EMP0307"/>
        <s v="EMP0193"/>
        <s v="EMP0089"/>
        <s v="EMP0318"/>
        <s v="EMP0094"/>
        <s v="EMP0002"/>
        <s v="EMP0001"/>
        <s v="EMP0279"/>
        <s v="EMP0006"/>
        <s v="EMP0246"/>
        <s v="EMP0100"/>
        <s v="EMP0026"/>
        <s v="EMP0179"/>
        <s v="EMP0258"/>
        <s v="EMP0063"/>
        <s v="EMP0022"/>
        <s v="EMP0040"/>
        <s v="EMP0084"/>
        <s v="EMP0200"/>
        <s v="EMP0194"/>
        <s v="EMP0224"/>
        <s v="EMP0347"/>
        <s v="EMP0009"/>
        <s v="EMP0259"/>
        <s v="EMP0136"/>
        <s v="EMP0178"/>
        <s v="EMP0206"/>
        <s v="EMP0218"/>
        <s v="EMP0275"/>
        <s v="EMP0304"/>
        <s v="EMP0134"/>
        <s v="EMP0207"/>
        <s v="EMP0049"/>
        <s v="EMP0119"/>
        <s v="EMP0041"/>
        <s v="EMP0076"/>
        <s v="EMP0216"/>
        <s v="EMP0104"/>
        <s v="EMP0072"/>
        <s v="EMP0202"/>
        <s v="EMP0221"/>
        <s v="EMP0330"/>
        <s v="EMP0211"/>
        <s v="EMP0252"/>
        <s v="EMP0018"/>
        <s v="EMP0170"/>
        <s v="EMP0144"/>
        <s v="EMP0297"/>
        <s v="EMP0286"/>
        <s v="EMP0123"/>
        <s v="EMP0267"/>
        <s v="EMP0291"/>
        <s v="EMP0348"/>
        <s v="EMP0075"/>
        <s v="EMP0195"/>
        <s v="EMP0058"/>
        <s v="EMP0074"/>
        <s v="UNKNOWN"/>
        <s v="EMP0322"/>
        <s v="EMP0196"/>
        <s v="EMP0316"/>
        <s v="EMP0004"/>
        <s v="EMP0266"/>
        <s v="EMP0091"/>
        <s v="EMP0080"/>
        <s v="EMP0112"/>
        <s v="EMP0321"/>
        <s v="EMP0337"/>
        <s v="EMP0264"/>
        <s v="EMP0056"/>
        <s v="EMP0160"/>
        <s v="EMP0128"/>
        <s v="EMP0140"/>
        <s v="EMP0071"/>
        <s v="EMP0328"/>
        <s v="EMP0260"/>
        <s v="EMP0064"/>
        <s v="EMP0236"/>
        <s v="EMP0147"/>
        <s v="EMP0173"/>
        <s v="EMP0325"/>
        <s v="EMP0241"/>
        <s v="EMP0309"/>
        <s v="EMP0159"/>
        <s v="EMP0118"/>
        <s v="EMP0282"/>
        <s v="EMP0090"/>
        <s v="EMP0257"/>
        <s v="EMP0172"/>
        <s v="EMP0269"/>
        <s v="EMP0120"/>
        <s v="EMP0113"/>
        <s v="EMP0051"/>
        <s v="EMP0035"/>
        <s v="EMP0345"/>
        <s v="EMP0102"/>
        <s v="EMP0098"/>
        <s v="EMP0045"/>
        <s v="EMP0305"/>
        <s v="EMP0044"/>
        <s v="EMP0020"/>
        <s v="EMP0244"/>
        <s v="EMP0338"/>
        <s v="EMP0271"/>
        <s v="EMP0302"/>
        <s v="EMP0126"/>
        <s v="EMP0082"/>
        <s v="EMP0141"/>
        <s v="EMP0329"/>
        <s v="EMP0025"/>
        <s v="EMP0037"/>
        <s v="EMP0293"/>
        <s v="EMP0240"/>
        <s v="EMP0203"/>
        <s v="EMP0317"/>
        <s v="EMP0238"/>
        <s v="EMP0237"/>
        <s v="EMP0065"/>
        <s v="EMP0334"/>
        <s v="EMP0014"/>
        <s v="EMP0117"/>
        <s v="EMP0327"/>
        <s v="EMP0008"/>
        <s v="EMP0138"/>
        <s v="EMP0101"/>
        <s v="EMP0085"/>
        <s v="EMP0027"/>
        <s v="EMP0332"/>
        <s v="EMP0156"/>
        <s v="EMP0342"/>
        <s v="EMP0290"/>
        <s v="EMP0039"/>
        <s v="EMP0234"/>
        <s v="EMP0326"/>
        <s v="EMP0003"/>
        <s v="EMP0081"/>
        <s v="EMP0054"/>
        <s v="EMP0149"/>
        <s v="EMP0137"/>
        <s v="EMP0335"/>
        <s v="EMP0055"/>
        <s v="EMP0188"/>
        <s v="EMP0176"/>
        <s v="EMP0274"/>
        <s v="EMP0197"/>
        <s v="EMP0215"/>
        <s v="EMP0103"/>
      </sharedItems>
    </cacheField>
    <cacheField name="Quantity" numFmtId="0">
      <sharedItems containsSemiMixedTypes="0" containsString="0" containsNumber="1" containsInteger="1" minValue="0" maxValue="8" count="9">
        <n v="1"/>
        <n v="2"/>
        <n v="4"/>
        <n v="8"/>
        <n v="5"/>
        <n v="7"/>
        <n v="3"/>
        <n v="6"/>
        <n v="0"/>
      </sharedItems>
    </cacheField>
    <cacheField name="Unit_Price" numFmtId="4">
      <sharedItems containsSemiMixedTypes="0" containsString="0" containsNumber="1" minValue="38.66" maxValue="751.74" count="1180">
        <n v="416.08"/>
        <n v="448.94"/>
        <n v="234.86"/>
        <n v="398.25"/>
        <n v="351.96"/>
        <n v="356.6"/>
        <n v="172.63"/>
        <n v="131.03"/>
        <n v="260.93"/>
        <n v="42.05"/>
        <n v="522.78"/>
        <n v="475.81"/>
        <n v="59.92"/>
        <n v="253.11"/>
        <n v="141.11"/>
        <n v="397.22"/>
        <n v="425.83"/>
        <n v="93.47"/>
        <n v="437.49"/>
        <n v="332.73"/>
        <n v="343.97"/>
        <n v="337.98"/>
        <n v="191.13"/>
        <n v="225.45"/>
        <n v="355.64"/>
        <n v="67.99"/>
        <n v="235.08"/>
        <n v="217.42"/>
        <n v="121.9"/>
        <n v="205.93"/>
        <n v="404.19"/>
        <n v="147.97"/>
        <n v="332.74"/>
        <n v="318.62"/>
        <n v="418.79"/>
        <n v="541.35"/>
        <n v="80.5"/>
        <n v="328.56"/>
        <n v="243"/>
        <n v="236.07"/>
        <n v="428.85"/>
        <n v="155.55"/>
        <n v="51.58"/>
        <n v="124.84"/>
        <n v="76.39"/>
        <n v="230.98"/>
        <n v="558.82"/>
        <n v="343.56"/>
        <n v="504.43"/>
        <n v="349.59"/>
        <n v="76.67"/>
        <n v="435.94"/>
        <n v="245.32"/>
        <n v="186.38"/>
        <n v="293.76"/>
        <n v="465.03"/>
        <n v="39.34"/>
        <n v="353.05"/>
        <n v="506"/>
        <n v="380.12"/>
        <n v="53.39"/>
        <n v="473.63"/>
        <n v="416.77"/>
        <n v="83.49"/>
        <n v="99.93"/>
        <n v="440.5"/>
        <n v="299.73"/>
        <n v="97.24"/>
        <n v="290.45"/>
        <n v="305.67"/>
        <n v="210.36"/>
        <n v="413.68"/>
        <n v="428.04"/>
        <n v="374.82"/>
        <n v="71.29"/>
        <n v="456.66"/>
        <n v="671.76"/>
        <n v="530.14"/>
        <n v="187.76"/>
        <n v="455.73"/>
        <n v="232.58"/>
        <n v="401.06"/>
        <n v="503.36"/>
        <n v="335.52"/>
        <n v="446.17"/>
        <n v="465.55"/>
        <n v="124.7"/>
        <n v="434.65"/>
        <n v="128.33"/>
        <n v="279.93"/>
        <n v="420.41"/>
        <n v="226.02"/>
        <n v="491.81"/>
        <n v="83.59"/>
        <n v="143.03"/>
        <n v="351.62"/>
        <n v="46.76"/>
        <n v="155.15"/>
        <n v="348.9"/>
        <n v="51.33"/>
        <n v="400.33"/>
        <n v="84.09"/>
        <n v="339.13"/>
        <n v="327.08"/>
        <n v="221.61"/>
        <n v="342.68"/>
        <n v="379.12"/>
        <n v="123.11"/>
        <n v="331.35"/>
        <n v="224.28"/>
        <n v="372.61"/>
        <n v="389.61"/>
        <n v="157.98"/>
        <n v="499.18"/>
        <n v="164.99"/>
        <n v="477.96"/>
        <n v="251.73"/>
        <n v="474.19"/>
        <n v="161.03"/>
        <n v="262.77"/>
        <n v="425.31"/>
        <n v="227"/>
        <n v="744.15"/>
        <n v="184.37"/>
        <n v="610.45"/>
        <n v="162.45"/>
        <n v="442.14"/>
        <n v="217.85"/>
        <n v="388.84"/>
        <n v="475.32"/>
        <n v="125.15"/>
        <n v="88.63"/>
        <n v="171.25"/>
        <n v="574.74"/>
        <n v="298.68"/>
        <n v="86.82"/>
        <n v="530.16"/>
        <n v="86.11"/>
        <n v="67.37"/>
        <n v="342.46"/>
        <n v="105.36"/>
        <n v="291.93"/>
        <n v="276.49"/>
        <n v="214.86"/>
        <n v="141.01"/>
        <n v="232.92"/>
        <n v="477.64"/>
        <n v="438.7"/>
        <n v="410.2"/>
        <n v="340.25"/>
        <n v="464.41"/>
        <n v="225.35"/>
        <n v="351.78"/>
        <n v="537.83"/>
        <n v="382.17"/>
        <n v="181.93"/>
        <n v="751.74"/>
        <n v="147.07"/>
        <n v="130.09"/>
        <n v="373.11"/>
        <n v="222.64"/>
        <n v="459.58"/>
        <n v="157.1"/>
        <n v="617.43"/>
        <n v="268.7"/>
        <n v="571.83"/>
        <n v="261.55"/>
        <n v="498.08"/>
        <n v="80.79"/>
        <n v="39.52"/>
        <n v="309.23"/>
        <n v="38.66"/>
        <n v="345.14"/>
        <n v="499.76"/>
        <n v="502.58"/>
        <n v="141.99"/>
        <n v="41.61"/>
        <n v="298.02"/>
        <n v="405.1"/>
        <n v="104.57"/>
        <n v="420.93"/>
        <n v="486.09"/>
        <n v="399.72"/>
        <n v="356.48"/>
        <n v="238.51"/>
        <n v="207.69"/>
        <n v="494.93"/>
        <n v="365.92"/>
        <n v="468.94"/>
        <n v="147.72"/>
        <n v="425.88"/>
        <n v="89.76"/>
        <n v="395.66"/>
        <n v="454.66"/>
        <n v="272.18"/>
        <n v="188.94"/>
        <n v="109.69"/>
        <n v="149.6"/>
        <n v="306.62"/>
        <n v="150.42"/>
        <n v="301.17"/>
        <n v="58.19"/>
        <n v="214.04"/>
        <n v="182.68"/>
        <n v="387.41"/>
        <n v="182.3"/>
        <n v="277.42"/>
        <n v="259.81"/>
        <n v="355.58"/>
        <n v="491.63"/>
        <n v="414.87"/>
        <n v="139.21"/>
        <n v="236.56"/>
        <n v="313.47"/>
        <n v="455.53"/>
        <n v="455.26"/>
        <n v="51.64"/>
        <n v="287.23"/>
        <n v="264.7"/>
        <n v="219.39"/>
        <n v="402.8"/>
        <n v="188.64"/>
        <n v="490.22"/>
        <n v="247.94"/>
        <n v="275.71"/>
        <n v="44.33"/>
        <n v="229.81"/>
        <n v="55.81"/>
        <n v="376.44"/>
        <n v="383.51"/>
        <n v="306.69"/>
        <n v="521.78"/>
        <n v="358.83"/>
        <n v="96.72"/>
        <n v="90.43"/>
        <n v="340.78"/>
        <n v="139.19"/>
        <n v="386.4"/>
        <n v="132.15"/>
        <n v="64.59"/>
        <n v="134.9"/>
        <n v="317.72"/>
        <n v="329.69"/>
        <n v="191.09"/>
        <n v="169.7"/>
        <n v="134.24"/>
        <n v="111.73"/>
        <n v="126.21"/>
        <n v="204.03"/>
        <n v="102.51"/>
        <n v="309.2"/>
        <n v="432.85"/>
        <n v="585.84"/>
        <n v="580.6"/>
        <n v="361.31"/>
        <n v="131.04"/>
        <n v="399.15"/>
        <n v="321.08"/>
        <n v="75.68"/>
        <n v="227.44"/>
        <n v="72.94"/>
        <n v="108.33"/>
        <n v="496.85"/>
        <n v="326.05"/>
        <n v="426.75"/>
        <n v="180.72"/>
        <n v="72.31"/>
        <n v="404.97"/>
        <n v="333.54"/>
        <n v="467.31"/>
        <n v="66.9"/>
        <n v="109.34"/>
        <n v="507.5"/>
        <n v="73.83"/>
        <n v="349.08"/>
        <n v="351.25"/>
        <n v="232.2"/>
        <n v="332.43"/>
        <n v="233.47"/>
        <n v="597.21"/>
        <n v="57.88"/>
        <n v="221.79"/>
        <n v="349.44"/>
        <n v="73.89"/>
        <n v="336.02"/>
        <n v="56.42"/>
        <n v="268.32"/>
        <n v="116.1"/>
        <n v="525.55"/>
        <n v="404.88"/>
        <n v="349.11"/>
        <n v="284.56"/>
        <n v="464.87"/>
        <n v="66.93"/>
        <n v="323.91"/>
        <n v="357.49"/>
        <n v="444.12"/>
        <n v="200.08"/>
        <n v="297.32"/>
        <n v="102.61"/>
        <n v="512.71"/>
        <n v="432.81"/>
        <n v="223.81"/>
        <n v="540.85"/>
        <n v="270.85"/>
        <n v="46"/>
        <n v="42.97"/>
        <n v="589.75"/>
        <n v="392.42"/>
        <n v="435.71"/>
        <n v="327.68"/>
        <n v="240.9"/>
        <n v="412.57"/>
        <n v="162.63"/>
        <n v="283.39"/>
        <n v="487.95"/>
        <n v="527.84"/>
        <n v="108.97"/>
        <n v="574.91"/>
        <n v="445.21"/>
        <n v="550.69"/>
        <n v="182.96"/>
        <n v="243.38"/>
        <n v="661.91"/>
        <n v="451.89"/>
        <n v="420.08"/>
        <n v="168.68"/>
        <n v="411.56"/>
        <n v="56.89"/>
        <n v="230.21"/>
        <n v="121.56"/>
        <n v="348.55"/>
        <n v="44.12"/>
        <n v="242.22"/>
        <n v="522.07"/>
        <n v="317.99"/>
        <n v="249.15"/>
        <n v="145.96"/>
        <n v="476.81"/>
        <n v="351.37"/>
        <n v="315.37"/>
        <n v="183.39"/>
        <n v="445.03"/>
        <n v="337.13"/>
        <n v="352.51"/>
        <n v="348.67"/>
        <n v="369.9"/>
        <n v="75.44"/>
        <n v="488.1"/>
        <n v="168.36"/>
        <n v="345.17"/>
        <n v="427.52"/>
        <n v="173.38"/>
        <n v="239.78"/>
        <n v="56.88"/>
        <n v="329.27"/>
        <n v="125.74"/>
        <n v="392.79"/>
        <n v="78.55"/>
        <n v="66.4"/>
        <n v="108.86"/>
        <n v="425.06"/>
        <n v="83.13"/>
        <n v="153.84"/>
        <n v="483.96"/>
        <n v="413.66"/>
        <n v="87.74"/>
        <n v="247.24"/>
        <n v="616.4"/>
        <n v="429.38"/>
        <n v="67.94"/>
        <n v="77.87"/>
        <n v="429.82"/>
        <n v="322.24"/>
        <n v="477.11"/>
        <n v="528.04"/>
        <n v="91.78"/>
        <n v="510.63"/>
        <n v="360.52"/>
        <n v="48.47"/>
        <n v="455.79"/>
        <n v="90.53"/>
        <n v="415.16"/>
        <n v="169.75"/>
        <n v="77.52"/>
        <n v="537.21"/>
        <n v="480.43"/>
        <n v="540.54"/>
        <n v="504.35"/>
        <n v="103.2"/>
        <n v="419.04"/>
        <n v="456.77"/>
        <n v="270.33"/>
        <n v="483.26"/>
        <n v="347.33"/>
        <n v="431.28"/>
        <n v="369.14"/>
        <n v="240.8"/>
        <n v="356.52"/>
        <n v="187.3"/>
        <n v="502.19"/>
        <n v="486.77"/>
        <n v="141.26"/>
        <n v="533.58"/>
        <n v="242.16"/>
        <n v="449.18"/>
        <n v="336.33"/>
        <n v="475.53"/>
        <n v="355.49"/>
        <n v="271.96"/>
        <n v="677.38"/>
        <n v="350.83"/>
        <n v="308.2"/>
        <n v="273.48"/>
        <n v="348.01"/>
        <n v="436.2"/>
        <n v="115.25"/>
        <n v="150.36"/>
        <n v="328.59"/>
        <n v="269.06"/>
        <n v="476.18"/>
        <n v="260.82"/>
        <n v="236.62"/>
        <n v="139.72"/>
        <n v="324.85"/>
        <n v="176.45"/>
        <n v="366.82"/>
        <n v="258.17"/>
        <n v="68.95"/>
        <n v="186.32"/>
        <n v="573.43"/>
        <n v="363.82"/>
        <n v="326.25"/>
        <n v="376.93"/>
        <n v="168.55"/>
        <n v="426.49"/>
        <n v="242.49"/>
        <n v="190.75"/>
        <n v="376.11"/>
        <n v="359.38"/>
        <n v="70.65"/>
        <n v="398.95"/>
        <n v="133.02"/>
        <n v="104.66"/>
        <n v="361.94"/>
        <n v="423.91"/>
        <n v="403.7"/>
        <n v="412.53"/>
        <n v="133.53"/>
        <n v="70.17"/>
        <n v="342.27"/>
        <n v="254.62"/>
        <n v="252.98"/>
        <n v="91.61"/>
        <n v="220.37"/>
        <n v="300.03"/>
        <n v="101.26"/>
        <n v="472.9"/>
        <n v="159.38"/>
        <n v="150.04"/>
        <n v="421.14"/>
        <n v="381.68"/>
        <n v="188.72"/>
        <n v="374.25"/>
        <n v="89.69"/>
        <n v="370.96"/>
        <n v="548.03"/>
        <n v="233.2"/>
        <n v="255.48"/>
        <n v="386.17"/>
        <n v="507.28"/>
        <n v="292.25"/>
        <n v="84.3"/>
        <n v="355.97"/>
        <n v="286.55"/>
        <n v="167.53"/>
        <n v="57.06"/>
        <n v="446.42"/>
        <n v="458.91"/>
        <n v="495.42"/>
        <n v="72.93"/>
        <n v="333.47"/>
        <n v="257.4"/>
        <n v="415.18"/>
        <n v="708.04"/>
        <n v="445.26"/>
        <n v="431.54"/>
        <n v="213.78"/>
        <n v="271.51"/>
        <n v="394.37"/>
        <n v="80.55"/>
        <n v="383.94"/>
        <n v="150.79"/>
        <n v="346.47"/>
        <n v="136.15"/>
        <n v="484.89"/>
        <n v="277.78"/>
        <n v="252.1"/>
        <n v="397.53"/>
        <n v="77.92"/>
        <n v="478.68"/>
        <n v="575.5"/>
        <n v="67.04"/>
        <n v="149.26"/>
        <n v="71.93"/>
        <n v="338.77"/>
        <n v="245.61"/>
        <n v="430.34"/>
        <n v="470.43"/>
        <n v="378.89"/>
        <n v="352.39"/>
        <n v="519.78"/>
        <n v="547.63"/>
        <n v="402.67"/>
        <n v="368.1"/>
        <n v="448.1"/>
        <n v="521.69"/>
        <n v="298.18"/>
        <n v="449.26"/>
        <n v="240.52"/>
        <n v="434.9"/>
        <n v="379.93"/>
        <n v="407.53"/>
        <n v="158.17"/>
        <n v="448"/>
        <n v="605.22"/>
        <n v="56.65"/>
        <n v="355.94"/>
        <n v="94.9"/>
        <n v="225.96"/>
        <n v="104.55"/>
        <n v="484.5"/>
        <n v="503.4"/>
        <n v="327.96"/>
        <n v="505.15"/>
        <n v="87.95"/>
        <n v="143.82"/>
        <n v="240.29"/>
        <n v="54.59"/>
        <n v="339.39"/>
        <n v="367.25"/>
        <n v="428.27"/>
        <n v="182.89"/>
        <n v="342.72"/>
        <n v="94.15"/>
        <n v="431.29"/>
        <n v="144.65"/>
        <n v="139.27"/>
        <n v="603.65"/>
        <n v="158.27"/>
        <n v="186.02"/>
        <n v="96.58"/>
        <n v="269.54"/>
        <n v="257.81"/>
        <n v="155.34"/>
        <n v="385.5"/>
        <n v="472.65"/>
        <n v="325.3"/>
        <n v="73.95"/>
        <n v="367.68"/>
        <n v="211.31"/>
        <n v="307.93"/>
        <n v="77.08"/>
        <n v="153.82"/>
        <n v="338.07"/>
        <n v="481.36"/>
        <n v="60.83"/>
        <n v="110.25"/>
        <n v="178.07"/>
        <n v="414.65"/>
        <n v="450.69"/>
        <n v="293.79"/>
        <n v="207.09"/>
        <n v="503.11"/>
        <n v="206.3"/>
        <n v="233.01"/>
        <n v="174.1"/>
        <n v="382.87"/>
        <n v="360.25"/>
        <n v="507.59"/>
        <n v="123.19"/>
        <n v="435.35"/>
        <n v="459.1"/>
        <n v="361.78"/>
        <n v="364.28"/>
        <n v="380.19"/>
        <n v="334.96"/>
        <n v="362.77"/>
        <n v="386.86"/>
        <n v="198.46"/>
        <n v="168.57"/>
        <n v="363.87"/>
        <n v="400.62"/>
        <n v="452.46"/>
        <n v="246.31"/>
        <n v="87.93"/>
        <n v="370.43"/>
        <n v="407.72"/>
        <n v="286.44"/>
        <n v="376.8"/>
        <n v="575.96"/>
        <n v="238.97"/>
        <n v="337.44"/>
        <n v="320.1"/>
        <n v="97.45"/>
        <n v="157.79"/>
        <n v="189.47"/>
        <n v="372.64"/>
        <n v="237.06"/>
        <n v="533.82"/>
        <n v="397.67"/>
        <n v="160.3"/>
        <n v="334.46"/>
        <n v="191.87"/>
        <n v="414.29"/>
        <n v="405.94"/>
        <n v="416.63"/>
        <n v="187.54"/>
        <n v="320.5"/>
        <n v="368.84"/>
        <n v="39.59"/>
        <n v="426.31"/>
        <n v="329.41"/>
        <n v="232.72"/>
        <n v="449.95"/>
        <n v="82.91"/>
        <n v="39.78"/>
        <n v="534.75"/>
        <n v="464.24"/>
        <n v="486.23"/>
        <n v="435.18"/>
        <n v="86.2"/>
        <n v="194.4"/>
        <n v="397.84"/>
        <n v="183.19"/>
        <n v="308.6"/>
        <n v="423.99"/>
        <n v="354.68"/>
        <n v="127.5"/>
        <n v="65.36"/>
        <n v="183.76"/>
        <n v="325.33"/>
        <n v="522.72"/>
        <n v="467.95"/>
        <n v="211.08"/>
        <n v="482.65"/>
        <n v="582.47"/>
        <n v="547.8"/>
        <n v="219.52"/>
        <n v="420.05"/>
        <n v="283.7"/>
        <n v="392.61"/>
        <n v="356.64"/>
        <n v="109.92"/>
        <n v="392.68"/>
        <n v="411.28"/>
        <n v="531.25"/>
        <n v="197.97"/>
        <n v="158.04"/>
        <n v="306.43"/>
        <n v="114.59"/>
        <n v="553.24"/>
        <n v="166.69"/>
        <n v="233.3"/>
        <n v="499.34"/>
        <n v="423.73"/>
        <n v="409.77"/>
        <n v="166.99"/>
        <n v="42.85"/>
        <n v="520.96"/>
        <n v="109.95"/>
        <n v="490.61"/>
        <n v="463.38"/>
        <n v="248.4"/>
        <n v="158.4"/>
        <n v="148.03"/>
        <n v="413.59"/>
        <n v="354.44"/>
        <n v="327.84"/>
        <n v="353.75"/>
        <n v="421.67"/>
        <n v="446.35"/>
        <n v="166.6"/>
        <n v="99.54"/>
        <n v="156.58"/>
        <n v="65.06"/>
        <n v="365.89"/>
        <n v="394.14"/>
        <n v="87.9"/>
        <n v="601.62"/>
        <n v="334.1"/>
        <n v="330.3"/>
        <n v="74.87"/>
        <n v="478.08"/>
        <n v="189.04"/>
        <n v="407.17"/>
        <n v="332.46"/>
        <n v="471.94"/>
        <n v="532.91"/>
        <n v="542.42"/>
        <n v="257.28"/>
        <n v="392.77"/>
        <n v="247.03"/>
        <n v="501.04"/>
        <n v="167.18"/>
        <n v="332.05"/>
        <n v="358.16"/>
        <n v="368.06"/>
        <n v="253.59"/>
        <n v="372.74"/>
        <n v="139.65"/>
        <n v="357.79"/>
        <n v="396.47"/>
        <n v="529.68"/>
        <n v="140.56"/>
        <n v="345"/>
        <n v="168.72"/>
        <n v="537.24"/>
        <n v="359.18"/>
        <n v="136.51"/>
        <n v="611.84"/>
        <n v="489.43"/>
        <n v="368"/>
        <n v="145.12"/>
        <n v="62.6"/>
        <n v="161.82"/>
        <n v="404.17"/>
        <n v="75.23"/>
        <n v="335.78"/>
        <n v="72.64"/>
        <n v="56.22"/>
        <n v="283.92"/>
        <n v="242.93"/>
        <n v="259.32"/>
        <n v="495.59"/>
        <n v="463.77"/>
        <n v="155.72"/>
        <n v="241.98"/>
        <n v="310.42"/>
        <n v="176.07"/>
        <n v="266.28"/>
        <n v="420.54"/>
        <n v="169.42"/>
        <n v="508.03"/>
        <n v="121.74"/>
        <n v="439.39"/>
        <n v="509.6"/>
        <n v="461.27"/>
        <n v="548.71"/>
        <n v="441.15"/>
        <n v="228.59"/>
        <n v="435.89"/>
        <n v="426.71"/>
        <n v="124.54"/>
        <n v="169.91"/>
        <n v="442.09"/>
        <n v="404.15"/>
        <n v="82.31"/>
        <n v="186.35"/>
        <n v="366.27"/>
        <n v="424.8"/>
        <n v="77.4"/>
        <n v="331.6"/>
        <n v="355.35"/>
        <n v="148.84"/>
        <n v="156.52"/>
        <n v="373.84"/>
        <n v="404.27"/>
        <n v="136.81"/>
        <n v="66.26"/>
        <n v="241.53"/>
        <n v="328.15"/>
        <n v="157.92"/>
        <n v="292.4"/>
        <n v="226.78"/>
        <n v="327.9"/>
        <n v="441.67"/>
        <n v="51.43"/>
        <n v="245.4"/>
        <n v="571.55"/>
        <n v="137.82"/>
        <n v="51.63"/>
        <n v="550.96"/>
        <n v="397.96"/>
        <n v="61.22"/>
        <n v="144.03"/>
        <n v="352.15"/>
        <n v="351.95"/>
        <n v="112.45"/>
        <n v="373.25"/>
        <n v="330.49"/>
        <n v="743.18"/>
        <n v="66.16"/>
        <n v="281.6"/>
        <n v="468.1"/>
        <n v="344.73"/>
        <n v="107.6"/>
        <n v="458.23"/>
        <n v="94.71"/>
        <n v="514.83"/>
        <n v="170.66"/>
        <n v="145.25"/>
        <n v="259.55"/>
        <n v="331.28"/>
        <n v="58.27"/>
        <n v="340.64"/>
        <n v="370.83"/>
        <n v="568.76"/>
        <n v="449.39"/>
        <n v="433.04"/>
        <n v="460.4"/>
        <n v="156.36"/>
        <n v="431"/>
        <n v="180.81"/>
        <n v="310.07"/>
        <n v="158.31"/>
        <n v="314.61"/>
        <n v="78.23"/>
        <n v="421.08"/>
        <n v="85.31"/>
        <n v="154.01"/>
        <n v="47.48"/>
        <n v="263.72"/>
        <n v="377.42"/>
        <n v="346.68"/>
        <n v="345.01"/>
        <n v="442.74"/>
        <n v="346.96"/>
        <n v="398.76"/>
        <n v="373.02"/>
        <n v="56.02"/>
        <n v="438.58"/>
        <n v="225.21"/>
        <n v="320.26"/>
        <n v="362.16"/>
        <n v="130.2"/>
        <n v="75.34"/>
        <n v="599.45"/>
        <n v="432.79"/>
        <n v="351.07"/>
        <n v="343.95"/>
        <n v="167.74"/>
        <n v="373.66"/>
        <n v="208.77"/>
        <n v="493.36"/>
        <n v="130.33"/>
        <n v="421.55"/>
        <n v="328.22"/>
        <n v="226.19"/>
        <n v="239.91"/>
        <n v="246.7"/>
        <n v="332.66"/>
        <n v="206.02"/>
        <n v="469.11"/>
        <n v="102.76"/>
        <n v="271.36"/>
        <n v="561.87"/>
        <n v="598.7"/>
        <n v="447.33"/>
        <n v="126.89"/>
        <n v="464.27"/>
        <n v="364.78"/>
        <n v="378.58"/>
        <n v="242.02"/>
        <n v="368.46"/>
        <n v="254.39"/>
        <n v="111.78"/>
        <n v="520.39"/>
        <n v="139.28"/>
        <n v="318.92"/>
        <n v="134.76"/>
        <n v="419.84"/>
        <n v="442.82"/>
        <n v="117.04"/>
        <n v="418.56"/>
        <n v="498.75"/>
        <n v="127.18"/>
        <n v="157.32"/>
        <n v="265.54"/>
        <n v="169.79"/>
        <n v="328.53"/>
        <n v="342.94"/>
        <n v="402.72"/>
        <n v="170.2"/>
        <n v="240.95"/>
        <n v="242.47"/>
        <n v="389.64"/>
        <n v="70.64"/>
        <n v="238.7"/>
        <n v="78.32"/>
        <n v="81.31"/>
        <n v="203.55"/>
        <n v="400.07"/>
        <n v="459.74"/>
        <n v="541.83"/>
        <n v="208.23"/>
        <n v="416.57"/>
        <n v="130.76"/>
        <n v="270.12"/>
        <n v="265.69"/>
        <n v="548.45"/>
        <n v="142.45"/>
        <n v="160.72"/>
        <n v="232.11"/>
        <n v="568.71"/>
        <n v="216.55"/>
        <n v="141.36"/>
        <n v="448.98"/>
        <n v="161.64"/>
        <n v="311.21"/>
        <n v="548.56"/>
        <n v="430.64"/>
        <n v="149.47"/>
        <n v="371.97"/>
        <n v="329.19"/>
        <n v="82.38"/>
        <n v="239.49"/>
        <n v="566.3"/>
        <n v="465.57"/>
        <n v="485.63"/>
        <n v="448.67"/>
        <n v="252.09"/>
        <n v="569.8"/>
        <n v="401.61"/>
        <n v="422.63"/>
        <n v="139.36"/>
        <n v="110.77"/>
        <n v="387.19"/>
        <n v="261.61"/>
        <n v="194.14"/>
        <n v="368.32"/>
        <n v="263.56"/>
        <n v="319.47"/>
        <n v="76.86"/>
        <n v="396.24"/>
        <n v="126.77"/>
        <n v="249.05"/>
        <n v="41.19"/>
        <n v="179.24"/>
        <n v="244.28"/>
        <n v="153.31"/>
        <n v="189.3"/>
        <n v="141.82"/>
        <n v="389.96"/>
        <n v="401.72"/>
        <n v="401.75"/>
        <n v="571.44"/>
        <n v="197.81"/>
        <n v="522.43"/>
        <n v="244.61"/>
        <n v="370.87"/>
        <n v="497.74"/>
        <n v="526.2"/>
        <n v="200.83"/>
        <n v="219.64"/>
        <n v="93.15"/>
        <n v="346.05"/>
        <n v="490.98"/>
        <n v="389.74"/>
        <n v="169.46"/>
        <n v="386.68"/>
        <n v="197.96"/>
        <n v="478.3"/>
        <n v="489"/>
        <n v="457.23"/>
        <n v="162.59"/>
        <n v="389.12"/>
        <n v="546.6"/>
        <n v="106.8"/>
        <n v="479.15"/>
        <n v="151.56"/>
        <n v="356.98"/>
        <n v="442.59"/>
        <n v="161.85"/>
        <n v="444.49"/>
        <n v="191.42"/>
        <n v="567"/>
        <n v="369.28"/>
        <n v="127.16"/>
        <n v="101.17"/>
        <n v="418.58"/>
        <n v="389.31"/>
        <n v="228.73"/>
        <n v="318.2"/>
        <n v="100.88"/>
        <n v="253.33"/>
        <n v="240.51"/>
        <n v="485.57"/>
        <n v="404.08"/>
        <n v="254.52"/>
        <n v="307"/>
        <n v="413.36"/>
        <n v="413.29"/>
        <n v="157.93"/>
        <n v="185.59"/>
        <n v="158.62"/>
        <n v="203.01"/>
        <n v="123.44"/>
        <n v="491.45"/>
        <n v="337.35"/>
        <n v="481.85"/>
        <n v="78.75"/>
        <n v="365.14"/>
        <n v="270.83"/>
        <n v="263.31"/>
        <n v="218.72"/>
        <n v="408.46"/>
        <n v="519.71"/>
        <n v="334.24"/>
        <n v="479.54"/>
        <n v="133.51"/>
        <n v="211.16"/>
        <n v="377.86"/>
        <n v="128.26"/>
        <n v="135.41"/>
        <n v="114.38"/>
        <n v="326.66"/>
        <n v="490.73"/>
        <n v="447.63"/>
        <n v="373.95"/>
        <n v="465.22"/>
        <n v="123.39"/>
        <n v="339.33"/>
        <n v="53.72"/>
        <n v="421.98"/>
        <n v="140.67"/>
        <n v="399.42"/>
        <n v="551.24"/>
        <n v="224.08"/>
        <n v="363.01"/>
        <n v="389"/>
        <n v="433.97"/>
        <n v="356.08"/>
        <n v="70.9"/>
        <n v="388.66"/>
        <n v="279.74"/>
        <n v="143.56"/>
        <n v="93.33"/>
        <n v="431.14"/>
        <n v="387.87"/>
        <n v="358.32"/>
        <n v="78.72"/>
        <n v="270.91"/>
        <n v="93.93"/>
        <n v="343.32"/>
        <n v="343.55"/>
        <n v="257.97"/>
        <n v="112.64"/>
        <n v="360.8"/>
        <n v="380.16"/>
        <n v="40.01"/>
        <n v="54.43"/>
        <n v="233.96"/>
        <n v="359.87"/>
        <n v="265.06"/>
        <n v="518.5"/>
        <n v="384.85"/>
        <n v="504.49"/>
        <n v="245.36"/>
        <n v="292.91"/>
        <n v="128.81"/>
        <n v="204.15"/>
        <n v="280.52"/>
        <n v="426.09"/>
        <n v="82.49"/>
        <n v="350.79"/>
        <n v="82.69"/>
        <n v="168.56"/>
        <n v="434.28"/>
        <n v="189.82"/>
        <n v="342.87"/>
        <n v="176.8"/>
        <n v="249.92"/>
        <n v="120.92"/>
        <n v="84.51"/>
        <n v="163.55"/>
        <n v="271.37"/>
        <n v="156.29"/>
        <n v="403.23"/>
        <n v="219.61"/>
        <n v="357.05"/>
        <n v="88.7"/>
        <n v="555.21"/>
        <n v="453.52"/>
        <n v="265.07"/>
        <n v="389.87"/>
        <n v="453.14"/>
        <n v="365.91"/>
        <n v="352.52"/>
        <n v="83.37"/>
        <n v="232.55"/>
        <n v="371.16"/>
        <n v="427.65"/>
        <n v="350.62"/>
        <n v="56.7"/>
        <n v="48.94"/>
        <n v="445.71"/>
        <n v="336.18"/>
        <n v="373.91"/>
        <n v="469.45"/>
        <n v="493.69"/>
        <n v="311.24"/>
        <n v="479.24"/>
        <n v="675.25"/>
        <n v="159.91"/>
        <n v="545.58"/>
        <n v="385.8"/>
        <n v="347.9"/>
        <n v="337.24"/>
        <n v="241.39"/>
        <n v="232.32"/>
        <n v="266.15"/>
        <n v="66.99"/>
        <n v="492.92"/>
        <n v="269.92"/>
        <n v="309.81"/>
        <n v="72.34"/>
        <n v="204.43"/>
        <n v="227.52"/>
        <n v="189.1"/>
        <n v="106.97"/>
        <n v="451.9"/>
        <n v="441.63"/>
        <n v="468.73"/>
        <n v="389.82"/>
        <n v="397.16"/>
        <n v="132.24"/>
        <n v="433.39"/>
        <n v="510.28"/>
        <n v="421.9"/>
        <n v="471.05"/>
        <n v="352.68"/>
        <n v="276.87"/>
        <n v="252.99"/>
        <n v="260.52"/>
        <n v="361.88"/>
        <n v="447.25"/>
        <n v="364.69"/>
        <n v="521.9"/>
        <n v="234.51"/>
        <n v="492.76"/>
        <n v="122.27"/>
        <n v="233.9"/>
        <n v="511.56"/>
        <n v="461.01"/>
        <n v="388.34"/>
        <n v="59.94"/>
        <n v="405.66"/>
        <n v="164.87"/>
        <n v="64.71"/>
        <n v="151.48"/>
        <n v="429.2"/>
        <n v="343.24"/>
        <n v="238.62"/>
        <n v="239.76"/>
        <n v="82.71"/>
        <n v="451"/>
        <n v="107.22"/>
        <n v="495.55"/>
        <n v="260.49"/>
        <n v="381.4"/>
        <n v="121.28"/>
        <n v="391.43"/>
        <n v="506.54"/>
        <n v="80.14"/>
        <n v="387.52"/>
        <n v="212.39"/>
        <n v="103.11"/>
        <n v="140.96"/>
        <n v="318.41"/>
        <n v="39.69"/>
        <n v="294.41"/>
        <n v="335.16"/>
        <n v="429.77"/>
        <n v="487.64"/>
        <n v="429.84"/>
        <n v="235.76"/>
        <n v="575.61"/>
        <n v="52.47"/>
        <n v="249.45"/>
      </sharedItems>
    </cacheField>
    <cacheField name="Discount_Pct" numFmtId="9">
      <sharedItems containsSemiMixedTypes="0" containsString="0" containsNumber="1" containsInteger="1" minValue="0" maxValue="20" count="5">
        <n v="0"/>
        <n v="10"/>
        <n v="20"/>
        <n v="15"/>
        <n v="5"/>
      </sharedItems>
    </cacheField>
    <cacheField name="Discount_Amount" numFmtId="4">
      <sharedItems containsSemiMixedTypes="0" containsString="0" containsNumber="1" minValue="0" maxValue="962.59" count="1179">
        <n v="0"/>
        <n v="23.49"/>
        <n v="159.3"/>
        <n v="211.18"/>
        <n v="142.64"/>
        <n v="52.19"/>
        <n v="42.05"/>
        <n v="50.62"/>
        <n v="317.78"/>
        <n v="9.35"/>
        <n v="249.55"/>
        <n v="304.18"/>
        <n v="112.72"/>
        <n v="67.99"/>
        <n v="242.51"/>
        <n v="118.38"/>
        <n v="83.19"/>
        <n v="324.81"/>
        <n v="8.05"/>
        <n v="15.55"/>
        <n v="54.16"/>
        <n v="24.97"/>
        <n v="115.49"/>
        <n v="502.94"/>
        <n v="68.71"/>
        <n v="176.55"/>
        <n v="139.84"/>
        <n v="30.67"/>
        <n v="457.74"/>
        <n v="36.8"/>
        <n v="411.26"/>
        <n v="186.01"/>
        <n v="17.65"/>
        <n v="284.18"/>
        <n v="26.21"/>
        <n v="19.99"/>
        <n v="119.89"/>
        <n v="123.56"/>
        <n v="61.13"/>
        <n v="12.27"/>
        <n v="84.14"/>
        <n v="310.26"/>
        <n v="168.67"/>
        <n v="17.82"/>
        <n v="503.82"/>
        <n v="212.06"/>
        <n v="139.55"/>
        <n v="80.21"/>
        <n v="402.69"/>
        <n v="200.78"/>
        <n v="419"/>
        <n v="149.64"/>
        <n v="86.93"/>
        <n v="102.66"/>
        <n v="104.37"/>
        <n v="447.89"/>
        <n v="66.87"/>
        <n v="143.03"/>
        <n v="251.27"/>
        <n v="62.06"/>
        <n v="60.16"/>
        <n v="40.03"/>
        <n v="349.99"/>
        <n v="67.27"/>
        <n v="88.78"/>
        <n v="132.97"/>
        <n v="119.94"/>
        <n v="57.03"/>
        <n v="18.96"/>
        <n v="42.77"/>
        <n v="21.73"/>
        <n v="100.93"/>
        <n v="111.78"/>
        <n v="99.82"/>
        <n v="47.39"/>
        <n v="524.14"/>
        <n v="83.76"/>
        <n v="98.99"/>
        <n v="215.08"/>
        <n v="151.04"/>
        <n v="189.68"/>
        <n v="166.43"/>
        <n v="52.55"/>
        <n v="669.74"/>
        <n v="121.9"/>
        <n v="130.39"/>
        <n v="64.53"/>
        <n v="183.13"/>
        <n v="87.14"/>
        <n v="116.65"/>
        <n v="285.19"/>
        <n v="141.81"/>
        <n v="262.49"/>
        <n v="42.81"/>
        <n v="26.05"/>
        <n v="424.13"/>
        <n v="238.33"/>
        <n v="12.92"/>
        <n v="20.21"/>
        <n v="68.49"/>
        <n v="332.86"/>
        <n v="30.8"/>
        <n v="43.75"/>
        <n v="87.58"/>
        <n v="149.04"/>
        <n v="257.83"/>
        <n v="42.3"/>
        <n v="46.58"/>
        <n v="191.06"/>
        <n v="87.74"/>
        <n v="51.04"/>
        <n v="46.44"/>
        <n v="33.8"/>
        <n v="39.14"/>
        <n v="198.81"/>
        <n v="19.65"/>
        <n v="860.53"/>
        <n v="224.47"/>
        <n v="133.76"/>
        <n v="198.61"/>
        <n v="66.55"/>
        <n v="563.8"/>
        <n v="154.42"/>
        <n v="97.57"/>
        <n v="223.87"/>
        <n v="55.66"/>
        <n v="185.23"/>
        <n v="257.32"/>
        <n v="13.08"/>
        <n v="174.33"/>
        <n v="28.28"/>
        <n v="130.4"/>
        <n v="39.97"/>
        <n v="47.42"/>
        <n v="53.35"/>
        <n v="91.92"/>
        <n v="17.22"/>
        <n v="374.82"/>
        <n v="201.03"/>
        <n v="67.28"/>
        <n v="56.32"/>
        <n v="48.3"/>
        <n v="5.99"/>
        <n v="104.31"/>
        <n v="125.48"/>
        <n v="315.7"/>
        <n v="364.57"/>
        <n v="10.89"/>
        <n v="113.74"/>
        <n v="197.97"/>
        <n v="29.05"/>
        <n v="365.92"/>
        <n v="140.68"/>
        <n v="44.32"/>
        <n v="44.89"/>
        <n v="35.9"/>
        <n v="118.7"/>
        <n v="159.13"/>
        <n v="132.26"/>
        <n v="21.94"/>
        <n v="179.52"/>
        <n v="157.94"/>
        <n v="23.26"/>
        <n v="69.83"/>
        <n v="30.57"/>
        <n v="182.68"/>
        <n v="82.04"/>
        <n v="153.11"/>
        <n v="103.92"/>
        <n v="19.91"/>
        <n v="91.7"/>
        <n v="142.23"/>
        <n v="20.88"/>
        <n v="23.66"/>
        <n v="15.49"/>
        <n v="459.57"/>
        <n v="69.05"/>
        <n v="52.94"/>
        <n v="100.7"/>
        <n v="19.48"/>
        <n v="5.8"/>
        <n v="73.53"/>
        <n v="148.76"/>
        <n v="35.46"/>
        <n v="68.94"/>
        <n v="11.16"/>
        <n v="15.28"/>
        <n v="27.57"/>
        <n v="161.47"/>
        <n v="111.37"/>
        <n v="14.51"/>
        <n v="139.32"/>
        <n v="83.51"/>
        <n v="87.94"/>
        <n v="96.6"/>
        <n v="343.56"/>
        <n v="28.22"/>
        <n v="212.94"/>
        <n v="295.09"/>
        <n v="128.42"/>
        <n v="29.54"/>
        <n v="317.72"/>
        <n v="16.1"/>
        <n v="230.11"/>
        <n v="81.61"/>
        <n v="7.73"/>
        <n v="48.76"/>
        <n v="86.57"/>
        <n v="820.18"/>
        <n v="289.05"/>
        <n v="128.43"/>
        <n v="89.79"/>
        <n v="43.48"/>
        <n v="89.92"/>
        <n v="261.66"/>
        <n v="4.68"/>
        <n v="43.33"/>
        <n v="15.14"/>
        <n v="37.45"/>
        <n v="173.9"/>
        <n v="79.65"/>
        <n v="197.08"/>
        <n v="126.5"/>
        <n v="59.19"/>
        <n v="32.71"/>
        <n v="10.85"/>
        <n v="98.91"/>
        <n v="66.71"/>
        <n v="186.92"/>
        <n v="14.8"/>
        <n v="91.99"/>
        <n v="87.47"/>
        <n v="51.53"/>
        <n v="6.96"/>
        <n v="157.09"/>
        <n v="166.98"/>
        <n v="35.02"/>
        <n v="477.77"/>
        <n v="8.68"/>
        <n v="66.54"/>
        <n v="279.55"/>
        <n v="110.98"/>
        <n v="103.45"/>
        <n v="201.61"/>
        <n v="196.09"/>
        <n v="77.92"/>
        <n v="41.19"/>
        <n v="420.44"/>
        <n v="237.09"/>
        <n v="40.5"/>
        <n v="82.42"/>
        <n v="30.27"/>
        <n v="170.74"/>
        <n v="98.36"/>
        <n v="7.06"/>
        <n v="275.18"/>
        <n v="87.75"/>
        <n v="285.99"/>
        <n v="444.12"/>
        <n v="32.91"/>
        <n v="120.05"/>
        <n v="59.46"/>
        <n v="82.09"/>
        <n v="259.69"/>
        <n v="156.67"/>
        <n v="160.13"/>
        <n v="33.82"/>
        <n v="166.77"/>
        <n v="10.74"/>
        <n v="27.96"/>
        <n v="14.6"/>
        <n v="302.02"/>
        <n v="261.43"/>
        <n v="458.75"/>
        <n v="23.29"/>
        <n v="144.54"/>
        <n v="11.35"/>
        <n v="329.69"/>
        <n v="97.59"/>
        <n v="93.94"/>
        <n v="199.12"/>
        <n v="117.23"/>
        <n v="124.07"/>
        <n v="10.9"/>
        <n v="182.96"/>
        <n v="689.89"/>
        <n v="165.21"/>
        <n v="219.04"/>
        <n v="21.93"/>
        <n v="297.86"/>
        <n v="74.55"/>
        <n v="210.04"/>
        <n v="118.08"/>
        <n v="35.18"/>
        <n v="432.14"/>
        <n v="90.38"/>
        <n v="78.62"/>
        <n v="256.85"/>
        <n v="121.56"/>
        <n v="33.09"/>
        <n v="12.11"/>
        <n v="313.24"/>
        <n v="47.7"/>
        <n v="36.46"/>
        <n v="238.41"/>
        <n v="421.64"/>
        <n v="21.29"/>
        <n v="220.76"/>
        <n v="110.39"/>
        <n v="133.51"/>
        <n v="2.57"/>
        <n v="170.05"/>
        <n v="353.99"/>
        <n v="116.73"/>
        <n v="195.59"/>
        <n v="129.46"/>
        <n v="147.19"/>
        <n v="196.25"/>
        <n v="64.41"/>
        <n v="16.84"/>
        <n v="74.9"/>
        <n v="276.14"/>
        <n v="106.88"/>
        <n v="147.54"/>
        <n v="79.63"/>
        <n v="246.95"/>
        <n v="88.02"/>
        <n v="78.56"/>
        <n v="191.65"/>
        <n v="74.52"/>
        <n v="29.88"/>
        <n v="90.18"/>
        <n v="184.61"/>
        <n v="42.71"/>
        <n v="59.58"/>
        <n v="8.01"/>
        <n v="206.14"/>
        <n v="141"/>
        <n v="508.16"/>
        <n v="54.89"/>
        <n v="29.97"/>
        <n v="82.73"/>
        <n v="70.19"/>
        <n v="862.96"/>
        <n v="104.82"/>
        <n v="97.84"/>
        <n v="171.75"/>
        <n v="10.7"/>
        <n v="20.53"/>
        <n v="46.72"/>
        <n v="170.6"/>
        <n v="290.02"/>
        <n v="183.97"/>
        <n v="304.5"/>
        <n v="237.62"/>
        <n v="110.14"/>
        <n v="16.57"/>
        <n v="240.2"/>
        <n v="54.69"/>
        <n v="127.66"/>
        <n v="36.35"/>
        <n v="36.21"/>
        <n v="76.7"/>
        <n v="124.55"/>
        <n v="360.32"/>
        <n v="108.11"/>
        <n v="100.87"/>
        <n v="31.6"/>
        <n v="136.2"/>
        <n v="144.48"/>
        <n v="335.23"/>
        <n v="82.01"/>
        <n v="411.09"/>
        <n v="579.91"/>
        <n v="245.3"/>
        <n v="147.66"/>
        <n v="120.4"/>
        <n v="235.25"/>
        <n v="803.5"/>
        <n v="36.68"/>
        <n v="778.83"/>
        <n v="33.25"/>
        <n v="225.45"/>
        <n v="157.66"/>
        <n v="113.01"/>
        <n v="160.99"/>
        <n v="332.73"/>
        <n v="168.16"/>
        <n v="56.87"/>
        <n v="570.64"/>
        <n v="140.92"/>
        <n v="105.25"/>
        <n v="264.3"/>
        <n v="308.2"/>
        <n v="246.13"/>
        <n v="104.4"/>
        <n v="8.37"/>
        <n v="365.15"/>
        <n v="173.94"/>
        <n v="283.94"/>
        <n v="57.53"/>
        <n v="356.94"/>
        <n v="94.84"/>
        <n v="22.98"/>
        <n v="71.13"/>
        <n v="440.18"/>
        <n v="271.08"/>
        <n v="11.98"/>
        <n v="55.9"/>
        <n v="200.7"/>
        <n v="436.58"/>
        <n v="263.85"/>
        <n v="34.89"/>
        <n v="51.79"/>
        <n v="12.48"/>
        <n v="134.84"/>
        <n v="447.81"/>
        <n v="19.64"/>
        <n v="9.67"/>
        <n v="56.18"/>
        <n v="21.39"/>
        <n v="95.38"/>
        <n v="188.06"/>
        <n v="58.03"/>
        <n v="474.19"/>
        <n v="100.69"/>
        <n v="478.74"/>
        <n v="62.42"/>
        <n v="57.02"/>
        <n v="46.52"/>
        <n v="238.49"/>
        <n v="104.66"/>
        <n v="22.16"/>
        <n v="211.96"/>
        <n v="247.52"/>
        <n v="177.09"/>
        <n v="53.66"/>
        <n v="176.3"/>
        <n v="81.01"/>
        <n v="111.57"/>
        <n v="353.85"/>
        <n v="30.01"/>
        <n v="31.8"/>
        <n v="189.51"/>
        <n v="42.09"/>
        <n v="121.53"/>
        <n v="113.23"/>
        <n v="261.98"/>
        <n v="22.42"/>
        <n v="148.38"/>
        <n v="657.64"/>
        <n v="156.93"/>
        <n v="104.94"/>
        <n v="76.64"/>
        <n v="231.7"/>
        <n v="133.09"/>
        <n v="204.57"/>
        <n v="14.11"/>
        <n v="569.55"/>
        <n v="401.17"/>
        <n v="58.64"/>
        <n v="178.57"/>
        <n v="413.02"/>
        <n v="297.25"/>
        <n v="43.76"/>
        <n v="68.37"/>
        <n v="40.11"/>
        <n v="18.29"/>
        <n v="333.94"/>
        <n v="176.2"/>
        <n v="295.78"/>
        <n v="380.12"/>
        <n v="47.78"/>
        <n v="117.84"/>
        <n v="242.53"/>
        <n v="444.45"/>
        <n v="16.35"/>
        <n v="19.01"/>
        <n v="41.76"/>
        <n v="690.6"/>
        <n v="89.56"/>
        <n v="249.65"/>
        <n v="57.54"/>
        <n v="294.73"/>
        <n v="105.75"/>
        <n v="36.59"/>
        <n v="88.1"/>
        <n v="227.33"/>
        <n v="25.89"/>
        <n v="17.12"/>
        <n v="311.87"/>
        <n v="120.8"/>
        <n v="43.88"/>
        <n v="64.58"/>
        <n v="3.69"/>
        <n v="104.34"/>
        <n v="98.73"/>
        <n v="238.54"/>
        <n v="269.56"/>
        <n v="130.47"/>
        <n v="154.6"/>
        <n v="284.95"/>
        <n v="21.74"/>
        <n v="403.2"/>
        <n v="126.38"/>
        <n v="20.8"/>
        <n v="28.32"/>
        <n v="427.13"/>
        <n v="106.45"/>
        <n v="15.8"/>
        <n v="131.44"/>
        <n v="45.09"/>
        <n v="302.04"/>
        <n v="70.46"/>
        <n v="32.03"/>
        <n v="11.74"/>
        <n v="17.26"/>
        <n v="40.51"/>
        <n v="344.36"/>
        <n v="176.8"/>
        <n v="75.5"/>
        <n v="13.19"/>
        <n v="72.09"/>
        <n v="23.08"/>
        <n v="16.38"/>
        <n v="14.77"/>
        <n v="10.27"/>
        <n v="256.96"/>
        <n v="171.05"/>
        <n v="104.56"/>
        <n v="27.07"/>
        <n v="171.36"/>
        <n v="88.43"/>
        <n v="205.36"/>
        <n v="129.39"/>
        <n v="219.55"/>
        <n v="10.25"/>
        <n v="130.19"/>
        <n v="16.63"/>
        <n v="362.19"/>
        <n v="55.39"/>
        <n v="58.09"/>
        <n v="19.32"/>
        <n v="270.7"/>
        <n v="186.41"/>
        <n v="262.87"/>
        <n v="27.34"/>
        <n v="197.15"/>
        <n v="10.94"/>
        <n v="189.06"/>
        <n v="79.44"/>
        <n v="81.33"/>
        <n v="77.68"/>
        <n v="22.18"/>
        <n v="102.74"/>
        <n v="151.65"/>
        <n v="284.51"/>
        <n v="386.06"/>
        <n v="247.27"/>
        <n v="246.34"/>
        <n v="169.03"/>
        <n v="192.54"/>
        <n v="36.5"/>
        <n v="145.13"/>
        <n v="135.21"/>
        <n v="84.89"/>
        <n v="102.83"/>
        <n v="352.18"/>
        <n v="34.23"/>
        <n v="115.05"/>
        <n v="52.23"/>
        <n v="306.3"/>
        <n v="253.79"/>
        <n v="123.19"/>
        <n v="97.52"/>
        <n v="137.73"/>
        <n v="54.27"/>
        <n v="162.41"/>
        <n v="273.21"/>
        <n v="342.17"/>
        <n v="306.81"/>
        <n v="44.8"/>
        <n v="290.22"/>
        <n v="464.23"/>
        <n v="18.63"/>
        <n v="317.54"/>
        <n v="177.29"/>
        <n v="56.59"/>
        <n v="52.76"/>
        <n v="183.47"/>
        <n v="18.47"/>
        <n v="19.34"/>
        <n v="71.69"/>
        <n v="404.93"/>
        <n v="256.08"/>
        <n v="97.45"/>
        <n v="227.9"/>
        <n v="128.82"/>
        <n v="55.02"/>
        <n v="117.43"/>
        <n v="171.23"/>
        <n v="39.45"/>
        <n v="265.26"/>
        <n v="55.16"/>
        <n v="192.36"/>
        <n v="23.7"/>
        <n v="66.89"/>
        <n v="159.05"/>
        <n v="66.19"/>
        <n v="47.97"/>
        <n v="92.88"/>
        <n v="63.6"/>
        <n v="106.03"/>
        <n v="71.29"/>
        <n v="142.08"/>
        <n v="44.6"/>
        <n v="112.52"/>
        <n v="256.4"/>
        <n v="30.66"/>
        <n v="27.71"/>
        <n v="162.04"/>
        <n v="448.94"/>
        <n v="32.97"/>
        <n v="25.03"/>
        <n v="141.06"/>
        <n v="112.49"/>
        <n v="206.81"/>
        <n v="187.16"/>
        <n v="110.97"/>
        <n v="175.48"/>
        <n v="510.54"/>
        <n v="696.29"/>
        <n v="38.79"/>
        <n v="42.33"/>
        <n v="272.16"/>
        <n v="54.7"/>
        <n v="61.72"/>
        <n v="84.8"/>
        <n v="235.1"/>
        <n v="36.93"/>
        <n v="151.87"/>
        <n v="51"/>
        <n v="110.26"/>
        <n v="41.36"/>
        <n v="20.12"/>
        <n v="32.61"/>
        <n v="561.54"/>
        <n v="201.38"/>
        <n v="109.76"/>
        <n v="336.04"/>
        <n v="340.44"/>
        <n v="427.97"/>
        <n v="557.81"/>
        <n v="118.78"/>
        <n v="94.82"/>
        <n v="151.01"/>
        <n v="19.86"/>
        <n v="65.62"/>
        <n v="28.65"/>
        <n v="442.59"/>
        <n v="200.03"/>
        <n v="112.83"/>
        <n v="84.75"/>
        <n v="307.33"/>
        <n v="24.94"/>
        <n v="68.56"/>
        <n v="80.07"/>
        <n v="234.43"/>
        <n v="49.45"/>
        <n v="392.49"/>
        <n v="231.69"/>
        <n v="45.41"/>
        <n v="55.44"/>
        <n v="372.23"/>
        <n v="32.2"/>
        <n v="67.83"/>
        <n v="118.55"/>
        <n v="67.34"/>
        <n v="59.74"/>
        <n v="285.09"/>
        <n v="136.98"/>
        <n v="141.5"/>
        <n v="150.44"/>
        <n v="263.22"/>
        <n v="51.38"/>
        <n v="714.16"/>
        <n v="100.12"/>
        <n v="274.85"/>
        <n v="156.58"/>
        <n v="165.43"/>
        <n v="109.77"/>
        <n v="26.37"/>
        <n v="962.59"/>
        <n v="24.38"/>
        <n v="89.84"/>
        <n v="132.33"/>
        <n v="81.43"/>
        <n v="426.33"/>
        <n v="51.98"/>
        <n v="73.86"/>
        <n v="35.95"/>
        <n v="49.41"/>
        <n v="526.09"/>
        <n v="13.47"/>
        <n v="31.77"/>
        <n v="131.37"/>
        <n v="167.18"/>
        <n v="199.23"/>
        <n v="297.92"/>
        <n v="214.9"/>
        <n v="276.05"/>
        <n v="183.83"/>
        <n v="304.31"/>
        <n v="137.87"/>
        <n v="197.81"/>
        <n v="83.53"/>
        <n v="298.19"/>
        <n v="83.79"/>
        <n v="178.9"/>
        <n v="398.25"/>
        <n v="475.76"/>
        <n v="556.16"/>
        <n v="56.22"/>
        <n v="241.5"/>
        <n v="9.17"/>
        <n v="244.54"/>
        <n v="83.39"/>
        <n v="67.49"/>
        <n v="251.43"/>
        <n v="220.57"/>
        <n v="489.47"/>
        <n v="108.27"/>
        <n v="52.31"/>
        <n v="100.16"/>
        <n v="72.98"/>
        <n v="37.62"/>
        <n v="59.03"/>
        <n v="496.43"/>
        <n v="135.34"/>
        <n v="178.75"/>
        <n v="103.73"/>
        <n v="25.25"/>
        <n v="15.38"/>
        <n v="792.94"/>
        <n v="231.88"/>
        <n v="41.88"/>
        <n v="173.86"/>
        <n v="50.03"/>
        <n v="239.65"/>
        <n v="271.07"/>
        <n v="615.15"/>
        <n v="203.84"/>
        <n v="124.29"/>
        <n v="69.19"/>
        <n v="139.75"/>
        <n v="114.04"/>
        <n v="160.01"/>
        <n v="457.68"/>
        <n v="298.7"/>
        <n v="68.45"/>
        <n v="442.09"/>
        <n v="229.97"/>
        <n v="134.68"/>
        <n v="93.17"/>
        <n v="586.03"/>
        <n v="133.96"/>
        <n v="21.17"/>
        <n v="280.38"/>
        <n v="121.28"/>
        <n v="27.36"/>
        <n v="144.92"/>
        <n v="262.52"/>
        <n v="95.32"/>
        <n v="11.49"/>
        <n v="70.04"/>
        <n v="47.31"/>
        <n v="262.32"/>
        <n v="91.69"/>
        <n v="281.96"/>
        <n v="34.8"/>
        <n v="57.34"/>
        <n v="220.84"/>
        <n v="77.23"/>
        <n v="191.17"/>
        <n v="45.85"/>
        <n v="114.31"/>
        <n v="12.91"/>
        <n v="14.99"/>
        <n v="59.69"/>
        <n v="36.73"/>
        <n v="459.58"/>
        <n v="352.15"/>
        <n v="49.94"/>
        <n v="330.38"/>
        <n v="223.95"/>
        <n v="334.43"/>
        <n v="75.76"/>
        <n v="225.28"/>
        <n v="13.74"/>
        <n v="59.96"/>
        <n v="187.24"/>
        <n v="130.71"/>
        <n v="112.98"/>
        <n v="366.58"/>
        <n v="37.88"/>
        <n v="308.9"/>
        <n v="158.89"/>
        <n v="203.35"/>
        <n v="132.51"/>
        <n v="22.32"/>
        <n v="15.33"/>
        <n v="27.51"/>
        <n v="198.57"/>
        <n v="40.79"/>
        <n v="186.38"/>
        <n v="552.48"/>
        <n v="113.9"/>
        <n v="43.79"/>
        <n v="258.6"/>
        <n v="144.65"/>
        <n v="93.79"/>
        <n v="310.07"/>
        <n v="47.49"/>
        <n v="16.74"/>
        <n v="24.22"/>
        <n v="82.14"/>
        <n v="275.71"/>
        <n v="63.16"/>
        <n v="102.68"/>
        <n v="161.66"/>
        <n v="14.98"/>
        <n v="39.27"/>
        <n v="316.46"/>
        <n v="88.64"/>
        <n v="491.81"/>
        <n v="531.29"/>
        <n v="156.13"/>
        <n v="59.81"/>
        <n v="17.98"/>
        <n v="94.32"/>
        <n v="58.82"/>
        <n v="168.91"/>
        <n v="96.08"/>
        <n v="217.3"/>
        <n v="104.81"/>
        <n v="239.78"/>
        <n v="160.04"/>
        <n v="348.31"/>
        <n v="75.93"/>
        <n v="280.86"/>
        <n v="51.59"/>
        <n v="257.67"/>
        <n v="245.11"/>
        <n v="148.01"/>
        <n v="182.46"/>
        <n v="49.23"/>
        <n v="90.48"/>
        <n v="11.6"/>
        <n v="351.83"/>
        <n v="217.09"/>
        <n v="7.29"/>
        <n v="8.61"/>
        <n v="52.28"/>
        <n v="46.69"/>
        <n v="15.67"/>
        <n v="529.53"/>
        <n v="94.78"/>
        <n v="838.18"/>
        <n v="199.64"/>
        <n v="75.09"/>
        <n v="152.27"/>
        <n v="69.64"/>
        <n v="145.91"/>
        <n v="48.4"/>
        <n v="66.93"/>
        <n v="55.4"/>
        <n v="126.56"/>
        <n v="228.07"/>
        <n v="49.88"/>
        <n v="190.79"/>
        <n v="222.85"/>
        <n v="255.14"/>
        <n v="587.78"/>
        <n v="354.26"/>
        <n v="210.22"/>
        <n v="35.23"/>
        <n v="35.11"/>
        <n v="78.42"/>
        <n v="57.23"/>
        <n v="32.86"/>
        <n v="22.43"/>
        <n v="223.57"/>
        <n v="62.41"/>
        <n v="246.4"/>
        <n v="362.45"/>
        <n v="48.19"/>
        <n v="89.6"/>
        <n v="67.78"/>
        <n v="213.73"/>
        <n v="49.18"/>
        <n v="206.88"/>
        <n v="37.55"/>
        <n v="10.97"/>
        <n v="304.1"/>
        <n v="41.65"/>
        <n v="249.94"/>
        <n v="490.22"/>
        <n v="575.87"/>
        <n v="56.98"/>
        <n v="56.25"/>
        <n v="597.15"/>
        <n v="64.97"/>
        <n v="66.9"/>
        <n v="7.7"/>
        <n v="113.09"/>
        <n v="336.74"/>
        <n v="240.64"/>
        <n v="116.18"/>
        <n v="116.88"/>
        <n v="239.15"/>
        <n v="70.5"/>
        <n v="9.99"/>
        <n v="98.76"/>
        <n v="24.71"/>
        <n v="35.65"/>
        <n v="84.94"/>
        <n v="145.69"/>
        <n v="336.5"/>
        <n v="281.13"/>
        <n v="111.49"/>
        <n v="155.08"/>
        <n v="313.93"/>
        <n v="52.96"/>
        <n v="47.66"/>
        <n v="155.31"/>
        <n v="18.3"/>
        <n v="175.32"/>
        <n v="263.56"/>
        <n v="191.68"/>
        <n v="107.6"/>
        <n v="298.09"/>
        <n v="152.12"/>
        <n v="348.67"/>
        <n v="397.15"/>
        <n v="146.57"/>
        <n v="97.4"/>
        <n v="409.46"/>
        <n v="352.4"/>
        <n v="8.31"/>
        <n v="642.75"/>
        <n v="39.42"/>
        <n v="120.53"/>
        <n v="514.3"/>
        <n v="148.36"/>
        <n v="313.46"/>
        <n v="222.52"/>
        <n v="50.21"/>
        <n v="27.84"/>
        <n v="130.41"/>
        <n v="415.26"/>
        <n v="156.83"/>
        <n v="186.06"/>
        <n v="63.88"/>
        <n v="233.84"/>
        <n v="116.77"/>
        <n v="76.26"/>
        <n v="211.83"/>
        <n v="158.37"/>
        <n v="7.13"/>
        <n v="103.57"/>
        <n v="30.93"/>
        <n v="160.03"/>
        <n v="32.82"/>
        <n v="24.15"/>
        <n v="233.47"/>
        <n v="238.29"/>
        <n v="26.7"/>
        <n v="111.83"/>
        <n v="90.94"/>
        <n v="89.25"/>
        <n v="65.23"/>
        <n v="113.3"/>
        <n v="62.69"/>
        <n v="76.3"/>
        <n v="30.35"/>
        <n v="238.94"/>
        <n v="251.15"/>
        <n v="45.99"/>
        <n v="62.82"/>
        <n v="47.73"/>
        <n v="121.06"/>
        <n v="72.84"/>
        <n v="646.53"/>
        <n v="184.2"/>
        <n v="413.29"/>
        <n v="28.04"/>
        <n v="190.34"/>
        <n v="153.31"/>
        <n v="49.06"/>
        <n v="379.35"/>
        <n v="168.68"/>
        <n v="235.9"/>
        <n v="99.72"/>
        <n v="38.35"/>
        <n v="55.12"/>
        <n v="65.81"/>
        <n v="78.83"/>
        <n v="20.5"/>
        <n v="129.93"/>
        <n v="267.39"/>
        <n v="91.48"/>
        <n v="66.75"/>
        <n v="126.7"/>
        <n v="119.17"/>
        <n v="37.76"/>
        <n v="56.76"/>
        <n v="53.02"/>
        <n v="91.5"/>
        <n v="163.33"/>
        <n v="147.22"/>
        <n v="266.19"/>
        <n v="268.58"/>
        <n v="149.58"/>
        <n v="92.54"/>
        <n v="407.2"/>
        <n v="75.82"/>
        <n v="23.33"/>
        <n v="379.78"/>
        <n v="16.02"/>
        <n v="274.44"/>
        <n v="18.23"/>
        <n v="235.28"/>
        <n v="181.5"/>
        <n v="216.99"/>
        <n v="142.43"/>
        <n v="63.81"/>
        <n v="69.88"/>
        <n v="466.39"/>
        <n v="133.42"/>
        <n v="28"/>
        <n v="86.23"/>
        <n v="318.1"/>
        <n v="94.79"/>
        <n v="54.13"/>
        <n v="32.21"/>
        <n v="90.29"/>
        <n v="10.34"/>
        <n v="4.67"/>
        <n v="19.31"/>
        <n v="79.5"/>
        <n v="424.1"/>
        <n v="362.95"/>
        <n v="155.55"/>
        <n v="100.9"/>
        <n v="283.57"/>
        <n v="140.26"/>
        <n v="46.97"/>
        <n v="589.75"/>
        <n v="70.34"/>
        <n v="78.54"/>
        <n v="29.73"/>
        <n v="99.23"/>
        <n v="55.14"/>
        <n v="151.7"/>
        <n v="73.87"/>
        <n v="227.47"/>
        <n v="56.95"/>
        <n v="77.06"/>
        <n v="411.44"/>
        <n v="49.91"/>
        <n v="249.92"/>
        <n v="130.83"/>
        <n v="54.41"/>
        <n v="127.2"/>
        <n v="241.94"/>
        <n v="13.87"/>
        <n v="230.59"/>
        <n v="124.97"/>
        <n v="143.1"/>
        <n v="269.36"/>
        <n v="101.24"/>
        <n v="19.18"/>
        <n v="467.84"/>
        <n v="9.16"/>
        <n v="59.35"/>
        <n v="48.31"/>
        <n v="13.42"/>
        <n v="164.66"/>
        <n v="211.51"/>
        <n v="58.36"/>
        <n v="148.46"/>
        <n v="128.29"/>
        <n v="59.54"/>
        <n v="172.58"/>
        <n v="29.36"/>
        <n v="100.85"/>
        <n v="74.78"/>
        <n v="373.49"/>
        <n v="202.57"/>
        <n v="100.67"/>
        <n v="119.47"/>
        <n v="95.95"/>
        <n v="342.46"/>
        <n v="272.79"/>
        <n v="308.64"/>
        <n v="179.58"/>
        <n v="417.48"/>
        <n v="35.56"/>
        <n v="125.39"/>
        <n v="337.24"/>
        <n v="16.75"/>
        <n v="345.04"/>
        <n v="76.02"/>
        <n v="495.7"/>
        <n v="28.94"/>
        <n v="34.47"/>
        <n v="31.35"/>
        <n v="254.39"/>
        <n v="49.24"/>
        <n v="68.05"/>
        <n v="14.26"/>
        <n v="110.81"/>
        <n v="96.62"/>
        <n v="208.98"/>
        <n v="73.14"/>
        <n v="282.01"/>
        <n v="109.38"/>
        <n v="25.99"/>
        <n v="85.58"/>
        <n v="216.86"/>
        <n v="542.28"/>
        <n v="164.06"/>
        <n v="278.65"/>
        <n v="233.89"/>
        <n v="33.06"/>
        <n v="51.67"/>
        <n v="229.63"/>
        <n v="106.69"/>
        <n v="110.75"/>
        <n v="95.59"/>
        <n v="104.21"/>
        <n v="289.5"/>
        <n v="392.68"/>
        <n v="147.83"/>
        <n v="195.63"/>
        <n v="245.59"/>
        <n v="207.45"/>
        <n v="175.16"/>
        <n v="32.35"/>
        <n v="137.3"/>
        <n v="251.75"/>
        <n v="67.65"/>
        <n v="128.66"/>
        <n v="520.33"/>
        <n v="228.84"/>
        <n v="98.58"/>
        <n v="352.29"/>
        <n v="29.53"/>
        <n v="72.13"/>
        <n v="90.02"/>
        <n v="33.91"/>
        <n v="310.02"/>
        <n v="39.23"/>
        <n v="134.57"/>
        <n v="143.28"/>
        <n v="147.21"/>
        <n v="300.84"/>
        <n v="347.72"/>
        <n v="121.91"/>
        <n v="266.18"/>
        <n v="171.94"/>
        <n v="46.59"/>
        <n v="165.03"/>
        <n v="127.76"/>
        <n v="103.07"/>
        <n v="59.09"/>
        <n v="604.39"/>
        <n v="26.23"/>
        <n v="112.25"/>
      </sharedItems>
    </cacheField>
    <cacheField name="Tax_Amount" numFmtId="4">
      <sharedItems containsSemiMixedTypes="0" containsString="0" containsNumber="1" minValue="-76.22" maxValue="812.86" count="2085">
        <n v="62.41"/>
        <n v="134.68"/>
        <n v="31.71"/>
        <n v="95.58"/>
        <n v="179.5"/>
        <n v="406.52"/>
        <n v="103.58"/>
        <n v="98.27"/>
        <n v="148.73"/>
        <n v="25.23"/>
        <n v="156.83"/>
        <n v="499.6"/>
        <n v="26.96"/>
        <n v="30.37"/>
        <n v="84.67"/>
        <n v="190.67"/>
        <n v="255.5"/>
        <n v="12.62"/>
        <n v="65.62"/>
        <n v="212.12"/>
        <n v="361.17"/>
        <n v="258.56"/>
        <n v="86.01"/>
        <n v="152.18"/>
        <n v="106.69"/>
        <n v="40.79"/>
        <n v="282.1"/>
        <n v="65.23"/>
        <n v="54.86"/>
        <n v="123.56"/>
        <n v="145.51"/>
        <n v="71.02"/>
        <n v="237.08"/>
        <n v="47.79"/>
        <n v="188.46"/>
        <n v="194.89"/>
        <n v="10.87"/>
        <n v="197.14"/>
        <n v="255.15"/>
        <n v="106.23"/>
        <n v="450.29"/>
        <n v="21"/>
        <n v="46.04"/>
        <n v="14.98"/>
        <n v="57.29"/>
        <n v="155.91"/>
        <n v="427.5"/>
        <n v="92.76"/>
        <n v="503.17"/>
        <n v="188.78"/>
        <n v="87.4"/>
        <n v="389.08"/>
        <n v="104.87"/>
        <n v="55.91"/>
        <n v="42.33"/>
        <n v="246.76"/>
        <n v="251.12"/>
        <n v="47.21"/>
        <n v="50.31"/>
        <n v="303.6"/>
        <n v="114.04"/>
        <n v="40.04"/>
        <n v="383.64"/>
        <n v="250.06"/>
        <n v="50.09"/>
        <n v="74.69"/>
        <n v="26.98"/>
        <n v="264.3"/>
        <n v="71.94"/>
        <n v="43.76"/>
        <n v="105.02"/>
        <n v="87.14"/>
        <n v="174.23"/>
        <n v="34.96"/>
        <n v="50.49"/>
        <n v="263.72"/>
        <n v="385.24"/>
        <n v="143.37"/>
        <n v="50.79"/>
        <n v="479.49"/>
        <n v="428.25"/>
        <n v="604.36"/>
        <n v="168.98"/>
        <n v="63.5"/>
        <n v="211.83"/>
        <n v="205.08"/>
        <n v="118.62"/>
        <n v="228.6"/>
        <n v="241.61"/>
        <n v="0"/>
        <n v="170.66"/>
        <n v="356.15"/>
        <n v="127.19"/>
        <n v="52.16"/>
        <n v="138.6"/>
        <n v="62.62"/>
        <n v="268.73"/>
        <n v="315.31"/>
        <n v="271.22"/>
        <n v="147.54"/>
        <n v="40.12"/>
        <n v="85.82"/>
        <n v="210.97"/>
        <n v="26.65"/>
        <n v="213.58"/>
        <n v="83.78"/>
        <n v="418.68"/>
        <n v="171.45"/>
        <n v="30.8"/>
        <n v="114.09"/>
        <n v="210"/>
        <n v="90.82"/>
        <n v="203.48"/>
        <n v="75.46"/>
        <n v="49.06"/>
        <n v="113.02"/>
        <n v="341.82"/>
        <n v="34.22"/>
        <n v="54.02"/>
        <n v="25.66"/>
        <n v="18.47"/>
        <n v="149.11"/>
        <n v="61.94"/>
        <n v="85.79"/>
        <n v="95.02"/>
        <n v="84.85"/>
        <n v="175.32"/>
        <n v="63.98"/>
        <n v="445.52"/>
        <n v="113.07"/>
        <n v="74.9"/>
        <n v="84.15"/>
        <n v="182.82"/>
        <n v="90.62"/>
        <n v="256.06"/>
        <n v="96.62"/>
        <n v="99.86"/>
        <n v="70.95"/>
        <n v="318.98"/>
        <n v="136.2"/>
        <n v="569.27"/>
        <n v="73.14"/>
        <n v="104.66"/>
        <n v="176.03"/>
        <n v="183.91"/>
        <n v="247.23"/>
        <n v="170.57"/>
        <n v="66.32"/>
        <n v="117.64"/>
        <n v="157.48"/>
        <n v="242.41"/>
        <n v="56.32"/>
        <n v="35.95"/>
        <n v="85.08"/>
        <n v="51.79"/>
        <n v="5.61"/>
        <n v="223.12"/>
        <n v="122.02"/>
        <n v="603.48"/>
        <n v="134.41"/>
        <n v="74.23"/>
        <n v="149.73"/>
        <n v="254.48"/>
        <n v="202.58"/>
        <n v="36.81"/>
        <n v="27.28"/>
        <n v="41.1"/>
        <n v="94.82"/>
        <n v="199.72"/>
        <n v="18.48"/>
        <n v="59.06"/>
        <n v="74.44"/>
        <n v="248.84"/>
        <n v="89.43"/>
        <n v="50.25"/>
        <n v="105.69"/>
        <n v="154.7"/>
        <n v="57.11"/>
        <n v="157.66"/>
        <n v="132.76"/>
        <n v="544.51"/>
        <n v="118.45"/>
        <n v="430.71"/>
        <n v="145.46"/>
        <n v="132.36"/>
        <n v="96.34"/>
        <n v="208.98"/>
        <n v="33.27"/>
        <n v="168.99"/>
        <n v="16.71"/>
        <n v="211.07"/>
        <n v="516.32"/>
        <n v="32.61"/>
        <n v="406.01"/>
        <n v="303.03"/>
        <n v="381.21"/>
        <n v="268.12"/>
        <n v="189.66"/>
        <n v="17.98"/>
        <n v="302.02"/>
        <n v="154.6"/>
        <n v="191.03"/>
        <n v="479.23"/>
        <n v="174.27"/>
        <n v="131.26"/>
        <n v="82.93"/>
        <n v="302.22"/>
        <n v="158.63"/>
        <n v="68.94"/>
        <n v="141.39"/>
        <n v="527.9"/>
        <n v="120.91"/>
        <n v="218.73"/>
        <n v="37.27"/>
        <n v="496.83"/>
        <n v="80.59"/>
        <n v="50.53"/>
        <n v="110.84"/>
        <n v="53.96"/>
        <n v="40.31"/>
        <n v="371.08"/>
        <n v="275.75"/>
        <n v="5.8"/>
        <n v="207.08"/>
        <n v="152.04"/>
        <n v="22.2"/>
        <n v="124.09"/>
        <n v="23.25"/>
        <n v="318.6"/>
        <n v="572.94"/>
        <n v="127.79"/>
        <n v="90.83"/>
        <n v="47.87"/>
        <n v="28.98"/>
        <n v="8.09"/>
        <n v="21.22"/>
        <n v="297.27"/>
        <n v="121.53"/>
        <n v="106.66"/>
        <n v="268.34"/>
        <n v="309.88"/>
        <n v="31.04"/>
        <n v="43.57"/>
        <n v="239.83"/>
        <n v="267.36"/>
        <n v="153.54"/>
        <n v="286.21"/>
        <n v="124.61"/>
        <n v="267.26"/>
        <n v="82.78"/>
        <n v="113.28"/>
        <n v="278.65"/>
        <n v="336.7"/>
        <n v="219.55"/>
        <n v="189.92"/>
        <n v="59.58"/>
        <n v="59.83"/>
        <n v="127.95"/>
        <n v="127.76"/>
        <n v="48.47"/>
        <n v="42.06"/>
        <n v="100.89"/>
        <n v="453.52"/>
        <n v="326.62"/>
        <n v="178.55"/>
        <n v="62.52"/>
        <n v="152.59"/>
        <n v="45.99"/>
        <n v="134.25"/>
        <n v="93.63"/>
        <n v="180.7"/>
        <n v="66.28"/>
        <n v="59.35"/>
        <n v="51.67"/>
        <n v="41.26"/>
        <n v="122"/>
        <n v="109.61"/>
        <n v="174.33"/>
        <n v="51.53"/>
        <n v="69.73"/>
        <n v="83.23"/>
        <n v="130.15"/>
        <n v="140.3"/>
        <n v="56.75"/>
        <n v="123.8"/>
        <n v="192.01"/>
        <n v="368.72"/>
        <n v="311.15"/>
        <n v="59.51"/>
        <n v="67.42"/>
        <n v="188.08"/>
        <n v="341.65"/>
        <n v="273.16"/>
        <n v="20.91"/>
        <n v="56.18"/>
        <n v="275.74"/>
        <n v="41.43"/>
        <n v="150.88"/>
        <n v="32.91"/>
        <n v="287"/>
        <n v="55.52"/>
        <n v="56.59"/>
        <n v="4.93"/>
        <n v="62.5"/>
        <n v="126.45"/>
        <n v="82.71"/>
        <n v="21.28"/>
        <n v="58.6"/>
        <n v="59.96"/>
        <n v="6.7"/>
        <n v="282.33"/>
        <n v="43.56"/>
        <n v="230.11"/>
        <n v="276.02"/>
        <n v="37.22"/>
        <n v="313.07"/>
        <n v="137.25"/>
        <n v="66.82"/>
        <n v="12.33"/>
        <n v="75.5"/>
        <n v="118.42"/>
        <n v="67.82"/>
        <n v="58.03"/>
        <n v="153.35"/>
        <n v="50.11"/>
        <n v="250.64"/>
        <n v="275.31"/>
        <n v="158.58"/>
        <n v="167.67"/>
        <n v="206.14"/>
        <n v="121.41"/>
        <n v="80.43"/>
        <n v="287.47"/>
        <n v="49.36"/>
        <n v="177.05"/>
        <n v="77.06"/>
        <n v="84.2"/>
        <n v="190.63"/>
        <n v="15.4"/>
        <n v="98.91"/>
        <n v="171.98"/>
        <n v="262.49"/>
        <n v="76.36"/>
        <n v="21.74"/>
        <n v="80.54"/>
        <n v="67.04"/>
        <n v="36.93"/>
        <n v="66.93"/>
        <n v="138.06"/>
        <n v="75.73"/>
        <n v="232.59"/>
        <n v="22.04"/>
        <n v="44.8"/>
        <n v="117.42"/>
        <n v="46.13"/>
        <n v="29.26"/>
        <n v="231.9"/>
        <n v="72.46"/>
        <n v="246.72"/>
        <n v="492.1"/>
        <n v="522.54"/>
        <n v="173.43"/>
        <n v="137.59"/>
        <n v="179.62"/>
        <n v="173.38"/>
        <n v="22.7"/>
        <n v="33.64"/>
        <n v="53.87"/>
        <n v="123.93"/>
        <n v="102.35"/>
        <n v="121.39"/>
        <n v="65.65"/>
        <n v="157"/>
        <n v="137.87"/>
        <n v="13.33"/>
        <n v="24.15"/>
        <n v="123.5"/>
        <n v="43.14"/>
        <n v="31.83"/>
        <n v="495.61"/>
        <n v="107.53"/>
        <n v="244.54"/>
        <n v="167.52"/>
        <n v="88.78"/>
        <n v="192.04"/>
        <n v="170.78"/>
        <n v="39.93"/>
        <n v="35.51"/>
        <n v="44.16"/>
        <n v="30.91"/>
        <n v="133.52"/>
        <n v="242.98"/>
        <n v="90.06"/>
        <n v="82.27"/>
        <n v="69.66"/>
        <n v="252.35"/>
        <n v="80.28"/>
        <n v="42.17"/>
        <n v="27.35"/>
        <n v="78.19"/>
        <n v="330.38"/>
        <n v="40.02"/>
        <n v="52.48"/>
        <n v="43.8"/>
        <n v="19.84"/>
        <n v="304.5"/>
        <n v="102.08"/>
        <n v="11.07"/>
        <n v="188.09"/>
        <n v="137.98"/>
        <n v="210.75"/>
        <n v="34.83"/>
        <n v="141.93"/>
        <n v="199.46"/>
        <n v="29.77"/>
        <n v="21.39"/>
        <n v="286.66"/>
        <n v="11.99"/>
        <n v="200.83"/>
        <n v="34.05"/>
        <n v="24.74"/>
        <n v="89.82"/>
        <n v="167.73"/>
        <n v="199.64"/>
        <n v="16.45"/>
        <n v="94.33"/>
        <n v="62.07"/>
        <n v="160.24"/>
        <n v="171.37"/>
        <n v="42.32"/>
        <n v="264.72"/>
        <n v="46.75"/>
        <n v="55.6"/>
        <n v="84.07"/>
        <n v="80.5"/>
        <n v="139.32"/>
        <n v="252.26"/>
        <n v="320.08"/>
        <n v="115.42"/>
        <n v="234.9"/>
        <n v="485.86"/>
        <n v="110.98"/>
        <n v="18.16"/>
        <n v="257.67"/>
        <n v="157.1"/>
        <n v="102.44"/>
        <n v="418.38"/>
        <n v="59.02"/>
        <n v="60.24"/>
        <n v="20.11"/>
        <n v="165.1"/>
        <n v="52.65"/>
        <n v="388.69"/>
        <n v="386.09"/>
        <n v="266.47"/>
        <n v="44.42"/>
        <n v="162.06"/>
        <n v="152.25"/>
        <n v="35.68"/>
        <n v="49.25"/>
        <n v="91.7"/>
        <n v="230.72"/>
        <n v="13.16"/>
        <n v="350.58"/>
        <n v="211.5"/>
        <n v="216.18"/>
        <n v="28.74"/>
        <n v="134.88"/>
        <n v="243.38"/>
        <n v="121.88"/>
        <n v="172.58"/>
        <n v="197.42"/>
        <n v="41.4"/>
        <n v="225.14"/>
        <n v="30.62"/>
        <n v="79.68"/>
        <n v="41.6"/>
        <n v="442.31"/>
        <n v="32.08"/>
        <n v="470.9"/>
        <n v="181.21"/>
        <n v="352.92"/>
        <n v="275.25"/>
        <n v="31.44"/>
        <n v="238.71"/>
        <n v="122.86"/>
        <n v="9.65"/>
        <n v="371.31"/>
        <n v="146.37"/>
        <n v="105.2"/>
        <n v="135.27"/>
        <n v="141.06"/>
        <n v="197.81"/>
        <n v="127.53"/>
        <n v="278.13"/>
        <n v="39.23"/>
        <n v="126.82"/>
        <n v="268.82"/>
        <n v="334.12"/>
        <n v="105.46"/>
        <n v="554.23"/>
        <n v="44.39"/>
        <n v="14.71"/>
        <n v="247"/>
        <n v="586.41"/>
        <n v="267.13"/>
        <n v="223.03"/>
        <n v="137.22"/>
        <n v="186.19"/>
        <n v="280.33"/>
        <n v="51.04"/>
        <n v="253.18"/>
        <n v="11.6"/>
        <n v="44.73"/>
        <n v="67.78"/>
        <n v="283.55"/>
        <n v="159.4"/>
        <n v="47.49"/>
        <n v="367.32"/>
        <n v="54.23"/>
        <n v="47.17"/>
        <n v="218.32"/>
        <n v="195.2"/>
        <n v="25.6"/>
        <n v="235.1"/>
        <n v="241.72"/>
        <n v="72.94"/>
        <n v="313.7"/>
        <n v="28.13"/>
        <n v="34.52"/>
        <n v="266.26"/>
        <n v="135.94"/>
        <n v="17.4"/>
        <n v="34.89"/>
        <n v="119.48"/>
        <n v="186.86"/>
        <n v="175.15"/>
        <n v="33.24"/>
        <n v="103.91"/>
        <n v="99.29"/>
        <n v="14.51"/>
        <n v="321.85"/>
        <n v="252.99"/>
        <n v="60.69"/>
        <n v="298.02"/>
        <n v="55.02"/>
        <n v="93.84"/>
        <n v="180.24"/>
        <n v="7.31"/>
        <n v="57.02"/>
        <n v="144.54"/>
        <n v="300.89"/>
        <n v="52.88"/>
        <n v="157.59"/>
        <n v="166.25"/>
        <n v="163.06"/>
        <n v="130.71"/>
        <n v="35.38"/>
        <n v="418.4"/>
        <n v="368.98"/>
        <n v="125.11"/>
        <n v="166.81"/>
        <n v="79.21"/>
        <n v="439.29"/>
        <n v="86.96"/>
        <n v="22.73"/>
        <n v="60.16"/>
        <n v="63.67"/>
        <n v="143"/>
        <n v="372.78"/>
        <n v="304.61"/>
        <n v="182.05"/>
        <n v="287.74"/>
        <n v="63.88"/>
        <n v="199.18"/>
        <n v="183.97"/>
        <n v="47.78"/>
        <n v="209.91"/>
        <n v="118.82"/>
        <n v="106.05"/>
        <n v="162.9"/>
        <n v="94.26"/>
        <n v="176.14"/>
        <n v="41.76"/>
        <n v="44.71"/>
        <n v="25.4"/>
        <n v="130.63"/>
        <n v="54.11"/>
        <n v="111.78"/>
        <n v="78.28"/>
        <n v="510.07"/>
        <n v="98.12"/>
        <n v="79.52"/>
        <n v="37.41"/>
        <n v="110.76"/>
        <n v="25.63"/>
        <n v="50.65"/>
        <n v="6.81"/>
        <n v="123.68"/>
        <n v="190.36"/>
        <n v="-76.22"/>
        <n v="64.21"/>
        <n v="156.43"/>
        <n v="355.64"/>
        <n v="85.42"/>
        <n v="235.79"/>
        <n v="42.12"/>
        <n v="185.43"/>
        <n v="517.78"/>
        <n v="62.9"/>
        <n v="44.3"/>
        <n v="83.16"/>
        <n v="231.87"/>
        <n v="30.5"/>
        <n v="12.32"/>
        <n v="61.15"/>
        <n v="63.08"/>
        <n v="257.89"/>
        <n v="238.95"/>
        <n v="89.84"/>
        <n v="145.01"/>
        <n v="246.51"/>
        <n v="156.38"/>
        <n v="286.27"/>
        <n v="182.7"/>
        <n v="213.38"/>
        <n v="201.98"/>
        <n v="93.62"/>
        <n v="47.22"/>
        <n v="204.17"/>
        <n v="46.49"/>
        <n v="363.82"/>
        <n v="162.23"/>
        <n v="30.9"/>
        <n v="68.37"/>
        <n v="48.89"/>
        <n v="18.77"/>
        <n v="37.45"/>
        <n v="103.55"/>
        <n v="168.14"/>
        <n v="152.78"/>
        <n v="69.77"/>
        <n v="402.91"/>
        <n v="306.27"/>
        <n v="308.11"/>
        <n v="287.48"/>
        <n v="90.05"/>
        <n v="115.77"/>
        <n v="86.69"/>
        <n v="201.14"/>
        <n v="49.2"/>
        <n v="349.43"/>
        <n v="162.2"/>
        <n v="492.93"/>
        <n v="32.23"/>
        <n v="208.4"/>
        <n v="147.18"/>
        <n v="83.87"/>
        <n v="194.08"/>
        <n v="199.33"/>
        <n v="162.54"/>
        <n v="320.87"/>
        <n v="112.38"/>
        <n v="199.96"/>
        <n v="482.1"/>
        <n v="104.53"/>
        <n v="467.3"/>
        <n v="109.78"/>
        <n v="44.89"/>
        <n v="105.83"/>
        <n v="397.62"/>
        <n v="31.94"/>
        <n v="24.71"/>
        <n v="247.27"/>
        <n v="94.6"/>
        <n v="66.48"/>
        <n v="152.56"/>
        <n v="560.26"/>
        <n v="108.97"/>
        <n v="96.6"/>
        <n v="404.26"/>
        <n v="227.02"/>
        <n v="162.07"/>
        <n v="144.27"/>
        <n v="342.38"/>
        <n v="119.78"/>
        <n v="145.33"/>
        <n v="131.25"/>
        <n v="426.59"/>
        <n v="244.76"/>
        <n v="812.86"/>
        <n v="256.84"/>
        <n v="142.09"/>
        <n v="104.49"/>
        <n v="224.66"/>
        <n v="184.92"/>
        <n v="130.7"/>
        <n v="209.21"/>
        <n v="131.63"/>
        <n v="297.55"/>
        <n v="12.92"/>
        <n v="523.44"/>
        <n v="33.49"/>
        <n v="113.9"/>
        <n v="69.15"/>
        <n v="180.43"/>
        <n v="28.67"/>
        <n v="49.29"/>
        <n v="201.8"/>
        <n v="285.71"/>
        <n v="252.85"/>
        <n v="7.12"/>
        <n v="147.19"/>
        <n v="151.01"/>
        <n v="219.09"/>
        <n v="104.36"/>
        <n v="170.37"/>
        <n v="163.95"/>
        <n v="62.87"/>
        <n v="214.16"/>
        <n v="128.03"/>
        <n v="65.49"/>
        <n v="243.64"/>
        <n v="105.87"/>
        <n v="202.72"/>
        <n v="264.11"/>
        <n v="67.63"/>
        <n v="230.42"/>
        <n v="31.03"/>
        <n v="7.19"/>
        <n v="55.4"/>
        <n v="572"/>
        <n v="261.95"/>
        <n v="195.75"/>
        <n v="356.2"/>
        <n v="29.65"/>
        <n v="44.02"/>
        <n v="35.58"/>
        <n v="80.9"/>
        <n v="380.64"/>
        <n v="218.24"/>
        <n v="188.8"/>
        <n v="55.97"/>
        <n v="27.57"/>
        <n v="47.75"/>
        <n v="28.87"/>
        <n v="128.76"/>
        <n v="253.87"/>
        <n v="34.82"/>
        <n v="377.35"/>
        <n v="31.79"/>
        <n v="284.51"/>
        <n v="271.13"/>
        <n v="108.16"/>
        <n v="135.93"/>
        <n v="287.24"/>
        <n v="84.27"/>
        <n v="24.03"/>
        <n v="113.18"/>
        <n v="162.5"/>
        <n v="139.67"/>
        <n v="153.11"/>
        <n v="27.91"/>
        <n v="62.8"/>
        <n v="29.92"/>
        <n v="217.16"/>
        <n v="286.14"/>
        <n v="181.66"/>
        <n v="210.39"/>
        <n v="140.21"/>
        <n v="156.93"/>
        <n v="256.7"/>
        <n v="200.78"/>
        <n v="152.77"/>
        <n v="239.07"/>
        <n v="54.97"/>
        <n v="32.2"/>
        <n v="238"/>
        <n v="225.02"/>
        <n v="263.83"/>
        <n v="109.36"/>
        <n v="212.8"/>
        <n v="150.61"/>
        <n v="27.48"/>
        <n v="56.42"/>
        <n v="212.31"/>
        <n v="240.64"/>
        <n v="45.34"/>
        <n v="85.52"/>
        <n v="42.93"/>
        <n v="161.09"/>
        <n v="119.96"/>
        <n v="400.76"/>
        <n v="164.07"/>
        <n v="152.86"/>
        <n v="353.67"/>
        <n v="63.9"/>
        <n v="200.32"/>
        <n v="558.99"/>
        <n v="94.16"/>
        <n v="89.2"/>
        <n v="218.44"/>
        <n v="139.02"/>
        <n v="179.67"/>
        <n v="304.37"/>
        <n v="276.18"/>
        <n v="50.58"/>
        <n v="44.96"/>
        <n v="40.22"/>
        <n v="341.73"/>
        <n v="32.35"/>
        <n v="240.7"/>
        <n v="167.11"/>
        <n v="42.8"/>
        <n v="241.07"/>
        <n v="351.07"/>
        <n v="178.35"/>
        <n v="37.19"/>
        <n v="350.14"/>
        <n v="58.11"/>
        <n v="193.05"/>
        <n v="183.4"/>
        <n v="186.83"/>
        <n v="77.68"/>
        <n v="114.3"/>
        <n v="71.13"/>
        <n v="15.54"/>
        <n v="318.62"/>
        <n v="283.85"/>
        <n v="37.67"/>
        <n v="105.72"/>
        <n v="517.85"/>
        <n v="160.34"/>
        <n v="122.18"/>
        <n v="251.41"/>
        <n v="228.07"/>
        <n v="136.18"/>
        <n v="159.08"/>
        <n v="60.41"/>
        <n v="78.62"/>
        <n v="172.77"/>
        <n v="180.95"/>
        <n v="327.41"/>
        <n v="81.69"/>
        <n v="581.87"/>
        <n v="266.67"/>
        <n v="226.89"/>
        <n v="417.41"/>
        <n v="46.61"/>
        <n v="54.17"/>
        <n v="287.21"/>
        <n v="35.5"/>
        <n v="414.36"/>
        <n v="238.57"/>
        <n v="50.28"/>
        <n v="76.12"/>
        <n v="212.2"/>
        <n v="34.53"/>
        <n v="176.84"/>
        <n v="142.77"/>
        <n v="387.31"/>
        <n v="104.29"/>
        <n v="282.26"/>
        <n v="52.86"/>
        <n v="306.9"/>
        <n v="16.93"/>
        <n v="65.2"/>
        <n v="264.29"/>
        <n v="22.01"/>
        <n v="48.81"/>
        <n v="235.67"/>
        <n v="265.09"/>
        <n v="657.16"/>
        <n v="163.08"/>
        <n v="276.08"/>
        <n v="268.86"/>
        <n v="103.07"/>
        <n v="26.32"/>
        <n v="54.9"/>
        <n v="10.52"/>
        <n v="297.36"/>
        <n v="83.92"/>
        <n v="100.06"/>
        <n v="156.56"/>
        <n v="322.04"/>
        <n v="75.76"/>
        <n v="363.9"/>
        <n v="144.31"/>
        <n v="371.84"/>
        <n v="131.41"/>
        <n v="89.92"/>
        <n v="242.2"/>
        <n v="76.43"/>
        <n v="489.04"/>
        <n v="166.08"/>
        <n v="29.35"/>
        <n v="342.72"/>
        <n v="75.83"/>
        <n v="363.13"/>
        <n v="44.97"/>
        <n v="59.29"/>
        <n v="38.24"/>
        <n v="120.1"/>
        <n v="256.28"/>
        <n v="90.48"/>
        <n v="113.88"/>
        <n v="45.02"/>
        <n v="237.26"/>
        <n v="179.21"/>
        <n v="331.6"/>
        <n v="10.34"/>
        <n v="436.05"/>
        <n v="177.44"/>
        <n v="60.87"/>
        <n v="256.73"/>
        <n v="95.12"/>
        <n v="27.23"/>
        <n v="33.47"/>
        <n v="23.31"/>
        <n v="54.69"/>
        <n v="292.7"/>
        <n v="503.89"/>
        <n v="35.02"/>
        <n v="64.18"/>
        <n v="37.6"/>
        <n v="129.44"/>
        <n v="97.32"/>
        <n v="65.77"/>
        <n v="22.11"/>
        <n v="356.36"/>
        <n v="165.26"/>
        <n v="42.1"/>
        <n v="218.42"/>
        <n v="145.4"/>
        <n v="297.98"/>
        <n v="77.14"/>
        <n v="219.47"/>
        <n v="42.77"/>
        <n v="14.03"/>
        <n v="45.41"/>
        <n v="231.34"/>
        <n v="252.02"/>
        <n v="123.22"/>
        <n v="67.28"/>
        <n v="42.37"/>
        <n v="68.71"/>
        <n v="368.75"/>
        <n v="130.39"/>
        <n v="48.31"/>
        <n v="19.98"/>
        <n v="131.73"/>
        <n v="92.67"/>
        <n v="13.84"/>
        <n v="110.66"/>
        <n v="125.34"/>
        <n v="9.98"/>
        <n v="307.86"/>
        <n v="157.88"/>
        <n v="119.58"/>
        <n v="34.85"/>
        <n v="195.32"/>
        <n v="55.05"/>
        <n v="161.72"/>
        <n v="230.1"/>
        <n v="158.45"/>
        <n v="157.72"/>
        <n v="23.24"/>
        <n v="118.29"/>
        <n v="9.3"/>
        <n v="231.3"/>
        <n v="255.23"/>
        <n v="107.25"/>
        <n v="231.78"/>
        <n v="66.03"/>
        <n v="63.23"/>
        <n v="138.7"/>
        <n v="97.84"/>
        <n v="204.72"/>
        <n v="170.71"/>
        <n v="328.16"/>
        <n v="190.18"/>
        <n v="197.15"/>
        <n v="225.67"/>
        <n v="210.18"/>
        <n v="332.56"/>
        <n v="57.81"/>
        <n v="88.46"/>
        <n v="195.59"/>
        <n v="161.51"/>
        <n v="228.2"/>
        <n v="548.75"/>
        <n v="150.77"/>
        <n v="31.02"/>
        <n v="115.76"/>
        <n v="93.79"/>
        <n v="80.13"/>
        <n v="413.61"/>
        <n v="385.34"/>
        <n v="72.15"/>
        <n v="293.06"/>
        <n v="155.32"/>
        <n v="475.44"/>
        <n v="97.55"/>
        <n v="142.26"/>
        <n v="216.62"/>
        <n v="104.85"/>
        <n v="32.11"/>
        <n v="70.51"/>
        <n v="413.5"/>
        <n v="95.4"/>
        <n v="143.35"/>
        <n v="432.3"/>
        <n v="342.62"/>
        <n v="139.55"/>
        <n v="73.91"/>
        <n v="326.51"/>
        <n v="58.51"/>
        <n v="185.94"/>
        <n v="249.55"/>
        <n v="154.66"/>
        <n v="75.93"/>
        <n v="219.25"/>
        <n v="75.52"/>
        <n v="232.23"/>
        <n v="170.6"/>
        <n v="290.85"/>
        <n v="184.08"/>
        <n v="200.98"/>
        <n v="96.08"/>
        <n v="127.69"/>
        <n v="15.38"/>
        <n v="391.79"/>
        <n v="394.6"/>
        <n v="53.1"/>
        <n v="190.52"/>
        <n v="75.86"/>
        <n v="436.64"/>
        <n v="420.65"/>
        <n v="407.21"/>
        <n v="106.37"/>
        <n v="48.1"/>
        <n v="147.79"/>
        <n v="71.22"/>
        <n v="388.95"/>
        <n v="45.88"/>
        <n v="155.95"/>
        <n v="300.76"/>
        <n v="226.08"/>
        <n v="15.7"/>
        <n v="55.13"/>
        <n v="99.82"/>
        <n v="16.74"/>
        <n v="345.58"/>
        <n v="96.78"/>
        <n v="344.19"/>
        <n v="47.7"/>
        <n v="345.71"/>
        <n v="58.47"/>
        <n v="307.66"/>
        <n v="77.29"/>
        <n v="46.76"/>
        <n v="158.53"/>
        <n v="102.74"/>
        <n v="59.84"/>
        <n v="112.42"/>
        <n v="159.15"/>
        <n v="136.84"/>
        <n v="33.1"/>
        <n v="31.55"/>
        <n v="223.58"/>
        <n v="248.91"/>
        <n v="320.29"/>
        <n v="417.55"/>
        <n v="163.51"/>
        <n v="238.49"/>
        <n v="20.14"/>
        <n v="190.64"/>
        <n v="79.86"/>
        <n v="214.71"/>
        <n v="89.36"/>
        <n v="164.66"/>
        <n v="136.71"/>
        <n v="125.39"/>
        <n v="18.28"/>
        <n v="181.25"/>
        <n v="116.66"/>
        <n v="63.62"/>
        <n v="205.36"/>
        <n v="62.14"/>
        <n v="404.92"/>
        <n v="37.91"/>
        <n v="95.65"/>
        <n v="153.84"/>
        <n v="87.39"/>
        <n v="442.61"/>
        <n v="255.79"/>
        <n v="171.05"/>
        <n v="97.22"/>
        <n v="269.36"/>
        <n v="93.96"/>
        <n v="33.79"/>
        <n v="345.88"/>
        <n v="279.26"/>
        <n v="106.45"/>
        <n v="119.9"/>
        <n v="320.59"/>
        <n v="99.49"/>
        <n v="140.08"/>
        <n v="74.95"/>
        <n v="175.79"/>
        <n v="29.84"/>
        <n v="533.41"/>
        <n v="114.68"/>
        <n v="417.82"/>
        <n v="109.38"/>
        <n v="149.81"/>
        <n v="44.94"/>
        <n v="236.9"/>
        <n v="433.96"/>
        <n v="67.52"/>
        <n v="417.77"/>
        <n v="32.97"/>
        <n v="35.98"/>
        <n v="98.58"/>
        <n v="163.3"/>
        <n v="477.41"/>
        <n v="137.39"/>
        <n v="175.9"/>
        <n v="241.67"/>
        <n v="199.84"/>
        <n v="105.25"/>
        <n v="91.12"/>
        <n v="266.01"/>
        <n v="145.35"/>
        <n v="58.82"/>
        <n v="148.84"/>
        <n v="117.87"/>
        <n v="57.36"/>
        <n v="27.72"/>
        <n v="292.8"/>
        <n v="46.02"/>
        <n v="313.63"/>
        <n v="336.92"/>
        <n v="169.09"/>
        <n v="126.65"/>
        <n v="361.99"/>
        <n v="698.96"/>
        <n v="62.64"/>
        <n v="120.83"/>
        <n v="575.19"/>
        <n v="148.18"/>
        <n v="71.34"/>
        <n v="453.65"/>
        <n v="204.26"/>
        <n v="176.67"/>
        <n v="256.78"/>
        <n v="131.9"/>
        <n v="294.51"/>
        <n v="308.46"/>
        <n v="474.14"/>
        <n v="160.36"/>
        <n v="56.9"/>
        <n v="203.86"/>
        <n v="367.72"/>
        <n v="56.6"/>
        <n v="55.78"/>
        <n v="81.65"/>
        <n v="32.82"/>
        <n v="597.5"/>
        <n v="170.02"/>
        <n v="152.32"/>
        <n v="244.96"/>
        <n v="599.21"/>
        <n v="241.53"/>
        <n v="51.37"/>
        <n v="261.23"/>
        <n v="33.67"/>
        <n v="200.39"/>
        <n v="41.14"/>
        <n v="228.19"/>
        <n v="199.27"/>
        <n v="87.12"/>
        <n v="42.04"/>
        <n v="109"/>
        <n v="82.46"/>
        <n v="235.49"/>
        <n v="312.78"/>
        <n v="38.6"/>
        <n v="158"/>
        <n v="88.82"/>
        <n v="316.4"/>
        <n v="43.47"/>
        <n v="265.83"/>
        <n v="40.7"/>
        <n v="337.86"/>
        <n v="393.41"/>
        <n v="191.92"/>
        <n v="215.19"/>
        <n v="170.25"/>
        <n v="242.33"/>
        <n v="184.93"/>
        <n v="191.02"/>
        <n v="90.27"/>
        <n v="121.21"/>
        <n v="223.74"/>
        <n v="69.36"/>
        <n v="316.25"/>
        <n v="428.5"/>
        <n v="60.07"/>
        <n v="174.93"/>
        <n v="22.51"/>
        <n v="119.45"/>
        <n v="19.65"/>
        <n v="164.91"/>
        <n v="93.95"/>
        <n v="39.04"/>
        <n v="45.01"/>
        <n v="99.25"/>
        <n v="118.7"/>
        <n v="312.84"/>
        <n v="236.48"/>
        <n v="104.81"/>
        <n v="35.6"/>
        <n v="577.56"/>
        <n v="150.34"/>
        <n v="70.04"/>
        <n v="198.18"/>
        <n v="14.63"/>
        <n v="76.37"/>
        <n v="31.81"/>
        <n v="430.27"/>
        <n v="178.64"/>
        <n v="216.31"/>
        <n v="232.09"/>
        <n v="161.85"/>
        <n v="299.21"/>
        <n v="353.85"/>
        <n v="566.33"/>
        <n v="575.54"/>
        <n v="148.14"/>
        <n v="99.71"/>
        <n v="21.57"/>
        <n v="325.45"/>
        <n v="115.78"/>
        <n v="235.66"/>
        <n v="140.81"/>
        <n v="447.18"/>
        <n v="38.4"/>
        <n v="42.89"/>
        <n v="111.66"/>
        <n v="100.31"/>
        <n v="55.73"/>
        <n v="169.35"/>
        <n v="253.23"/>
        <n v="128.94"/>
        <n v="234.64"/>
        <n v="248.17"/>
        <n v="258.66"/>
        <n v="117.19"/>
        <n v="50.12"/>
        <n v="402.56"/>
        <n v="24.94"/>
        <n v="113.12"/>
        <n v="241.51"/>
        <n v="404.4"/>
        <n v="112.83"/>
        <n v="472.74"/>
        <n v="326.02"/>
        <n v="256.71"/>
        <n v="26.13"/>
        <n v="146.72"/>
        <n v="237.65"/>
        <n v="192.34"/>
        <n v="402.93"/>
        <n v="339.42"/>
        <n v="132.34"/>
        <n v="143.34"/>
        <n v="660.79"/>
        <n v="220.24"/>
        <n v="202.02"/>
        <n v="146.16"/>
        <n v="149.08"/>
        <n v="331.2"/>
        <n v="87.07"/>
        <n v="60.1"/>
        <n v="28.99"/>
        <n v="121.36"/>
        <n v="363.75"/>
        <n v="208"/>
        <n v="50.78"/>
        <n v="201.47"/>
        <n v="43.58"/>
        <n v="50.18"/>
        <n v="340.7"/>
        <n v="8.37"/>
        <n v="83.59"/>
        <n v="218.64"/>
        <n v="421.97"/>
        <n v="115.85"/>
        <n v="385.71"/>
        <n v="151.94"/>
        <n v="136.74"/>
        <n v="143.1"/>
        <n v="140.03"/>
        <n v="71.97"/>
        <n v="43.82"/>
        <n v="475.77"/>
        <n v="313.05"/>
        <n v="145.19"/>
        <n v="119.36"/>
        <n v="104.32"/>
        <n v="49.88"/>
        <n v="279.38"/>
        <n v="142.59"/>
        <n v="158.46"/>
        <n v="203.7"/>
        <n v="252.32"/>
        <n v="229.96"/>
        <n v="162.64"/>
        <n v="29.02"/>
        <n v="105.06"/>
        <n v="60.46"/>
        <n v="457.23"/>
        <n v="73.04"/>
        <n v="369.09"/>
        <n v="580.94"/>
        <n v="167.79"/>
        <n v="176.71"/>
        <n v="197.19"/>
        <n v="118.79"/>
        <n v="153.95"/>
        <n v="246.92"/>
        <n v="463.21"/>
        <n v="23.2"/>
        <n v="216.02"/>
        <n v="389.03"/>
        <n v="403.24"/>
        <n v="112.09"/>
        <n v="101.95"/>
        <n v="41.07"/>
        <n v="32.03"/>
        <n v="265.25"/>
        <n v="93.22"/>
        <n v="195.47"/>
        <n v="181.82"/>
        <n v="242.49"/>
        <n v="37.04"/>
        <n v="125.79"/>
        <n v="351.62"/>
        <n v="191.16"/>
        <n v="235.25"/>
        <n v="263.22"/>
        <n v="198.96"/>
        <n v="319.82"/>
        <n v="113.86"/>
        <n v="93.91"/>
        <n v="32.68"/>
        <n v="90.63"/>
        <n v="60.32"/>
        <n v="238.32"/>
        <n v="345.65"/>
        <n v="77.98"/>
        <n v="79.51"/>
        <n v="140.92"/>
        <n v="123.18"/>
        <n v="157.51"/>
        <n v="118.44"/>
        <n v="219.3"/>
        <n v="128.68"/>
        <n v="272.14"/>
        <n v="32.75"/>
        <n v="59.54"/>
        <n v="28.39"/>
        <n v="55.15"/>
        <n v="354.13"/>
        <n v="386.4"/>
        <n v="123.79"/>
        <n v="380.65"/>
        <n v="99.19"/>
        <n v="48.74"/>
        <n v="298.13"/>
        <n v="58.54"/>
        <n v="220.12"/>
        <n v="114.7"/>
        <n v="19.92"/>
        <n v="38.97"/>
        <n v="30.86"/>
        <n v="184.05"/>
        <n v="325.78"/>
        <n v="124.04"/>
        <n v="36.79"/>
        <n v="247.93"/>
        <n v="12.74"/>
        <n v="170.13"/>
        <n v="86.42"/>
        <n v="211.29"/>
        <n v="29.96"/>
        <n v="158.38"/>
        <n v="280.82"/>
        <n v="118.07"/>
        <n v="65.38"/>
        <n v="110.79"/>
        <n v="302.33"/>
        <n v="25.25"/>
        <n v="129.47"/>
        <n v="148.72"/>
        <n v="284.27"/>
        <n v="17.99"/>
        <n v="64.4"/>
        <n v="135.17"/>
        <n v="39.16"/>
        <n v="35.97"/>
        <n v="533.63"/>
        <n v="155.13"/>
        <n v="78.43"/>
        <n v="96.03"/>
        <n v="21.17"/>
        <n v="180.48"/>
        <n v="494.89"/>
        <n v="51.14"/>
        <n v="132.64"/>
        <n v="262.56"/>
        <n v="214.5"/>
        <n v="76.8"/>
        <n v="122.01"/>
        <n v="67.34"/>
        <n v="233.6"/>
        <n v="178.89"/>
        <n v="13.4"/>
        <n v="151.04"/>
        <n v="43.69"/>
        <n v="23.38"/>
        <n v="59.74"/>
        <n v="168.79"/>
        <n v="55.07"/>
        <n v="255.48"/>
        <n v="278.12"/>
        <n v="255.94"/>
        <n v="140.68"/>
        <n v="111.83"/>
        <n v="311.87"/>
        <n v="269.63"/>
        <n v="324.78"/>
        <n v="331.49"/>
        <n v="287.63"/>
        <n v="39.42"/>
        <n v="96.81"/>
        <n v="124.8"/>
        <n v="140.72"/>
        <n v="155.16"/>
        <n v="195.27"/>
        <n v="126.61"/>
        <n v="186.04"/>
        <n v="135.36"/>
        <n v="208.07"/>
        <n v="118.25"/>
        <n v="377.53"/>
        <n v="20.88"/>
        <n v="22.6"/>
        <n v="69.03"/>
        <n v="69.82"/>
        <n v="165.43"/>
        <n v="40.25"/>
        <n v="45.89"/>
        <n v="180.01"/>
        <n v="89.58"/>
        <n v="87.28"/>
        <n v="184.81"/>
        <n v="42.69"/>
        <n v="111.91"/>
        <n v="56.98"/>
        <n v="269"/>
        <n v="119.67"/>
        <n v="295.09"/>
        <n v="396.29"/>
        <n v="156.01"/>
        <n v="10.94"/>
        <n v="258.76"/>
        <n v="28.04"/>
        <n v="451.59"/>
        <n v="94.66"/>
        <n v="132.71"/>
        <n v="50.51"/>
        <n v="170.47"/>
        <n v="24.27"/>
        <n v="127.33"/>
        <n v="167.86"/>
        <n v="50"/>
        <n v="394.72"/>
        <n v="143.57"/>
        <n v="129.7"/>
        <n v="293.35"/>
        <n v="496.43"/>
        <n v="89.09"/>
        <n v="67.81"/>
        <n v="28.49"/>
        <n v="683.37"/>
        <n v="259.67"/>
        <n v="136.03"/>
        <n v="296.06"/>
        <n v="64.54"/>
        <n v="379.16"/>
        <n v="147.04"/>
        <n v="219.02"/>
        <n v="31.4"/>
        <n v="125.8"/>
        <n v="448.39"/>
        <n v="187.89"/>
        <n v="330.9"/>
        <n v="199.81"/>
        <n v="109.48"/>
        <n v="379.4"/>
        <n v="140.31"/>
        <n v="257.86"/>
        <n v="9.86"/>
        <n v="143.95"/>
        <n v="111.01"/>
        <n v="199.6"/>
        <n v="18.83"/>
        <n v="92.71"/>
        <n v="299.06"/>
        <n v="107.9"/>
        <n v="293.07"/>
        <n v="9.85"/>
        <n v="11.62"/>
        <n v="674.24"/>
        <n v="70.58"/>
        <n v="133.08"/>
        <n v="44.67"/>
        <n v="317.72"/>
        <n v="270.12"/>
        <n v="502.91"/>
        <n v="341.84"/>
        <n v="169.69"/>
        <n v="45.05"/>
        <n v="201.3"/>
        <n v="100.65"/>
        <n v="129.43"/>
        <n v="198.48"/>
        <n v="415.85"/>
        <n v="264.38"/>
        <n v="454.3"/>
        <n v="137.95"/>
        <n v="56.89"/>
        <n v="47.09"/>
        <n v="170.85"/>
        <n v="386.88"/>
        <n v="42.4"/>
        <n v="162.17"/>
        <n v="117.37"/>
        <n v="312.23"/>
        <n v="32.69"/>
        <n v="133.71"/>
        <n v="344.43"/>
        <n v="161.71"/>
        <n v="352.66"/>
        <n v="478.24"/>
        <n v="126.13"/>
        <n v="100.4"/>
        <n v="47.4"/>
        <n v="251.14"/>
        <n v="374.06"/>
        <n v="66.65"/>
        <n v="48.65"/>
        <n v="93.65"/>
        <n v="26.12"/>
        <n v="226.51"/>
        <n v="318.65"/>
        <n v="178.05"/>
        <n v="63.92"/>
        <n v="178.28"/>
        <n v="140.61"/>
        <n v="134.14"/>
        <n v="177.87"/>
        <n v="18.73"/>
        <n v="209.44"/>
        <n v="57.53"/>
        <n v="72.67"/>
        <n v="308.65"/>
        <n v="308.08"/>
        <n v="178.71"/>
        <n v="137.34"/>
        <n v="76.16"/>
        <n v="218.22"/>
        <n v="292.23"/>
        <n v="84.77"/>
        <n v="286.44"/>
        <n v="193.18"/>
        <n v="190.12"/>
        <n v="91.42"/>
        <n v="93.98"/>
        <n v="152.61"/>
        <n v="36.59"/>
        <n v="181.67"/>
        <n v="206.81"/>
        <n v="240.04"/>
        <n v="140.17"/>
        <n v="308.57"/>
        <n v="211.02"/>
        <n v="175.85"/>
        <n v="50.68"/>
        <n v="14.81"/>
        <n v="487.65"/>
        <n v="182.46"/>
        <n v="118.69"/>
        <n v="337.42"/>
        <n v="78.46"/>
        <n v="121.55"/>
        <n v="239.12"/>
        <n v="294.13"/>
        <n v="489.49"/>
        <n v="76.92"/>
        <n v="160.32"/>
        <n v="139.27"/>
        <n v="507.57"/>
        <n v="185.15"/>
        <n v="40.14"/>
        <n v="124.07"/>
        <n v="78.83"/>
        <n v="6.54"/>
        <n v="67.85"/>
        <n v="286.22"/>
        <n v="240.2"/>
        <n v="147.87"/>
        <n v="72.74"/>
        <n v="188.64"/>
        <n v="176.92"/>
        <n v="96.38"/>
        <n v="373.45"/>
        <n v="204.54"/>
        <n v="69.71"/>
        <n v="329.14"/>
        <n v="516.77"/>
        <n v="157.79"/>
        <n v="131.37"/>
        <n v="143.49"/>
        <n v="25.89"/>
        <n v="200.93"/>
        <n v="13.49"/>
        <n v="334.77"/>
        <n v="133.32"/>
        <n v="33.36"/>
        <n v="48.12"/>
        <n v="215.54"/>
        <n v="29.88"/>
        <n v="242.09"/>
        <n v="209.57"/>
        <n v="488.85"/>
        <n v="415.21"/>
        <n v="286.03"/>
        <n v="113.44"/>
        <n v="60.76"/>
        <n v="18.18"/>
        <n v="683.76"/>
        <n v="379.52"/>
        <n v="380.37"/>
        <n v="150.51"/>
        <n v="93.05"/>
        <n v="406.55"/>
        <n v="100.93"/>
        <n v="188.36"/>
        <n v="135.83"/>
        <n v="93.19"/>
        <n v="292.21"/>
        <n v="52.14"/>
        <n v="149.03"/>
        <n v="386.74"/>
        <n v="158.14"/>
        <n v="96.32"/>
        <n v="115.01"/>
        <n v="64.56"/>
        <n v="237.74"/>
        <n v="178.85"/>
        <n v="33.82"/>
        <n v="91.28"/>
        <n v="21.94"/>
        <n v="209.2"/>
        <n v="337.57"/>
        <n v="18.54"/>
        <n v="161.32"/>
        <n v="87.94"/>
        <n v="160.98"/>
        <n v="227.16"/>
        <n v="277.6"/>
        <n v="63.82"/>
        <n v="348.04"/>
        <n v="211.44"/>
        <n v="23.69"/>
        <n v="385.65"/>
        <n v="33.5"/>
        <n v="343.5"/>
        <n v="250.16"/>
        <n v="437.15"/>
        <n v="186.62"/>
        <n v="169.81"/>
        <n v="220.6"/>
        <n v="126.1"/>
        <n v="266.44"/>
        <n v="300.41"/>
        <n v="22.15"/>
        <n v="298.64"/>
        <n v="315.72"/>
        <n v="10.69"/>
        <n v="143.09"/>
        <n v="98.84"/>
        <n v="78.25"/>
        <n v="249.16"/>
        <n v="140.94"/>
        <n v="211.73"/>
        <n v="294.59"/>
        <n v="111.64"/>
        <n v="182.06"/>
        <n v="198.77"/>
        <n v="157.64"/>
        <n v="64.82"/>
        <n v="127.1"/>
        <n v="348.01"/>
        <n v="286.98"/>
        <n v="20.32"/>
        <n v="440.1"/>
        <n v="295.18"/>
        <n v="18.56"/>
        <n v="456.09"/>
        <n v="40.41"/>
        <n v="47.39"/>
        <n v="27.9"/>
        <n v="68.84"/>
        <n v="315.19"/>
        <n v="491.94"/>
        <n v="196.25"/>
        <n v="202.55"/>
        <n v="76.1"/>
        <n v="359.36"/>
        <n v="158.87"/>
        <n v="67.1"/>
        <n v="122.76"/>
        <n v="61.96"/>
        <n v="254.35"/>
        <n v="88.05"/>
        <n v="331.94"/>
        <n v="152.95"/>
        <n v="66.67"/>
        <n v="114.85"/>
        <n v="178.68"/>
        <n v="425.25"/>
        <n v="119.29"/>
        <n v="387.74"/>
        <n v="64.85"/>
        <n v="86.5"/>
        <n v="213.48"/>
        <n v="131.08"/>
        <n v="291.98"/>
        <n v="240.17"/>
        <n v="53.4"/>
        <n v="72.63"/>
        <n v="152"/>
        <n v="274.44"/>
        <n v="207.58"/>
        <n v="387.92"/>
        <n v="114.53"/>
        <n v="110.52"/>
        <n v="84.64"/>
        <n v="434.03"/>
        <n v="120.97"/>
        <n v="247.97"/>
        <n v="142.14"/>
        <n v="139.19"/>
        <n v="23.84"/>
        <n v="161.79"/>
        <n v="213.16"/>
        <n v="31.28"/>
        <n v="206.97"/>
        <n v="66.24"/>
        <n v="227.61"/>
        <n v="129.61"/>
        <n v="368.59"/>
        <n v="108.09"/>
        <n v="227.71"/>
        <n v="141.54"/>
        <n v="51.77"/>
        <n v="433.66"/>
        <n v="74.42"/>
        <n v="82.19"/>
        <n v="273.85"/>
        <n v="325"/>
        <n v="118.49"/>
        <n v="229.66"/>
        <n v="55.94"/>
        <n v="67.01"/>
        <n v="27.68"/>
        <n v="367.61"/>
        <n v="139.83"/>
        <n v="370.29"/>
        <n v="160.44"/>
        <n v="260.72"/>
        <n v="134.76"/>
        <n v="431.59"/>
        <n v="138.62"/>
        <n v="90.12"/>
        <n v="76.02"/>
        <n v="83.53"/>
        <n v="160.87"/>
        <n v="32.1"/>
        <n v="396.75"/>
        <n v="48.25"/>
        <n v="133.31"/>
        <n v="76.96"/>
        <n v="121.87"/>
        <n v="151.1"/>
        <n v="220.5"/>
        <n v="198.75"/>
        <n v="159.72"/>
        <n v="161.15"/>
        <n v="426.3"/>
        <n v="209.35"/>
        <n v="78.66"/>
        <n v="244.32"/>
        <n v="216.1"/>
        <n v="66.5"/>
        <n v="48.35"/>
        <n v="322.82"/>
        <n v="140.32"/>
        <n v="419.39"/>
        <n v="33.22"/>
        <n v="13.61"/>
        <n v="661.49"/>
        <n v="233.27"/>
        <n v="62.69"/>
        <n v="51.96"/>
        <n v="199.99"/>
        <n v="245.03"/>
        <n v="44.32"/>
        <n v="408.45"/>
        <n v="292.93"/>
        <n v="53.47"/>
        <n v="158.3"/>
        <n v="41.61"/>
        <n v="192.28"/>
        <n v="51.34"/>
        <n v="54.24"/>
        <n v="396.43"/>
        <n v="176.76"/>
        <n v="180.11"/>
        <n v="209.8"/>
        <n v="129.2"/>
        <n v="37.8"/>
        <n v="245.75"/>
        <n v="215.06"/>
        <n v="174.54"/>
        <n v="105.53"/>
        <n v="37.59"/>
        <n v="270.38"/>
        <n v="56.87"/>
        <n v="322.49"/>
        <n v="35.42"/>
        <n v="243.82"/>
        <n v="8.56"/>
        <n v="360.49"/>
        <n v="73.08"/>
        <n v="412.26"/>
        <n v="91.79"/>
        <n v="257.33"/>
        <n v="8.79"/>
        <n v="13.32"/>
        <n v="55.03"/>
        <n v="23.76"/>
        <n v="50.69"/>
        <n v="162.36"/>
        <n v="399.17"/>
        <n v="226.57"/>
        <n v="42.01"/>
        <n v="32.66"/>
        <n v="245.66"/>
        <n v="254.46"/>
        <n v="489.98"/>
        <n v="125.05"/>
        <n v="173.18"/>
        <n v="93.33"/>
        <n v="38.1"/>
        <n v="287.56"/>
        <n v="246.44"/>
        <n v="147.22"/>
        <n v="175.75"/>
        <n v="115.93"/>
        <n v="382.82"/>
        <n v="189.35"/>
        <n v="63.41"/>
        <n v="200.47"/>
        <n v="319.57"/>
        <n v="47.12"/>
        <n v="59.39"/>
        <n v="368.33"/>
        <n v="179.03"/>
        <n v="148.36"/>
        <n v="276.09"/>
        <n v="157.15"/>
        <n v="128.95"/>
        <n v="71.16"/>
        <n v="136.48"/>
        <n v="260.57"/>
        <n v="162.3"/>
        <n v="65.5"/>
        <n v="349.73"/>
        <n v="133.79"/>
        <n v="142.24"/>
        <n v="132.6"/>
        <n v="149.95"/>
        <n v="78.5"/>
        <n v="46.25"/>
        <n v="76.32"/>
        <n v="88.74"/>
        <n v="98.13"/>
        <n v="325.64"/>
        <n v="117.22"/>
        <n v="39.53"/>
        <n v="196"/>
        <n v="356.16"/>
        <n v="93.14"/>
        <n v="121.63"/>
        <n v="249.84"/>
        <n v="408.17"/>
        <n v="228.96"/>
        <n v="14.99"/>
        <n v="136.68"/>
        <n v="159.04"/>
        <n v="54.65"/>
        <n v="39.31"/>
        <n v="280.71"/>
        <n v="26.11"/>
        <n v="154.11"/>
        <n v="50.45"/>
        <n v="41.06"/>
        <n v="543.77"/>
        <n v="139.96"/>
        <n v="31.91"/>
        <n v="285.54"/>
        <n v="267.7"/>
        <n v="78.78"/>
        <n v="139.53"/>
        <n v="200.43"/>
        <n v="365.64"/>
        <n v="420.74"/>
        <n v="50.6"/>
        <n v="146.69"/>
        <n v="24.96"/>
        <n v="401.14"/>
        <n v="287.43"/>
        <n v="213.13"/>
        <n v="422.5"/>
        <n v="444.32"/>
        <n v="224.09"/>
        <n v="503.2"/>
        <n v="273.48"/>
        <n v="31.53"/>
        <n v="135.91"/>
        <n v="71.68"/>
        <n v="129.53"/>
        <n v="205.48"/>
        <n v="368.27"/>
        <n v="195.09"/>
        <n v="251.27"/>
        <n v="165.56"/>
        <n v="416.66"/>
        <n v="107.74"/>
        <n v="354.86"/>
        <n v="101.36"/>
        <n v="169.27"/>
        <n v="202.34"/>
        <n v="217.25"/>
        <n v="377.52"/>
        <n v="104.54"/>
        <n v="279.46"/>
        <n v="47.73"/>
        <n v="465.81"/>
        <n v="323.9"/>
        <n v="102.63"/>
        <n v="297.42"/>
        <n v="82.47"/>
        <n v="98.24"/>
        <n v="152.64"/>
        <n v="29.55"/>
        <n v="245.32"/>
        <n v="195.83"/>
        <n v="178.75"/>
        <n v="238.9"/>
        <n v="40.83"/>
        <n v="19.25"/>
        <n v="149.59"/>
        <n v="57.97"/>
        <n v="177.64"/>
        <n v="28.3"/>
        <n v="43.88"/>
        <n v="169.2"/>
        <n v="92.97"/>
        <n v="74.07"/>
        <n v="85.09"/>
        <n v="184.34"/>
        <n v="460.94"/>
        <n v="529.96"/>
        <n v="467.56"/>
        <n v="167.19"/>
        <n v="315.75"/>
        <n v="417.02"/>
        <n v="94.22"/>
        <n v="31"/>
        <n v="325.04"/>
        <n v="195.18"/>
        <n v="379.71"/>
        <n v="211.97"/>
        <n v="317.41"/>
        <n v="90.69"/>
        <n v="315.63"/>
        <n v="151.79"/>
        <n v="81.25"/>
        <n v="296.99"/>
        <n v="9.66"/>
        <n v="390.83"/>
        <n v="335.44"/>
        <n v="318.1"/>
        <n v="273.52"/>
        <n v="235.61"/>
        <n v="391.42"/>
        <n v="175.88"/>
        <n v="421.31"/>
        <n v="117.38"/>
        <n v="208.76"/>
        <n v="230.2"/>
        <n v="176.34"/>
        <n v="148.88"/>
        <n v="291.25"/>
        <n v="53.95"/>
        <n v="182.55"/>
        <n v="148.38"/>
        <n v="43.68"/>
        <n v="113.61"/>
        <n v="193.14"/>
        <n v="185.35"/>
        <n v="286.34"/>
        <n v="213.99"/>
        <n v="49.63"/>
        <n v="192.8"/>
        <n v="138.04"/>
        <n v="442.28"/>
        <n v="234.44"/>
        <n v="49.91"/>
        <n v="137.3"/>
        <n v="109.15"/>
        <n v="83.79"/>
        <n v="250.82"/>
        <n v="299.44"/>
        <n v="39.87"/>
        <n v="227.94"/>
        <n v="139.78"/>
        <n v="11.35"/>
        <n v="28.48"/>
        <n v="61.31"/>
        <n v="96.65"/>
        <n v="418.52"/>
        <n v="324.81"/>
        <n v="111.81"/>
        <n v="80.74"/>
        <n v="60.75"/>
        <n v="223.01"/>
        <n v="46.4"/>
        <n v="126.86"/>
        <n v="121.79"/>
        <n v="47.63"/>
        <n v="198.73"/>
        <n v="402.19"/>
        <n v="406.13"/>
        <n v="208.63"/>
        <n v="347.44"/>
        <n v="46.21"/>
        <n v="98.73"/>
        <n v="159.71"/>
        <n v="490.02"/>
        <n v="132.8"/>
        <n v="222.79"/>
        <n v="108.6"/>
        <n v="87.61"/>
        <n v="35.45"/>
        <n v="118.93"/>
        <n v="513.73"/>
        <n v="42.65"/>
        <n v="95.41"/>
      </sharedItems>
    </cacheField>
    <cacheField name="Sales_Amount" numFmtId="4">
      <sharedItems containsString="0" containsBlank="1" containsNumber="1" minValue="37.41" maxValue="5419.04" count="2277">
        <n v="478.49"/>
        <n v="1032.56"/>
        <n v="243.08"/>
        <n v="637.2"/>
        <n v="1376.16"/>
        <n v="2710.16"/>
        <n v="794.1"/>
        <n v="753.42"/>
        <n v="991.53"/>
        <n v="168.2"/>
        <n v="1045.56"/>
        <n v="3330.67"/>
        <n v="179.76"/>
        <n v="232.86"/>
        <n v="564.44"/>
        <n v="1271.1"/>
        <n v="1958.82"/>
        <n v="84.12"/>
        <n v="437.49"/>
        <n v="1414.1"/>
        <n v="2407.79"/>
        <n v="1723.7"/>
        <n v="573.39"/>
        <n v="1166.71"/>
        <n v="817.97"/>
        <n v="271.96"/>
        <n v="2162.74"/>
        <n v="434.84"/>
        <n v="365.7"/>
        <n v="947.28"/>
        <n v="1115.57"/>
        <n v="544.52"/>
        <n v="1580.51"/>
        <n v="366.41"/>
        <n v="1444.83"/>
        <n v="1299.24"/>
        <n v="83.32"/>
        <n v="1314.24"/>
        <n v="1701"/>
        <n v="814.44"/>
        <n v="3452.24"/>
        <n v="140"/>
        <n v="352.93"/>
        <n v="114.85"/>
        <n v="439.24"/>
        <n v="1039.41"/>
        <n v="3277.48"/>
        <n v="711.17"/>
        <n v="3857.63"/>
        <n v="1258.52"/>
        <n v="670.09"/>
        <n v="2593.84"/>
        <n v="804.03"/>
        <n v="372.76"/>
        <n v="282.22"/>
        <n v="1891.82"/>
        <n v="1925.23"/>
        <n v="361.93"/>
        <n v="335.4"/>
        <n v="2327.6"/>
        <n v="760.24"/>
        <n v="306.99"/>
        <n v="2557.6"/>
        <n v="1917.14"/>
        <n v="333.96"/>
        <n v="497.91"/>
        <n v="179.87"/>
        <n v="2026.3"/>
        <n v="479.57"/>
        <n v="291.72"/>
        <n v="805.18"/>
        <n v="668.03"/>
        <n v="1335.78"/>
        <n v="268.01"/>
        <n v="336.58"/>
        <n v="1758.14"/>
        <n v="2568.24"/>
        <n v="1099.16"/>
        <n v="338.63"/>
        <n v="3196.62"/>
        <n v="2854.98"/>
        <n v="4029.06"/>
        <n v="1295.54"/>
        <n v="423.33"/>
        <n v="1412.2"/>
        <n v="1572.27"/>
        <n v="909.39"/>
        <n v="1752.63"/>
        <n v="1852.36"/>
        <n v="3086.78"/>
        <n v="1308.39"/>
        <n v="2374.3"/>
        <n v="975.15"/>
        <n v="399.88"/>
        <n v="1062.58"/>
        <n v="480.11"/>
        <n v="2060.28"/>
        <n v="2102.05"/>
        <n v="2079.38"/>
        <n v="1131.16"/>
        <n v="267.49"/>
        <n v="572.12"/>
        <n v="1617.45"/>
        <n v="204.34"/>
        <n v="1423.89"/>
        <n v="558.54"/>
        <n v="2791.2"/>
        <n v="1314.47"/>
        <n v="205.32"/>
        <n v="760.63"/>
        <n v="1399.97"/>
        <n v="696.27"/>
        <n v="1560"/>
        <n v="578.56"/>
        <n v="376.14"/>
        <n v="866.49"/>
        <n v="2278.82"/>
        <n v="228.13"/>
        <n v="414.18"/>
        <n v="196.76"/>
        <n v="141.58"/>
        <n v="994.05"/>
        <n v="474.86"/>
        <n v="657.7"/>
        <n v="633.44"/>
        <n v="565.64"/>
        <n v="1168.83"/>
        <n v="426.55"/>
        <n v="3415.64"/>
        <n v="753.82"/>
        <n v="574.26"/>
        <n v="645.12"/>
        <n v="1401.62"/>
        <n v="604.15"/>
        <n v="1707.08"/>
        <n v="644.12"/>
        <n v="665.73"/>
        <n v="472.99"/>
        <n v="2126.55"/>
        <n v="1044.2"/>
        <n v="4364.43"/>
        <n v="487.6"/>
        <n v="802.4"/>
        <n v="1173.56"/>
        <n v="1409.97"/>
        <n v="1648.22"/>
        <n v="1137.15"/>
        <n v="442.14"/>
        <n v="901.9"/>
        <n v="1207.35"/>
        <n v="1616.09"/>
        <n v="375.45"/>
        <n v="239.68"/>
        <n v="567.23"/>
        <n v="397.05"/>
        <n v="37.41"/>
        <n v="1710.59"/>
        <n v="813.44"/>
        <n v="4626.66"/>
        <n v="896.04"/>
        <n v="494.87"/>
        <n v="1147.92"/>
        <n v="1950.99"/>
        <n v="1553.13"/>
        <n v="209.19"/>
        <n v="315.07"/>
        <n v="726.98"/>
        <n v="1531.18"/>
        <n v="123.19"/>
        <n v="452.8"/>
        <n v="570.72"/>
        <n v="1907.78"/>
        <n v="685.61"/>
        <n v="385.28"/>
        <n v="810.27"/>
        <n v="1031.33"/>
        <n v="380.73"/>
        <n v="1051.08"/>
        <n v="885.1"/>
        <n v="4174.57"/>
        <n v="789.66"/>
        <n v="3302.11"/>
        <n v="1115.17"/>
        <n v="882.38"/>
        <n v="642.25"/>
        <n v="1393.23"/>
        <n v="221.79"/>
        <n v="1295.58"/>
        <n v="128.09"/>
        <n v="211.37"/>
        <m/>
        <n v="3442.11"/>
        <n v="250.03"/>
        <n v="3112.76"/>
        <n v="2020.23"/>
        <n v="1986.1"/>
        <n v="2541.43"/>
        <n v="1787.49"/>
        <n v="1264.37"/>
        <n v="119.84"/>
        <n v="2315.46"/>
        <n v="1030.68"/>
        <n v="1464.54"/>
        <n v="3194.9"/>
        <n v="1336.07"/>
        <n v="1006.33"/>
        <n v="635.81"/>
        <n v="2317.01"/>
        <n v="1216.17"/>
        <n v="459.58"/>
        <n v="942.6"/>
        <n v="4047.25"/>
        <n v="806.1"/>
        <n v="1458.17"/>
        <n v="248.47"/>
        <n v="3809.06"/>
        <n v="617.84"/>
        <n v="387.38"/>
        <n v="738.9"/>
        <n v="359.75"/>
        <n v="268.74"/>
        <n v="2844.92"/>
        <n v="2114.07"/>
        <n v="38.66"/>
        <n v="1380.56"/>
        <n v="1013.57"/>
        <n v="170.17"/>
        <n v="827.24"/>
        <n v="155"/>
        <n v="2442.58"/>
        <n v="4392.55"/>
        <n v="979.73"/>
        <n v="696.39"/>
        <n v="319.13"/>
        <n v="193.2"/>
        <n v="53.93"/>
        <n v="141.47"/>
        <n v="2279.1"/>
        <n v="931.73"/>
        <n v="711.08"/>
        <n v="1788.95"/>
        <n v="2065.88"/>
        <n v="238"/>
        <n v="290.45"/>
        <n v="1598.88"/>
        <n v="1782.4"/>
        <n v="1177.16"/>
        <n v="2194.29"/>
        <n v="830.76"/>
        <n v="1781.75"/>
        <n v="634.63"/>
        <n v="755.19"/>
        <n v="1857.64"/>
        <n v="2581.4"/>
        <n v="1683.23"/>
        <n v="1266.14"/>
        <n v="397.22"/>
        <n v="398.84"/>
        <n v="852.99"/>
        <n v="851.76"/>
        <n v="323.14"/>
        <n v="280.41"/>
        <n v="672.62"/>
        <n v="3477.01"/>
        <n v="2504.06"/>
        <n v="1368.87"/>
        <n v="416.82"/>
        <n v="1017.28"/>
        <n v="352.61"/>
        <n v="895"/>
        <n v="717.83"/>
        <n v="1385.38"/>
        <n v="441.9"/>
        <n v="455.04"/>
        <n v="344.44"/>
        <n v="275.1"/>
        <n v="897.88"/>
        <n v="813.35"/>
        <n v="840.33"/>
        <n v="1336.56"/>
        <n v="395.09"/>
        <n v="534.59"/>
        <n v="554.84"/>
        <n v="867.64"/>
        <n v="935.32"/>
        <n v="998.19"/>
        <n v="435.09"/>
        <n v="825.31"/>
        <n v="1472.1"/>
        <n v="2458.15"/>
        <n v="2385.5"/>
        <n v="456.26"/>
        <n v="449.46"/>
        <n v="1253.88"/>
        <n v="2619.3"/>
        <n v="1821.04"/>
        <n v="160.34"/>
        <n v="430.7"/>
        <n v="1838.27"/>
        <n v="317.64"/>
        <n v="1156.74"/>
        <n v="219.39"/>
        <n v="1913.3"/>
        <n v="370.13"/>
        <n v="377.28"/>
        <n v="37.79"/>
        <n v="416.69"/>
        <n v="843"/>
        <n v="2136.29"/>
        <n v="551.42"/>
        <n v="141.86"/>
        <n v="449.28"/>
        <n v="399.72"/>
        <n v="51.35"/>
        <n v="1882.2"/>
        <n v="290.39"/>
        <n v="1764.15"/>
        <n v="2116.16"/>
        <n v="285.36"/>
        <n v="2087.12"/>
        <n v="1052.27"/>
        <n v="512.29"/>
        <n v="82.21"/>
        <n v="578.86"/>
        <n v="907.92"/>
        <n v="452.15"/>
        <n v="386.88"/>
        <n v="1022.34"/>
        <n v="334.06"/>
        <n v="1670.96"/>
        <n v="479.19"/>
        <n v="2110.71"/>
        <n v="1057.2"/>
        <n v="1117.83"/>
        <n v="1374.24"/>
        <n v="452.13"/>
        <n v="809.4"/>
        <n v="536.22"/>
        <n v="649.11"/>
        <n v="2203.93"/>
        <n v="378.43"/>
        <n v="1180.34"/>
        <n v="513.7"/>
        <n v="645.54"/>
        <n v="1461.51"/>
        <n v="118.06"/>
        <n v="758.29"/>
        <n v="1146.54"/>
        <n v="2012.45"/>
        <n v="585.46"/>
        <n v="1534.04"/>
        <n v="166.67"/>
        <n v="617.5"/>
        <n v="513.96"/>
        <n v="283.15"/>
        <n v="446.17"/>
        <n v="920.42"/>
        <n v="504.84"/>
        <n v="1783.22"/>
        <n v="146.91"/>
        <n v="298.68"/>
        <n v="782.79"/>
        <n v="307.53"/>
        <n v="224.3"/>
        <n v="1546"/>
        <n v="483.09"/>
        <n v="1644.83"/>
        <n v="3772.8"/>
        <n v="3483.6"/>
        <n v="1329.62"/>
        <n v="1054.87"/>
        <n v="1197.45"/>
        <n v="1329.27"/>
        <n v="151.36"/>
        <n v="224.28"/>
        <n v="359.15"/>
        <n v="998.22"/>
        <n v="826.2"/>
        <n v="784.67"/>
        <n v="930.66"/>
        <n v="437.64"/>
        <n v="1203.66"/>
        <n v="919.16"/>
        <n v="102.17"/>
        <n v="161"/>
        <n v="946.81"/>
        <n v="287.58"/>
        <n v="244.06"/>
        <n v="3799.66"/>
        <n v="716.85"/>
        <n v="1630.25"/>
        <n v="1116.77"/>
        <n v="680.66"/>
        <n v="1472.29"/>
        <n v="1138.54"/>
        <n v="266.18"/>
        <n v="272.26"/>
        <n v="338.53"/>
        <n v="206.08"/>
        <n v="1023.68"/>
        <n v="1862.86"/>
        <n v="600.37"/>
        <n v="630.72"/>
        <n v="534.07"/>
        <n v="1682.32"/>
        <n v="615.48"/>
        <n v="323.31"/>
        <n v="182.3"/>
        <n v="521.25"/>
        <n v="2202.5"/>
        <n v="306.85"/>
        <n v="349.89"/>
        <n v="335.83"/>
        <n v="132.25"/>
        <n v="2030"/>
        <n v="680.5"/>
        <n v="73.83"/>
        <n v="1023.67"/>
        <n v="1253.91"/>
        <n v="1057.84"/>
        <n v="1057.03"/>
        <n v="1615.75"/>
        <n v="267.03"/>
        <n v="946.22"/>
        <n v="1329.72"/>
        <n v="228.22"/>
        <n v="163.97"/>
        <n v="1911.07"/>
        <n v="91.93"/>
        <n v="1539.71"/>
        <n v="261.05"/>
        <n v="164.96"/>
        <n v="688.65"/>
        <n v="1118.21"/>
        <n v="1330.96"/>
        <n v="109.69"/>
        <n v="723.2"/>
        <n v="413.78"/>
        <n v="1228.52"/>
        <n v="1142.47"/>
        <n v="324.42"/>
        <n v="2029.51"/>
        <n v="311.69"/>
        <n v="370.67"/>
        <n v="644.54"/>
        <n v="617.14"/>
        <n v="928.8"/>
        <n v="1681.76"/>
        <n v="2133.86"/>
        <n v="884.86"/>
        <n v="1602.21"/>
        <n v="1800.93"/>
        <n v="3724.9"/>
        <n v="739.85"/>
        <n v="139.25"/>
        <n v="1717.8"/>
        <n v="1047.33"/>
        <n v="682.94"/>
        <n v="2789.22"/>
        <n v="393.45"/>
        <n v="401.58"/>
        <n v="134.05"/>
        <n v="1265.81"/>
        <n v="403.66"/>
        <n v="2979.97"/>
        <n v="2960.02"/>
        <n v="1776.48"/>
        <n v="340.58"/>
        <n v="1080.43"/>
        <n v="1167.25"/>
        <n v="237.86"/>
        <n v="377.6"/>
        <n v="611.34"/>
        <n v="1538.13"/>
        <n v="87.75"/>
        <n v="2337.17"/>
        <n v="1621.5"/>
        <n v="1657.37"/>
        <n v="191.63"/>
        <n v="1034.07"/>
        <n v="1865.93"/>
        <n v="934.43"/>
        <n v="1150.53"/>
        <n v="1316.1"/>
        <n v="317.4"/>
        <n v="1726.07"/>
        <n v="204.11"/>
        <n v="531.18"/>
        <n v="277.33"/>
        <n v="3391.06"/>
        <n v="213.87"/>
        <n v="3610.26"/>
        <n v="1208.06"/>
        <n v="2352.83"/>
        <n v="2110.26"/>
        <n v="241.07"/>
        <n v="1591.4"/>
        <n v="819.06"/>
        <n v="73.98"/>
        <n v="2846.73"/>
        <n v="1122.15"/>
        <n v="806.5"/>
        <n v="901.8"/>
        <n v="940.41"/>
        <n v="1285.5"/>
        <n v="1318.76"/>
        <n v="977.7"/>
        <n v="2132.34"/>
        <n v="261.55"/>
        <n v="845.5"/>
        <n v="1792.13"/>
        <n v="2227.47"/>
        <n v="808.52"/>
        <n v="3694.88"/>
        <n v="295.94"/>
        <n v="98.07"/>
        <n v="1646.64"/>
        <n v="3909.39"/>
        <n v="2047.97"/>
        <n v="1486.86"/>
        <n v="914.8"/>
        <n v="1427.43"/>
        <n v="2149.21"/>
        <n v="416.77"/>
        <n v="391.29"/>
        <n v="1687.87"/>
        <n v="77.32"/>
        <n v="342.94"/>
        <n v="451.89"/>
        <n v="2173.91"/>
        <n v="1062.68"/>
        <n v="316.6"/>
        <n v="2448.78"/>
        <n v="361.51"/>
        <n v="314.47"/>
        <n v="1455.45"/>
        <n v="740.74"/>
        <n v="1301.35"/>
        <n v="196.27"/>
        <n v="1015"/>
        <n v="1802.45"/>
        <n v="1853.19"/>
        <n v="486.24"/>
        <n v="2404.99"/>
        <n v="187.51"/>
        <n v="264.63"/>
        <n v="1775.04"/>
        <n v="1042.21"/>
        <n v="115.98"/>
        <n v="232.58"/>
        <n v="915.97"/>
        <n v="1245.75"/>
        <n v="1167.68"/>
        <n v="254.85"/>
        <n v="692.74"/>
        <n v="761.2"/>
        <n v="96.72"/>
        <n v="267.47"/>
        <n v="2145.64"/>
        <n v="1686.58"/>
        <n v="404.59"/>
        <n v="2284.85"/>
        <n v="366.78"/>
        <n v="719.41"/>
        <n v="1201.58"/>
        <n v="56.07"/>
        <n v="437.14"/>
        <n v="1108.13"/>
        <n v="2306.81"/>
        <n v="405.39"/>
        <n v="1050.62"/>
        <n v="1274.61"/>
        <n v="1087.1"/>
        <n v="871.4"/>
        <n v="235.85"/>
        <n v="2789.36"/>
        <n v="2828.82"/>
        <n v="959.16"/>
        <n v="1112.07"/>
        <n v="528.08"/>
        <n v="3367.89"/>
        <n v="579.71"/>
        <n v="174.25"/>
        <n v="401.06"/>
        <n v="488.13"/>
        <n v="1096.33"/>
        <n v="2858"/>
        <n v="2030.72"/>
        <n v="1213.66"/>
        <n v="1918.24"/>
        <n v="425.88"/>
        <n v="1327.89"/>
        <n v="1226.48"/>
        <n v="318.53"/>
        <n v="1609.31"/>
        <n v="792.16"/>
        <n v="707.02"/>
        <n v="1085.99"/>
        <n v="722.66"/>
        <n v="1174.3"/>
        <n v="278.42"/>
        <n v="298.09"/>
        <n v="1619.88"/>
        <n v="194.72"/>
        <n v="1001.51"/>
        <n v="360.72"/>
        <n v="857"/>
        <n v="600.14"/>
        <n v="3910.55"/>
        <n v="654.16"/>
        <n v="530.16"/>
        <n v="286.8"/>
        <n v="849.19"/>
        <n v="196.48"/>
        <n v="388.29"/>
        <n v="45.38"/>
        <n v="824.54"/>
        <n v="1269.04"/>
        <n v="3311.49"/>
        <n v="428.08"/>
        <n v="1042.87"/>
        <n v="2370.95"/>
        <n v="569.49"/>
        <n v="1807.7"/>
        <n v="266.83"/>
        <n v="280.77"/>
        <n v="1236.2"/>
        <n v="3451.84"/>
        <n v="419.3"/>
        <n v="339.62"/>
        <n v="554.42"/>
        <n v="1545.77"/>
        <n v="203.34"/>
        <n v="82.13"/>
        <n v="468.79"/>
        <n v="420.5"/>
        <n v="1719.28"/>
        <n v="1831.95"/>
        <n v="688.75"/>
        <n v="1111.77"/>
        <n v="1643.42"/>
        <n v="1042.51"/>
        <n v="2194.71"/>
        <n v="1400.7"/>
        <n v="1422.56"/>
        <n v="1548.47"/>
        <n v="717.71"/>
        <n v="650.49"/>
        <n v="362"/>
        <n v="1565.29"/>
        <n v="309.91"/>
        <n v="2789.31"/>
        <n v="1081.56"/>
        <n v="206"/>
        <n v="524.16"/>
        <n v="374.8"/>
        <n v="125.15"/>
        <n v="249.68"/>
        <n v="793.87"/>
        <n v="1120.93"/>
        <n v="1018.5"/>
        <n v="465.12"/>
        <n v="3088.96"/>
        <n v="2041.83"/>
        <n v="2362.16"/>
        <n v="1916.53"/>
        <n v="600.32"/>
        <n v="887.57"/>
        <n v="577.92"/>
        <n v="1542.07"/>
        <n v="377.23"/>
        <n v="2678.96"/>
        <n v="1081.32"/>
        <n v="3779.1"/>
        <n v="214.85"/>
        <n v="1389.32"/>
        <n v="810.2"/>
        <n v="1128.36"/>
        <n v="559.14"/>
        <n v="1293.84"/>
        <n v="1528.23"/>
        <n v="697.74"/>
        <n v="1083.6"/>
        <n v="2139.12"/>
        <n v="861.58"/>
        <n v="1333.09"/>
        <n v="3696.12"/>
        <n v="696.88"/>
        <n v="3582.63"/>
        <n v="731.84"/>
        <n v="299.27"/>
        <n v="705.55"/>
        <n v="2650.8"/>
        <n v="244.83"/>
        <n v="164.74"/>
        <n v="1895.72"/>
        <n v="630.65"/>
        <n v="443.22"/>
        <n v="1017.07"/>
        <n v="4295.32"/>
        <n v="726.48"/>
        <n v="740.57"/>
        <n v="1330.92"/>
        <n v="3099.34"/>
        <n v="1740.51"/>
        <n v="1080.49"/>
        <n v="227"/>
        <n v="1106.09"/>
        <n v="2282.54"/>
        <n v="798.52"/>
        <n v="1114.21"/>
        <n v="1006.23"/>
        <n v="3270.51"/>
        <n v="1631.76"/>
        <n v="5419.04"/>
        <n v="1712.3"/>
        <n v="947.24"/>
        <n v="801.09"/>
        <n v="1497.7"/>
        <n v="1417.72"/>
        <n v="871.35"/>
        <n v="1603.96"/>
        <n v="877.56"/>
        <n v="2281.21"/>
        <n v="86.11"/>
        <n v="4013.04"/>
        <n v="223.24"/>
        <n v="759.33"/>
        <n v="461"/>
        <n v="1383.31"/>
        <n v="191.13"/>
        <n v="328.59"/>
        <n v="1547.09"/>
        <n v="1904.72"/>
        <n v="1938.5"/>
        <n v="54.56"/>
        <n v="981.24"/>
        <n v="1006.72"/>
        <n v="1679.68"/>
        <n v="695.74"/>
        <n v="1135.78"/>
        <n v="295.32"/>
        <n v="1093"/>
        <n v="482.03"/>
        <n v="1641.9"/>
        <n v="981.57"/>
        <n v="436.6"/>
        <n v="1867.89"/>
        <n v="811.67"/>
        <n v="1554.16"/>
        <n v="961.82"/>
        <n v="2024.85"/>
        <n v="450.9"/>
        <n v="1536.11"/>
        <n v="206.85"/>
        <n v="47.94"/>
        <n v="503.06"/>
        <n v="369.33"/>
        <n v="4385.31"/>
        <n v="1746.34"/>
        <n v="1305"/>
        <n v="2374.66"/>
        <n v="227.34"/>
        <n v="293.47"/>
        <n v="503.11"/>
        <n v="237.2"/>
        <n v="539.36"/>
        <n v="2537.62"/>
        <n v="1673.18"/>
        <n v="1258.65"/>
        <n v="429.12"/>
        <n v="183.77"/>
        <n v="628.87"/>
        <n v="318.34"/>
        <n v="221.35"/>
        <n v="858.37"/>
        <n v="1692.49"/>
        <n v="266.95"/>
        <n v="2893.01"/>
        <n v="243.74"/>
        <n v="2181.27"/>
        <n v="2078.69"/>
        <n v="721.04"/>
        <n v="1042.16"/>
        <n v="2202.2"/>
        <n v="646.05"/>
        <n v="184.2"/>
        <n v="867.74"/>
        <n v="1083.34"/>
        <n v="931.14"/>
        <n v="1020.75"/>
        <n v="213.97"/>
        <n v="1554.18"/>
        <n v="418.64"/>
        <n v="229.37"/>
        <n v="1447.76"/>
        <n v="1907.59"/>
        <n v="1211.1"/>
        <n v="464.41"/>
        <n v="1612.99"/>
        <n v="1074.92"/>
        <n v="645.56"/>
        <n v="1046.2"/>
        <n v="1711.35"/>
        <n v="1338.51"/>
        <n v="1018.48"/>
        <n v="1832.84"/>
        <n v="366.44"/>
        <n v="214.66"/>
        <n v="1824.66"/>
        <n v="1500.15"/>
        <n v="2022.73"/>
        <n v="729.07"/>
        <n v="1418.7"/>
        <n v="1154.7"/>
        <n v="210.7"/>
        <n v="376.11"/>
        <n v="1627.71"/>
        <n v="1604.24"/>
        <n v="302.29"/>
        <n v="655.67"/>
        <n v="286.19"/>
        <n v="1073.91"/>
        <n v="919.67"/>
        <n v="3072.52"/>
        <n v="1093.77"/>
        <n v="1019.09"/>
        <n v="2357.77"/>
        <n v="489.93"/>
        <n v="1335.46"/>
        <n v="3726.6"/>
        <n v="627.72"/>
        <n v="683.86"/>
        <n v="1456.24"/>
        <n v="1065.83"/>
        <n v="1197.83"/>
        <n v="2029.12"/>
        <n v="1841.18"/>
        <n v="387.78"/>
        <n v="344.69"/>
        <n v="308.33"/>
        <n v="2278.21"/>
        <n v="215.65"/>
        <n v="1604.68"/>
        <n v="1281.18"/>
        <n v="328.09"/>
        <n v="551.51"/>
        <n v="1848.18"/>
        <n v="2340.44"/>
        <n v="1838.32"/>
        <n v="1367.36"/>
        <n v="247.96"/>
        <n v="2684.43"/>
        <n v="387.42"/>
        <n v="1287"/>
        <n v="1406.08"/>
        <n v="1432.37"/>
        <n v="595.57"/>
        <n v="876.31"/>
        <n v="545.32"/>
        <n v="103.61"/>
        <n v="2124.12"/>
        <n v="1892.36"/>
        <n v="251.12"/>
        <n v="704.8"/>
        <n v="3452.32"/>
        <n v="1068.9"/>
        <n v="814.53"/>
        <n v="1927.48"/>
        <n v="1520.48"/>
        <n v="1044.05"/>
        <n v="1060.53"/>
        <n v="463.16"/>
        <n v="796.5"/>
        <n v="524.12"/>
        <n v="1324.59"/>
        <n v="1387.27"/>
        <n v="2510.17"/>
        <n v="544.6"/>
        <n v="3879.12"/>
        <n v="1777.79"/>
        <n v="1512.6"/>
        <n v="3200.12"/>
        <n v="310.73"/>
        <n v="361.11"/>
        <n v="345.26"/>
        <n v="311.68"/>
        <n v="1914.72"/>
        <n v="236.66"/>
        <n v="2762.4"/>
        <n v="1829.05"/>
        <n v="874.98"/>
        <n v="1441.96"/>
        <n v="335.2"/>
        <n v="507.48"/>
        <n v="1626.87"/>
        <n v="230.18"/>
        <n v="3116.68"/>
        <n v="1178.93"/>
        <n v="951.78"/>
        <n v="2969.35"/>
        <n v="799.54"/>
        <n v="1881.72"/>
        <n v="352.4"/>
        <n v="2352.91"/>
        <n v="112.89"/>
        <n v="434.65"/>
        <n v="2026.24"/>
        <n v="168.75"/>
        <n v="325.38"/>
        <n v="1806.83"/>
        <n v="1767.25"/>
        <n v="4381.04"/>
        <n v="1087.21"/>
        <n v="1840.5"/>
        <n v="1792.4"/>
        <n v="790.19"/>
        <n v="175.5"/>
        <n v="420.87"/>
        <n v="70.14"/>
        <n v="2279.78"/>
        <n v="643.36"/>
        <n v="667.08"/>
        <n v="1043.72"/>
        <n v="2468.93"/>
        <n v="580.84"/>
        <n v="2789.9"/>
        <n v="1106.39"/>
        <n v="2478.93"/>
        <n v="876.08"/>
        <n v="599.46"/>
        <n v="1941.05"/>
        <n v="1856.9"/>
        <n v="509.54"/>
        <n v="3749.28"/>
        <n v="1273.27"/>
        <n v="225.03"/>
        <n v="2627.52"/>
        <n v="505.54"/>
        <n v="2784.01"/>
        <n v="344.76"/>
        <n v="395.28"/>
        <n v="293.17"/>
        <n v="920.76"/>
        <n v="1964.79"/>
        <n v="693.71"/>
        <n v="1590.48"/>
        <n v="873.08"/>
        <n v="345.18"/>
        <n v="1581.72"/>
        <n v="1373.93"/>
        <n v="2210.7"/>
        <n v="841.63"/>
        <n v="68.95"/>
        <n v="3343.05"/>
        <n v="1182.92"/>
        <n v="466.68"/>
        <n v="1711.56"/>
        <n v="729.24"/>
        <n v="208.76"/>
        <n v="223.12"/>
        <n v="178.68"/>
        <n v="364.59"/>
        <n v="1951.36"/>
        <n v="3863.14"/>
        <n v="268.49"/>
        <n v="492.04"/>
        <n v="288.26"/>
        <n v="992.36"/>
        <n v="648.78"/>
        <n v="438.44"/>
        <n v="147.39"/>
        <n v="1101.75"/>
        <n v="44.46"/>
        <n v="280.67"/>
        <n v="224.31"/>
        <n v="1456.12"/>
        <n v="969.31"/>
        <n v="2284.54"/>
        <n v="591.42"/>
        <n v="1463.12"/>
        <n v="285.16"/>
        <n v="93.52"/>
        <n v="302.72"/>
        <n v="1773.58"/>
        <n v="1680.13"/>
        <n v="123.11"/>
        <n v="944.67"/>
        <n v="448.56"/>
        <n v="282.45"/>
        <n v="526.76"/>
        <n v="2458.35"/>
        <n v="869.3"/>
        <n v="370.37"/>
        <n v="133.17"/>
        <n v="1009.94"/>
        <n v="489.76"/>
        <n v="617.79"/>
        <n v="106.1"/>
        <n v="737.71"/>
        <n v="835.62"/>
        <n v="66.5"/>
        <n v="2360.27"/>
        <n v="1052.5"/>
        <n v="916.78"/>
        <n v="232.36"/>
        <n v="1302.14"/>
        <n v="367"/>
        <n v="1078.16"/>
        <n v="1764.07"/>
        <n v="1056.31"/>
        <n v="1209.21"/>
        <n v="178.2"/>
        <n v="788.62"/>
        <n v="61.99"/>
        <n v="1773.3"/>
        <n v="1701.54"/>
        <n v="822.25"/>
        <n v="1776.95"/>
        <n v="440.21"/>
        <n v="421.52"/>
        <n v="503.36"/>
        <n v="924.64"/>
        <n v="652.26"/>
        <n v="1569.55"/>
        <n v="1308.77"/>
        <n v="2187.7"/>
        <n v="1267.86"/>
        <n v="1511.51"/>
        <n v="1504.44"/>
        <n v="1401.18"/>
        <n v="2549.66"/>
        <n v="443.21"/>
        <n v="589.75"/>
        <n v="659.38"/>
        <n v="1303.93"/>
        <n v="1076.74"/>
        <n v="1749.52"/>
        <n v="3658.34"/>
        <n v="236.75"/>
        <n v="1005.1"/>
        <n v="206.82"/>
        <n v="771.75"/>
        <n v="719.05"/>
        <n v="534.21"/>
        <n v="3171.03"/>
        <n v="2568.93"/>
        <n v="553.18"/>
        <n v="906.27"/>
        <n v="1953.7"/>
        <n v="1190.77"/>
        <n v="3645.03"/>
        <n v="747.86"/>
        <n v="948.38"/>
        <n v="1444.1"/>
        <n v="699.03"/>
        <n v="246.15"/>
        <n v="1190.8"/>
        <n v="540.58"/>
        <n v="2756.66"/>
        <n v="1215.78"/>
        <n v="731.38"/>
        <n v="955.65"/>
        <n v="2882"/>
        <n v="2284.16"/>
        <n v="1069.87"/>
        <n v="1161.8"/>
        <n v="492.76"/>
        <n v="2176.75"/>
        <n v="448.59"/>
        <n v="1239.57"/>
        <n v="1913.2"/>
        <n v="1185.73"/>
        <n v="506.22"/>
        <n v="1680.89"/>
        <n v="503.46"/>
        <n v="1548.19"/>
        <n v="1307.96"/>
        <n v="2229.82"/>
        <n v="1227.23"/>
        <n v="1339.84"/>
        <n v="640.53"/>
        <n v="978.93"/>
        <n v="598.93"/>
        <n v="117.89"/>
        <n v="2611.94"/>
        <n v="1243.79"/>
        <n v="3025.25"/>
        <n v="407.08"/>
        <n v="1270.14"/>
        <n v="505.71"/>
        <n v="3347.6"/>
        <n v="2804.34"/>
        <n v="2714.76"/>
        <n v="1516.57"/>
        <n v="709.15"/>
        <n v="320.69"/>
        <n v="1133.03"/>
        <n v="474.82"/>
        <n v="2593.01"/>
        <n v="351.78"/>
        <n v="1195.64"/>
        <n v="2305.84"/>
        <n v="1507.2"/>
        <n v="120.34"/>
        <n v="422.67"/>
        <n v="765.28"/>
        <n v="128.36"/>
        <n v="2649.42"/>
        <n v="299.79"/>
        <n v="645.22"/>
        <n v="2294.59"/>
        <n v="317.99"/>
        <n v="2650.43"/>
        <n v="448.27"/>
        <n v="2051.05"/>
        <n v="592.59"/>
        <n v="358.52"/>
        <n v="1056.87"/>
        <n v="787.67"/>
        <n v="458.74"/>
        <n v="749.5"/>
        <n v="1220.18"/>
        <n v="912.29"/>
        <n v="220.64"/>
        <n v="1499.54"/>
        <n v="210.36"/>
        <n v="1490.56"/>
        <n v="1659.42"/>
        <n v="2135.28"/>
        <n v="3201.24"/>
        <n v="1090.04"/>
        <n v="1828.44"/>
        <n v="134.28"/>
        <n v="1461.59"/>
        <n v="532.37"/>
        <n v="1431.43"/>
        <n v="685.08"/>
        <n v="1097.76"/>
        <n v="1048.09"/>
        <n v="835.92"/>
        <n v="140.19"/>
        <n v="1389.61"/>
        <n v="894.41"/>
        <n v="487.75"/>
        <n v="1574.44"/>
        <n v="476.43"/>
        <n v="327.93"/>
        <n v="2699.5"/>
        <n v="252.72"/>
        <n v="2916.41"/>
        <n v="637.64"/>
        <n v="1179.44"/>
        <n v="669.97"/>
        <n v="3393.33"/>
        <n v="286.83"/>
        <n v="1961.03"/>
        <n v="1140.36"/>
        <n v="745.38"/>
        <n v="1795.76"/>
        <n v="343.56"/>
        <n v="720.37"/>
        <n v="259.06"/>
        <n v="2651.75"/>
        <n v="2141.02"/>
        <n v="816.13"/>
        <n v="919.25"/>
        <n v="2457.85"/>
        <n v="663.28"/>
        <n v="1073.96"/>
        <n v="499.65"/>
        <n v="1347.72"/>
        <n v="228.73"/>
        <n v="3556.09"/>
        <n v="764.52"/>
        <n v="2785.44"/>
        <n v="729.2"/>
        <n v="1148.52"/>
        <n v="344.56"/>
        <n v="1816.22"/>
        <n v="2893.07"/>
        <n v="517.64"/>
        <n v="3202.92"/>
        <n v="107.55"/>
        <n v="252.78"/>
        <n v="275.87"/>
        <n v="657.18"/>
        <n v="1251.94"/>
        <n v="3182.72"/>
        <n v="915.95"/>
        <n v="309.95"/>
        <n v="1172.68"/>
        <n v="1611.16"/>
        <n v="1332.25"/>
        <n v="806.92"/>
        <n v="698.58"/>
        <n v="1773.4"/>
        <n v="1114.35"/>
        <n v="450.98"/>
        <n v="992.3"/>
        <n v="785.77"/>
        <n v="424.46"/>
        <n v="439.74"/>
        <n v="212.53"/>
        <n v="2244.78"/>
        <n v="306.81"/>
        <n v="2090.88"/>
        <n v="2246.16"/>
        <n v="1296.34"/>
        <n v="970.97"/>
        <n v="2413.25"/>
        <n v="5358.72"/>
        <n v="417.63"/>
        <n v="926.37"/>
        <n v="3834.6"/>
        <n v="987.84"/>
        <n v="546.91"/>
        <n v="3024.36"/>
        <n v="1566.02"/>
        <n v="684.92"/>
        <n v="1177.83"/>
        <n v="1711.87"/>
        <n v="879.36"/>
        <n v="2257.91"/>
        <n v="48.76"/>
        <n v="2364.86"/>
        <n v="3635.08"/>
        <n v="1069.04"/>
        <n v="436.19"/>
        <n v="1562.93"/>
        <n v="2451.44"/>
        <n v="433.96"/>
        <n v="371.87"/>
        <n v="625.95"/>
        <n v="218.79"/>
        <n v="4580.83"/>
        <n v="1303.51"/>
        <n v="1167.82"/>
        <n v="1878.07"/>
        <n v="3994.72"/>
        <n v="1851.7"/>
        <n v="342.46"/>
        <n v="292.03"/>
        <n v="1741.52"/>
        <n v="258.12"/>
        <n v="1335.92"/>
        <n v="602.74"/>
        <n v="1373.96"/>
        <n v="367.54"/>
        <n v="274.24"/>
        <n v="1521.25"/>
        <n v="1328.45"/>
        <n v="580.77"/>
        <n v="280.24"/>
        <n v="726.66"/>
        <n v="549.75"/>
        <n v="1805.44"/>
        <n v="379.35"/>
        <n v="2397.99"/>
        <n v="687.12"/>
        <n v="856.98"/>
        <n v="257.31"/>
        <n v="1211.36"/>
        <n v="680.94"/>
        <n v="2109.31"/>
        <n v="333.27"/>
        <n v="366.09"/>
        <n v="2038.03"/>
        <n v="271.3"/>
        <n v="2252.4"/>
        <n v="3016.13"/>
        <n v="1471.4"/>
        <n v="1649.77"/>
        <n v="1134.98"/>
        <n v="1615.51"/>
        <n v="1232.86"/>
        <n v="1464.52"/>
        <n v="692.05"/>
        <n v="929.3"/>
        <n v="1491.58"/>
        <n v="531.73"/>
        <n v="2424.6"/>
        <n v="3285.14"/>
        <n v="400.48"/>
        <n v="1341.13"/>
        <n v="172.55"/>
        <n v="796.32"/>
        <n v="150.68"/>
        <n v="1264.3"/>
        <n v="626.32"/>
        <n v="299.28"/>
        <n v="345.09"/>
        <n v="661.7"/>
        <n v="791.32"/>
        <n v="2398.41"/>
        <n v="1576.56"/>
        <n v="803.57"/>
        <n v="1143.02"/>
        <n v="237.33"/>
        <n v="3850.37"/>
        <n v="1002.3"/>
        <n v="536.98"/>
        <n v="1321.2"/>
        <n v="112.15"/>
        <n v="585.49"/>
        <n v="212.08"/>
        <n v="2868.48"/>
        <n v="1190.95"/>
        <n v="1442.08"/>
        <n v="1547.25"/>
        <n v="1240.88"/>
        <n v="1994.76"/>
        <n v="2712.85"/>
        <n v="4341.85"/>
        <n v="3836.95"/>
        <n v="1135.72"/>
        <n v="664.74"/>
        <n v="165.38"/>
        <n v="2169.68"/>
        <n v="887.62"/>
        <n v="1571.08"/>
        <n v="938.71"/>
        <n v="2981.19"/>
        <n v="256.01"/>
        <n v="328.84"/>
        <n v="668.72"/>
        <n v="371.53"/>
        <n v="1128.97"/>
        <n v="1688.18"/>
        <n v="988.52"/>
        <n v="1798.89"/>
        <n v="1902.66"/>
        <n v="1724.41"/>
        <n v="781.29"/>
        <n v="1289.09"/>
        <n v="384.21"/>
        <n v="3086.29"/>
        <n v="166.26"/>
        <n v="754.11"/>
        <n v="1610.05"/>
        <n v="1593"/>
        <n v="2696"/>
        <n v="752.22"/>
        <n v="480.27"/>
        <n v="3151.6"/>
        <n v="1068.26"/>
        <n v="2173.5"/>
        <n v="1711.42"/>
        <n v="200.35"/>
        <n v="1124.86"/>
        <n v="356.4"/>
        <n v="142.58"/>
        <n v="1584.31"/>
        <n v="1282.27"/>
        <n v="2686.2"/>
        <n v="2602.25"/>
        <n v="882.27"/>
        <n v="955.57"/>
        <n v="5066.04"/>
        <n v="1468.29"/>
        <n v="1548.84"/>
        <n v="974.43"/>
        <n v="1142.97"/>
        <n v="2208"/>
        <n v="667.55"/>
        <n v="460.74"/>
        <n v="193.3"/>
        <n v="930.46"/>
        <n v="2425.02"/>
        <n v="1386.67"/>
        <n v="1343.12"/>
        <n v="290.56"/>
        <n v="384.69"/>
        <n v="1037.07"/>
        <n v="1610.75"/>
        <n v="55.81"/>
        <n v="557.28"/>
        <n v="1676.22"/>
        <n v="2813.12"/>
        <n v="888.19"/>
        <n v="2957.12"/>
        <n v="1164.85"/>
        <n v="911.58"/>
        <n v="953.97"/>
        <n v="933.55"/>
        <n v="479.83"/>
        <n v="335.97"/>
        <n v="3647.55"/>
        <n v="1012.91"/>
        <n v="2086.97"/>
        <n v="1063.34"/>
        <n v="1253.55"/>
        <n v="967.92"/>
        <n v="689.38"/>
        <n v="915.05"/>
        <n v="338.51"/>
        <n v="332.52"/>
        <n v="1862.52"/>
        <n v="950.59"/>
        <n v="1214.88"/>
        <n v="1358.03"/>
        <n v="1682.16"/>
        <n v="1533.1"/>
        <n v="1084.29"/>
        <n v="222.46"/>
        <n v="700.41"/>
        <n v="590.75"/>
        <n v="403.06"/>
        <n v="3505.41"/>
        <n v="560"/>
        <n v="2460.58"/>
        <n v="3872.96"/>
        <n v="1286.37"/>
        <n v="1178.04"/>
        <n v="1314.62"/>
        <n v="791.93"/>
        <n v="1180.27"/>
        <n v="1646.13"/>
        <n v="3551.26"/>
        <n v="177.84"/>
        <n v="1656.14"/>
        <n v="2593.55"/>
        <n v="3091.51"/>
        <n v="747.24"/>
        <n v="679.64"/>
        <n v="683.84"/>
        <n v="314.89"/>
        <n v="245.59"/>
        <n v="1768.36"/>
        <n v="133.38"/>
        <n v="621.47"/>
        <n v="678.21"/>
        <n v="1498.6"/>
        <n v="1212.14"/>
        <n v="1859.09"/>
        <n v="246.93"/>
        <n v="964.37"/>
        <n v="2344.13"/>
        <n v="1274.4"/>
        <n v="482.19"/>
        <n v="1568.34"/>
        <n v="1754.8"/>
        <n v="1525.36"/>
        <n v="503.1"/>
        <n v="2132.1"/>
        <n v="759.08"/>
        <n v="719.99"/>
        <n v="250.53"/>
        <n v="694.81"/>
        <n v="1827.14"/>
        <n v="2304.34"/>
        <n v="519.88"/>
        <n v="71.29"/>
        <n v="530.08"/>
        <n v="1080.36"/>
        <n v="944.38"/>
        <n v="1050.08"/>
        <n v="908.04"/>
        <n v="1681.3"/>
        <n v="857.84"/>
        <n v="1814.24"/>
        <n v="251.07"/>
        <n v="456.43"/>
        <n v="1539.29"/>
        <n v="189.25"/>
        <n v="367.66"/>
        <n v="2360.88"/>
        <n v="2962.4"/>
        <n v="825.26"/>
        <n v="2918.29"/>
        <n v="661.25"/>
        <n v="324.92"/>
        <n v="2285.64"/>
        <n v="390.27"/>
        <n v="1467.45"/>
        <n v="879.39"/>
        <n v="132.8"/>
        <n v="259.82"/>
        <n v="236.58"/>
        <n v="1411.05"/>
        <n v="2171.89"/>
        <n v="513.75"/>
        <n v="826.92"/>
        <n v="245.24"/>
        <n v="1652.88"/>
        <n v="97.68"/>
        <n v="1134.19"/>
        <n v="146.93"/>
        <n v="576.12"/>
        <n v="1619.89"/>
        <n v="229.7"/>
        <n v="1214.23"/>
        <n v="1872.12"/>
        <n v="905.22"/>
        <n v="1807.56"/>
        <n v="501.26"/>
        <n v="849.39"/>
        <n v="2015.55"/>
        <n v="193.61"/>
        <n v="863.15"/>
        <n v="991.47"/>
        <n v="1895.11"/>
        <n v="137.93"/>
        <n v="456.5"/>
        <n v="493.72"/>
        <n v="1036.29"/>
        <n v="261.09"/>
        <n v="275.8"/>
        <n v="3557.56"/>
        <n v="1034.19"/>
        <n v="601.27"/>
        <n v="640.22"/>
        <n v="162.28"/>
        <n v="1203.18"/>
        <n v="805.47"/>
        <n v="3299.26"/>
        <n v="392.1"/>
        <n v="884.28"/>
        <n v="2012.98"/>
        <n v="219.8"/>
        <n v="1429.99"/>
        <n v="987.58"/>
        <n v="511.98"/>
        <n v="813.4"/>
        <n v="448.94"/>
        <n v="1557.3"/>
        <n v="1371.5"/>
        <n v="102.7"/>
        <n v="1006.92"/>
        <n v="334.98"/>
        <n v="155.88"/>
        <n v="398.25"/>
        <n v="1125.25"/>
        <n v="422.17"/>
        <n v="1854.15"/>
        <n v="1962.22"/>
        <n v="1078.56"/>
        <n v="857.35"/>
        <n v="2079.12"/>
        <n v="1797.56"/>
        <n v="2165.2"/>
        <n v="2209.92"/>
        <n v="1917.55"/>
        <n v="184.79"/>
        <n v="302.19"/>
        <n v="742.24"/>
        <n v="956.8"/>
        <n v="938.16"/>
        <n v="1189.56"/>
        <n v="1301.83"/>
        <n v="1128.43"/>
        <n v="844.09"/>
        <n v="1240.28"/>
        <n v="902.37"/>
        <n v="1595.16"/>
        <n v="788.31"/>
        <n v="2516.88"/>
        <n v="139.21"/>
        <n v="150.69"/>
        <n v="529.25"/>
        <n v="465.47"/>
        <n v="1102.84"/>
        <n v="268.32"/>
        <n v="305.96"/>
        <n v="1380.09"/>
        <n v="686.75"/>
        <n v="669.14"/>
        <n v="1232.08"/>
        <n v="1893.64"/>
        <n v="1454.94"/>
        <n v="284.62"/>
        <n v="746.09"/>
        <n v="436.82"/>
        <n v="1793.3"/>
        <n v="797.8"/>
        <n v="2262.33"/>
        <n v="3038.23"/>
        <n v="1040.04"/>
        <n v="83.87"/>
        <n v="1725.05"/>
        <n v="186.94"/>
        <n v="3010.63"/>
        <n v="631.08"/>
        <n v="884.75"/>
        <n v="387.23"/>
        <n v="1566.03"/>
        <n v="1136.47"/>
        <n v="186.05"/>
        <n v="976.21"/>
        <n v="1119.06"/>
        <n v="333.32"/>
        <n v="2631.48"/>
        <n v="695.44"/>
        <n v="1100.71"/>
        <n v="864.7"/>
        <n v="1955.66"/>
        <n v="3805.98"/>
        <n v="593.95"/>
        <n v="911.4"/>
        <n v="452.04"/>
        <n v="218.41"/>
        <n v="1731.16"/>
        <n v="1042.91"/>
        <n v="245.95"/>
        <n v="2269.8"/>
        <n v="430.29"/>
        <n v="2906.85"/>
        <n v="1127.3"/>
        <n v="1460.13"/>
        <n v="240.72"/>
        <n v="1068.14"/>
        <n v="964.5"/>
        <n v="3437.67"/>
        <n v="1252.62"/>
        <n v="2205.99"/>
        <n v="1531.88"/>
        <n v="839.33"/>
        <n v="2529.3"/>
        <n v="935.43"/>
        <n v="1081.47"/>
        <n v="1976.9"/>
        <n v="1303.13"/>
        <n v="65.72"/>
        <n v="1103.59"/>
        <n v="740.1"/>
        <n v="1530.24"/>
        <n v="125.56"/>
        <n v="618.06"/>
        <n v="2292.78"/>
        <n v="719.32"/>
        <n v="2246.86"/>
        <n v="65.64"/>
        <n v="77.5"/>
        <n v="4494.96"/>
        <n v="470.5"/>
        <n v="634.12"/>
        <n v="1020.27"/>
        <n v="297.8"/>
        <n v="2435.83"/>
        <n v="393.83"/>
        <n v="1800.82"/>
        <n v="3352.72"/>
        <n v="2278.95"/>
        <n v="1131.28"/>
        <n v="300.36"/>
        <n v="1341.99"/>
        <n v="670.97"/>
        <n v="862.85"/>
        <n v="1323.17"/>
        <n v="3188.18"/>
        <n v="2026.93"/>
        <n v="3482.94"/>
        <n v="919.68"/>
        <n v="185.18"/>
        <n v="436.13"/>
        <n v="313.93"/>
        <n v="1309.84"/>
        <n v="2579.22"/>
        <n v="1049.13"/>
        <n v="282.64"/>
        <n v="1081.16"/>
        <n v="899.83"/>
        <n v="2081.56"/>
        <n v="250.63"/>
        <n v="1025.1"/>
        <n v="2296.22"/>
        <n v="1239.79"/>
        <n v="2351.1"/>
        <n v="3188.3"/>
        <n v="966.99"/>
        <n v="769.75"/>
        <n v="363.41"/>
        <n v="1925.38"/>
        <n v="2493.75"/>
        <n v="511.01"/>
        <n v="324.31"/>
        <n v="717.97"/>
        <n v="200.21"/>
        <n v="1510.08"/>
        <n v="1447.34"/>
        <n v="2124.32"/>
        <n v="1186.98"/>
        <n v="426.13"/>
        <n v="1366.81"/>
        <n v="937.41"/>
        <n v="894.26"/>
        <n v="1363.7"/>
        <n v="124.84"/>
        <n v="1605.69"/>
        <n v="441.04"/>
        <n v="484.44"/>
        <n v="2057.64"/>
        <n v="2053.87"/>
        <n v="1191.4"/>
        <n v="915.61"/>
        <n v="507.76"/>
        <n v="1673.04"/>
        <n v="2240.43"/>
        <n v="1208.74"/>
        <n v="565.12"/>
        <n v="1909.6"/>
        <n v="1287.89"/>
        <n v="1267.45"/>
        <n v="700.92"/>
        <n v="626.56"/>
        <n v="1017.39"/>
        <n v="243.93"/>
        <n v="345.41"/>
        <n v="329.07"/>
        <n v="1211.12"/>
        <n v="1585.55"/>
        <n v="1840.32"/>
        <n v="934.44"/>
        <n v="2057.13"/>
        <n v="1617.84"/>
        <n v="1348.19"/>
        <n v="388.59"/>
        <n v="113.53"/>
        <n v="3738.63"/>
        <n v="1216.38"/>
        <n v="791.27"/>
        <n v="2249.48"/>
        <n v="601.5"/>
        <n v="931.91"/>
        <n v="1833.26"/>
        <n v="928.82"/>
        <n v="1960.88"/>
        <n v="1157.73"/>
        <n v="589.74"/>
        <n v="1068.79"/>
        <n v="928.44"/>
        <n v="3383.82"/>
        <n v="1234.33"/>
        <n v="307.74"/>
        <n v="827.13"/>
        <n v="604.37"/>
        <n v="1667.06"/>
        <n v="50.17"/>
        <n v="452.35"/>
        <n v="1908.16"/>
        <n v="1601.32"/>
        <n v="1133.64"/>
        <n v="557.66"/>
        <n v="1350.55"/>
        <n v="1257.63"/>
        <n v="1356.42"/>
        <n v="738.91"/>
        <n v="2489.68"/>
        <n v="1363.6"/>
        <n v="464.72"/>
        <n v="2523.38"/>
        <n v="3445.12"/>
        <n v="1051.95"/>
        <n v="1007.16"/>
        <n v="956.61"/>
        <n v="172.63"/>
        <n v="1540.47"/>
        <n v="89.94"/>
        <n v="2231.82"/>
        <n v="1022.13"/>
        <n v="255.79"/>
        <n v="320.8"/>
        <n v="1436.94"/>
        <n v="199.2"/>
        <n v="1613.96"/>
        <n v="1606.7"/>
        <n v="3747.84"/>
        <n v="459.68"/>
        <n v="2768.09"/>
        <n v="1906.85"/>
        <n v="756.27"/>
        <n v="465.87"/>
        <n v="121.19"/>
        <n v="4558.4"/>
        <n v="2909.66"/>
        <n v="2916.15"/>
        <n v="1153.9"/>
        <n v="620.31"/>
        <n v="3116.88"/>
        <n v="672.84"/>
        <n v="1255.73"/>
        <n v="300.09"/>
        <n v="1041.33"/>
        <n v="714.44"/>
        <n v="1948.05"/>
        <n v="347.62"/>
        <n v="1142.54"/>
        <n v="2578.24"/>
        <n v="1212.38"/>
        <n v="738.44"/>
        <n v="766.73"/>
        <n v="430.42"/>
        <n v="1584.96"/>
        <n v="1192.35"/>
        <n v="259.27"/>
        <n v="608.5"/>
        <n v="168.23"/>
        <n v="1394.68"/>
        <n v="2250.49"/>
        <n v="166.63"/>
        <n v="906.56"/>
        <n v="123.57"/>
        <n v="1236.76"/>
        <n v="586.27"/>
        <n v="1073.17"/>
        <n v="1741.56"/>
        <n v="2128.25"/>
        <n v="1611.36"/>
        <n v="425.46"/>
        <n v="2668.3"/>
        <n v="1409.6"/>
        <n v="141.67"/>
        <n v="181.64"/>
        <n v="523.1"/>
        <n v="2571.01"/>
        <n v="256.85"/>
        <n v="2633.47"/>
        <n v="1667.7"/>
        <n v="3351.49"/>
        <n v="1430.75"/>
        <n v="1301.89"/>
        <n v="1691.26"/>
        <n v="966.79"/>
        <n v="1969.11"/>
        <n v="2303.11"/>
        <n v="147.66"/>
        <n v="2289.6"/>
        <n v="2104.8"/>
        <n v="953.94"/>
        <n v="658.92"/>
        <n v="128.08"/>
        <n v="599.89"/>
        <n v="1661.04"/>
        <n v="939.62"/>
        <n v="1411.51"/>
        <n v="2258.51"/>
        <n v="855.9"/>
        <n v="1395.82"/>
        <n v="1523.89"/>
        <n v="1208.59"/>
        <n v="432.12"/>
        <n v="974.42"/>
        <n v="2668.09"/>
        <n v="633.47"/>
        <n v="2200.18"/>
        <n v="3374.1"/>
        <n v="1967.88"/>
        <n v="3048.42"/>
        <n v="605.56"/>
        <n v="635.98"/>
        <n v="142.27"/>
        <n v="3496.67"/>
        <n v="269.38"/>
        <n v="363.35"/>
        <n v="185.97"/>
        <n v="527.78"/>
        <n v="747.91"/>
        <n v="2416.44"/>
        <n v="841.62"/>
        <n v="3771.54"/>
        <n v="1504.57"/>
        <n v="1552.86"/>
        <n v="1200.28"/>
        <n v="507.3"/>
        <n v="2395.75"/>
        <n v="1059.15"/>
        <n v="514.41"/>
        <n v="818.42"/>
        <n v="475.06"/>
        <n v="1695.65"/>
        <n v="675.08"/>
        <n v="2544.89"/>
        <n v="1019.65"/>
        <n v="444.49"/>
        <n v="64.33"/>
        <n v="880.53"/>
        <n v="1369.87"/>
        <n v="3260.25"/>
        <n v="795.24"/>
        <n v="2584.96"/>
        <n v="497.19"/>
        <n v="576.67"/>
        <n v="955.78"/>
        <n v="1423.17"/>
        <n v="502.09"/>
        <n v="1004.95"/>
        <n v="2238.53"/>
        <n v="1601.11"/>
        <n v="355.97"/>
        <n v="906.87"/>
        <n v="484.22"/>
        <n v="1165.32"/>
        <n v="1106.35"/>
        <n v="2104.04"/>
        <n v="1383.87"/>
        <n v="2974.03"/>
        <n v="1256.37"/>
        <n v="878.09"/>
        <n v="736.8"/>
        <n v="1369.08"/>
        <n v="564.25"/>
        <n v="2893.52"/>
        <n v="806.44"/>
        <n v="1901.13"/>
        <n v="947.58"/>
        <n v="1067.14"/>
        <n v="158.9"/>
        <n v="508.46"/>
        <n v="1240.41"/>
        <n v="1634.23"/>
        <n v="208.52"/>
        <n v="1379.79"/>
        <n v="441.58"/>
        <n v="275.63"/>
        <n v="1745.02"/>
        <n v="993.69"/>
        <n v="2457.25"/>
        <n v="720.59"/>
        <n v="1745.78"/>
        <n v="1085.14"/>
        <n v="565.11"/>
        <n v="345.16"/>
        <n v="2891.1"/>
        <n v="496.13"/>
        <n v="547.94"/>
        <n v="2099.55"/>
        <n v="2166.64"/>
        <n v="908.42"/>
        <n v="1531.04"/>
        <n v="428.89"/>
        <n v="513.72"/>
        <n v="212.2"/>
        <n v="2818.37"/>
        <n v="985.77"/>
        <n v="1072.05"/>
        <n v="2468.62"/>
        <n v="1069.57"/>
        <n v="1738.12"/>
        <n v="898.4"/>
        <n v="2877.24"/>
        <n v="924.13"/>
        <n v="690.92"/>
        <n v="582.8"/>
        <n v="556.84"/>
        <n v="1072.49"/>
        <n v="246.07"/>
        <n v="2645.02"/>
        <n v="321.64"/>
        <n v="888.73"/>
        <n v="590"/>
        <n v="812.46"/>
        <n v="1007.3"/>
        <n v="420.92"/>
        <n v="1469.97"/>
        <n v="1523.72"/>
        <n v="1064.77"/>
        <n v="1074.31"/>
        <n v="2842.02"/>
        <n v="1395.66"/>
        <n v="524.41"/>
        <n v="184.81"/>
        <n v="1628.78"/>
        <n v="1440.66"/>
        <n v="509.82"/>
        <n v="2152.1"/>
        <n v="935.46"/>
        <n v="1314.36"/>
        <n v="2795.94"/>
        <n v="1262.42"/>
        <n v="221.49"/>
        <n v="90.76"/>
        <n v="5071.41"/>
        <n v="1788.43"/>
        <n v="417.96"/>
        <n v="346.37"/>
        <n v="1533.27"/>
        <n v="1878.58"/>
        <n v="295.44"/>
        <n v="3131.45"/>
        <n v="1952.86"/>
        <n v="409.92"/>
        <n v="1055.34"/>
        <n v="277.42"/>
        <n v="1474.17"/>
        <n v="393.61"/>
        <n v="415.83"/>
        <n v="628.88"/>
        <n v="3039.32"/>
        <n v="1178.37"/>
        <n v="1380.85"/>
        <n v="1398.7"/>
        <n v="990.56"/>
        <n v="318.62"/>
        <n v="251.99"/>
        <n v="1638.33"/>
        <n v="1648.75"/>
        <n v="1338.15"/>
        <n v="703.56"/>
        <n v="288.17"/>
        <n v="2072.92"/>
        <n v="379.15"/>
        <n v="2149.92"/>
        <n v="236.16"/>
        <n v="1625.46"/>
        <n v="450.86"/>
        <n v="1233.36"/>
        <n v="65.62"/>
        <n v="2403.24"/>
        <n v="487.22"/>
        <n v="3160.66"/>
        <n v="703.7"/>
        <n v="460.55"/>
        <n v="1715.5"/>
        <n v="67.4"/>
        <n v="102.12"/>
        <n v="634.13"/>
        <n v="421.89"/>
        <n v="158.42"/>
        <n v="388.61"/>
        <n v="1082.4"/>
        <n v="3060.29"/>
        <n v="1737.02"/>
        <n v="322.08"/>
        <n v="217.72"/>
        <n v="1637.72"/>
        <n v="1241.55"/>
        <n v="1950.84"/>
        <n v="3756.53"/>
        <n v="958.73"/>
        <n v="1154.55"/>
        <n v="622.2"/>
        <n v="254"/>
        <n v="102.66"/>
        <n v="1917.06"/>
        <n v="1889.39"/>
        <n v="981.44"/>
        <n v="1347.39"/>
        <n v="1173.86"/>
        <n v="2934.95"/>
        <n v="1451.69"/>
        <n v="486.16"/>
        <n v="2359"/>
        <n v="1336.48"/>
        <n v="2450.02"/>
        <n v="361.26"/>
        <n v="307.73"/>
        <n v="455.34"/>
        <n v="2823.86"/>
        <n v="396.91"/>
        <n v="1372.58"/>
        <n v="989.07"/>
        <n v="2116.68"/>
        <n v="1047.7"/>
        <n v="988.61"/>
        <n v="545.55"/>
        <n v="295.46"/>
        <n v="1046.37"/>
        <n v="1737.12"/>
        <n v="1244.27"/>
        <n v="502.19"/>
        <n v="2331.52"/>
        <n v="891.96"/>
        <n v="1090.52"/>
        <n v="884"/>
        <n v="557.11"/>
        <n v="999.68"/>
        <n v="523.33"/>
        <n v="328"/>
        <n v="308.35"/>
        <n v="508.78"/>
        <n v="680.31"/>
        <n v="654.2"/>
        <n v="2496.6"/>
        <n v="781.45"/>
        <n v="2177.44"/>
        <n v="263.55"/>
        <n v="1035.48"/>
        <n v="1502.68"/>
        <n v="2374.38"/>
        <n v="714.03"/>
        <n v="810.87"/>
        <n v="1665.63"/>
        <n v="738.6"/>
        <n v="2721.12"/>
        <n v="1526.4"/>
        <n v="114.92"/>
        <n v="413.71"/>
        <n v="911.2"/>
        <n v="1219.32"/>
        <n v="364.33"/>
        <n v="262.06"/>
        <n v="1871.38"/>
        <n v="174.06"/>
        <n v="1181.49"/>
        <n v="336.31"/>
        <n v="314.81"/>
        <n v="293.13"/>
        <n v="4168.89"/>
        <n v="1073.03"/>
        <n v="244.66"/>
        <n v="1903.61"/>
        <n v="2052.38"/>
        <n v="525.23"/>
        <n v="930.2"/>
        <n v="1336.18"/>
        <n v="2803.25"/>
        <n v="3225.7"/>
        <n v="337.36"/>
        <n v="1124.64"/>
        <n v="166.4"/>
        <n v="3075.4"/>
        <n v="2203.66"/>
        <n v="1420.86"/>
        <n v="1030.45"/>
        <n v="2816.7"/>
        <n v="2962.14"/>
        <n v="1138.05"/>
        <n v="1718.04"/>
        <n v="3857.88"/>
        <n v="2096.66"/>
        <n v="210.22"/>
        <n v="906.05"/>
        <n v="549.57"/>
        <n v="863.51"/>
        <n v="1575.32"/>
        <n v="2823.38"/>
        <n v="1495.72"/>
        <n v="1675.16"/>
        <n v="1103.71"/>
        <n v="2777.76"/>
        <n v="718.3"/>
        <n v="2365.72"/>
        <n v="1397.13"/>
        <n v="777.08"/>
        <n v="1128.49"/>
        <n v="1348.96"/>
        <n v="1448.34"/>
        <n v="2516.8"/>
        <n v="696.96"/>
        <n v="1863.05"/>
        <n v="318.2"/>
        <n v="2159.36"/>
        <n v="684.22"/>
        <n v="1982.78"/>
        <n v="549.78"/>
        <n v="753.2"/>
        <n v="324.44"/>
        <n v="1017.57"/>
        <n v="226.53"/>
        <n v="1635.44"/>
        <n v="1501.36"/>
        <n v="1370.41"/>
        <n v="1831.54"/>
        <n v="272.2"/>
        <n v="147.57"/>
        <n v="1146.83"/>
        <n v="386.47"/>
        <n v="1184.25"/>
        <n v="216.94"/>
        <n v="336.44"/>
        <n v="1128.03"/>
        <n v="712.79"/>
        <n v="567.86"/>
        <n v="567.3"/>
        <n v="873.23"/>
        <n v="393.64"/>
        <n v="1413.23"/>
        <n v="3072.92"/>
        <n v="3533.04"/>
        <n v="3584.61"/>
        <n v="1281.77"/>
        <n v="2105.03"/>
        <n v="3197.14"/>
        <n v="628.14"/>
        <n v="206.66"/>
        <n v="2491.99"/>
        <n v="1301.21"/>
        <n v="2911.11"/>
        <n v="121.9"/>
        <n v="1625.12"/>
        <n v="711.28"/>
        <n v="2433.49"/>
        <n v="604.59"/>
        <n v="2104.21"/>
        <n v="1011.96"/>
        <n v="541.65"/>
        <n v="2276.94"/>
        <n v="74.06"/>
        <n v="2605.54"/>
        <n v="2236.25"/>
        <n v="2120.64"/>
        <n v="2096.97"/>
        <n v="1806.33"/>
        <n v="2609.5"/>
        <n v="1172.55"/>
        <n v="3230.04"/>
        <n v="755.76"/>
        <n v="899.91"/>
        <n v="1391.71"/>
        <n v="1764.88"/>
        <n v="1175.58"/>
        <n v="992.56"/>
        <n v="1941.7"/>
        <n v="413.59"/>
        <n v="1216.98"/>
        <n v="989.22"/>
        <n v="334.88"/>
        <n v="871.01"/>
        <n v="1480.74"/>
        <n v="1421.01"/>
        <n v="2195.3"/>
        <n v="1640.56"/>
        <n v="380.47"/>
        <n v="1478.15"/>
        <n v="920.29"/>
        <n v="729.1"/>
        <n v="329.12"/>
        <n v="3390.8"/>
        <n v="609.5"/>
        <n v="1797.38"/>
        <n v="332.74"/>
        <n v="915.36"/>
        <n v="727.68"/>
        <n v="642.39"/>
        <n v="1672.15"/>
        <n v="340.9"/>
        <n v="2295.73"/>
        <n v="305.66"/>
        <n v="1519.62"/>
        <n v="931.9"/>
        <n v="1114.71"/>
        <n v="87.03"/>
        <n v="189.87"/>
        <n v="1932.15"/>
        <n v="408.71"/>
        <n v="360.1"/>
        <n v="741"/>
        <n v="3208.66"/>
        <n v="499.85"/>
        <n v="2490.21"/>
        <n v="745.42"/>
        <n v="619.01"/>
        <n v="460.22"/>
        <n v="404.97"/>
        <n v="1709.74"/>
        <n v="309.33"/>
        <n v="845.76"/>
        <n v="811.95"/>
        <n v="317.52"/>
        <n v="1324.84"/>
        <n v="2681.28"/>
        <n v="2707.55"/>
        <n v="1193.55"/>
        <n v="1599.51"/>
        <n v="2663.73"/>
        <n v="354.25"/>
        <n v="756.9"/>
        <n v="1224.45"/>
        <n v="560.3"/>
        <n v="3756.8"/>
        <n v="885.31"/>
        <n v="698.76"/>
        <n v="1485.29"/>
        <n v="380.12"/>
        <n v="1470.66"/>
        <n v="528.56"/>
        <n v="724"/>
        <n v="671.66"/>
        <n v="236.35"/>
        <n v="911.83"/>
        <n v="374.52"/>
        <n v="3938.61"/>
        <n v="271.54"/>
        <n v="327.01"/>
        <n v="731.51"/>
        <n v="2165.4"/>
        <n v="648.89"/>
      </sharedItems>
    </cacheField>
    <cacheField name="Cost_Amount" numFmtId="4">
      <sharedItems containsSemiMixedTypes="0" containsString="0" containsNumber="1" minValue="32.4" maxValue="3183.36" count="960">
        <n v="319.64"/>
        <n v="760.16"/>
        <n v="213.23"/>
        <n v="473.08"/>
        <n v="984.48"/>
        <n v="2174.24"/>
        <n v="568"/>
        <n v="586.35"/>
        <n v="776.24"/>
        <n v="162"/>
        <n v="791.74"/>
        <n v="2461.41"/>
        <n v="144.45"/>
        <n v="190.74"/>
        <n v="463.64"/>
        <n v="1277.48"/>
        <n v="1172.2"/>
        <n v="72.29"/>
        <n v="265.44"/>
        <n v="1306.1"/>
        <n v="1828.54"/>
        <n v="1559.58"/>
        <n v="460.26"/>
        <n v="954.5"/>
        <n v="606.82"/>
        <n v="240.75"/>
        <n v="1416.24"/>
        <n v="354.06"/>
        <n v="326.76"/>
        <n v="680.8"/>
        <n v="910.23"/>
        <n v="451.2"/>
        <n v="1026.35"/>
        <n v="221.72"/>
        <n v="926.82"/>
        <n v="1009.2"/>
        <n v="62.25"/>
        <n v="1086.12"/>
        <n v="1368.08"/>
        <n v="586.32"/>
        <n v="2001.3"/>
        <n v="137.64"/>
        <n v="262.36"/>
        <n v="97.35"/>
        <n v="271.6"/>
        <n v="778.25"/>
        <n v="2179.74"/>
        <n v="432.64"/>
        <n v="1980.16"/>
        <n v="989"/>
        <n v="403.44"/>
        <n v="2386.3"/>
        <n v="628.14"/>
        <n v="271.32"/>
        <n v="231.82"/>
        <n v="1358.42"/>
        <n v="1302.44"/>
        <n v="259.2"/>
        <n v="262.8"/>
        <n v="1547.56"/>
        <n v="619.96"/>
        <n v="215.05"/>
        <n v="2109.78"/>
        <n v="1344.28"/>
        <n v="276.36"/>
        <n v="469.08"/>
        <n v="172.1"/>
        <n v="1016.2"/>
        <n v="369.48"/>
        <n v="239.46"/>
        <n v="475.78"/>
        <n v="1005.68"/>
        <n v="209.38"/>
        <n v="311.3"/>
        <n v="1680.35"/>
        <n v="1921.14"/>
        <n v="931.14"/>
        <n v="296.85"/>
        <n v="2237.48"/>
        <n v="1718.25"/>
        <n v="3166.96"/>
        <n v="852"/>
        <n v="347.73"/>
        <n v="1051.2"/>
        <n v="1054.89"/>
        <n v="764.8"/>
        <n v="1389.88"/>
        <n v="1559.2"/>
        <n v="2029.6"/>
        <n v="976.83"/>
        <n v="2047.44"/>
        <n v="871.36"/>
        <n v="351.63"/>
        <n v="765.6"/>
        <n v="388.12"/>
        <n v="1684.16"/>
        <n v="1378.35"/>
        <n v="1457.36"/>
        <n v="731.14"/>
        <n v="579.55"/>
        <n v="1021.96"/>
        <n v="146.6"/>
        <n v="1235.76"/>
        <n v="427.96"/>
        <n v="2011.36"/>
        <n v="1042.41"/>
        <n v="149.92"/>
        <n v="681.8"/>
        <n v="1061.76"/>
        <n v="497.12"/>
        <n v="1002.72"/>
        <n v="274.61"/>
        <n v="728.68"/>
        <n v="1759.94"/>
        <n v="237.48"/>
        <n v="293.05"/>
        <n v="178.11"/>
        <n v="91.18"/>
        <n v="870.99"/>
        <n v="577.17"/>
        <n v="639.82"/>
        <n v="522.44"/>
        <n v="1008.21"/>
        <n v="413.85"/>
        <n v="2710.12"/>
        <n v="617.88"/>
        <n v="389.4"/>
        <n v="631.56"/>
        <n v="1375.56"/>
        <n v="496.96"/>
        <n v="639.28"/>
        <n v="389.28"/>
        <n v="1507.85"/>
        <n v="785.2"/>
        <n v="2392.32"/>
        <n v="544.6"/>
        <n v="573.6"/>
        <n v="715.61"/>
        <n v="892.36"/>
        <n v="351.87"/>
        <n v="758.76"/>
        <n v="791.55"/>
        <n v="287.1"/>
        <n v="192.6"/>
        <n v="545.36"/>
        <n v="284"/>
        <n v="36.65"/>
        <n v="621.65"/>
        <n v="2771.09"/>
        <n v="752.07"/>
        <n v="409.02"/>
        <n v="783.66"/>
        <n v="1516.76"/>
        <n v="204.51"/>
        <n v="151.29"/>
        <n v="271.78"/>
        <n v="516.3"/>
        <n v="1278.56"/>
        <n v="112.44"/>
        <n v="507.4"/>
        <n v="1237.8"/>
        <n v="308.94"/>
        <n v="639.69"/>
        <n v="948.36"/>
        <n v="273.54"/>
        <n v="778.56"/>
        <n v="769.64"/>
        <n v="2859.76"/>
        <n v="740.36"/>
        <n v="1929.69"/>
        <n v="795.38"/>
        <n v="546.51"/>
        <n v="1193.07"/>
        <n v="194.06"/>
        <n v="1161.32"/>
        <n v="117.27"/>
        <n v="1015.32"/>
        <n v="3033.52"/>
        <n v="177.03"/>
        <n v="1682"/>
        <n v="1900.4"/>
        <n v="1596.85"/>
        <n v="1669.01"/>
        <n v="1044.88"/>
        <n v="96.3"/>
        <n v="648.96"/>
        <n v="869.68"/>
        <n v="1993.6"/>
        <n v="951.56"/>
        <n v="788.34"/>
        <n v="563.1"/>
        <n v="1297.92"/>
        <n v="977.2"/>
        <n v="386.89"/>
        <n v="641.94"/>
        <n v="2061.9"/>
        <n v="582.18"/>
        <n v="1089.87"/>
        <n v="215.03"/>
        <n v="2783.83"/>
        <n v="415.59"/>
        <n v="252.15"/>
        <n v="703.26"/>
        <n v="344.2"/>
        <n v="1593.28"/>
        <n v="32.4"/>
        <n v="1055.4"/>
        <n v="112.8"/>
        <n v="773.78"/>
        <n v="136.34"/>
        <n v="1827.85"/>
        <n v="3181.52"/>
        <n v="695.46"/>
        <n v="186.75"/>
        <n v="48.15"/>
        <n v="129.6"/>
        <n v="1576.96"/>
        <n v="696.82"/>
        <n v="688.4"/>
        <n v="1719.45"/>
        <n v="189.69"/>
        <n v="237.89"/>
        <n v="1451.65"/>
        <n v="879.15"/>
        <n v="1529.6"/>
        <n v="542.64"/>
        <n v="1520.32"/>
        <n v="1590.76"/>
        <n v="1551.9"/>
        <n v="1010.4"/>
        <n v="319.37"/>
        <n v="327.63"/>
        <n v="714.94"/>
        <n v="249"/>
        <n v="216.87"/>
        <n v="640.38"/>
        <n v="2432.29"/>
        <n v="1557.12"/>
        <n v="1107.96"/>
        <n v="371.84"/>
        <n v="873.68"/>
        <n v="259.93"/>
        <n v="764.47"/>
        <n v="486.75"/>
        <n v="382.4"/>
        <n v="299.84"/>
        <n v="272.68"/>
        <n v="251.42"/>
        <n v="632.24"/>
        <n v="538"/>
        <n v="973.44"/>
        <n v="216.32"/>
        <n v="322.8"/>
        <n v="398.32"/>
        <n v="852.92"/>
        <n v="236.54"/>
        <n v="754.26"/>
        <n v="1934.45"/>
        <n v="1706.2"/>
        <n v="320.97"/>
        <n v="423.46"/>
        <n v="1270.25"/>
        <n v="946.16"/>
        <n v="292.05"/>
        <n v="1552.48"/>
        <n v="195.44"/>
        <n v="1182.7"/>
        <n v="336.07"/>
        <n v="316.56"/>
        <n v="373.58"/>
        <n v="846.92"/>
        <n v="412.6"/>
        <n v="416.44"/>
        <n v="44.96"/>
        <n v="1358.9"/>
        <n v="1143.6"/>
        <n v="206.3"/>
        <n v="752.04"/>
        <n v="79.82"/>
        <n v="389.8"/>
        <n v="345.45"/>
        <n v="319.28"/>
        <n v="705.15"/>
        <n v="1269.15"/>
        <n v="729.44"/>
        <n v="959.73"/>
        <n v="1081.6"/>
        <n v="337.05"/>
        <n v="584.1"/>
        <n v="1787.35"/>
        <n v="278.88"/>
        <n v="1096.71"/>
        <n v="474.18"/>
        <n v="436.84"/>
        <n v="1357.65"/>
        <n v="74.96"/>
        <n v="494.5"/>
        <n v="338.4"/>
        <n v="124.24"/>
        <n v="364.72"/>
        <n v="182.36"/>
        <n v="325.61"/>
        <n v="857.7"/>
        <n v="1267.44"/>
        <n v="250.69"/>
        <n v="266.16"/>
        <n v="217.84"/>
        <n v="1268.5"/>
        <n v="372.72"/>
        <n v="1239.92"/>
        <n v="2354.8"/>
        <n v="2018.4"/>
        <n v="953.72"/>
        <n v="681.45"/>
        <n v="929.94"/>
        <n v="124.28"/>
        <n v="192.39"/>
        <n v="380.08"/>
        <n v="615.81"/>
        <n v="708.12"/>
        <n v="572.7"/>
        <n v="554.22"/>
        <n v="299.94"/>
        <n v="1098.44"/>
        <n v="73.3"/>
        <n v="124.5"/>
        <n v="638.56"/>
        <n v="248.56"/>
        <n v="194.7"/>
        <n v="1175.25"/>
        <n v="973.2"/>
        <n v="1045.23"/>
        <n v="261.22"/>
        <n v="225.6"/>
        <n v="149.97"/>
        <n v="741.75"/>
        <n v="1364.96"/>
        <n v="476.86"/>
        <n v="464.8"/>
        <n v="397.69"/>
        <n v="1429.88"/>
        <n v="385.2"/>
        <n v="107.6"/>
        <n v="519.86"/>
        <n v="238.43"/>
        <n v="106.99"/>
        <n v="1453.16"/>
        <n v="527.7"/>
        <n v="54.32"/>
        <n v="779.79"/>
        <n v="821.08"/>
        <n v="160.98"/>
        <n v="851"/>
        <n v="1014.8"/>
        <n v="188.98"/>
        <n v="118.74"/>
        <n v="1345.6"/>
        <n v="86.05"/>
        <n v="1116.24"/>
        <n v="196.3"/>
        <n v="129.03"/>
        <n v="1064.4"/>
        <n v="92.96"/>
        <n v="564"/>
        <n v="353.01"/>
        <n v="960.57"/>
        <n v="940.2"/>
        <n v="187.4"/>
        <n v="1494.32"/>
        <n v="340.4"/>
        <n v="482.88"/>
        <n v="743.68"/>
        <n v="682.48"/>
        <n v="1236.25"/>
        <n v="2205.36"/>
        <n v="715.29"/>
        <n v="645.09"/>
        <n v="2321.34"/>
        <n v="365.57"/>
        <n v="288.9"/>
        <n v="115.91"/>
        <n v="738.96"/>
        <n v="1880.4"/>
        <n v="2128.8"/>
        <n v="1758.15"/>
        <n v="949.68"/>
        <n v="726.58"/>
        <n v="225.28"/>
        <n v="502.84"/>
        <n v="848.64"/>
        <n v="2084.82"/>
        <n v="1239.21"/>
        <n v="1363.6"/>
        <n v="190.9"/>
        <n v="1031.67"/>
        <n v="583.92"/>
        <n v="1110.54"/>
        <n v="219.54"/>
        <n v="1192.15"/>
        <n v="182.95"/>
        <n v="406.98"/>
        <n v="253.7"/>
        <n v="2030.64"/>
        <n v="1169.4"/>
        <n v="1859.88"/>
        <n v="1819.51"/>
        <n v="192.41"/>
        <n v="769.56"/>
        <n v="62.14"/>
        <n v="827.7"/>
        <n v="672.14"/>
        <n v="763.6"/>
        <n v="738.36"/>
        <n v="1406.52"/>
        <n v="1684"/>
        <n v="618.9"/>
        <n v="83.33"/>
        <n v="2691.2"/>
        <n v="965.88"/>
        <n v="1462.28"/>
        <n v="370.18"/>
        <n v="263.85"/>
        <n v="1196.16"/>
        <n v="64.8"/>
        <n v="387.16"/>
        <n v="1742.05"/>
        <n v="253.83"/>
        <n v="351.81"/>
        <n v="1087.12"/>
        <n v="134.88"/>
        <n v="1230.6"/>
        <n v="1336.3"/>
        <n v="1630.68"/>
        <n v="186.04"/>
        <n v="97.2"/>
        <n v="191.2"/>
        <n v="944.9"/>
        <n v="927.28"/>
        <n v="182.17"/>
        <n v="430.4"/>
        <n v="398.72"/>
        <n v="1330.32"/>
        <n v="357.47"/>
        <n v="1394.12"/>
        <n v="316.86"/>
        <n v="37.48"/>
        <n v="309.98"/>
        <n v="813.96"/>
        <n v="1730.75"/>
        <n v="260.06"/>
        <n v="885.15"/>
        <n v="234.54"/>
        <n v="2043.92"/>
        <n v="1514.24"/>
        <n v="823.83"/>
        <n v="380.24"/>
        <n v="1953.66"/>
        <n v="102.23"/>
        <n v="347.47"/>
        <n v="958.11"/>
        <n v="994"/>
        <n v="1665.76"/>
        <n v="1039.72"/>
        <n v="314.72"/>
        <n v="696.66"/>
        <n v="1072.41"/>
        <n v="474.96"/>
        <n v="1066.15"/>
        <n v="213.98"/>
        <n v="319.91"/>
        <n v="381.8"/>
        <n v="2552.4"/>
        <n v="549.22"/>
        <n v="379.19"/>
        <n v="207.27"/>
        <n v="655.26"/>
        <n v="172.04"/>
        <n v="43.01"/>
        <n v="1040.24"/>
        <n v="2660.56"/>
        <n v="316.12"/>
        <n v="1393.64"/>
        <n v="962.05"/>
        <n v="217.28"/>
        <n v="531.09"/>
        <n v="158.06"/>
        <n v="347.34"/>
        <n v="1629.18"/>
        <n v="1213.64"/>
        <n v="565.6"/>
        <n v="290.33"/>
        <n v="215.2"/>
        <n v="183.25"/>
        <n v="282.88"/>
        <n v="95.7"/>
        <n v="571.8"/>
        <n v="957.15"/>
        <n v="825.84"/>
        <n v="372.84"/>
        <n v="1895.95"/>
        <n v="1759.35"/>
        <n v="1347.2"/>
        <n v="551.8"/>
        <n v="602.35"/>
        <n v="1102.68"/>
        <n v="354.88"/>
        <n v="1419.24"/>
        <n v="762.96"/>
        <n v="3095.12"/>
        <n v="1532.94"/>
        <n v="633.72"/>
        <n v="1187.61"/>
        <n v="2961.44"/>
        <n v="2032.4"/>
        <n v="620.76"/>
        <n v="211.73"/>
        <n v="170.2"/>
        <n v="364.34"/>
        <n v="724.32"/>
        <n v="744.16"/>
        <n v="530.88"/>
        <n v="2089.76"/>
        <n v="1144.44"/>
        <n v="2749.2"/>
        <n v="814.59"/>
        <n v="482.94"/>
        <n v="1031.5"/>
        <n v="713.67"/>
        <n v="1448.64"/>
        <n v="781.76"/>
        <n v="1483.5"/>
        <n v="68.17"/>
        <n v="179.84"/>
        <n v="572.22"/>
        <n v="902.4"/>
        <n v="153.42"/>
        <n v="255.49"/>
        <n v="970.3"/>
        <n v="779.6"/>
        <n v="1338.4"/>
        <n v="1154.46"/>
        <n v="687.78"/>
        <n v="497.32"/>
        <n v="1346.87"/>
        <n v="173.67"/>
        <n v="306.69"/>
        <n v="2728.6"/>
        <n v="1647.66"/>
        <n v="2032.31"/>
        <n v="511.92"/>
        <n v="2110.99"/>
        <n v="1177.8"/>
        <n v="1052.6"/>
        <n v="348.33"/>
        <n v="159.64"/>
        <n v="511.15"/>
        <n v="1436.89"/>
        <n v="1548.64"/>
        <n v="842.08"/>
        <n v="1560.36"/>
        <n v="633.12"/>
        <n v="443.6"/>
        <n v="865.28"/>
        <n v="1429.5"/>
        <n v="638.26"/>
        <n v="399.92"/>
        <n v="860.12"/>
        <n v="1330.5"/>
        <n v="1482.11"/>
        <n v="282.8"/>
        <n v="241.44"/>
        <n v="1563.52"/>
        <n v="965.65"/>
        <n v="141.4"/>
        <n v="301.57"/>
        <n v="1030.95"/>
        <n v="303.41"/>
        <n v="235.05"/>
        <n v="1902.46"/>
        <n v="613.38"/>
        <n v="311.25"/>
        <n v="3118.4"/>
        <n v="1263.12"/>
        <n v="827.01"/>
        <n v="1665.23"/>
        <n v="184.74"/>
        <n v="1335.18"/>
        <n v="242.15"/>
        <n v="1480.72"/>
        <n v="1917.84"/>
        <n v="217"/>
        <n v="1722.84"/>
        <n v="426"/>
        <n v="694.94"/>
        <n v="343.89"/>
        <n v="108.92"/>
        <n v="1872.4"/>
        <n v="218.42"/>
        <n v="508.1"/>
        <n v="767.1"/>
        <n v="558.12"/>
        <n v="1517.05"/>
        <n v="1549.9"/>
        <n v="1044.99"/>
        <n v="815.34"/>
        <n v="855.92"/>
        <n v="2694.4"/>
        <n v="1838.88"/>
        <n v="1147.2"/>
        <n v="2241.33"/>
        <n v="1137.57"/>
        <n v="249.95"/>
        <n v="199.96"/>
        <n v="1093.02"/>
        <n v="780.18"/>
        <n v="2045.4"/>
        <n v="254.05"/>
        <n v="142"/>
        <n v="248.66"/>
        <n v="1393.32"/>
        <n v="1591.68"/>
        <n v="185.92"/>
        <n v="340.85"/>
        <n v="1931.52"/>
        <n v="1853.64"/>
        <n v="2287.2"/>
        <n v="895.86"/>
        <n v="1916.22"/>
        <n v="258.15"/>
        <n v="224.8"/>
        <n v="635.19"/>
        <n v="552.72"/>
        <n v="275.9"/>
        <n v="1002.76"/>
        <n v="57.89"/>
        <n v="1524.3"/>
        <n v="1131.52"/>
        <n v="348.41"/>
        <n v="1778.35"/>
        <n v="703.62"/>
        <n v="382.44"/>
        <n v="848.97"/>
        <n v="1583.48"/>
        <n v="336.4"/>
        <n v="993.92"/>
        <n v="1407.48"/>
        <n v="798.3"/>
        <n v="384.78"/>
        <n v="353.5"/>
        <n v="248.48"/>
        <n v="510.6"/>
        <n v="88.72"/>
        <n v="69.09"/>
        <n v="673.6"/>
        <n v="837.52"/>
        <n v="1374.1"/>
        <n v="766.47"/>
        <n v="54.25"/>
        <n v="638.74"/>
        <n v="325.92"/>
        <n v="1862.7"/>
        <n v="1206.28"/>
        <n v="1477.92"/>
        <n v="343.65"/>
        <n v="748.93"/>
        <n v="558.74"/>
        <n v="2352.49"/>
        <n v="474.84"/>
        <n v="1362.48"/>
        <n v="792.15"/>
        <n v="2407.23"/>
        <n v="532.2"/>
        <n v="753.2"/>
        <n v="569.07"/>
        <n v="2483.04"/>
        <n v="762.15"/>
        <n v="470.1"/>
        <n v="2427.28"/>
        <n v="1935.8"/>
        <n v="1704.5"/>
        <n v="435.68"/>
        <n v="1140.24"/>
        <n v="381.48"/>
        <n v="421.04"/>
        <n v="1567.32"/>
        <n v="410.54"/>
        <n v="1730.56"/>
        <n v="2595.84"/>
        <n v="860.8"/>
        <n v="412.92"/>
        <n v="1655.78"/>
        <n v="1885.56"/>
        <n v="1023.72"/>
        <n v="89.92"/>
        <n v="577.23"/>
        <n v="2079.44"/>
        <n v="1802.24"/>
        <n v="1414.4"/>
        <n v="639.9"/>
        <n v="965.76"/>
        <n v="231.56"/>
        <n v="155.65"/>
        <n v="1103.6"/>
        <n v="137.95"/>
        <n v="886.88"/>
        <n v="643.92"/>
        <n v="688.2"/>
        <n v="314.26"/>
        <n v="2438.31"/>
        <n v="901.12"/>
        <n v="2110.8"/>
        <n v="226.8"/>
        <n v="191.4"/>
        <n v="1645.35"/>
        <n v="1264.48"/>
        <n v="434"/>
        <n v="755.92"/>
        <n v="430.25"/>
        <n v="1160.67"/>
        <n v="613.68"/>
        <n v="796.64"/>
        <n v="2502.29"/>
        <n v="383.94"/>
        <n v="2779.76"/>
        <n v="186.42"/>
        <n v="510.98"/>
        <n v="2786.64"/>
        <n v="621.2"/>
        <n v="271.25"/>
        <n v="1280.76"/>
        <n v="546.05"/>
        <n v="778.8"/>
        <n v="285.9"/>
        <n v="622.6"/>
        <n v="382.8"/>
        <n v="543.56"/>
        <n v="788.4"/>
        <n v="1231.62"/>
        <n v="1595.25"/>
        <n v="1465.25"/>
        <n v="162.75"/>
        <n v="3183.36"/>
        <n v="904.71"/>
        <n v="1126.86"/>
        <n v="2995.84"/>
        <n v="1279.64"/>
        <n v="1414.95"/>
        <n v="709.62"/>
        <n v="247.25"/>
        <n v="1715.4"/>
        <n v="250.68"/>
        <n v="603.14"/>
        <n v="372.99"/>
        <n v="2561.52"/>
        <n v="789.6"/>
        <n v="127.98"/>
        <n v="534.95"/>
        <n v="255.96"/>
        <n v="1820.46"/>
        <n v="377.96"/>
        <n v="1508.52"/>
        <n v="1374.6"/>
        <n v="795.84"/>
        <n v="1276.2"/>
        <n v="201.72"/>
        <n v="271.53"/>
        <n v="761.1"/>
        <n v="1287.84"/>
        <n v="138.18"/>
        <n v="574.2"/>
        <n v="1319.25"/>
        <n v="158.43"/>
        <n v="825.2"/>
        <n v="672.8"/>
        <n v="1430.58"/>
        <n v="1576.8"/>
        <n v="551.34"/>
        <n v="565.76"/>
        <n v="2263.04"/>
        <n v="1327.2"/>
        <n v="832.88"/>
        <n v="745.98"/>
        <n v="1270.38"/>
        <n v="1299.65"/>
        <n v="566.94"/>
        <n v="2111.22"/>
        <n v="333.32"/>
        <n v="2591.26"/>
        <n v="942.78"/>
        <n v="1275.19"/>
        <n v="653.52"/>
        <n v="450.56"/>
        <n v="266.1"/>
        <n v="710"/>
        <n v="1978"/>
        <n v="675.72"/>
        <n v="1189.45"/>
        <n v="1361.6"/>
        <n v="208.22"/>
        <n v="2005.52"/>
        <n v="2172.66"/>
        <n v="306.84"/>
        <n v="337.86"/>
        <n v="665.16"/>
        <n v="99.98"/>
        <n v="1120.74"/>
        <n v="509.92"/>
        <n v="583.31"/>
        <n v="212.1"/>
        <n v="2604.88"/>
        <n v="2471.52"/>
        <n v="703.74"/>
        <n v="811.37"/>
        <n v="1249.32"/>
        <n v="797.44"/>
        <n v="339.01"/>
        <n v="923.7"/>
        <n v="678.3"/>
        <n v="1737.35"/>
        <n v="1697.28"/>
        <n v="194.64"/>
        <n v="767.88"/>
        <n v="676.8"/>
        <n v="995.8"/>
        <n v="372.08"/>
        <n v="434.98"/>
        <n v="638.1"/>
        <n v="292.72"/>
        <n v="144.58"/>
        <n v="466.95"/>
        <n v="204.46"/>
        <n v="791.4"/>
        <n v="1988.45"/>
        <n v="950.58"/>
        <n v="1867.9"/>
        <n v="1758.3"/>
        <n v="109.21"/>
        <n v="475.29"/>
        <n v="1544.7"/>
        <n v="1675.04"/>
        <n v="395.87"/>
        <n v="246.12"/>
        <n v="1594.88"/>
        <n v="2654.33"/>
        <n v="1022.7"/>
        <n v="1773.76"/>
        <n v="1300.3"/>
        <n v="953.7"/>
        <n v="1820.42"/>
        <n v="804.9"/>
        <n v="166.66"/>
        <n v="1488.32"/>
        <n v="958.92"/>
        <n v="963.48"/>
        <n v="501.38"/>
        <n v="1062.18"/>
        <n v="1539.28"/>
        <n v="1161.48"/>
        <n v="434.56"/>
        <n v="1073.94"/>
        <n v="1021.2"/>
        <n v="687.3"/>
        <n v="1650.4"/>
        <n v="2412.56"/>
        <n v="938.16"/>
        <n v="1154.34"/>
        <n v="310.38"/>
        <n v="379.75"/>
        <n v="1131.96"/>
        <n v="430.06"/>
        <n v="2479.84"/>
        <n v="2016.42"/>
        <n v="2387.52"/>
        <n v="1241.52"/>
        <n v="1522.98"/>
        <n v="108.64"/>
        <n v="59.37"/>
        <n v="483.63"/>
        <n v="1596.6"/>
        <n v="1592.64"/>
        <n v="1571.3"/>
        <n v="550.56"/>
        <n v="2338.8"/>
        <n v="374.48"/>
        <n v="1949"/>
        <n v="1754.76"/>
        <n v="433.74"/>
        <n v="1327.83"/>
        <n v="597.48"/>
        <n v="492.24"/>
        <n v="418.76"/>
        <n v="650.72"/>
        <n v="2280.48"/>
        <n v="689.58"/>
        <n v="1191.4"/>
        <n v="177.44"/>
        <n v="1862.28"/>
        <n v="2020.8"/>
        <n v="478.5"/>
        <n v="210.52"/>
        <n v="310.7"/>
        <n v="758.38"/>
        <n v="1257.1"/>
        <n v="416.65"/>
        <n v="224.88"/>
        <n v="669.9"/>
        <n v="2123.87"/>
        <n v="162.96"/>
        <n v="86.02"/>
        <n v="2924.56"/>
        <n v="321.96"/>
        <n v="1106.42"/>
        <n v="2169.86"/>
        <n v="761.49"/>
        <n v="199.16"/>
        <n v="1207.2"/>
        <n v="507.66"/>
        <n v="1504.08"/>
        <n v="1379.16"/>
        <n v="424.2"/>
        <n v="48.43"/>
        <n v="1293.18"/>
        <n v="275.67"/>
        <n v="135.66"/>
        <n v="1720.24"/>
        <n v="1277.45"/>
        <n v="426.46"/>
        <n v="319.05"/>
        <n v="373.5"/>
        <n v="745.44"/>
        <n v="1257.04"/>
        <n v="675.84"/>
        <n v="249.99"/>
        <n v="435.75"/>
        <n v="320.19"/>
        <n v="2554.96"/>
        <n v="1476.72"/>
        <n v="146.36"/>
        <n v="1522.2"/>
        <n v="1858.08"/>
        <n v="1279.38"/>
        <n v="624.66"/>
        <n v="1227.36"/>
        <n v="910.85"/>
        <n v="158.28"/>
        <n v="397.92"/>
        <n v="817.84"/>
        <n v="443.44"/>
        <n v="2102.4"/>
        <n v="1108.6"/>
        <n v="258.06"/>
        <n v="1055.61"/>
        <n v="205.27"/>
        <n v="499.98"/>
        <n v="501.36"/>
        <n v="341.24"/>
        <n v="949.62"/>
        <n v="2235.59"/>
        <n v="1850.9"/>
        <n v="2543.03"/>
      </sharedItems>
    </cacheField>
    <cacheField name="Profit" numFmtId="4">
      <sharedItems containsSemiMixedTypes="0" containsString="0" containsNumber="1" minValue="-396.41" maxValue="2669.84" count="2258">
        <n v="158.85"/>
        <n v="272.4"/>
        <n v="29.85"/>
        <n v="164.12"/>
        <n v="391.68"/>
        <n v="535.92"/>
        <n v="226.1"/>
        <n v="167.07"/>
        <n v="215.29"/>
        <n v="6.2"/>
        <n v="253.82"/>
        <n v="869.26"/>
        <n v="35.31"/>
        <n v="42.12"/>
        <n v="100.8"/>
        <n v="-6.38"/>
        <n v="786.62"/>
        <n v="11.83"/>
        <n v="172.05"/>
        <n v="108"/>
        <n v="579.25"/>
        <n v="113.13"/>
        <n v="212.21"/>
        <n v="211.15"/>
        <n v="31.21"/>
        <n v="746.5"/>
        <n v="80.78"/>
        <n v="38.94"/>
        <n v="266.48"/>
        <n v="205.34"/>
        <n v="93.32"/>
        <n v="554.16"/>
        <n v="144.69"/>
        <n v="518.01"/>
        <n v="290.04"/>
        <n v="21.07"/>
        <n v="228.12"/>
        <n v="332.92"/>
        <n v="1450.94"/>
        <n v="2.36"/>
        <n v="90.57"/>
        <n v="17.5"/>
        <n v="167.64"/>
        <n v="261.16"/>
        <n v="1097.74"/>
        <n v="278.53"/>
        <n v="1877.47"/>
        <n v="269.52"/>
        <n v="266.65"/>
        <n v="207.54"/>
        <n v="175.89"/>
        <n v="101.44"/>
        <n v="50.4"/>
        <n v="533.4"/>
        <n v="622.79"/>
        <n v="102.73"/>
        <n v="72.6"/>
        <n v="780.04"/>
        <n v="140.28"/>
        <n v="91.94"/>
        <n v="447.82"/>
        <n v="572.86"/>
        <n v="57.6"/>
        <n v="28.83"/>
        <n v="7.77"/>
        <n v="1010.1"/>
        <n v="110.09"/>
        <n v="52.26"/>
        <n v="124.38"/>
        <n v="192.25"/>
        <n v="330.1"/>
        <n v="58.63"/>
        <n v="25.28"/>
        <n v="77.79"/>
        <n v="647.1"/>
        <n v="168.02"/>
        <n v="41.78"/>
        <n v="959.14"/>
        <n v="1136.73"/>
        <n v="862.1"/>
        <n v="443.54"/>
        <n v="75.6"/>
        <n v="361"/>
        <n v="517.38"/>
        <n v="144.59"/>
        <n v="362.75"/>
        <n v="293.16"/>
        <n v="1057.18"/>
        <n v="331.56"/>
        <n v="326.86"/>
        <n v="103.79"/>
        <n v="48.25"/>
        <n v="296.98"/>
        <n v="91.99"/>
        <n v="376.12"/>
        <n v="723.7"/>
        <n v="622.02"/>
        <n v="400.02"/>
        <n v="-8.87"/>
        <n v="-7.43"/>
        <n v="595.49"/>
        <n v="57.74"/>
        <n v="188.13"/>
        <n v="130.58"/>
        <n v="779.84"/>
        <n v="272.06"/>
        <n v="55.4"/>
        <n v="78.83"/>
        <n v="338.21"/>
        <n v="199.15"/>
        <n v="557.28"/>
        <n v="127.36"/>
        <n v="101.53"/>
        <n v="137.81"/>
        <n v="518.88"/>
        <n v="-9.35"/>
        <n v="121.13"/>
        <n v="18.65"/>
        <n v="123.06"/>
        <n v="123.23"/>
        <n v="80.53"/>
        <n v="43.2"/>
        <n v="160.62"/>
        <n v="12.7"/>
        <n v="705.52"/>
        <n v="135.94"/>
        <n v="184.86"/>
        <n v="193.92"/>
        <n v="346.73"/>
        <n v="-27.41"/>
        <n v="331.52"/>
        <n v="147.16"/>
        <n v="26.45"/>
        <n v="83.71"/>
        <n v="618.7"/>
        <n v="259"/>
        <n v="1972.11"/>
        <n v="-57"/>
        <n v="228.8"/>
        <n v="118.67"/>
        <n v="694.36"/>
        <n v="639.02"/>
        <n v="244.79"/>
        <n v="90.27"/>
        <n v="143.14"/>
        <n v="415.8"/>
        <n v="68.53"/>
        <n v="88.35"/>
        <n v="47.08"/>
        <n v="21.87"/>
        <n v="113.05"/>
        <n v="0.76"/>
        <n v="648.83"/>
        <n v="191.79"/>
        <n v="1855.57"/>
        <n v="143.97"/>
        <n v="85.85"/>
        <n v="364.26"/>
        <n v="434.23"/>
        <n v="275.65"/>
        <n v="77.71"/>
        <n v="57.9"/>
        <n v="43.29"/>
        <n v="210.68"/>
        <n v="252.62"/>
        <n v="10.75"/>
        <n v="187.36"/>
        <n v="63.32"/>
        <n v="669.98"/>
        <n v="45.79"/>
        <n v="76.34"/>
        <n v="170.58"/>
        <n v="82.97"/>
        <n v="107.19"/>
        <n v="272.52"/>
        <n v="115.46"/>
        <n v="1314.81"/>
        <n v="49.3"/>
        <n v="1372.42"/>
        <n v="323.62"/>
        <n v="87"/>
        <n v="95.74"/>
        <n v="200.16"/>
        <n v="27.73"/>
        <n v="134.26"/>
        <n v="10.82"/>
        <n v="-1.86"/>
        <n v="391.8"/>
        <n v="408.59"/>
        <n v="73"/>
        <n v="1430.76"/>
        <n v="119.83"/>
        <n v="389.25"/>
        <n v="872.42"/>
        <n v="190.64"/>
        <n v="219.49"/>
        <n v="23.54"/>
        <n v="756.26"/>
        <n v="381.72"/>
        <n v="594.86"/>
        <n v="1201.3"/>
        <n v="384.51"/>
        <n v="217.99"/>
        <n v="72.71"/>
        <n v="1019.09"/>
        <n v="238.97"/>
        <n v="72.69"/>
        <n v="300.66"/>
        <n v="1985.35"/>
        <n v="223.92"/>
        <n v="368.3"/>
        <n v="33.44"/>
        <n v="1025.23"/>
        <n v="202.25"/>
        <n v="135.23"/>
        <n v="35.64"/>
        <n v="15.55"/>
        <n v="9.54"/>
        <n v="1251.64"/>
        <n v="566.51"/>
        <n v="6.26"/>
        <n v="325.16"/>
        <n v="103.34"/>
        <n v="57.37"/>
        <n v="53.46"/>
        <n v="18.66"/>
        <n v="614.73"/>
        <n v="1211.03"/>
        <n v="284.27"/>
        <n v="119.22"/>
        <n v="32.03"/>
        <n v="6.45"/>
        <n v="5.78"/>
        <n v="11.87"/>
        <n v="702.14"/>
        <n v="234.91"/>
        <n v="22.68"/>
        <n v="410.6"/>
        <n v="346.43"/>
        <n v="48.31"/>
        <n v="52.56"/>
        <n v="300.96"/>
        <n v="330.75"/>
        <n v="298.01"/>
        <n v="664.69"/>
        <n v="288.12"/>
        <n v="261.43"/>
        <n v="123.63"/>
        <n v="266.88"/>
        <n v="681"/>
        <n v="131.33"/>
        <n v="255.74"/>
        <n v="77.85"/>
        <n v="71.21"/>
        <n v="92.83"/>
        <n v="136.82"/>
        <n v="74.14"/>
        <n v="63.54"/>
        <n v="32.24"/>
        <n v="1044.72"/>
        <n v="946.94"/>
        <n v="260.91"/>
        <n v="44.98"/>
        <n v="143.6"/>
        <n v="92.68"/>
        <n v="130.53"/>
        <n v="231.08"/>
        <n v="606.82"/>
        <n v="59.5"/>
        <n v="155.2"/>
        <n v="71.76"/>
        <n v="23.68"/>
        <n v="137.72"/>
        <n v="181.11"/>
        <n v="302.33"/>
        <n v="363.12"/>
        <n v="178.77"/>
        <n v="211.79"/>
        <n v="156.52"/>
        <n v="76.09"/>
        <n v="82.4"/>
        <n v="214.53"/>
        <n v="198.55"/>
        <n v="71.05"/>
        <n v="483.1"/>
        <n v="523.7"/>
        <n v="679.3"/>
        <n v="135.29"/>
        <n v="26"/>
        <n v="269.4"/>
        <n v="1349.05"/>
        <n v="874.88"/>
        <n v="47.9"/>
        <n v="138.65"/>
        <n v="285.79"/>
        <n v="33.64"/>
        <n v="391.94"/>
        <n v="23.95"/>
        <n v="730.6"/>
        <n v="34.06"/>
        <n v="60.72"/>
        <n v="5.39"/>
        <n v="43.11"/>
        <n v="-3.92"/>
        <n v="545.53"/>
        <n v="138.82"/>
        <n v="12.26"/>
        <n v="32.84"/>
        <n v="55.52"/>
        <n v="6.39"/>
        <n v="523.3"/>
        <n v="38.97"/>
        <n v="620.55"/>
        <n v="878.36"/>
        <n v="79.06"/>
        <n v="539.56"/>
        <n v="300.23"/>
        <n v="84.33"/>
        <n v="2.39"/>
        <n v="189.06"/>
        <n v="112.54"/>
        <n v="106.7"/>
        <n v="67.6"/>
        <n v="317.19"/>
        <n v="60.52"/>
        <n v="401.81"/>
        <n v="105.61"/>
        <n v="751.81"/>
        <n v="327.76"/>
        <n v="158.1"/>
        <n v="292.64"/>
        <n v="115.08"/>
        <n v="225.3"/>
        <n v="72.58"/>
        <n v="185.47"/>
        <n v="416.58"/>
        <n v="99.55"/>
        <n v="83.63"/>
        <n v="39.52"/>
        <n v="208.7"/>
        <n v="103.86"/>
        <n v="43.1"/>
        <n v="263.79"/>
        <n v="294.54"/>
        <n v="950.69"/>
        <n v="247.06"/>
        <n v="390.44"/>
        <n v="42.43"/>
        <n v="252.78"/>
        <n v="169.76"/>
        <n v="100.79"/>
        <n v="120.56"/>
        <n v="62.72"/>
        <n v="115.44"/>
        <n v="515.78"/>
        <n v="17.31"/>
        <n v="47.99"/>
        <n v="200.61"/>
        <n v="41.37"/>
        <n v="6.46"/>
        <n v="277.5"/>
        <n v="110.37"/>
        <n v="404.91"/>
        <n v="1418"/>
        <n v="1465.2"/>
        <n v="375.9"/>
        <n v="373.42"/>
        <n v="267.51"/>
        <n v="323.59"/>
        <n v="27.08"/>
        <n v="31.89"/>
        <n v="-20.93"/>
        <n v="382.41"/>
        <n v="118.08"/>
        <n v="211.97"/>
        <n v="376.44"/>
        <n v="137.7"/>
        <n v="105.22"/>
        <n v="145.38"/>
        <n v="28.87"/>
        <n v="36.5"/>
        <n v="308.25"/>
        <n v="39.02"/>
        <n v="49.36"/>
        <n v="375.39"/>
        <n v="1089.54"/>
        <n v="243.77"/>
        <n v="455"/>
        <n v="143.57"/>
        <n v="229.46"/>
        <n v="427.06"/>
        <n v="268.86"/>
        <n v="4.96"/>
        <n v="46.66"/>
        <n v="63.92"/>
        <n v="56.11"/>
        <n v="281.93"/>
        <n v="497.9"/>
        <n v="123.51"/>
        <n v="165.92"/>
        <n v="136.38"/>
        <n v="252.44"/>
        <n v="230.28"/>
        <n v="97.71"/>
        <n v="74.7"/>
        <n v="1.39"/>
        <n v="932.25"/>
        <n v="68.42"/>
        <n v="30.61"/>
        <n v="119.51"/>
        <n v="25.26"/>
        <n v="576.84"/>
        <n v="152.8"/>
        <n v="19.51"/>
        <n v="407.86"/>
        <n v="60.84"/>
        <n v="278.05"/>
        <n v="283.25"/>
        <n v="794.67"/>
        <n v="106.05"/>
        <n v="95.22"/>
        <n v="314.92"/>
        <n v="39.24"/>
        <n v="45.23"/>
        <n v="565.47"/>
        <n v="5.88"/>
        <n v="423.47"/>
        <n v="64.75"/>
        <n v="35.93"/>
        <n v="214.47"/>
        <n v="53.81"/>
        <n v="509.88"/>
        <n v="16.73"/>
        <n v="159.2"/>
        <n v="60.77"/>
        <n v="267.95"/>
        <n v="202.27"/>
        <n v="137.02"/>
        <n v="535.19"/>
        <n v="-24.38"/>
        <n v="30.27"/>
        <n v="150.04"/>
        <n v="185.12"/>
        <n v="122.56"/>
        <n v="414.41"/>
        <n v="202.38"/>
        <n v="409.14"/>
        <n v="564.68"/>
        <n v="1519.54"/>
        <n v="175.85"/>
        <n v="14.97"/>
        <n v="636.2"/>
        <n v="332.04"/>
        <n v="37.85"/>
        <n v="467.88"/>
        <n v="27.88"/>
        <n v="112.68"/>
        <n v="18.14"/>
        <n v="526.85"/>
        <n v="31.82"/>
        <n v="1099.57"/>
        <n v="831.22"/>
        <n v="18.33"/>
        <n v="61.7"/>
        <n v="130.75"/>
        <n v="440.67"/>
        <n v="12.58"/>
        <n v="58.32"/>
        <n v="108.5"/>
        <n v="689.49"/>
        <n v="-5.21"/>
        <n v="252.35"/>
        <n v="382.29"/>
        <n v="293.77"/>
        <n v="0.73"/>
        <n v="479.85"/>
        <n v="834.26"/>
        <n v="350.51"/>
        <n v="292.83"/>
        <n v="205.56"/>
        <n v="97.86"/>
        <n v="533.92"/>
        <n v="21.16"/>
        <n v="124.2"/>
        <n v="23.63"/>
        <n v="1672.81"/>
        <n v="35.76"/>
        <n v="1579.62"/>
        <n v="38.66"/>
        <n v="492.95"/>
        <n v="290.75"/>
        <n v="48.66"/>
        <n v="355.64"/>
        <n v="49.5"/>
        <n v="11.84"/>
        <n v="986.85"/>
        <n v="294.45"/>
        <n v="134.36"/>
        <n v="138.2"/>
        <n v="202.05"/>
        <n v="325.77"/>
        <n v="82.51"/>
        <n v="346.14"/>
        <n v="725.82"/>
        <n v="46.52"/>
        <n v="-7.42"/>
        <n v="609.43"/>
        <n v="543.47"/>
        <n v="189.62"/>
        <n v="911.05"/>
        <n v="70.34"/>
        <n v="14.74"/>
        <n v="94.74"/>
        <n v="1218.19"/>
        <n v="770.49"/>
        <n v="317.46"/>
        <n v="376.8"/>
        <n v="461.55"/>
        <n v="686.93"/>
        <n v="46.59"/>
        <n v="127.44"/>
        <n v="491.71"/>
        <n v="12.52"/>
        <n v="71.62"/>
        <n v="64.73"/>
        <n v="431.86"/>
        <n v="298.21"/>
        <n v="62.77"/>
        <n v="519.09"/>
        <n v="-25.65"/>
        <n v="-37.34"/>
        <n v="96.55"/>
        <n v="243.78"/>
        <n v="214.23"/>
        <n v="61.39"/>
        <n v="288.42"/>
        <n v="571.85"/>
        <n v="516.89"/>
        <n v="21.44"/>
        <n v="774.31"/>
        <n v="25.51"/>
        <n v="78.59"/>
        <n v="184.28"/>
        <n v="337.06"/>
        <n v="18.78"/>
        <n v="41.38"/>
        <n v="442.89"/>
        <n v="300.85"/>
        <n v="240.4"/>
        <n v="72.68"/>
        <n v="262.34"/>
        <n v="362.48"/>
        <n v="16.9"/>
        <n v="76.27"/>
        <n v="387.49"/>
        <n v="356.26"/>
        <n v="47.12"/>
        <n v="890.73"/>
        <n v="49.92"/>
        <n v="91.27"/>
        <n v="159.17"/>
        <n v="18.59"/>
        <n v="127.16"/>
        <n v="294.17"/>
        <n v="576.06"/>
        <n v="145.33"/>
        <n v="105.72"/>
        <n v="219.72"/>
        <n v="201.95"/>
        <n v="112.64"/>
        <n v="1.31"/>
        <n v="745.44"/>
        <n v="1314.58"/>
        <n v="135.33"/>
        <n v="13.63"/>
        <n v="147.84"/>
        <n v="1414.23"/>
        <n v="82.75"/>
        <n v="72.02"/>
        <n v="53.59"/>
        <n v="98.73"/>
        <n v="138.22"/>
        <n v="846.64"/>
        <n v="848.02"/>
        <n v="219.66"/>
        <n v="252.48"/>
        <n v="68.41"/>
        <n v="231.18"/>
        <n v="186.76"/>
        <n v="3.81"/>
        <n v="340.81"/>
        <n v="110.71"/>
        <n v="10.36"/>
        <n v="13.58"/>
        <n v="247.7"/>
        <n v="108.15"/>
        <n v="64.44"/>
        <n v="-21.82"/>
        <n v="254.92"/>
        <n v="44.75"/>
        <n v="313.11"/>
        <n v="-21.08"/>
        <n v="217.18"/>
        <n v="212.02"/>
        <n v="1358.15"/>
        <n v="104.94"/>
        <n v="150.97"/>
        <n v="79.53"/>
        <n v="193.93"/>
        <n v="24.44"/>
        <n v="68.92"/>
        <n v="2.37"/>
        <n v="175.58"/>
        <n v="650.93"/>
        <n v="111.96"/>
        <n v="111.73"/>
        <n v="651.5"/>
        <n v="200.01"/>
        <n v="414.06"/>
        <n v="28.4"/>
        <n v="8.09"/>
        <n v="274.15"/>
        <n v="1097.04"/>
        <n v="-49.78"/>
        <n v="122.34"/>
        <n v="23.33"/>
        <n v="402.17"/>
        <n v="45.28"/>
        <n v="7.17"/>
        <n v="179.89"/>
        <n v="73.16"/>
        <n v="441.8"/>
        <n v="885.79"/>
        <n v="166.31"/>
        <n v="232.62"/>
        <n v="14.24"/>
        <n v="2.79"/>
        <n v="603.95"/>
        <n v="310.83"/>
        <n v="208.92"/>
        <n v="355.4"/>
        <n v="152.11"/>
        <n v="128.05"/>
        <n v="71.67"/>
        <n v="201.69"/>
        <n v="94.71"/>
        <n v="961.46"/>
        <n v="108.12"/>
        <n v="22.75"/>
        <n v="241.28"/>
        <n v="98.44"/>
        <n v="29.45"/>
        <n v="54.98"/>
        <n v="222.07"/>
        <n v="163.78"/>
        <n v="192.66"/>
        <n v="92.28"/>
        <n v="1193.01"/>
        <n v="282.48"/>
        <n v="845.4"/>
        <n v="569.33"/>
        <n v="48.52"/>
        <n v="102.37"/>
        <n v="-24.43"/>
        <n v="439.39"/>
        <n v="22.35"/>
        <n v="1259.72"/>
        <n v="318.36"/>
        <n v="683.98"/>
        <n v="31.9"/>
        <n v="404.84"/>
        <n v="113.38"/>
        <n v="88.64"/>
        <n v="152.16"/>
        <n v="248.61"/>
        <n v="366.91"/>
        <n v="124.14"/>
        <n v="106.4"/>
        <n v="606.18"/>
        <n v="227.86"/>
        <n v="145.48"/>
        <n v="734.68"/>
        <n v="63.16"/>
        <n v="1550.23"/>
        <n v="111.08"/>
        <n v="22.91"/>
        <n v="-52.7"/>
        <n v="126"/>
        <n v="754.85"/>
        <n v="33.1"/>
        <n v="-5.46"/>
        <n v="659.47"/>
        <n v="46.73"/>
        <n v="78.88"/>
        <n v="251.47"/>
        <n v="1511.49"/>
        <n v="149.31"/>
        <n v="16.25"/>
        <n v="24.82"/>
        <n v="1145.68"/>
        <n v="714.16"/>
        <n v="201.34"/>
        <n v="30.7"/>
        <n v="343.13"/>
        <n v="-38.8"/>
        <n v="-54.4"/>
        <n v="370.05"/>
        <n v="475.35"/>
        <n v="1180.75"/>
        <n v="487.32"/>
        <n v="2669.84"/>
        <n v="353.4"/>
        <n v="132.65"/>
        <n v="318.15"/>
        <n v="481.5"/>
        <n v="386.22"/>
        <n v="157.68"/>
        <n v="155.32"/>
        <n v="95.8"/>
        <n v="797.71"/>
        <n v="17.94"/>
        <n v="1807.68"/>
        <n v="43.4"/>
        <n v="187.11"/>
        <n v="106.12"/>
        <n v="480.91"/>
        <n v="37.71"/>
        <n v="73.1"/>
        <n v="576.79"/>
        <n v="602.28"/>
        <n v="763.25"/>
        <n v="9.6"/>
        <n v="157.41"/>
        <n v="227.12"/>
        <n v="341.28"/>
        <n v="-12.38"/>
        <n v="-18.68"/>
        <n v="78.04"/>
        <n v="235.3"/>
        <n v="189.98"/>
        <n v="339.46"/>
        <n v="293.79"/>
        <n v="49.71"/>
        <n v="510.24"/>
        <n v="314.35"/>
        <n v="522.49"/>
        <n v="198.86"/>
        <n v="394.17"/>
        <n v="69.1"/>
        <n v="189.24"/>
        <n v="33.18"/>
        <n v="-0.21"/>
        <n v="196.37"/>
        <n v="95.79"/>
        <n v="1656.71"/>
        <n v="98.68"/>
        <n v="218.88"/>
        <n v="342.35"/>
        <n v="36.14"/>
        <n v="9.47"/>
        <n v="237.67"/>
        <n v="42.5"/>
        <n v="27.44"/>
        <n v="426.63"/>
        <n v="495.38"/>
        <n v="206.05"/>
        <n v="80.79"/>
        <n v="24.13"/>
        <n v="64.87"/>
        <n v="26.29"/>
        <n v="43.24"/>
        <n v="347.22"/>
        <n v="184.64"/>
        <n v="27.49"/>
        <n v="1456.12"/>
        <n v="70.07"/>
        <n v="461.82"/>
        <n v="530.05"/>
        <n v="72.08"/>
        <n v="200.08"/>
        <n v="641.84"/>
        <n v="159.3"/>
        <n v="55.17"/>
        <n v="234.62"/>
        <n v="153.4"/>
        <n v="249.69"/>
        <n v="229.2"/>
        <n v="22.77"/>
        <n v="378.93"/>
        <n v="-24.96"/>
        <n v="47.2"/>
        <n v="582.48"/>
        <n v="478.09"/>
        <n v="279.96"/>
        <n v="66.72"/>
        <n v="219.35"/>
        <n v="436.66"/>
        <n v="245.64"/>
        <n v="186.08"/>
        <n v="380.85"/>
        <n v="361.68"/>
        <n v="165.56"/>
        <n v="350.73"/>
        <n v="83.64"/>
        <n v="-26.78"/>
        <n v="261.14"/>
        <n v="526.95"/>
        <n v="753.58"/>
        <n v="90.51"/>
        <n v="225.63"/>
        <n v="189.05"/>
        <n v="69.3"/>
        <n v="74.54"/>
        <n v="596.76"/>
        <n v="214.36"/>
        <n v="-1.12"/>
        <n v="143.75"/>
        <n v="51.14"/>
        <n v="147.09"/>
        <n v="408.52"/>
        <n v="1170.06"/>
        <n v="48.54"/>
        <n v="405.71"/>
        <n v="627.02"/>
        <n v="178.68"/>
        <n v="237.02"/>
        <n v="608.2"/>
        <n v="-17.37"/>
        <n v="106.69"/>
        <n v="193.12"/>
        <n v="238.82"/>
        <n v="152.95"/>
        <n v="438.36"/>
        <n v="175.95"/>
        <n v="139.22"/>
        <n v="159.95"/>
        <n v="76.51"/>
        <n v="188.45"/>
        <n v="19.35"/>
        <n v="269.5"/>
        <n v="411.5"/>
        <n v="85.94"/>
        <n v="182.03"/>
        <n v="367.46"/>
        <n v="422.6"/>
        <n v="290.76"/>
        <n v="518.72"/>
        <n v="30.96"/>
        <n v="961.59"/>
        <n v="104.54"/>
        <n v="234.4"/>
        <n v="400.4"/>
        <n v="574.67"/>
        <n v="169.57"/>
        <n v="181.37"/>
        <n v="201.43"/>
        <n v="-5.31"/>
        <n v="927.96"/>
        <n v="19.96"/>
        <n v="32.7"/>
        <n v="196.7"/>
        <n v="1246.96"/>
        <n v="301.8"/>
        <n v="256.41"/>
        <n v="410.43"/>
        <n v="-29.42"/>
        <n v="276.95"/>
        <n v="15.54"/>
        <n v="323.42"/>
        <n v="55.04"/>
        <n v="509.25"/>
        <n v="531.35"/>
        <n v="841.16"/>
        <n v="179.88"/>
        <n v="1184.72"/>
        <n v="-61.09"/>
        <n v="365.4"/>
        <n v="958.79"/>
        <n v="36.12"/>
        <n v="51.13"/>
        <n v="61.26"/>
        <n v="63.12"/>
        <n v="898.52"/>
        <n v="744"/>
        <n v="691.48"/>
        <n v="344.1"/>
        <n v="457.48"/>
        <n v="85.25"/>
        <n v="79.52"/>
        <n v="348.31"/>
        <n v="30.22"/>
        <n v="1072.76"/>
        <n v="85.91"/>
        <n v="171.6"/>
        <n v="923.95"/>
        <n v="178.78"/>
        <n v="401"/>
        <n v="98.35"/>
        <n v="869.41"/>
        <n v="-3.02"/>
        <n v="83.02"/>
        <n v="834.09"/>
        <n v="26.75"/>
        <n v="76.72"/>
        <n v="413.51"/>
        <n v="175.57"/>
        <n v="1262.64"/>
        <n v="130.06"/>
        <n v="604.25"/>
        <n v="385.88"/>
        <n v="357.55"/>
        <n v="-10.42"/>
        <n v="80.02"/>
        <n v="15.82"/>
        <n v="720.58"/>
        <n v="57.04"/>
        <n v="190.22"/>
        <n v="267.48"/>
        <n v="537.41"/>
        <n v="936.26"/>
        <n v="398.27"/>
        <n v="431.49"/>
        <n v="229.98"/>
        <n v="744.89"/>
        <n v="498"/>
        <n v="140.06"/>
        <n v="1462.08"/>
        <n v="377.41"/>
        <n v="48"/>
        <n v="711.3"/>
        <n v="-46.26"/>
        <n v="805.71"/>
        <n v="1438.41"/>
        <n v="86.61"/>
        <n v="75.64"/>
        <n v="68.37"/>
        <n v="238.96"/>
        <n v="634.47"/>
        <n v="58.52"/>
        <n v="452.91"/>
        <n v="320.36"/>
        <n v="69.28"/>
        <n v="342.51"/>
        <n v="371.17"/>
        <n v="451.35"/>
        <n v="239.28"/>
        <n v="11.06"/>
        <n v="1818.75"/>
        <n v="160.96"/>
        <n v="84.88"/>
        <n v="580.04"/>
        <n v="89.55"/>
        <n v="36.72"/>
        <n v="9.89"/>
        <n v="36.68"/>
        <n v="16.18"/>
        <n v="374.4"/>
        <n v="2084.79"/>
        <n v="79.51"/>
        <n v="102.24"/>
        <n v="80.99"/>
        <n v="288.74"/>
        <n v="71.61"/>
        <n v="56"/>
        <n v="34.95"/>
        <n v="547.19"/>
        <n v="12.06"/>
        <n v="62.25"/>
        <n v="74.39"/>
        <n v="216.2"/>
        <n v="39.37"/>
        <n v="701.06"/>
        <n v="255.02"/>
        <n v="469.2"/>
        <n v="47.68"/>
        <n v="20.22"/>
        <n v="54.16"/>
        <n v="467.48"/>
        <n v="272.65"/>
        <n v="31.93"/>
        <n v="146.37"/>
        <n v="63.78"/>
        <n v="77.94"/>
        <n v="173.26"/>
        <n v="542.13"/>
        <n v="166.04"/>
        <n v="121.89"/>
        <n v="20.37"/>
        <n v="78.8"/>
        <n v="132.29"/>
        <n v="17.38"/>
        <n v="95.77"/>
        <n v="193.68"/>
        <n v="-2.59"/>
        <n v="1014.67"/>
        <n v="86.85"/>
        <n v="243.18"/>
        <n v="-5.53"/>
        <n v="586.53"/>
        <n v="94.32"/>
        <n v="240.64"/>
        <n v="389.97"/>
        <n v="200.39"/>
        <n v="187.25"/>
        <n v="70.6"/>
        <n v="22.15"/>
        <n v="7.74"/>
        <n v="757.98"/>
        <n v="465.78"/>
        <n v="183.51"/>
        <n v="508.45"/>
        <n v="14.21"/>
        <n v="95.6"/>
        <n v="113.56"/>
        <n v="109.3"/>
        <n v="121.17"/>
        <n v="397.35"/>
        <n v="277.1"/>
        <n v="325"/>
        <n v="318.18"/>
        <n v="489.55"/>
        <n v="298.16"/>
        <n v="164.93"/>
        <n v="1071.74"/>
        <n v="171.61"/>
        <n v="246.1"/>
        <n v="164.88"/>
        <n v="160.33"/>
        <n v="327.81"/>
        <n v="513.27"/>
        <n v="798.58"/>
        <n v="11.15"/>
        <n v="78.28"/>
        <n v="14.22"/>
        <n v="213.01"/>
        <n v="132.73"/>
        <n v="227.52"/>
        <n v="818.54"/>
        <n v="1044.63"/>
        <n v="78.34"/>
        <n v="201.12"/>
        <n v="591.22"/>
        <n v="398.62"/>
        <n v="1237.8"/>
        <n v="215.66"/>
        <n v="260.6"/>
        <n v="690.9"/>
        <n v="129.96"/>
        <n v="88.09"/>
        <n v="333.1"/>
        <n v="233.89"/>
        <n v="273.62"/>
        <n v="453.63"/>
        <n v="261.28"/>
        <n v="188.55"/>
        <n v="454.72"/>
        <n v="348.36"/>
        <n v="305.07"/>
        <n v="210.24"/>
        <n v="-51.84"/>
        <n v="472.25"/>
        <n v="12.91"/>
        <n v="99.33"/>
        <n v="607.1"/>
        <n v="443.98"/>
        <n v="124.74"/>
        <n v="671.69"/>
        <n v="82.42"/>
        <n v="242.09"/>
        <n v="428.81"/>
        <n v="662.5"/>
        <n v="334.16"/>
        <n v="-41.27"/>
        <n v="226.86"/>
        <n v="188.39"/>
        <n v="29.17"/>
        <n v="881.38"/>
        <n v="270.35"/>
        <n v="429.41"/>
        <n v="87.17"/>
        <n v="409.34"/>
        <n v="92.79"/>
        <n v="1617.04"/>
        <n v="1148.56"/>
        <n v="829.2"/>
        <n v="527.57"/>
        <n v="-19.53"/>
        <n v="4.13"/>
        <n v="404.35"/>
        <n v="65.8"/>
        <n v="862.26"/>
        <n v="102.78"/>
        <n v="171.92"/>
        <n v="947.42"/>
        <n v="300.92"/>
        <n v="29.16"/>
        <n v="103.39"/>
        <n v="242.84"/>
        <n v="38.44"/>
        <n v="1132.66"/>
        <n v="41.64"/>
        <n v="67.99"/>
        <n v="215.15"/>
        <n v="82.94"/>
        <n v="848.19"/>
        <n v="107.42"/>
        <n v="636.65"/>
        <n v="95.63"/>
        <n v="41.66"/>
        <n v="-9.28"/>
        <n v="155.43"/>
        <n v="94.4"/>
        <n v="109.6"/>
        <n v="466.98"/>
        <n v="-53.47"/>
        <n v="-10.92"/>
        <n v="444.65"/>
        <n v="54.71"/>
        <n v="468.6"/>
        <n v="420.21"/>
        <n v="544.52"/>
        <n v="1090.25"/>
        <n v="-13.56"/>
        <n v="653.19"/>
        <n v="-3.67"/>
        <n v="574.71"/>
        <n v="9.93"/>
        <n v="293.86"/>
        <n v="286.36"/>
        <n v="166.62"/>
        <n v="280.99"/>
        <n v="192"/>
        <n v="31.27"/>
        <n v="449.41"/>
        <n v="206.21"/>
        <n v="108.56"/>
        <n v="510.04"/>
        <n v="162.17"/>
        <n v="31.08"/>
        <n v="261.19"/>
        <n v="915.11"/>
        <n v="69.64"/>
        <n v="278.32"/>
        <n v="150.11"/>
        <n v="1282.53"/>
        <n v="60.03"/>
        <n v="817.43"/>
        <n v="210.42"/>
        <n v="48.56"/>
        <n v="-104.64"/>
        <n v="127.24"/>
        <n v="225.87"/>
        <n v="67.66"/>
        <n v="1006.4"/>
        <n v="876.54"/>
        <n v="180.94"/>
        <n v="180.89"/>
        <n v="670.5"/>
        <n v="229.28"/>
        <n v="318.04"/>
        <n v="69.4"/>
        <n v="187.05"/>
        <n v="66.73"/>
        <n v="1148.86"/>
        <n v="150.84"/>
        <n v="899.88"/>
        <n v="298.8"/>
        <n v="351.88"/>
        <n v="52.51"/>
        <n v="335.5"/>
        <n v="390.78"/>
        <n v="133.7"/>
        <n v="423.16"/>
        <n v="34.25"/>
        <n v="66.36"/>
        <n v="44.05"/>
        <n v="146.2"/>
        <n v="143.98"/>
        <n v="396.08"/>
        <n v="294.75"/>
        <n v="38.7"/>
        <n v="167"/>
        <n v="330.4"/>
        <n v="101.65"/>
        <n v="260.87"/>
        <n v="126.36"/>
        <n v="467.3"/>
        <n v="335.55"/>
        <n v="162.08"/>
        <n v="140.3"/>
        <n v="166.87"/>
        <n v="35.06"/>
        <n v="128.49"/>
        <n v="35.5"/>
        <n v="685.2"/>
        <n v="20.91"/>
        <n v="628.6"/>
        <n v="360.6"/>
        <n v="341.84"/>
        <n v="348.37"/>
        <n v="998.85"/>
        <n v="2325.2"/>
        <n v="96.66"/>
        <n v="84.29"/>
        <n v="1106"/>
        <n v="102.69"/>
        <n v="164.11"/>
        <n v="737.16"/>
        <n v="302.9"/>
        <n v="141.36"/>
        <n v="389.43"/>
        <n v="480.25"/>
        <n v="190.96"/>
        <n v="662.66"/>
        <n v="11.28"/>
        <n v="899.61"/>
        <n v="906.48"/>
        <n v="119.36"/>
        <n v="53.75"/>
        <n v="393.53"/>
        <n v="440.08"/>
        <n v="114.59"/>
        <n v="106.43"/>
        <n v="182.35"/>
        <n v="56.04"/>
        <n v="1397.47"/>
        <n v="429.83"/>
        <n v="263.11"/>
        <n v="751.21"/>
        <n v="998.88"/>
        <n v="572.06"/>
        <n v="70.68"/>
        <n v="75.71"/>
        <n v="326.57"/>
        <n v="50.85"/>
        <n v="232.32"/>
        <n v="133.66"/>
        <n v="664.34"/>
        <n v="48.26"/>
        <n v="15.04"/>
        <n v="157.65"/>
        <n v="296.78"/>
        <n v="77.93"/>
        <n v="32.99"/>
        <n v="168.54"/>
        <n v="84.95"/>
        <n v="673.92"/>
        <n v="35.46"/>
        <n v="1127.74"/>
        <n v="254.48"/>
        <n v="298.86"/>
        <n v="8.75"/>
        <n v="319"/>
        <n v="229.74"/>
        <n v="393.91"/>
        <n v="84.27"/>
        <n v="74.04"/>
        <n v="807.43"/>
        <n v="20.62"/>
        <n v="532.95"/>
        <n v="1213.89"/>
        <n v="-184.45"/>
        <n v="480.37"/>
        <n v="132.22"/>
        <n v="65.61"/>
        <n v="145.74"/>
        <n v="475.52"/>
        <n v="88.91"/>
        <n v="169.14"/>
        <n v="10.86"/>
        <n v="158.74"/>
        <n v="1009.65"/>
        <n v="723.62"/>
        <n v="17.68"/>
        <n v="551.53"/>
        <n v="44.57"/>
        <n v="157.76"/>
        <n v="33.41"/>
        <n v="399.02"/>
        <n v="91.37"/>
        <n v="-261.85"/>
        <n v="89.13"/>
        <n v="42.8"/>
        <n v="150.94"/>
        <n v="577.95"/>
        <n v="432.96"/>
        <n v="226.34"/>
        <n v="100.61"/>
        <n v="50.58"/>
        <n v="1101.17"/>
        <n v="386.49"/>
        <n v="159.02"/>
        <n v="315.52"/>
        <n v="3.23"/>
        <n v="151.49"/>
        <n v="1014.84"/>
        <n v="196.95"/>
        <n v="144.16"/>
        <n v="340.97"/>
        <n v="501.92"/>
        <n v="486.24"/>
        <n v="1338.25"/>
        <n v="1380.41"/>
        <n v="655.43"/>
        <n v="339.88"/>
        <n v="118.69"/>
        <n v="20.93"/>
        <n v="610.48"/>
        <n v="404.68"/>
        <n v="294.88"/>
        <n v="182.79"/>
        <n v="573.96"/>
        <n v="54.29"/>
        <n v="57.31"/>
        <n v="94.98"/>
        <n v="122.67"/>
        <n v="-26.16"/>
        <n v="126.21"/>
        <n v="91.33"/>
        <n v="222.05"/>
        <n v="468.39"/>
        <n v="355.1"/>
        <n v="436.57"/>
        <n v="7.51"/>
        <n v="300.09"/>
        <n v="63.24"/>
        <n v="490.45"/>
        <n v="28.08"/>
        <n v="179.91"/>
        <n v="290.8"/>
        <n v="410.3"/>
        <n v="268.72"/>
        <n v="149.08"/>
        <n v="380.51"/>
        <n v="289.46"/>
        <n v="413.56"/>
        <n v="152.22"/>
        <n v="41.92"/>
        <n v="119.18"/>
        <n v="141.2"/>
        <n v="23.84"/>
        <n v="392.16"/>
        <n v="966.75"/>
        <n v="879.41"/>
        <n v="57.07"/>
        <n v="274.12"/>
        <n v="2374.84"/>
        <n v="436.62"/>
        <n v="408.6"/>
        <n v="301.63"/>
        <n v="282.85"/>
        <n v="777.42"/>
        <n v="198.47"/>
        <n v="75.54"/>
        <n v="31.3"/>
        <n v="384.41"/>
        <n v="848.22"/>
        <n v="118.17"/>
        <n v="88.58"/>
        <n v="298.24"/>
        <n v="53.08"/>
        <n v="69.97"/>
        <n v="273.47"/>
        <n v="51.55"/>
        <n v="927.9"/>
        <n v="10.85"/>
        <n v="74.34"/>
        <n v="583.2"/>
        <n v="819.52"/>
        <n v="336.85"/>
        <n v="1275.12"/>
        <n v="206.74"/>
        <n v="345.82"/>
        <n v="248.82"/>
        <n v="168.75"/>
        <n v="173.14"/>
        <n v="69.81"/>
        <n v="1384.51"/>
        <n v="54.8"/>
        <n v="759.77"/>
        <n v="248"/>
        <n v="504.62"/>
        <n v="135.04"/>
        <n v="319.9"/>
        <n v="297.17"/>
        <n v="101.97"/>
        <n v="-7.82"/>
        <n v="56.16"/>
        <n v="302.94"/>
        <n v="468.9"/>
        <n v="87.65"/>
        <n v="446.4"/>
        <n v="233.45"/>
        <n v="-19.31"/>
        <n v="62.82"/>
        <n v="133.47"/>
        <n v="116.57"/>
        <n v="59.17"/>
        <n v="1394.19"/>
        <n v="226.68"/>
        <n v="-130.68"/>
        <n v="754.56"/>
        <n v="343.59"/>
        <n v="646.84"/>
        <n v="220.89"/>
        <n v="371.84"/>
        <n v="22.29"/>
        <n v="250.33"/>
        <n v="556.26"/>
        <n v="1895.48"/>
        <n v="48.24"/>
        <n v="380.95"/>
        <n v="663.86"/>
        <n v="1435.73"/>
        <n v="93.72"/>
        <n v="228.44"/>
        <n v="233.28"/>
        <n v="48.79"/>
        <n v="73.55"/>
        <n v="-18.99"/>
        <n v="36.18"/>
        <n v="53.47"/>
        <n v="334.56"/>
        <n v="198.95"/>
        <n v="71.9"/>
        <n v="582.89"/>
        <n v="60.18"/>
        <n v="254.37"/>
        <n v="366.13"/>
        <n v="347.58"/>
        <n v="88.92"/>
        <n v="13.11"/>
        <n v="380.73"/>
        <n v="274.08"/>
        <n v="540.88"/>
        <n v="51.9"/>
        <n v="648.6"/>
        <n v="83.36"/>
        <n v="208.07"/>
        <n v="224.71"/>
        <n v="54.43"/>
        <n v="468.24"/>
        <n v="483.88"/>
        <n v="155.16"/>
        <n v="17.04"/>
        <n v="144.88"/>
        <n v="227.44"/>
        <n v="236.26"/>
        <n v="35.28"/>
        <n v="219.84"/>
        <n v="491.85"/>
        <n v="43.25"/>
        <n v="452.64"/>
        <n v="42.85"/>
        <n v="78.47"/>
        <n v="562.46"/>
        <n v="-22.48"/>
        <n v="-19.23"/>
        <n v="355.36"/>
        <n v="789.74"/>
        <n v="33.11"/>
        <n v="807.3"/>
        <n v="126.3"/>
        <n v="18.08"/>
        <n v="1015.39"/>
        <n v="52.41"/>
        <n v="364.77"/>
        <n v="32.82"/>
        <n v="8.4"/>
        <n v="86.66"/>
        <n v="456.55"/>
        <n v="655.13"/>
        <n v="140.76"/>
        <n v="242.82"/>
        <n v="57.84"/>
        <n v="532.14"/>
        <n v="11.63"/>
        <n v="203.05"/>
        <n v="2.48"/>
        <n v="66.2"/>
        <n v="179.62"/>
        <n v="383.64"/>
        <n v="35"/>
        <n v="549.07"/>
        <n v="601.87"/>
        <n v="321.91"/>
        <n v="258.92"/>
        <n v="167.94"/>
        <n v="303.34"/>
        <n v="384.87"/>
        <n v="91.38"/>
        <n v="153.15"/>
        <n v="176.88"/>
        <n v="698.95"/>
        <n v="22.02"/>
        <n v="167.6"/>
        <n v="187.03"/>
        <n v="194.21"/>
        <n v="48.99"/>
        <n v="17.65"/>
        <n v="952.68"/>
        <n v="235.89"/>
        <n v="32.2"/>
        <n v="37.87"/>
        <n v="46.37"/>
        <n v="160.77"/>
        <n v="238.53"/>
        <n v="827.74"/>
        <n v="180.54"/>
        <n v="465.42"/>
        <n v="66.38"/>
        <n v="152.51"/>
        <n v="191.74"/>
        <n v="98.13"/>
        <n v="2.03"/>
        <n v="68.86"/>
        <n v="307.98"/>
        <n v="382.5"/>
        <n v="12.78"/>
        <n v="164.84"/>
        <n v="75.05"/>
        <n v="-2.55"/>
        <n v="161.71"/>
        <n v="83.16"/>
        <n v="1034.98"/>
        <n v="495.25"/>
        <n v="774.61"/>
        <n v="404.96"/>
        <n v="179.05"/>
        <n v="487.44"/>
        <n v="433.96"/>
        <n v="427.85"/>
        <n v="512.64"/>
        <n v="488.05"/>
        <n v="34.87"/>
        <n v="107.55"/>
        <n v="170.02"/>
        <n v="195.7"/>
        <n v="170.28"/>
        <n v="310.41"/>
        <n v="198.23"/>
        <n v="141.33"/>
        <n v="304.6"/>
        <n v="170.49"/>
        <n v="50.83"/>
        <n v="225.57"/>
        <n v="599.36"/>
        <n v="204.39"/>
        <n v="1038.96"/>
        <n v="32.22"/>
        <n v="15.81"/>
        <n v="157.17"/>
        <n v="49.88"/>
        <n v="71.34"/>
        <n v="26.88"/>
        <n v="57.48"/>
        <n v="421.98"/>
        <n v="251.77"/>
        <n v="136.94"/>
        <n v="304.8"/>
        <n v="341.74"/>
        <n v="215.02"/>
        <n v="43.87"/>
        <n v="107.99"/>
        <n v="144.1"/>
        <n v="240.82"/>
        <n v="69.12"/>
        <n v="434.48"/>
        <n v="1175.53"/>
        <n v="273.57"/>
        <n v="29.62"/>
        <n v="643.45"/>
        <n v="42.36"/>
        <n v="230.87"/>
        <n v="164.13"/>
        <n v="143"/>
        <n v="182.77"/>
        <n v="329.78"/>
        <n v="226.24"/>
        <n v="41.6"/>
        <n v="184.81"/>
        <n v="352.59"/>
        <n v="70.96"/>
        <n v="710.34"/>
        <n v="322.46"/>
        <n v="112.63"/>
        <n v="388.34"/>
        <n v="1812.38"/>
        <n v="16.72"/>
        <n v="229.95"/>
        <n v="126.12"/>
        <n v="71.81"/>
        <n v="1864.62"/>
        <n v="450.4"/>
        <n v="132.68"/>
        <n v="67.84"/>
        <n v="281.35"/>
        <n v="48.81"/>
        <n v="732.61"/>
        <n v="412.01"/>
        <n v="378.53"/>
        <n v="49.52"/>
        <n v="272.76"/>
        <n v="400.5"/>
        <n v="1707.11"/>
        <n v="302.04"/>
        <n v="338.09"/>
        <n v="338.81"/>
        <n v="201.07"/>
        <n v="771"/>
        <n v="183.36"/>
        <n v="343.11"/>
        <n v="615.3"/>
        <n v="3.48"/>
        <n v="0.92"/>
        <n v="395.47"/>
        <n v="162.87"/>
        <n v="541.24"/>
        <n v="16.35"/>
        <n v="142.77"/>
        <n v="748.08"/>
        <n v="160.58"/>
        <n v="571.82"/>
        <n v="11.39"/>
        <n v="9.33"/>
        <n v="1461.44"/>
        <n v="74.63"/>
        <n v="-5.57"/>
        <n v="264.35"/>
        <n v="51.68"/>
        <n v="840.95"/>
        <n v="122.05"/>
        <n v="335.57"/>
        <n v="698.39"/>
        <n v="864.55"/>
        <n v="86.4"/>
        <n v="13.26"/>
        <n v="319.29"/>
        <n v="128.33"/>
        <n v="-8.51"/>
        <n v="250.76"/>
        <n v="1414.42"/>
        <n v="726.63"/>
        <n v="1393.18"/>
        <n v="287.44"/>
        <n v="60.94"/>
        <n v="110.52"/>
        <n v="40.39"/>
        <n v="356.14"/>
        <n v="758.8"/>
        <n v="119.19"/>
        <n v="6.28"/>
        <n v="276.26"/>
        <n v="297.48"/>
        <n v="734.36"/>
        <n v="83.97"/>
        <n v="246.3"/>
        <n v="415.82"/>
        <n v="460.99"/>
        <n v="349.8"/>
        <n v="1155.9"/>
        <n v="188.43"/>
        <n v="84.53"/>
        <n v="532.06"/>
        <n v="774.3"/>
        <n v="115.14"/>
        <n v="32.26"/>
        <n v="206.99"/>
        <n v="40.57"/>
        <n v="340.68"/>
        <n v="520.06"/>
        <n v="636"/>
        <n v="226.41"/>
        <n v="41.35"/>
        <n v="497.13"/>
        <n v="112.21"/>
        <n v="-65.47"/>
        <n v="404.78"/>
        <n v="375.09"/>
        <n v="155.14"/>
        <n v="112.36"/>
        <n v="574.14"/>
        <n v="193.99"/>
        <n v="227.92"/>
        <n v="146.05"/>
        <n v="6.38"/>
        <n v="610.86"/>
        <n v="881.53"/>
        <n v="430.18"/>
        <n v="161.68"/>
        <n v="370.32"/>
        <n v="126.41"/>
        <n v="313.73"/>
        <n v="156.32"/>
        <n v="265.35"/>
        <n v="81.18"/>
        <n v="58.31"/>
        <n v="50.19"/>
        <n v="137.18"/>
        <n v="424.88"/>
        <n v="559.56"/>
        <n v="203.3"/>
        <n v="711.53"/>
        <n v="607.44"/>
        <n v="302.96"/>
        <n v="101.49"/>
        <n v="20.57"/>
        <n v="1720.23"/>
        <n v="-23.54"/>
        <n v="158.15"/>
        <n v="164.66"/>
        <n v="212.1"/>
        <n v="373.79"/>
        <n v="570.14"/>
        <n v="133.44"/>
        <n v="92.98"/>
        <n v="378.13"/>
        <n v="1098.44"/>
        <n v="206.94"/>
        <n v="257.42"/>
        <n v="305.84"/>
        <n v="655.22"/>
        <n v="213.13"/>
        <n v="66.99"/>
        <n v="208.23"/>
        <n v="215.09"/>
        <n v="186.34"/>
        <n v="12.69"/>
        <n v="24.39"/>
        <n v="150.01"/>
        <n v="237.72"/>
        <n v="367.17"/>
        <n v="-396.41"/>
        <n v="73.07"/>
        <n v="460.19"/>
        <n v="669.12"/>
        <n v="166.21"/>
        <n v="839.28"/>
        <n v="-26.28"/>
        <n v="-11.06"/>
        <n v="964.18"/>
        <n v="1032.56"/>
        <n v="43.74"/>
        <n v="246.06"/>
        <n v="18.45"/>
        <n v="30.63"/>
        <n v="500.23"/>
        <n v="3.89"/>
        <n v="748.32"/>
        <n v="283.77"/>
        <n v="93.04"/>
        <n v="282.6"/>
        <n v="49.23"/>
        <n v="444.56"/>
        <n v="485.96"/>
        <n v="1286.43"/>
        <n v="115.48"/>
        <n v="656.87"/>
        <n v="310"/>
        <n v="182.67"/>
        <n v="117.46"/>
        <n v="2.45"/>
        <n v="1440"/>
        <n v="798.67"/>
        <n v="1056.27"/>
        <n v="282.54"/>
        <n v="37"/>
        <n v="1005.89"/>
        <n v="95.67"/>
        <n v="6.41"/>
        <n v="37.29"/>
        <n v="226.74"/>
        <n v="284.04"/>
        <n v="267.7"/>
        <n v="37.24"/>
        <n v="134.33"/>
        <n v="847.49"/>
        <n v="258.68"/>
        <n v="264.26"/>
        <n v="12.47"/>
        <n v="50.67"/>
        <n v="453"/>
        <n v="105.23"/>
        <n v="24.4"/>
        <n v="55.79"/>
        <n v="58.38"/>
        <n v="655.61"/>
        <n v="42.13"/>
        <n v="322.64"/>
        <n v="26.37"/>
        <n v="623.38"/>
        <n v="112.09"/>
        <n v="283.57"/>
        <n v="474.12"/>
        <n v="447.9"/>
        <n v="375.11"/>
        <n v="77.73"/>
        <n v="847.88"/>
        <n v="393.4"/>
        <n v="29.23"/>
        <n v="43.46"/>
        <n v="91.17"/>
        <n v="62.21"/>
        <n v="617.05"/>
        <n v="475.55"/>
        <n v="963.97"/>
        <n v="189.23"/>
        <n v="343.78"/>
        <n v="570.52"/>
        <n v="288.49"/>
        <n v="451.94"/>
        <n v="693.92"/>
        <n v="780.13"/>
        <n v="808.88"/>
        <n v="557.24"/>
        <n v="11.92"/>
        <n v="186.84"/>
        <n v="21.09"/>
        <n v="116.26"/>
        <n v="177.54"/>
        <n v="197.87"/>
        <n v="223.9"/>
        <n v="1242.31"/>
        <n v="91.1"/>
        <n v="323.41"/>
        <n v="436.77"/>
        <n v="193.79"/>
        <n v="104.49"/>
        <n v="186.02"/>
        <n v="1071.49"/>
        <n v="65.47"/>
        <n v="679.86"/>
        <n v="16.71"/>
        <n v="1781.46"/>
        <n v="396.58"/>
        <n v="1152.47"/>
        <n v="28.39"/>
        <n v="165.88"/>
        <n v="12.67"/>
        <n v="836.11"/>
        <n v="64.92"/>
        <n v="87.45"/>
        <n v="23.22"/>
        <n v="155.06"/>
        <n v="197.35"/>
        <n v="556.56"/>
        <n v="220.86"/>
        <n v="1432.74"/>
        <n v="406.13"/>
        <n v="195.21"/>
        <n v="424.04"/>
        <n v="77.05"/>
        <n v="461.3"/>
        <n v="270.75"/>
        <n v="107.43"/>
        <n v="50.54"/>
        <n v="121"/>
        <n v="459.4"/>
        <n v="143.99"/>
        <n v="785.54"/>
        <n v="208.28"/>
        <n v="70.01"/>
        <n v="2.19"/>
        <n v="266.85"/>
        <n v="385.39"/>
        <n v="83.37"/>
        <n v="1311.25"/>
        <n v="-75.75"/>
        <n v="830.2"/>
        <n v="132.47"/>
        <n v="142.93"/>
        <n v="-46.98"/>
        <n v="183.25"/>
        <n v="115.2"/>
        <n v="225.16"/>
        <n v="879.63"/>
        <n v="273.28"/>
        <n v="47.03"/>
        <n v="127.08"/>
        <n v="-96.13"/>
        <n v="-32.08"/>
        <n v="436.64"/>
        <n v="462.43"/>
        <n v="552.14"/>
        <n v="243.63"/>
        <n v="187.39"/>
        <n v="329.55"/>
        <n v="304.49"/>
        <n v="139.32"/>
        <n v="304.68"/>
        <n v="72.01"/>
        <n v="1237.74"/>
        <n v="54.37"/>
        <n v="435.88"/>
        <n v="305.64"/>
        <n v="555.99"/>
        <n v="14.32"/>
        <n v="156.59"/>
        <n v="366.73"/>
        <n v="560.29"/>
        <n v="-0.86"/>
        <n v="80.14"/>
        <n v="22.82"/>
        <n v="83.03"/>
        <n v="369.46"/>
        <n v="342.97"/>
        <n v="699.1"/>
        <n v="38.79"/>
        <n v="446.13"/>
        <n v="397.84"/>
        <n v="18.6"/>
        <n v="59.26"/>
        <n v="610.62"/>
        <n v="116.38"/>
        <n v="4.38"/>
        <n v="830.4"/>
        <n v="614.16"/>
        <n v="218.84"/>
        <n v="339.64"/>
        <n v="57.05"/>
        <n v="124.44"/>
        <n v="34.76"/>
        <n v="956.09"/>
        <n v="219.3"/>
        <n v="234.53"/>
        <n v="519.62"/>
        <n v="24.69"/>
        <n v="186.22"/>
        <n v="282.59"/>
        <n v="856.44"/>
        <n v="125.83"/>
        <n v="212.42"/>
        <n v="72.2"/>
        <n v="128.88"/>
        <n v="114.38"/>
        <n v="35.55"/>
        <n v="816.48"/>
        <n v="10.94"/>
        <n v="96.99"/>
        <n v="225.28"/>
        <n v="238.26"/>
        <n v="248.92"/>
        <n v="212.87"/>
        <n v="402.98"/>
        <n v="243.69"/>
        <n v="66.1"/>
        <n v="752.26"/>
        <n v="468.84"/>
        <n v="107.76"/>
        <n v="7.78"/>
        <n v="-0.4"/>
        <n v="268.46"/>
        <n v="96.9"/>
        <n v="145.79"/>
        <n v="265.56"/>
        <n v="292.4"/>
        <n v="672.07"/>
        <n v="331.28"/>
        <n v="58.53"/>
        <n v="4.74"/>
        <n v="2146.85"/>
        <n v="236.53"/>
        <n v="96"/>
        <n v="131.17"/>
        <n v="426.85"/>
        <n v="426.93"/>
        <n v="77.02"/>
        <n v="402.96"/>
        <n v="113.07"/>
        <n v="293.85"/>
        <n v="78.26"/>
        <n v="533.97"/>
        <n v="127.51"/>
        <n v="68.49"/>
        <n v="51.65"/>
        <n v="752.12"/>
        <n v="133.38"/>
        <n v="427.13"/>
        <n v="191.5"/>
        <n v="286.94"/>
        <n v="44.72"/>
        <n v="360.85"/>
        <n v="702.59"/>
        <n v="378.42"/>
        <n v="195.9"/>
        <n v="74.19"/>
        <n v="556.16"/>
        <n v="-34.7"/>
        <n v="645.84"/>
        <n v="73.41"/>
        <n v="26.66"/>
        <n v="275.25"/>
        <n v="17.19"/>
        <n v="1110.06"/>
        <n v="150.82"/>
        <n v="1070.9"/>
        <n v="77.75"/>
        <n v="341.4"/>
        <n v="9.51"/>
        <n v="29.83"/>
        <n v="221.53"/>
        <n v="146.22"/>
        <n v="22.76"/>
        <n v="109.73"/>
        <n v="284.1"/>
        <n v="887.63"/>
        <n v="561.77"/>
        <n v="95.28"/>
        <n v="45.68"/>
        <n v="299.32"/>
        <n v="417.72"/>
        <n v="230.6"/>
        <n v="1046.41"/>
        <n v="176.97"/>
        <n v="-66"/>
        <n v="-382.91"/>
        <n v="27.7"/>
        <n v="326.3"/>
        <n v="611.94"/>
        <n v="199.68"/>
        <n v="395.83"/>
        <n v="304.69"/>
        <n v="635.86"/>
        <n v="582.46"/>
        <n v="455.89"/>
        <n v="59.7"/>
        <n v="640.75"/>
        <n v="326.08"/>
        <n v="1020.52"/>
        <n v="42.21"/>
        <n v="82.45"/>
        <n v="81.84"/>
        <n v="791.55"/>
        <n v="24.07"/>
        <n v="445.76"/>
        <n v="247.32"/>
        <n v="771.08"/>
        <n v="222.5"/>
        <n v="243.17"/>
        <n v="156.15"/>
        <n v="21.92"/>
        <n v="167.22"/>
        <n v="480.08"/>
        <n v="498.29"/>
        <n v="129.2"/>
        <n v="220.72"/>
        <n v="216.12"/>
        <n v="306.86"/>
        <n v="174"/>
        <n v="185.03"/>
        <n v="114.53"/>
        <n v="-25.89"/>
        <n v="44"/>
        <n v="58.36"/>
        <n v="38.68"/>
        <n v="196.68"/>
        <n v="102.4"/>
        <n v="812.44"/>
        <n v="201.9"/>
        <n v="617.08"/>
        <n v="64.39"/>
        <n v="-92.6"/>
        <n v="263.47"/>
        <n v="705.37"/>
        <n v="278.28"/>
        <n v="478.02"/>
        <n v="192.55"/>
        <n v="767.46"/>
        <n v="6.08"/>
        <n v="69.51"/>
        <n v="148.24"/>
        <n v="440.76"/>
        <n v="78.43"/>
        <n v="27.52"/>
        <n v="-145.04"/>
        <n v="32.66"/>
        <n v="366.15"/>
        <n v="16.12"/>
        <n v="66.33"/>
        <n v="51.69"/>
        <n v="1613.93"/>
        <n v="162.8"/>
        <n v="53.26"/>
        <n v="426.89"/>
        <n v="749.94"/>
        <n v="89.48"/>
        <n v="148.44"/>
        <n v="271.78"/>
        <n v="943.37"/>
        <n v="1146.26"/>
        <n v="75"/>
        <n v="266.94"/>
        <n v="20.04"/>
        <n v="1221.76"/>
        <n v="726.94"/>
        <n v="555.58"/>
        <n v="278.38"/>
        <n v="706.92"/>
        <n v="850.92"/>
        <n v="-75.59"/>
        <n v="195.84"/>
        <n v="1999.8"/>
        <n v="1065.71"/>
        <n v="15.58"/>
        <n v="126.45"/>
        <n v="48.19"/>
        <n v="208.25"/>
        <n v="216.42"/>
        <n v="874.38"/>
        <n v="431.32"/>
        <n v="439.4"/>
        <n v="152.15"/>
        <n v="508.96"/>
        <n v="603.52"/>
        <n v="-41.86"/>
        <n v="387.72"/>
        <n v="276.39"/>
        <n v="170.26"/>
        <n v="144.01"/>
        <n v="42.86"/>
        <n v="168.96"/>
        <n v="567.8"/>
        <n v="124.26"/>
        <n v="516.18"/>
        <n v="68.25"/>
        <n v="514.14"/>
        <n v="439.12"/>
        <n v="64.26"/>
        <n v="-28.58"/>
        <n v="74.82"/>
        <n v="128.54"/>
        <n v="78.32"/>
        <n v="77.37"/>
        <n v="44.17"/>
        <n v="408.08"/>
        <n v="636.08"/>
        <n v="412.3"/>
        <n v="556.35"/>
        <n v="8.35"/>
        <n v="235.98"/>
        <n v="13.75"/>
        <n v="-8.82"/>
        <n v="58.66"/>
        <n v="9.68"/>
        <n v="87.79"/>
        <n v="282.39"/>
        <n v="169.94"/>
        <n v="244.5"/>
        <n v="301.01"/>
        <n v="38.76"/>
        <n v="595.39"/>
        <n v="111.48"/>
        <n v="753.28"/>
        <n v="993.35"/>
        <n v="88.7"/>
        <n v="528.23"/>
        <n v="177.78"/>
        <n v="1073.27"/>
        <n v="83.54"/>
        <n v="2.15"/>
        <n v="811.64"/>
        <n v="452.57"/>
        <n v="1051.23"/>
        <n v="12.98"/>
        <n v="570.23"/>
        <n v="104.46"/>
        <n v="949.99"/>
        <n v="-2.23"/>
        <n v="551.73"/>
        <n v="242.32"/>
        <n v="98.21"/>
        <n v="989.1"/>
        <n v="11.81"/>
        <n v="503.14"/>
        <n v="691.55"/>
        <n v="603.88"/>
        <n v="988.37"/>
        <n v="211.08"/>
        <n v="741.6"/>
        <n v="394.3"/>
        <n v="1118.82"/>
        <n v="244.78"/>
        <n v="156.23"/>
        <n v="55.41"/>
        <n v="668.17"/>
        <n v="65.04"/>
        <n v="-22.24"/>
        <n v="155.53"/>
        <n v="285.84"/>
        <n v="161.52"/>
        <n v="92.73"/>
        <n v="291.46"/>
        <n v="771.12"/>
        <n v="333.89"/>
        <n v="656.02"/>
        <n v="302.16"/>
        <n v="163.47"/>
        <n v="422.54"/>
        <n v="247.49"/>
        <n v="40.7"/>
        <n v="94.07"/>
        <n v="606.97"/>
        <n v="64.9"/>
        <n v="527"/>
        <n v="127.47"/>
        <n v="100.02"/>
        <n v="227.7"/>
        <n v="131.41"/>
        <n v="209.87"/>
        <n v="-6.57"/>
        <n v="580.33"/>
        <n v="88.38"/>
        <n v="670.98"/>
        <n v="253.6"/>
        <n v="184.77"/>
        <n v="24.89"/>
        <n v="17.77"/>
        <n v="524.67"/>
        <n v="35.87"/>
        <n v="-23.84"/>
        <n v="239.64"/>
        <n v="612.82"/>
        <n v="148.22"/>
        <n v="1144.61"/>
        <n v="100.33"/>
        <n v="41.84"/>
        <n v="88.14"/>
        <n v="63.73"/>
        <n v="760.12"/>
        <n v="51.18"/>
        <n v="203.82"/>
        <n v="136.11"/>
        <n v="351.64"/>
        <n v="800.88"/>
        <n v="471.96"/>
        <n v="266.73"/>
        <n v="192.99"/>
        <n v="812.83"/>
        <n v="88.15"/>
        <n v="179.57"/>
        <n v="1276.96"/>
        <n v="207.01"/>
        <n v="121.53"/>
        <n v="138.42"/>
        <n v="70.14"/>
        <n v="349.92"/>
        <n v="112.12"/>
        <n v="9.06"/>
        <n v="239.02"/>
        <n v="17.93"/>
        <n v="403.73"/>
        <n v="82.47"/>
        <n v="1395.58"/>
        <n v="84.14"/>
        <n v="51.11"/>
        <n v="200.42"/>
        <n v="819.8"/>
        <n v="156.65"/>
      </sharedItems>
    </cacheField>
    <cacheField name="Profit_Margin" numFmtId="10">
      <sharedItems containsString="0" containsBlank="1" containsNumber="1" minValue="-1.50751968503937" maxValue="0.550057338687896" count="2076">
        <n v="0.331981859599992"/>
        <n v="0.263810335476873"/>
        <n v="0.122799078492677"/>
        <n v="0.257564344005022"/>
        <n v="0.28461806766655"/>
        <n v="0.197744782595862"/>
        <n v="0.284724845737313"/>
        <n v="0.221748825356375"/>
        <n v="0.217129083335855"/>
        <n v="0.0368608799048752"/>
        <n v="0.242759860744481"/>
        <n v="0.260986528236061"/>
        <n v="0.196428571428572"/>
        <n v="0.180881216181397"/>
        <n v="0.178584083339239"/>
        <n v="-0.00501927464400913"/>
        <n v="0.401578501342645"/>
        <n v="0.140632429862102"/>
        <n v="0.393266131797298"/>
        <n v="0.0763736652287674"/>
        <n v="0.240573305811553"/>
        <n v="0.0952137843012125"/>
        <n v="0.197300266834092"/>
        <n v="0.181887529891747"/>
        <n v="0.258139051554458"/>
        <n v="0.114759523459332"/>
        <n v="0.345164004919685"/>
        <n v="0.185769478428847"/>
        <n v="0.106480721903199"/>
        <n v="0.281310700109788"/>
        <n v="0.184067337773515"/>
        <n v="0.171380298244325"/>
        <n v="0.350621002081607"/>
        <n v="0.394885510766628"/>
        <n v="0.358526608666764"/>
        <n v="0.223238200794311"/>
        <n v="0.25288046087374"/>
        <n v="0.173575602629657"/>
        <n v="0.195720164609054"/>
        <n v="0.280094297922499"/>
        <n v="0.420289435265219"/>
        <n v="0.0168571428571429"/>
        <n v="0.256623126399003"/>
        <n v="0.152372659991293"/>
        <n v="0.381659229578363"/>
        <n v="0.251257925169086"/>
        <n v="0.334934156730171"/>
        <n v="0.391650378952993"/>
        <n v="0.486690014335227"/>
        <n v="0.214156310587039"/>
        <n v="0.39793162112552"/>
        <n v="0.0800126453443543"/>
        <n v="0.218760494011418"/>
        <n v="0.272132203026076"/>
        <n v="0.281950714127137"/>
        <n v="0.323488622138654"/>
        <n v="0.283839416461747"/>
        <n v="0.216457960644007"/>
        <n v="0.335126310362605"/>
        <n v="0.184520677680732"/>
        <n v="0.29948858268999"/>
        <n v="0.1750938379731"/>
        <n v="0.298809685260336"/>
        <n v="0.172475745598275"/>
        <n v="0.0579020304874375"/>
        <n v="0.0431978651248124"/>
        <n v="0.498494793465923"/>
        <n v="0.229559814000042"/>
        <n v="0.179144385026738"/>
        <n v="0.154474775826523"/>
        <n v="0.28778647665524"/>
        <n v="0.247121531988801"/>
        <n v="0.075108443757799"/>
        <n v="0.0442456232154436"/>
        <n v="0.251962433417438"/>
        <n v="0.152862185669056"/>
        <n v="0.123379499748989"/>
        <n v="0.300048175885779"/>
        <n v="0.398156904776916"/>
        <n v="0.21397050428636"/>
        <n v="0.342359170693302"/>
        <n v="0.255629514233111"/>
        <n v="0.329065618500639"/>
        <n v="0.158996690088961"/>
        <n v="0.206974660938133"/>
        <n v="0.158262972640308"/>
        <n v="0.342486344993812"/>
        <n v="0.253410680301745"/>
        <n v="0.137665838352356"/>
        <n v="0.106434907450136"/>
        <n v="0.120661198359508"/>
        <n v="0.279489544316663"/>
        <n v="0.191601924558955"/>
        <n v="0.182557710602442"/>
        <n v="0.344282961870555"/>
        <n v="0.299137242831998"/>
        <n v="0.353636974433325"/>
        <n v="-0.0331601181352574"/>
        <n v="-0.0129867859889534"/>
        <n v="0.368165940214535"/>
        <n v="0.282568268571988"/>
        <n v="0.132123970250511"/>
        <n v="0.233788090378487"/>
        <n v="0.27939237603898"/>
        <n v="0.206973152677505"/>
        <n v="0.269822715760764"/>
        <n v="0.103637773950541"/>
        <n v="0.241583748223176"/>
        <n v="0.286024099846324"/>
        <n v="0.357230769230769"/>
        <n v="0.220132743362832"/>
        <n v="0.269926091348966"/>
        <n v="0.159043958960865"/>
        <n v="0.227696790444177"/>
        <n v="-0.040985403059659"/>
        <n v="0.292457385677725"/>
        <n v="0.0947855255133157"/>
        <n v="0.35598248340161"/>
        <n v="0.123796589708767"/>
        <n v="0.259508065535105"/>
        <n v="0.122441842785465"/>
        <n v="-0.0100719878757262"/>
        <n v="0.137419470752804"/>
        <n v="0.0297737662642129"/>
        <n v="0.20655572601328"/>
        <n v="0.18033482794301"/>
        <n v="0.321909936265803"/>
        <n v="0.300595238095238"/>
        <n v="0.247378033989241"/>
        <n v="-0.0453695274352396"/>
        <n v="0.194202966469058"/>
        <n v="0.228466745326958"/>
        <n v="0.0397308218046355"/>
        <n v="0.176980485845367"/>
        <n v="0.290940725588394"/>
        <n v="0.24803677456426"/>
        <n v="0.451859693018332"/>
        <n v="-0.116899097621001"/>
        <n v="0.285144566301097"/>
        <n v="0.101119670063738"/>
        <n v="0.492464378674724"/>
        <n v="0.387703097887418"/>
        <n v="0.215266235764851"/>
        <n v="0.204166101234903"/>
        <n v="0.158709391285065"/>
        <n v="0.344390607528886"/>
        <n v="0.042404816563434"/>
        <n v="0.235317618857371"/>
        <n v="0.196428571428571"/>
        <n v="0.0385557886571585"/>
        <n v="0.0203154236835071"/>
        <n v="0.3793018782993"/>
        <n v="0.235776455546814"/>
        <n v="0.401060376167689"/>
        <n v="0.160673630641489"/>
        <n v="0.173479903813123"/>
        <n v="0.317321764582898"/>
        <n v="0.222569054685057"/>
        <n v="0.177480313946675"/>
        <n v="0.275352561831196"/>
        <n v="0.276781872938477"/>
        <n v="0.13739803853112"/>
        <n v="0.289801645162178"/>
        <n v="0.164983868650322"/>
        <n v="0.0872635765890089"/>
        <n v="0.413780918727915"/>
        <n v="0.110947574992991"/>
        <n v="0.351183050456552"/>
        <n v="0.0667872405595018"/>
        <n v="0.198141611295681"/>
        <n v="0.210522418453108"/>
        <n v="0.0804495166435574"/>
        <n v="0.281538097864629"/>
        <n v="0.259276173079119"/>
        <n v="0.130448536888487"/>
        <n v="0.314956989582161"/>
        <n v="0.0624319327305423"/>
        <n v="0.41561910414856"/>
        <n v="0.290197907045563"/>
        <n v="0.0985969763593917"/>
        <n v="0.149069676917088"/>
        <n v="0.143666157059495"/>
        <n v="0.12502817980973"/>
        <n v="0.10362926256966"/>
        <n v="0.0844718557264424"/>
        <n v="-0.00879973506174008"/>
        <m/>
        <n v="0.118703353466333"/>
        <n v="0.291964964204296"/>
        <n v="0.459643531785297"/>
        <n v="0.0593150284868555"/>
        <n v="0.195987110417401"/>
        <n v="0.343279177470951"/>
        <n v="0.106652344908223"/>
        <n v="0.173596336515419"/>
        <n v="0.32661328634483"/>
        <n v="0.370357433927116"/>
        <n v="0.406175317847242"/>
        <n v="0.376005508779618"/>
        <n v="0.287791807315485"/>
        <n v="0.216618802977155"/>
        <n v="0.114358062943332"/>
        <n v="0.43982978062244"/>
        <n v="0.196493911213071"/>
        <n v="0.15816615170373"/>
        <n v="0.318968809675366"/>
        <n v="0.490542961269998"/>
        <n v="0.27778191291403"/>
        <n v="0.252576860036896"/>
        <n v="0.134583651949934"/>
        <n v="0.269155644699742"/>
        <n v="0.327350123009193"/>
        <n v="0.349088750064536"/>
        <n v="0.0482338611449452"/>
        <n v="0.0432244614315497"/>
        <n v="0.0354989953114534"/>
        <n v="0.439956132334125"/>
        <n v="0.267971259229827"/>
        <n v="0.161924469736161"/>
        <n v="0.235527611983543"/>
        <n v="0.101956450960467"/>
        <n v="0.337133454780514"/>
        <n v="0.0646245345969731"/>
        <n v="0.120387096774194"/>
        <n v="0.251672411957848"/>
        <n v="0.275700902664739"/>
        <n v="0.290151368234105"/>
        <n v="0.171197173997329"/>
        <n v="0.100366621752891"/>
        <n v="0.0333850931677019"/>
        <n v="0.107175968848507"/>
        <n v="0.0839047147805188"/>
        <n v="0.308077749989031"/>
        <n v="0.252122395973082"/>
        <n v="0.0318951454126118"/>
        <n v="0.229520109561475"/>
        <n v="0.167691250217825"/>
        <n v="0.202983193277311"/>
        <n v="0.180960578412808"/>
        <n v="0.188231762233564"/>
        <n v="0.185564407540395"/>
        <n v="0.253160148153182"/>
        <n v="0.302918028154893"/>
        <n v="0.346814964610718"/>
        <n v="0.146726532903045"/>
        <n v="0.250303326347636"/>
        <n v="0.163707146545902"/>
        <n v="0.0780226112890098"/>
        <n v="0.201983982813907"/>
        <n v="0.17854277404473"/>
        <n v="0.108828942894993"/>
        <n v="0.160632102939795"/>
        <n v="0.229436157702544"/>
        <n v="0.226596769016797"/>
        <n v="0.0479319675299575"/>
        <n v="0.300465054745313"/>
        <n v="0.378161865131027"/>
        <n v="0.190602467728857"/>
        <n v="0.107912288277914"/>
        <n v="0.141160742371815"/>
        <n v="0.262839964833669"/>
        <n v="0.145843575418994"/>
        <n v="0.321914659459761"/>
        <n v="0.438017006164374"/>
        <n v="0.134645847476805"/>
        <n v="0.341068917018284"/>
        <n v="0.208338172105447"/>
        <n v="0.0860777898945838"/>
        <n v="0.15338352563817"/>
        <n v="0.22267166656421"/>
        <n v="0.359775326359882"/>
        <n v="0.271682528281559"/>
        <n v="0.452479181958541"/>
        <n v="0.396172767915599"/>
        <n v="0.282099343955014"/>
        <n v="0.0876976626250519"/>
        <n v="0.0880981909934568"/>
        <n v="0.214919003396147"/>
        <n v="0.456342365947275"/>
        <n v="0.0860888635785341"/>
        <n v="0.328170640581482"/>
        <n v="0.21304639668043"/>
        <n v="0.284762104380633"/>
        <n v="0.296519528339105"/>
        <n v="0.0578471944110711"/>
        <n v="0.214853095990047"/>
        <n v="0.515042186843813"/>
        <n v="0.48042876597988"/>
        <n v="0.298740177123612"/>
        <n v="0.321917808219178"/>
        <n v="0.155466824786348"/>
        <n v="0.105906057171641"/>
        <n v="0.338831543821429"/>
        <n v="0.1091663248097"/>
        <n v="0.381853342392725"/>
        <n v="0.0920217220976414"/>
        <n v="0.160941475826972"/>
        <n v="0.142630325482932"/>
        <n v="0.103458206340445"/>
        <n v="-0.00465005931198102"/>
        <n v="0.255363269968029"/>
        <n v="0.251750027202495"/>
        <n v="0.0864232341745383"/>
        <n v="0.0730947293447294"/>
        <n v="0.138897228059642"/>
        <n v="0.12444011684518"/>
        <n v="0.27802571458931"/>
        <n v="0.134198836048073"/>
        <n v="0.35175580307797"/>
        <n v="0.415072584303644"/>
        <n v="0.277053546397533"/>
        <n v="0.258518916018245"/>
        <n v="0.285316506219887"/>
        <n v="0.164613792968826"/>
        <n v="0.0290718890645907"/>
        <n v="0.326607469854542"/>
        <n v="0.123953652304168"/>
        <n v="0.235983633749862"/>
        <n v="0.174731182795699"/>
        <n v="0.310258818005752"/>
        <n v="0.181165060168832"/>
        <n v="0.240466558146215"/>
        <n v="0.220392746092364"/>
        <n v="0.356188202074184"/>
        <n v="0.310026485054862"/>
        <n v="0.141434744102413"/>
        <n v="0.212946792408895"/>
        <n v="0.254528564793312"/>
        <n v="0.278354336545589"/>
        <n v="0.13535489164895"/>
        <n v="0.285729691423642"/>
        <n v="0.189016892551034"/>
        <n v="0.263060539597812"/>
        <n v="0.0708524662385414"/>
        <n v="0.0769320615145026"/>
        <n v="0.323295225702513"/>
        <n v="0.0710634891311041"/>
        <n v="0.365068609181772"/>
        <n v="0.347874823616295"/>
        <n v="0.256894656967921"/>
        <n v="0.472404283336232"/>
        <n v="0.421992962798483"/>
        <n v="0.254517483246851"/>
        <n v="0.25457490850183"/>
        <n v="0.40936032388664"/>
        <n v="0.330298077671414"/>
        <n v="0.355959738654424"/>
        <n v="0.270210906156846"/>
        <n v="0.0681428043719172"/>
        <n v="0.228666508200618"/>
        <n v="0.289240811565595"/>
        <n v="0.117827241168062"/>
        <n v="0.256275629479171"/>
        <n v="0.134523461125744"/>
        <n v="0.0288007133303611"/>
        <n v="0.179495472186287"/>
        <n v="0.246171336855481"/>
        <n v="0.375848176420696"/>
        <n v="0.420599379951774"/>
        <n v="0.282712353905627"/>
        <n v="0.353996227023235"/>
        <n v="0.223399724414381"/>
        <n v="0.243434366231089"/>
        <n v="0.178911205073996"/>
        <n v="0.142188336008561"/>
        <n v="-0.0582764861478491"/>
        <n v="0.383091903588387"/>
        <n v="0.142919389978214"/>
        <n v="0.270139039341379"/>
        <n v="0.404487138160016"/>
        <n v="0.31464217164793"/>
        <n v="0.0874167123606334"/>
        <n v="0.226708074534162"/>
        <n v="0.325566903602624"/>
        <n v="0.135683983587176"/>
        <n v="0.20224534950422"/>
        <n v="0.256850791304883"/>
        <n v="0.286746708916061"/>
        <n v="0.340057194671131"/>
        <n v="0.279098297807085"/>
        <n v="0.128558252818396"/>
        <n v="0.337113977609967"/>
        <n v="0.290065136623899"/>
        <n v="0.236144535984682"/>
        <n v="0.0186340070628898"/>
        <n v="0.188816353055859"/>
        <n v="0.272272903726708"/>
        <n v="0.275408330728353"/>
        <n v="0.267277197427611"/>
        <n v="0.205723137398604"/>
        <n v="0.263064434297311"/>
        <n v="0.255359784297938"/>
        <n v="0.150054686385468"/>
        <n v="0.374147007213882"/>
        <n v="0.302217685812378"/>
        <n v="0.409764125068568"/>
        <n v="0.00266666666666667"/>
        <n v="0.423269012485812"/>
        <n v="0.222975395144207"/>
        <n v="0.0874846380290949"/>
        <n v="0.355864574338207"/>
        <n v="0.191001890359168"/>
        <n v="0.28415763546798"/>
        <n v="0.224540778839089"/>
        <n v="0.264255722605987"/>
        <n v="0.398429181279123"/>
        <n v="0.0485202287245496"/>
        <n v="0.262846933373667"/>
        <n v="0.267967796562065"/>
        <n v="0.491827324771778"/>
        <n v="0.397146388046287"/>
        <n v="0.100631988332523"/>
        <n v="0.236831814216527"/>
        <n v="0.17193935676102"/>
        <n v="0.275843142038178"/>
        <n v="0.295891830231232"/>
        <n v="0.0639617099967366"/>
        <n v="0.275032311279397"/>
        <n v="0.217810378273521"/>
        <n v="0.311435417120453"/>
        <n v="0.0481215514080539"/>
        <n v="0.152520740268028"/>
        <n v="0.146865484073662"/>
        <n v="0.21810796731026"/>
        <n v="0.177046224408518"/>
        <n v="0.422353738980334"/>
        <n v="0.263704046789619"/>
        <n v="-0.0782187429818089"/>
        <n v="0.0816629346858392"/>
        <n v="0.232786173084681"/>
        <n v="0.217551933110801"/>
        <n v="0.199310938845823"/>
        <n v="0.0728760346303872"/>
        <n v="0.194206742710393"/>
        <n v="0.228714146870691"/>
        <n v="0.255359784297939"/>
        <n v="0.31354911073723"/>
        <n v="0.407941152782625"/>
        <n v="0.237683314185308"/>
        <n v="0.107504488330341"/>
        <n v="0.317034745495689"/>
        <n v="0.0554221454300524"/>
        <n v="0.167745821412438"/>
        <n v="0.0708603380353285"/>
        <n v="0.280591662931421"/>
        <n v="0.13532264080567"/>
        <n v="0.416215703778608"/>
        <n v="0.0788287172372789"/>
        <n v="0.368986936110095"/>
        <n v="0.280815670164391"/>
        <n v="0.010318157254796"/>
        <n v="0.181161547947619"/>
        <n v="0.121016632266783"/>
        <n v="0.377528378667809"/>
        <n v="0.0528882535945514"/>
        <n v="0.154449152542373"/>
        <n v="0.177478980599994"/>
        <n v="0.448265101129293"/>
        <n v="-0.0593732193732194"/>
        <n v="0.107972462422502"/>
        <n v="0.235763182238668"/>
        <n v="0.177250704429307"/>
        <n v="0.00380942441162657"/>
        <n v="0.464040152020656"/>
        <n v="0.447101445391842"/>
        <n v="0.375105679398136"/>
        <n v="0.156188739457488"/>
        <n v="0.308317580340265"/>
        <n v="0.309326968199436"/>
        <n v="0.103669589927"/>
        <n v="0.233819044391732"/>
        <n v="0.0852053510258537"/>
        <n v="0.49330003007909"/>
        <n v="0.167204376490391"/>
        <n v="0.437536354722375"/>
        <n v="0.0320017217687863"/>
        <n v="0.20951364951994"/>
        <n v="0.137779230995233"/>
        <n v="0.201850085037541"/>
        <n v="0.223476184491643"/>
        <n v="0.0604351329572925"/>
        <n v="0.160043254933766"/>
        <n v="0.346660905670717"/>
        <n v="0.262398075123647"/>
        <n v="0.166596404215747"/>
        <n v="0.153249057440674"/>
        <n v="0.253418903150525"/>
        <n v="0.062566350207771"/>
        <n v="0.354034980055232"/>
        <n v="0.340386617518782"/>
        <n v="0.177862741349646"/>
        <n v="-0.00877587226493199"/>
        <n v="0.340059035895833"/>
        <n v="0.243985328646402"/>
        <n v="0.234527284420917"/>
        <n v="0.246570930585026"/>
        <n v="0.150300805547058"/>
        <n v="0.0575353447019385"/>
        <n v="0.311606158505547"/>
        <n v="0.376221331367159"/>
        <n v="0.213510350671886"/>
        <n v="0.411893310013118"/>
        <n v="0.323343351337719"/>
        <n v="0.31961976726332"/>
        <n v="0.111788276507426"/>
        <n v="0.325691942037875"/>
        <n v="0.29131982913376"/>
        <n v="0.208841196710795"/>
        <n v="0.143242824581203"/>
        <n v="0.198655878118229"/>
        <n v="0.280620694846991"/>
        <n v="0.198262792166772"/>
        <n v="0.211979026290643"/>
        <n v="-0.0709523941246439"/>
        <n v="-0.118739466403791"/>
        <n v="0.0663368717578756"/>
        <n v="0.329103329103329"/>
        <n v="0.164621354746994"/>
        <n v="0.312783410607836"/>
        <n v="0.317262614774335"/>
        <n v="0.278919053092236"/>
        <n v="0.0440934517933531"/>
        <n v="0.321959758668435"/>
        <n v="0.136046077542531"/>
        <n v="0.296980690020028"/>
        <n v="0.103817378763296"/>
        <n v="0.32340890991259"/>
        <n v="0.177917275776077"/>
        <n v="0.483520202626724"/>
        <n v="0.241501103752759"/>
        <n v="0.205878322828172"/>
        <n v="0.285187365116735"/>
        <n v="0.378699079019546"/>
        <n v="0.476195480819758"/>
        <n v="0.285153475156092"/>
        <n v="0.180594135083239"/>
        <n v="0.211232197701858"/>
        <n v="0.116463580414741"/>
        <n v="0.389841783924547"/>
        <n v="0.136103386226076"/>
        <n v="0.126867850043786"/>
        <n v="0.132467251452254"/>
        <n v="0.331549848403781"/>
        <n v="0.290890790135883"/>
        <n v="0.265465243247633"/>
        <n v="0.249721476844647"/>
        <n v="0.358494289449666"/>
        <n v="0.100626296853287"/>
        <n v="0.172382140419422"/>
        <n v="0.129263254532936"/>
        <n v="0.00555437778248887"/>
        <n v="0.26724409900479"/>
        <n v="0.46470966692826"/>
        <n v="0.14109220567997"/>
        <n v="0.0122564227072037"/>
        <n v="0.279957582184518"/>
        <n v="0.419915733589874"/>
        <n v="0.142743785685946"/>
        <n v="0.413314203730273"/>
        <n v="0.133620904602803"/>
        <n v="0.202261692581894"/>
        <n v="0.126075178094187"/>
        <n v="0.296235129461162"/>
        <n v="0.417595729593445"/>
        <n v="0.18098973353328"/>
        <n v="0.131620652264576"/>
        <n v="0.174095745882566"/>
        <n v="0.152273172004435"/>
        <n v="0.0119611967475591"/>
        <n v="0.211773990095134"/>
        <n v="0.139757119773783"/>
        <n v="0.014653050833074"/>
        <n v="0.0125047191963094"/>
        <n v="0.342761464589157"/>
        <n v="0.0920974197394192"/>
        <n v="0.231448890165936"/>
        <n v="-0.0731993693179912"/>
        <n v="0.157369681704818"/>
        <n v="0.229817173377157"/>
        <n v="0.312637916745714"/>
        <n v="-0.0584386781991572"/>
        <n v="0.353284233678808"/>
        <n v="0.347304087660304"/>
        <n v="0.160419469242999"/>
        <n v="0.284763090387807"/>
        <n v="0.277301255230126"/>
        <n v="0.228370564891249"/>
        <n v="0.124389250814332"/>
        <n v="0.177496201292848"/>
        <n v="0.0522256500661084"/>
        <n v="0.212942974264438"/>
        <n v="0.180293765365946"/>
        <n v="0.196567104234046"/>
        <n v="0.261539899084283"/>
        <n v="0.107137035296825"/>
        <n v="0.274784369134735"/>
        <n v="0.351208976452616"/>
        <n v="0.22905349338939"/>
        <n v="0.106434808679684"/>
        <n v="0.0288136196887132"/>
        <n v="0.221768322277949"/>
        <n v="0.317813108371188"/>
        <n v="-0.118721678988791"/>
        <n v="0.360226135092162"/>
        <n v="0.0420800115435951"/>
        <n v="0.260174540843722"/>
        <n v="0.22268122356644"/>
        <n v="0.08730062096676"/>
        <n v="0.383732588152478"/>
        <n v="0.173983353151011"/>
        <n v="0.256968033130148"/>
        <n v="0.483523021916537"/>
        <n v="0.241466424682396"/>
        <n v="0.2092339242829"/>
        <n v="0.00866485743145392"/>
        <n v="0.00267623332150291"/>
        <n v="0.275184420720733"/>
        <n v="0.221910473334761"/>
        <n v="0.146861995276122"/>
        <n v="0.229516877950493"/>
        <n v="0.211937969374817"/>
        <n v="0.196851604175314"/>
        <n v="0.197983425414365"/>
        <n v="0.128851522721029"/>
        <n v="0.305604853021845"/>
        <n v="0.34469456603963"/>
        <n v="0.0999667147453678"/>
        <n v="0.110436893203884"/>
        <n v="0.46031746031746"/>
        <n v="0.26264674493063"/>
        <n v="0.220201858378725"/>
        <n v="0.279730938314837"/>
        <n v="0.146110818695191"/>
        <n v="0.189160530191458"/>
        <n v="0.198400412796698"/>
        <n v="0.386217367657723"/>
        <n v="0.138346483301744"/>
        <n v="0.357892776103228"/>
        <n v="0.297062921008281"/>
        <n v="0.0808235607675906"/>
        <n v="0.115337381840306"/>
        <n v="-0.0422722868217054"/>
        <n v="0.284935184524697"/>
        <n v="0.0592476738329401"/>
        <n v="0.47022725236659"/>
        <n v="0.294417933636666"/>
        <n v="0.180990182847768"/>
        <n v="0.14847568070747"/>
        <n v="0.29139435119339"/>
        <n v="0.139940755369045"/>
        <n v="0.078556489063774"/>
        <n v="0.192148951956965"/>
        <n v="0.240088206618114"/>
        <n v="0.0981912144702843"/>
        <n v="0.283378211601032"/>
        <n v="0.264467606026138"/>
        <n v="0.109129916209708"/>
        <n v="0.19877060268606"/>
        <n v="0.0906325335782344"/>
        <n v="0.432707256959273"/>
        <n v="0.151781810231745"/>
        <n v="0.0765529455007184"/>
        <n v="-0.0584386781991573"/>
        <n v="0.135195850181759"/>
        <n v="-0.0331431346363968"/>
        <n v="0.347873103622898"/>
        <n v="0.0740981526995957"/>
        <n v="0.177970308199089"/>
        <n v="0.247249451856804"/>
        <n v="0.351892292076027"/>
        <n v="0.205525272547076"/>
        <n v="0.0219425577595636"/>
        <n v="0.0186487542451838"/>
        <n v="0.369652893841915"/>
        <n v="0.410316516423347"/>
        <n v="0.186341382150691"/>
        <n v="0.135242290748899"/>
        <n v="0.31021887911472"/>
        <n v="-0.0169986068152146"/>
        <n v="-0.0681260331613485"/>
        <n v="0.332118720887445"/>
        <n v="0.472406904981962"/>
        <n v="0.361029319586242"/>
        <n v="0.298646859832328"/>
        <n v="0.492677669845582"/>
        <n v="0.206389067336331"/>
        <n v="0.140038427431274"/>
        <n v="0.321492955865661"/>
        <n v="0.272423327596423"/>
        <n v="0.096835332551934"/>
        <n v="0.34968722739248"/>
        <n v="0.450451528018659"/>
        <n v="0.194409604013618"/>
        <n v="0.246414602346806"/>
        <n v="0.230195227765727"/>
        <n v="0.347651647136217"/>
        <n v="0.222465686722055"/>
        <n v="0.372822524869271"/>
        <n v="0.316203956487043"/>
        <n v="0.39373226721692"/>
        <n v="0.175953079178886"/>
        <n v="0.225603941513032"/>
        <n v="0.203181558392075"/>
        <n v="-0.0177940035070572"/>
        <n v="-0.0164468471006709"/>
        <n v="0.215279048490393"/>
        <n v="0.394124847001224"/>
        <n v="0.206748279432365"/>
        <n v="0.299306213515083"/>
        <n v="0.113857077416399"/>
        <n v="0.273163837270931"/>
        <n v="0.387287937215864"/>
        <n v="0.33618803726772"/>
        <n v="0.206753862469069"/>
        <n v="0.194666271575672"/>
        <n v="0.123194302491358"/>
        <n v="0.160406091370558"/>
        <n v="-0.00438047559449312"/>
        <n v="0.390351051564426"/>
        <n v="0.259361546584356"/>
        <n v="0.377786291048979"/>
        <n v="0.0565067512626407"/>
        <n v="0.167724137931035"/>
        <n v="0.144168007209453"/>
        <n v="0.158968945192223"/>
        <n v="0.03226905646233"/>
        <n v="0.472401661664447"/>
        <n v="0.179173693086003"/>
        <n v="0.0508751112429546"/>
        <n v="0.168122098659374"/>
        <n v="0.296070954708997"/>
        <n v="0.188269015659955"/>
        <n v="0.131305436143005"/>
        <n v="0.103153274921685"/>
        <n v="0.0825846579129233"/>
        <n v="0.195346735938559"/>
        <n v="0.404510875263581"/>
        <n v="0.109093702178447"/>
        <n v="0.102978085783855"/>
        <n v="0.503323528090121"/>
        <n v="0.287478460654796"/>
        <n v="0.211720694824575"/>
        <n v="0.254992326898191"/>
        <n v="0.191985875489368"/>
        <n v="0.29145400054491"/>
        <n v="0.246575342465754"/>
        <n v="0.299511400651466"/>
        <n v="0.270380528729804"/>
        <n v="0.141599128620747"/>
        <n v="0.268155164636897"/>
        <n v="0.106416787400103"/>
        <n v="0.243813457900629"/>
        <n v="-0.0596216319510797"/>
        <n v="0.20578105244801"/>
        <n v="0.402331878211858"/>
        <n v="0.250625134331801"/>
        <n v="0.231161753777558"/>
        <n v="0.135989683755014"/>
        <n v="0.406225579578015"/>
        <n v="0.380506846768697"/>
        <n v="0.222543605925147"/>
        <n v="0.162555965752887"/>
        <n v="0.191358765631479"/>
        <n v="0.22825019102718"/>
        <n v="-0.12475542718718"/>
        <n v="0.143117073865816"/>
        <n v="0.351264873512649"/>
        <n v="0.372555902171817"/>
        <n v="0.124144458008147"/>
        <n v="0.159039966166209"/>
        <n v="0.163722178920932"/>
        <n v="0.32890365448505"/>
        <n v="0.198186700699264"/>
        <n v="0.366625504543193"/>
        <n v="-0.00370505144066956"/>
        <n v="0.219241386673174"/>
        <n v="0.178692477025752"/>
        <n v="0.136966784926111"/>
        <n v="0.444202811878174"/>
        <n v="0.38081444547147"/>
        <n v="0.0443786170767163"/>
        <n v="0.398110078599535"/>
        <n v="0.265937729295054"/>
        <n v="0.364705161961913"/>
        <n v="0.177481916343432"/>
        <n v="0.163205066280256"/>
        <n v="-0.0276715733129421"/>
        <n v="0.156011464334805"/>
        <n v="0.132615502939076"/>
        <n v="0.224069504517606"/>
        <n v="0.127689238038787"/>
        <n v="0.216034537139253"/>
        <n v="0.0955637145743491"/>
        <n v="0.359017999896849"/>
        <n v="0.24814322316998"/>
        <n v="0.082718450011193"/>
        <n v="0.0897287271041039"/>
        <n v="0.167946257197697"/>
        <n v="0.321188279554785"/>
        <n v="0.261940321253315"/>
        <n v="0.330057478558866"/>
        <n v="0.198822625501845"/>
        <n v="0.180564338329545"/>
        <n v="0.379358764334192"/>
        <n v="0.124858848201323"/>
        <n v="0.35821012281937"/>
        <n v="0.269836353311652"/>
        <n v="0.182128982128982"/>
        <n v="0.284763313609467"/>
        <n v="0.401202203341316"/>
        <n v="0.284718840774384"/>
        <n v="0.206970136139038"/>
        <n v="0.369379446930243"/>
        <n v="-0.0512498793552746"/>
        <n v="0.436867973560816"/>
        <n v="0.0105476759179015"/>
        <n v="0.130216629499841"/>
        <n v="0.279086265607265"/>
        <n v="0.361194790749409"/>
        <n v="0.282346337356161"/>
        <n v="0.314795035173659"/>
        <n v="0.212936061593376"/>
        <n v="-0.0193491528990845"/>
        <n v="0.265265073511805"/>
        <n v="0.359076776923741"/>
        <n v="0.406051475204018"/>
        <n v="0.105014118904068"/>
        <n v="0.384458587185469"/>
        <n v="0.383018446301009"/>
        <n v="0.335100809905305"/>
        <n v="0.330297466030114"/>
        <n v="0.305409474313762"/>
        <n v="-0.0343628887551398"/>
        <n v="0.241570805236018"/>
        <n v="0.299610639601015"/>
        <n v="0.116242396936247"/>
        <n v="0.141591204896015"/>
        <n v="0.177431500897874"/>
        <n v="0.202515400410678"/>
        <n v="0.46926965822679"/>
        <n v="0.0958336854559283"/>
        <n v="0.269331016507385"/>
        <n v="0.378054181132282"/>
        <n v="0.254325775656325"/>
        <n v="0.156695830377552"/>
        <n v="0.214098237720285"/>
        <n v="0.131288556781649"/>
        <n v="0.344199597007072"/>
        <n v="0.0728711628340953"/>
        <n v="0.311162375604088"/>
        <n v="0.223603572053931"/>
        <n v="0.213102905852093"/>
        <n v="0.369504145929934"/>
        <n v="-0.026751705199752"/>
        <n v="0.191004256298171"/>
        <n v="0.411644227732154"/>
        <n v="0.158518518518519"/>
        <n v="0.235785850390313"/>
        <n v="0.228859383561265"/>
        <n v="0.099346442212477"/>
        <n v="0.288205540237021"/>
        <n v="0.119627302912961"/>
        <n v="0.328307525129041"/>
        <n v="0.215286766346798"/>
        <n v="0.452486110935345"/>
        <n v="0.190129968873999"/>
        <n v="0.225548902195609"/>
        <n v="0.316074358052093"/>
        <n v="0.0886595374285004"/>
        <n v="0.285153205012892"/>
        <n v="0.217669192727214"/>
        <n v="0.471988843743544"/>
        <n v="0.335589089214667"/>
        <n v="0.359972523251295"/>
        <n v="0.174063002989193"/>
        <n v="0.259245730983472"/>
        <n v="0.383645280752677"/>
        <n v="0.38375621442003"/>
        <n v="0.268188917012225"/>
        <n v="0.274875377791734"/>
        <n v="0.389962872871591"/>
        <n v="0.29641003086541"/>
        <n v="0.213304892680976"/>
        <n v="0.27071154548776"/>
        <n v="-0.0915061122759821"/>
        <n v="0.36937655585966"/>
        <n v="0.516668402771542"/>
        <n v="0.2512182387748"/>
        <n v="0.191358024691358"/>
        <n v="0.23320940068902"/>
        <n v="0.259524740431817"/>
        <n v="0.322920006718275"/>
        <n v="0.0843580170388203"/>
        <n v="0.366930865441884"/>
        <n v="0.200706877571122"/>
        <n v="0.216542750929368"/>
        <n v="0.270152045591842"/>
        <n v="0.284305454891104"/>
        <n v="0.544039125947862"/>
        <n v="0.136070063909647"/>
        <n v="0.181880517699494"/>
        <n v="0.338895510528407"/>
        <n v="0.175895765472313"/>
        <n v="0.0443259232699892"/>
        <n v="0.205283187821804"/>
        <n v="0.191866185634634"/>
        <n v="0.539662036581641"/>
        <n v="0.296137658758241"/>
        <n v="0.20778798471669"/>
        <n v="0.280961631860126"/>
        <n v="0.290962956991414"/>
        <n v="0.110376398779247"/>
        <n v="0.127725572484262"/>
        <n v="0.237125992265418"/>
        <n v="0.229434989788972"/>
        <n v="0.271255060728745"/>
        <n v="0.221790715074643"/>
        <n v="0.331639249253266"/>
        <n v="0.148476773892262"/>
        <n v="0.0406165210304237"/>
        <n v="0.306871405184414"/>
        <n v="0.431199485982889"/>
        <n v="0.320684564492318"/>
        <n v="0.216210436270317"/>
        <n v="0.263579877986897"/>
        <n v="0.162279109354633"/>
        <n v="0.154942995966846"/>
        <n v="0.275942644715879"/>
        <n v="0.328916394562989"/>
        <n v="0.220525962535847"/>
        <n v="0.15296237891417"/>
        <n v="0.078024437095273"/>
        <n v="0.270111891538713"/>
        <n v="0.173505560141796"/>
        <n v="0.163807728557964"/>
        <n v="0.129820661235445"/>
        <n v="0.231779995691822"/>
        <n v="-0.0389473684210526"/>
        <n v="0.429895732267919"/>
        <n v="0.0825178147268409"/>
        <n v="0.265254477628221"/>
        <n v="-0.0237992769839904"/>
        <n v="0.45043543704978"/>
        <n v="0.25700272479564"/>
        <n v="0.223195073087482"/>
        <n v="0.2210626562438"/>
        <n v="0.189707566907442"/>
        <n v="0.15485316859768"/>
        <n v="0.39618406285073"/>
        <n v="0.0280870381172174"/>
        <n v="0.427440365420403"/>
        <n v="0.273740258824359"/>
        <n v="0.223180297962907"/>
        <n v="0.286136357241341"/>
        <n v="0.0322800481588333"/>
        <n v="0.226798253938129"/>
        <n v="0.118208167503028"/>
        <n v="0.253161734255041"/>
        <n v="0.211725513268183"/>
        <n v="0.148557846139782"/>
        <n v="0.250958307699588"/>
        <n v="0.323881416596648"/>
        <n v="0.117707931885982"/>
        <n v="0.420346242244064"/>
        <n v="0.387197942284696"/>
        <n v="0.417295464179737"/>
        <n v="0.250053080166217"/>
        <n v="0.122959054550474"/>
        <n v="0.304446755948511"/>
        <n v="0.293377612145046"/>
        <n v="0.218290262796788"/>
        <n v="0.0470960929250264"/>
        <n v="0.077882797731569"/>
        <n v="0.0687554395126197"/>
        <n v="0.276009070294785"/>
        <n v="0.18459077950073"/>
        <n v="0.425899926995002"/>
        <n v="0.25813063894066"/>
        <n v="0.40664011864862"/>
        <n v="0.141617556672331"/>
        <n v="0.221920619682876"/>
        <n v="0.302615549982085"/>
        <n v="0.334758181680761"/>
        <n v="0.339585682422367"/>
        <n v="0.288369480918889"/>
        <n v="0.478429471643238"/>
        <n v="0.185914767606541"/>
        <n v="0.357871216737762"/>
        <n v="0.27972791400739"/>
        <n v="0.432664915461171"/>
        <n v="0.0992577974795586"/>
        <n v="0.373118491832404"/>
        <n v="0.357242473132982"/>
        <n v="0.157779319916725"/>
        <n v="0.152511207621182"/>
        <n v="0.285146793535663"/>
        <n v="-0.105203344427307"/>
        <n v="0.216951877799472"/>
        <n v="0.0287790632871888"/>
        <n v="0.0801326266366563"/>
        <n v="0.374436001450583"/>
        <n v="0.399603781330129"/>
        <n v="0.156369696225915"/>
        <n v="0.327846417321631"/>
        <n v="0.297109183700927"/>
        <n v="0.0681453354301965"/>
        <n v="0.24940291378075"/>
        <n v="-0.0644310180631665"/>
        <n v="0.231742821243603"/>
        <n v="0.314544270615932"/>
        <n v="0.247434048689456"/>
        <n v="0.337442667136305"/>
        <n v="0.217359843703519"/>
        <n v="0.141941988265433"/>
        <n v="0.214134813795814"/>
        <n v="0.322279433763207"/>
        <n v="0.183484605801744"/>
        <n v="0.483044569243637"/>
        <n v="0.40956517398033"/>
        <n v="0.30544136498254"/>
        <n v="0.347870523615791"/>
        <n v="-0.0275400126912501"/>
        <n v="0.0128784807758271"/>
        <n v="0.356874928289631"/>
        <n v="0.138578829872373"/>
        <n v="0.332532462273574"/>
        <n v="0.292171243390756"/>
        <n v="0.143789100398113"/>
        <n v="0.410878465114665"/>
        <n v="0.199654989384289"/>
        <n v="0.242313445238491"/>
        <n v="0.244611635554925"/>
        <n v="0.29947023995014"/>
        <n v="0.427512436684255"/>
        <n v="0.10537491088311"/>
        <n v="0.0937640275604792"/>
        <n v="0.260825812132457"/>
        <n v="0.320019770376882"/>
        <n v="0.239632364423227"/>
        <n v="0.310401989225031"/>
        <n v="0.161376331021448"/>
        <n v="0.116199933058128"/>
        <n v="-0.00878064473397864"/>
        <n v="0.197328830601648"/>
        <n v="0.146230820547031"/>
        <n v="0.382714025799472"/>
        <n v="-0.0586107487750606"/>
        <n v="-0.049492385786802"/>
        <n v="0.296524267442016"/>
        <n v="0.260077961589656"/>
        <n v="0.314378488621726"/>
        <n v="0.253227031131359"/>
        <n v="0.255011052414672"/>
        <n v="0.34057115367795"/>
        <n v="-0.0124399104620014"/>
        <n v="0.357238957800092"/>
        <n v="-0.0273309502532023"/>
        <n v="0.393208765796154"/>
        <n v="0.0186524409715048"/>
        <n v="0.205291212284219"/>
        <n v="0.41799497868862"/>
        <n v="0.268097205392667"/>
        <n v="0.229687051392478"/>
        <n v="0.223054426135958"/>
        <n v="0.323407286936623"/>
        <n v="0.230554220100401"/>
        <n v="0.22257303946694"/>
        <n v="0.323950102893727"/>
        <n v="0.340385785949667"/>
        <n v="0.0947763242155338"/>
        <n v="0.0967549546212262"/>
        <n v="0.10857866413422"/>
        <n v="0.313779612605909"/>
        <n v="0.109215231164921"/>
        <n v="0.235976395577562"/>
        <n v="0.224054808424258"/>
        <n v="0.377956166951048"/>
        <n v="0.209287731408849"/>
        <n v="0.41683707031509"/>
        <n v="0.0651479782124554"/>
        <n v="-0.0582705929522876"/>
        <n v="0.313547204908589"/>
        <n v="0.261175017370493"/>
        <n v="0.379522956538135"/>
        <n v="0.409402994834238"/>
        <n v="0.221704875448764"/>
        <n v="0.19677998368235"/>
        <n v="0.272799397847713"/>
        <n v="0.34567603425401"/>
        <n v="0.13878995637076"/>
        <n v="0.291741354435361"/>
        <n v="0.323068313794083"/>
        <n v="0.32306565569533"/>
        <n v="0.306376902448368"/>
        <n v="0.152397260273973"/>
        <n v="0.184724317538624"/>
        <n v="0.135074505628969"/>
        <n v="0.258287613012905"/>
        <n v="0.132116943289249"/>
        <n v="0.318456531845653"/>
        <n v="0.262520769048184"/>
        <n v="0.159676659296045"/>
        <n v="0.115005511446235"/>
        <n v="0.124447013874925"/>
        <n v="0.321797041323216"/>
        <n v="0.142408841286626"/>
        <n v="0.205069639266119"/>
        <n v="0.0762994933383374"/>
        <n v="0.323291032568284"/>
        <n v="0.263505131386038"/>
        <n v="0.301117243235967"/>
        <n v="0.35939509512617"/>
        <n v="0.141388692935604"/>
        <n v="0.212364941395065"/>
        <n v="0.0825990670498987"/>
        <n v="0.292195388183927"/>
        <n v="0.167035242083471"/>
        <n v="0.305241493598482"/>
        <n v="0.0681529285225384"/>
        <n v="0.300638965411693"/>
        <n v="0.160540656052997"/>
        <n v="0.263696252526343"/>
        <n v="0.358785544352555"/>
        <n v="0.413902413757381"/>
        <n v="0.433909590349934"/>
        <n v="0.0909895614063495"/>
        <n v="0.288426433004746"/>
        <n v="0.103954081632653"/>
        <n v="0.300067652813077"/>
        <n v="0.243740824505019"/>
        <n v="0.193420262831892"/>
        <n v="0.330633453045007"/>
        <n v="0.280541162588281"/>
        <n v="0.217157933042213"/>
        <n v="0.293483796962678"/>
        <n v="0.231337161607875"/>
        <n v="0.380407296837868"/>
        <n v="0.24937002761975"/>
        <n v="0.11165157524508"/>
        <n v="0.12322611705908"/>
        <n v="0.251789907417479"/>
        <n v="0.179518976601508"/>
        <n v="0.264056595077887"/>
        <n v="0.2862021674241"/>
        <n v="0.291317197859254"/>
        <n v="0.256136020841903"/>
        <n v="0.305069168687771"/>
        <n v="0.32974814155626"/>
        <n v="0.225300131869638"/>
        <n v="0.399990415692706"/>
        <n v="0.250050066087235"/>
        <n v="0.308937732894097"/>
        <n v="0.259254186213745"/>
        <n v="0.187520097386191"/>
        <n v="0.19700139470014"/>
        <n v="0.173902628899934"/>
        <n v="0.221753990111823"/>
        <n v="0.483522082156686"/>
        <n v="0.0548424737456243"/>
        <n v="0.103631881676253"/>
        <n v="0.223403214272272"/>
        <n v="0.134183928233208"/>
        <n v="0.117720525264059"/>
        <n v="0.231937907687227"/>
        <n v="0.154524783992724"/>
        <n v="0.373271889400922"/>
        <n v="0.0934756820877817"/>
        <n v="0.470285530798711"/>
        <n v="0.348736259889379"/>
        <n v="0.0340056740896195"/>
        <n v="0.263340377757232"/>
        <n v="0.337386553881399"/>
        <n v="0.186748273131972"/>
        <n v="0.252858043028175"/>
        <n v="0.396181606747693"/>
        <n v="0.0760044231478069"/>
        <n v="0.236614278103356"/>
        <n v="0.402466074075057"/>
        <n v="-0.125356803044719"/>
        <n v="0.29117392121326"/>
        <n v="0.116495444853654"/>
        <n v="0.0406125619773322"/>
        <n v="0.118212935775352"/>
        <n v="0.324693414907273"/>
        <n v="0.128473376201142"/>
        <n v="0.18200796298289"/>
        <n v="0.00728086994998592"/>
        <n v="0.298534970755835"/>
        <n v="0.416419203167533"/>
        <n v="0.220270673395959"/>
        <n v="0.0441470235717139"/>
        <n v="0.411242757972754"/>
        <n v="0.258301941466242"/>
        <n v="0.198111312035363"/>
        <n v="0.221728165649058"/>
        <n v="0.315605473384482"/>
        <n v="0.145883893217525"/>
        <n v="-0.87493317294841"/>
        <n v="0.258280448578632"/>
        <n v="0.064681880006045"/>
        <n v="0.190744578678664"/>
        <n v="0.24097214404543"/>
        <n v="0.27462323032425"/>
        <n v="0.281668056298767"/>
        <n v="0.0880212069780056"/>
        <n v="0.213120970800152"/>
        <n v="0.285990696997951"/>
        <n v="0.385603112840467"/>
        <n v="0.238813200121102"/>
        <n v="0.258740542110028"/>
        <n v="0.152018106374953"/>
        <n v="0.35379016064257"/>
        <n v="0.165372181871615"/>
        <n v="0.220371627080304"/>
        <n v="0.243758647656861"/>
        <n v="0.493300403634554"/>
        <n v="0.317931296567132"/>
        <n v="0.170820573632703"/>
        <n v="0.299263903074702"/>
        <n v="0.178551012425911"/>
        <n v="0.126557020195912"/>
        <n v="0.28136868109583"/>
        <n v="0.455915819832811"/>
        <n v="0.187692542709474"/>
        <n v="0.194724675352345"/>
        <n v="0.192527145200407"/>
        <n v="0.212062028826999"/>
        <n v="0.174279284758545"/>
        <n v="0.183440004785261"/>
        <n v="-0.0704115414636772"/>
        <n v="0.111792164539359"/>
        <n v="0.054099681313604"/>
        <n v="0.224628737911221"/>
        <n v="0.260377232626787"/>
        <n v="0.186633450012088"/>
        <n v="0.253170649671482"/>
        <n v="0.00961230784983809"/>
        <n v="0.232792124677098"/>
        <n v="0.164597485749981"/>
        <n v="0.158912480680688"/>
        <n v="0.168892096715987"/>
        <n v="0.238572622031269"/>
        <n v="0.180615508835129"/>
        <n v="0.099673590504451"/>
        <n v="0.331688425260791"/>
        <n v="0.120735499428862"/>
        <n v="0.270963997528692"/>
        <n v="0.190273752012882"/>
        <n v="0.0889436841920744"/>
        <n v="0.209233840778637"/>
        <n v="0.10595096278648"/>
        <n v="0.247527314730072"/>
        <n v="0.318645839019863"/>
        <n v="0.359895018985928"/>
        <n v="0.337942165433759"/>
        <n v="0.064685413762227"/>
        <n v="0.286865431103948"/>
        <n v="0.468776401291739"/>
        <n v="0.29736632409129"/>
        <n v="0.309545067372721"/>
        <n v="0.2474693124054"/>
        <n v="0.352092391304348"/>
        <n v="0.297311062841735"/>
        <n v="0.163953639796849"/>
        <n v="0.413139737334222"/>
        <n v="0.349778558527352"/>
        <n v="0.085218545147728"/>
        <n v="0.261660709538298"/>
        <n v="0.222050151885163"/>
        <n v="0.182681718061674"/>
        <n v="0.181886713977488"/>
        <n v="0.263694832557108"/>
        <n v="0.0320037249728387"/>
        <n v="0.133397932816538"/>
        <n v="0.347925689945234"/>
        <n v="0.291320668865886"/>
        <n v="0.379254438802509"/>
        <n v="0.431203332972622"/>
        <n v="0.17748207923767"/>
        <n v="0.379363303275631"/>
        <n v="0.180761608912217"/>
        <n v="0.360836129462518"/>
        <n v="0.207786409500848"/>
        <n v="0.379572589820565"/>
        <n v="0.0541015490023793"/>
        <n v="0.364054107150558"/>
        <n v="0.233227377884778"/>
        <n v="0.402552750189462"/>
        <n v="0.139515662451442"/>
        <n v="0.324758209933883"/>
        <n v="0.301231869073292"/>
        <n v="0.162650602409639"/>
        <n v="0.247530481069652"/>
        <n v="0.385964045831687"/>
        <n v="0.0645420204266474"/>
        <n v="0.265373091739192"/>
        <n v="0.152273172004436"/>
        <n v="-0.0178088887659206"/>
        <n v="0.282387845005844"/>
        <n v="0.19055981496552"/>
        <n v="0.197325433770631"/>
        <n v="0.146801964967995"/>
        <n v="0.397725230429536"/>
        <n v="0.404785714285714"/>
        <n v="-0.0531094294841054"/>
        <n v="0.194827728662315"/>
        <n v="0.267100445439493"/>
        <n v="0.18750636650708"/>
        <n v="0.282849796899484"/>
        <n v="0.0281464270832018"/>
        <n v="0.212095537461767"/>
        <n v="0.337919848371635"/>
        <n v="0.533748585009264"/>
        <n v="0.230022824157378"/>
        <n v="0.255965761215323"/>
        <n v="0.464410595469528"/>
        <n v="0.125421551308816"/>
        <n v="0.336119121888058"/>
        <n v="0.341132428638278"/>
        <n v="0.299482877967344"/>
        <n v="-0.0107387636001719"/>
        <n v="0.0860379422980997"/>
        <n v="0.493298535851727"/>
        <n v="0.132757240090751"/>
        <n v="0.0593165805930008"/>
        <n v="0.313535116643089"/>
        <n v="0.243712793099259"/>
        <n v="0.263768055829194"/>
        <n v="0.156190143038142"/>
        <n v="0.27274011299435"/>
        <n v="0.332996292551399"/>
        <n v="0.0271884526846264"/>
        <n v="0.354591702942256"/>
        <n v="0.103160405485987"/>
        <n v="0.3042071197411"/>
        <n v="0.109817147072772"/>
        <n v="0.288990124862845"/>
        <n v="0.242845168243324"/>
        <n v="0.323412155841165"/>
        <n v="0.256269360859047"/>
        <n v="0.209986373538627"/>
        <n v="0.298453489266754"/>
        <n v="0.23902370598962"/>
        <n v="0.273317235134319"/>
        <n v="0.250174717804274"/>
        <n v="0.0335974401950328"/>
        <n v="0.24210387207612"/>
        <n v="0.292541485755071"/>
        <n v="0.0504173272405111"/>
        <n v="0.249492900608519"/>
        <n v="0.170669534392799"/>
        <n v="0.171921214644086"/>
        <n v="0.365402230898661"/>
        <n v="-0.118784676354029"/>
        <n v="-0.0523037589076865"/>
        <n v="0.150520145030667"/>
        <n v="0.266587901701323"/>
        <n v="0.0401206892373313"/>
        <n v="0.276634604511546"/>
        <n v="0.0556444663301736"/>
        <n v="0.444247563045799"/>
        <n v="0.134291644246291"/>
        <n v="0.248574057037719"/>
        <n v="0.24361204926142"/>
        <n v="0.247138554216868"/>
        <n v="0.0323300746670772"/>
        <n v="0.366303153267394"/>
        <n v="0.323553382233089"/>
        <n v="0.301640506655494"/>
        <n v="0.273985401459854"/>
        <n v="0.293643883326078"/>
        <n v="0.235850595335182"/>
        <n v="0.321947146798316"/>
        <n v="0.119062244062244"/>
        <n v="0.179026441777833"/>
        <n v="0.0168787858163751"/>
        <n v="0.114906616677081"/>
        <n v="0.0849640740372835"/>
        <n v="0.236830895925032"/>
        <n v="0.452196041936042"/>
        <n v="0.321491143730103"/>
        <n v="0.355615209562316"/>
        <n v="0.335035710010773"/>
        <n v="0.357126879289843"/>
        <n v="0.190950360943663"/>
        <n v="0.471979753111926"/>
        <n v="0.178401767073134"/>
        <n v="0.368817641192332"/>
        <n v="0.15964619734648"/>
        <n v="0.367141292442497"/>
        <n v="0.378817953495909"/>
        <n v="0.187408929932741"/>
        <n v="0.187636447202114"/>
        <n v="0.0639956490210297"/>
        <n v="0.26779028322783"/>
        <n v="0.228091549908624"/>
        <n v="0.0535533121559366"/>
        <n v="0.0591515416575552"/>
        <n v="0.285740695094898"/>
        <n v="0.250886562441275"/>
        <n v="0.278755419535833"/>
        <n v="0.231209450665183"/>
        <n v="0.302001819836215"/>
        <n v="0.106651095462206"/>
        <n v="0.194151359889832"/>
        <n v="0.191667643267315"/>
        <n v="0.00249569707401033"/>
        <n v="0.197765363128492"/>
        <n v="0.278891724389355"/>
        <n v="0.224043226461281"/>
        <n v="-0.0163587374903772"/>
        <n v="0.291321928460342"/>
        <n v="0.196982258331952"/>
        <n v="0.267103524526063"/>
        <n v="0.394762055223166"/>
        <n v="0.375463581071058"/>
        <n v="0.234445342260187"/>
        <n v="0.241416141881217"/>
        <n v="0.197602992795123"/>
        <n v="0.231972198088619"/>
        <n v="0.188700687266627"/>
        <n v="0.355901916013104"/>
        <n v="0.229063375727528"/>
        <n v="0.204535953177258"/>
        <n v="0.181504221028396"/>
        <n v="0.260945223443962"/>
        <n v="0.152270265702895"/>
        <n v="0.269932561169058"/>
        <n v="0.201980831427928"/>
        <n v="0.0409826813300223"/>
        <n v="0.249975065660428"/>
        <n v="0.375736603224755"/>
        <n v="0.412796796033184"/>
        <n v="0.104917380051762"/>
        <n v="0.296967406707605"/>
        <n v="0.107160504436376"/>
        <n v="0.0646875340031192"/>
        <n v="0.100178890876565"/>
        <n v="0.187867695123546"/>
        <n v="0.30576266765211"/>
        <n v="0.366610848198034"/>
        <n v="0.204650745733329"/>
        <n v="0.247386533341991"/>
        <n v="0.180467248262605"/>
        <n v="0.147786163003285"/>
        <n v="0.154135338345865"/>
        <n v="0.144741251055503"/>
        <n v="0.329884162813058"/>
        <n v="0.134288741426421"/>
        <n v="0.086638255201805"/>
        <n v="0.192049789376439"/>
        <n v="0.386912774872212"/>
        <n v="0.263037960078458"/>
        <n v="0.353165613449386"/>
        <n v="0.373003681052723"/>
        <n v="0.0766849463401348"/>
        <n v="0.161627578411981"/>
        <n v="0.471993388941973"/>
        <n v="0.210583449870054"/>
        <n v="0.199072566807747"/>
        <n v="0.223595807578608"/>
        <n v="0.189313774700116"/>
        <n v="0.315076939574286"/>
        <n v="0.212888515540622"/>
        <n v="0.26993934971955"/>
        <n v="-0.0112446796272863"/>
        <n v="0.29295636452835"/>
        <n v="0.130253267029027"/>
        <n v="0.198572348976816"/>
        <n v="0.476192728285488"/>
        <n v="0.0281505177203468"/>
        <n v="0.252304147465438"/>
        <n v="0.279001858242633"/>
        <n v="0.328785312027838"/>
        <n v="0.26017236997158"/>
        <n v="0.127220949075184"/>
        <n v="0.275828420410653"/>
        <n v="0.113435125148156"/>
        <n v="0.252028828456921"/>
        <n v="0.365483899583075"/>
        <n v="0.259244039914254"/>
        <n v="0.205716184778996"/>
        <n v="0.415241057542768"/>
        <n v="0.496589259585708"/>
        <n v="0.241126598649231"/>
        <n v="0.153259987579273"/>
        <n v="0.22117267671097"/>
        <n v="0.239560125338067"/>
        <n v="0.304827422607045"/>
        <n v="0.196016805105673"/>
        <n v="0.311244878344883"/>
        <n v="0.00267049335062503"/>
        <n v="0.0139987827145466"/>
        <n v="0.358348662093712"/>
        <n v="0.220064856100527"/>
        <n v="0.353696152237558"/>
        <n v="0.230996990583439"/>
        <n v="0.326276398084422"/>
        <n v="0.223238614246789"/>
        <n v="0.254497387465174"/>
        <n v="0.17352224253504"/>
        <n v="0.325128588463524"/>
        <n v="0.158618490967056"/>
        <n v="-0.00878382640509683"/>
        <n v="0.259098081880287"/>
        <n v="0.173539288112827"/>
        <n v="0.345241663006039"/>
        <n v="0.309905289084123"/>
        <n v="0.186342888239802"/>
        <n v="0.208305495239686"/>
        <n v="0.237922786309883"/>
        <n v="0.191260414027453"/>
        <n v="-0.00986266442603002"/>
        <n v="0.18951457484677"/>
        <n v="0.443644963584239"/>
        <n v="0.358487959623667"/>
        <n v="0.400001148455041"/>
        <n v="0.312543493389005"/>
        <n v="0.329085214386003"/>
        <n v="0.128659255247985"/>
        <n v="0.271895804067672"/>
        <n v="0.294197470553113"/>
        <n v="0.11360841840382"/>
        <n v="0.0222190772714407"/>
        <n v="0.255521846905176"/>
        <n v="0.330595779202738"/>
        <n v="0.352793097484579"/>
        <n v="0.240269242025168"/>
        <n v="0.181088920051215"/>
        <n v="0.371829100089531"/>
        <n v="0.148781421462294"/>
        <n v="0.362544302606405"/>
        <n v="0.194862408091087"/>
        <n v="0.168963949334199"/>
        <n v="0.232602294928593"/>
        <n v="0.276340254910719"/>
        <n v="0.310496240601504"/>
        <n v="0.225318486918064"/>
        <n v="0.0994727267120965"/>
        <n v="0.288298953995292"/>
        <n v="0.202637230907547"/>
        <n v="0.359321237580665"/>
        <n v="0.299389922422234"/>
        <n v="0.0970361157393284"/>
        <n v="0.363715512763296"/>
        <n v="0.119702158073842"/>
        <n v="-0.0732113702949925"/>
        <n v="0.296824814841974"/>
        <n v="0.23360050819274"/>
        <n v="0.351759477598404"/>
        <n v="0.279028401469645"/>
        <n v="0.0944509633034223"/>
        <n v="0.191304347826087"/>
        <n v="0.159511145575081"/>
        <n v="0.0125649913344887"/>
        <n v="0.365119781953809"/>
        <n v="0.393464647411434"/>
        <n v="0.355891258666049"/>
        <n v="0.286098527746319"/>
        <n v="0.1939254294093"/>
        <n v="0.098152792552159"/>
        <n v="0.247528502110537"/>
        <n v="0.223021172173715"/>
        <n v="0.306435137895812"/>
        <n v="0.260814436941586"/>
        <n v="0.332800393555528"/>
        <n v="0.168813873367882"/>
        <n v="0.113267058590396"/>
        <n v="0.267970105010879"/>
        <n v="0.30405581637976"/>
        <n v="0.217563460468302"/>
        <n v="0.345884800668893"/>
        <n v="0.22471610084632"/>
        <n v="0.18118558971197"/>
        <n v="0.460123093218639"/>
        <n v="-0.0193525049737746"/>
        <n v="0.199868565723457"/>
        <n v="0.0731991393566513"/>
        <n v="0.352618453865337"/>
        <n v="0.401100964685431"/>
        <n v="0.310997894461233"/>
        <n v="0.0474174860266819"/>
        <n v="0.350900396785024"/>
        <n v="0.240851804376912"/>
        <n v="0.329412778424023"/>
        <n v="0.193633231082032"/>
        <n v="0.172668573234062"/>
        <n v="0.217683759017352"/>
        <n v="0.111777620481566"/>
        <n v="0.252940003986446"/>
        <n v="0.0539184259975683"/>
        <n v="0.0786150008385041"/>
        <n v="0.148452526665501"/>
        <n v="0.323885889700434"/>
        <n v="-0.71084531793566"/>
        <n v="0.0541038836029766"/>
        <n v="0.365918433879599"/>
        <n v="0.224939437820574"/>
        <n v="0.33710356351017"/>
        <n v="-0.0192725139337049"/>
        <n v="0.382098613764078"/>
        <n v="0.299716700724503"/>
        <n v="0.0415799230001426"/>
        <n v="0.244310735136423"/>
        <n v="0.019286856712767"/>
        <n v="0.324725570767363"/>
        <n v="0.0432510562597287"/>
        <n v="0.335295857192784"/>
        <n v="0.277626133662059"/>
        <n v="0.363735877086673"/>
        <n v="0.0746571072319202"/>
        <n v="0.196667919328573"/>
        <n v="0.27544672730427"/>
        <n v="0.302458455218771"/>
        <n v="0.343245709528689"/>
        <n v="0.237300810306023"/>
        <n v="0.162571780685424"/>
        <n v="0.241540719584275"/>
        <n v="0.252130422650096"/>
        <n v="0.0202161894545755"/>
        <n v="0.315900315900316"/>
        <n v="0.274489115566767"/>
        <n v="0.36221387788694"/>
        <n v="0.24485657335991"/>
        <n v="0.0596475955570602"/>
        <n v="0.322723364390031"/>
        <n v="0.0051046005112564"/>
        <n v="0.124262721183645"/>
        <n v="0.217740773818098"/>
        <n v="0.397570124853032"/>
        <n v="0.10712847362062"/>
        <n v="0.117571376056856"/>
        <n v="0.328708731537793"/>
        <n v="0.213365446477177"/>
        <n v="0.357862520990196"/>
        <n v="0.016263873853899"/>
        <n v="0.11772222480368"/>
        <n v="0.285811629315566"/>
        <n v="0.0882542877510798"/>
        <n v="0.263701932348517"/>
        <n v="0.0400986031224322"/>
        <n v="0.331629317006479"/>
        <n v="0.0418590644448906"/>
        <n v="0.291318779465805"/>
        <n v="0.252835623837244"/>
        <n v="0.355894811154253"/>
        <n v="0.213401310997815"/>
        <n v="0.504042821566027"/>
        <n v="0.191191771709281"/>
        <n v="0.264235861978997"/>
        <n v="0.272238682560463"/>
        <n v="0.21045459884882"/>
        <n v="0.232790934366001"/>
        <n v="0.182696375687491"/>
        <n v="0.317760371772289"/>
        <n v="0.206324557069246"/>
        <n v="0.239264479189606"/>
        <n v="0.0354607722257012"/>
        <n v="0.242203620790345"/>
        <n v="0.234310624385317"/>
        <n v="0.287624310381353"/>
        <n v="0.132259304560545"/>
        <n v="0.264062247962577"/>
        <n v="0.337334295140901"/>
        <n v="0.298399859328293"/>
        <n v="0.352402862206784"/>
        <n v="0.338728936090764"/>
        <n v="0.353284416491964"/>
        <n v="0.264747244393767"/>
        <n v="0.195861374929241"/>
        <n v="0.110180295028228"/>
        <n v="0.164662710805746"/>
        <n v="0.193802197069463"/>
        <n v="0.106884843230747"/>
        <n v="0.210585130159001"/>
        <n v="0.158624451828184"/>
        <n v="0.550057338687896"/>
        <n v="0.106437667951864"/>
        <n v="0.231698929661418"/>
        <n v="0.286615175636037"/>
        <n v="0.160343871784476"/>
        <n v="0.241807831158012"/>
        <n v="0.190903306582377"/>
        <n v="0.401594398989539"/>
        <n v="0.103351382070185"/>
        <n v="0.309001990746212"/>
        <n v="0.527980794878634"/>
        <n v="0.201526515844462"/>
        <n v="0.378054861206789"/>
        <n v="0.0468822247176168"/>
        <n v="0.0890560202431995"/>
        <n v="0.23911607329259"/>
        <n v="0.240997846907714"/>
        <n v="0.240677033163616"/>
        <n v="0.293796657698283"/>
        <n v="0.263868647297135"/>
        <n v="0.23032229229776"/>
        <n v="0.262422470948884"/>
        <n v="0.379881958033058"/>
        <n v="0.269930943724785"/>
        <n v="0.125709980294425"/>
        <n v="0.151882515276956"/>
        <n v="0.19254930606282"/>
        <n v="0.0617531340876323"/>
        <n v="0.254704668883931"/>
        <n v="0.270928552472503"/>
        <n v="0.213293239319784"/>
        <n v="0.308673459363666"/>
        <n v="0.204266169764135"/>
        <n v="0.157506355598551"/>
        <n v="0.0340432146743355"/>
        <n v="0.303056113931382"/>
        <n v="0.281333265200348"/>
        <n v="0.0794658431271625"/>
        <n v="0.402193083352504"/>
        <n v="-0.095254262864041"/>
        <n v="0.321165511265165"/>
        <n v="0.266437378064724"/>
        <n v="0.24785405864706"/>
        <n v="-0.0491535709054385"/>
        <n v="0.128761848549365"/>
        <n v="0.229440936883826"/>
        <n v="0.224050947808349"/>
        <n v="0.39294983761665"/>
        <n v="0.170681589647182"/>
        <n v="0.132117875101834"/>
        <n v="0.140130338416752"/>
        <n v="-0.0522923103703381"/>
        <n v="-0.0662508777002189"/>
        <n v="0.37469536264717"/>
        <n v="0.417978035883762"/>
        <n v="0.262418965418908"/>
        <n v="0.17604977346138"/>
        <n v="0.0630087793330935"/>
        <n v="0.262303302371117"/>
        <n v="0.346763999134485"/>
        <n v="0.189087947882736"/>
        <n v="0.127620735489588"/>
        <n v="0.427762724985485"/>
        <n v="0.0674197708447002"/>
        <n v="0.229274168520827"/>
        <n v="0.322547964287976"/>
        <n v="0.521009427066739"/>
        <n v="0.090119572057898"/>
        <n v="0.307969161782638"/>
        <n v="0.295652244016092"/>
        <n v="0.342846478157909"/>
        <n v="-0.00412430462305774"/>
        <n v="0.0580813022271505"/>
        <n v="0.0516780651297613"/>
        <n v="0.3012371657657"/>
        <n v="0.211722501747831"/>
        <n v="0.34514788314263"/>
        <n v="0.284505036117611"/>
        <n v="0.0538308885774157"/>
        <n v="0.255547663508575"/>
        <n v="0.0329139459574242"/>
        <n v="0.171688492293429"/>
        <n v="0.211206807097645"/>
        <n v="0.234575615262129"/>
        <n v="0.00799357593897142"/>
        <n v="0.395513324283775"/>
        <n v="0.283461950300927"/>
        <n v="0.240901785517712"/>
        <n v="0.221836137527432"/>
        <n v="0.133017790109352"/>
        <n v="0.242233123102079"/>
        <n v="0.33923508978594"/>
        <n v="0.218767781353482"/>
        <n v="0.21049007137591"/>
        <n v="0.0230840431201324"/>
        <n v="0.107138747612363"/>
        <n v="0.314548085485307"/>
        <n v="0.297660257747008"/>
        <n v="0.136160496899787"/>
        <n v="0.307445145602964"/>
        <n v="0.1238846945779"/>
        <n v="0.106649013044411"/>
        <n v="0.144471085463486"/>
        <n v="0.30868575662944"/>
        <n v="0.034013182439995"/>
        <n v="0.109133257569791"/>
        <n v="0.381830508474576"/>
        <n v="0.293257514216085"/>
        <n v="0.247116052814455"/>
        <n v="0.182267414235484"/>
        <n v="0.144812479166242"/>
        <n v="0.264471162680808"/>
        <n v="0.228866327939367"/>
        <n v="0.0615278643966825"/>
        <n v="0.264692014834519"/>
        <n v="0.335927088259318"/>
        <n v="0.205488072309834"/>
        <n v="0.0420972891077323"/>
        <n v="-0.000245582583283194"/>
        <n v="0.186345147363014"/>
        <n v="0.190067082499706"/>
        <n v="0.393314808320069"/>
        <n v="0.0495794805074114"/>
        <n v="0.283881726637162"/>
        <n v="0.240373541635371"/>
        <n v="0.262416628380412"/>
        <n v="0.423324085412144"/>
        <n v="0.13225566558378"/>
        <n v="0.278391933579865"/>
        <n v="0.227262080933471"/>
        <n v="0.26069591118332"/>
        <n v="0.307074997205767"/>
        <n v="0.206343516688344"/>
        <n v="0.275834309133489"/>
        <n v="0.278441071123998"/>
        <n v="0.362217383341134"/>
        <n v="0.164706731116081"/>
        <n v="0.0821301361149981"/>
        <n v="0.247463248358185"/>
        <n v="0.113190254334377"/>
        <n v="0.3093239671217"/>
        <n v="0.136912847644241"/>
        <n v="0.289674527539977"/>
        <n v="0.304124034900508"/>
        <n v="0.177467359815866"/>
        <n v="0.220254771627206"/>
        <n v="0.426134950720243"/>
        <n v="0.282793408810671"/>
        <n v="0.257452198355138"/>
        <n v="0.268297860023542"/>
        <n v="-0.0915205063958856"/>
        <n v="0.30040187541862"/>
        <n v="0.310848577235772"/>
        <n v="0.151526337159942"/>
        <n v="0.059131437696846"/>
        <n v="0.223170850359992"/>
        <n v="0.261962816214569"/>
        <n v="0.461901433065362"/>
        <n v="0.309552153031485"/>
        <n v="0.338821638518537"/>
        <n v="0.293789967315618"/>
        <n v="0.168819889262838"/>
        <n v="0.199009035266686"/>
        <n v="0.141097922848665"/>
        <n v="0.29210732471602"/>
        <n v="0.349344771576806"/>
        <n v="0.346583232596174"/>
        <n v="0.143668728695872"/>
        <n v="0.282365353439181"/>
        <n v="0.262472283813747"/>
        <n v="0.290047675220322"/>
        <n v="0.323410208287757"/>
        <n v="0.295827123695976"/>
        <n v="0.209810766121624"/>
        <n v="0.182766284835015"/>
        <n v="0.336450404736016"/>
        <n v="0.118205490967993"/>
        <n v="0.278557605023785"/>
        <n v="0.184587944468203"/>
        <n v="0.156866311549955"/>
        <n v="-0.106075216972035"/>
        <n v="-1.50751968503937"/>
        <n v="0.170208548506567"/>
        <n v="0.323882311222141"/>
        <n v="0.203456146071079"/>
        <n v="0.29377537312879"/>
        <n v="0.54168299456494"/>
        <n v="0.198456532479259"/>
        <n v="0.314040876495671"/>
        <n v="0.271619330224672"/>
        <n v="0.243984197294385"/>
        <n v="0.416535375221427"/>
        <n v="0.11684105630294"/>
        <n v="0.26792967861437"/>
        <n v="0.179733825273422"/>
        <n v="0.280307805627758"/>
        <n v="0.0606434708120229"/>
        <n v="0.324760669687741"/>
        <n v="0.364287469055313"/>
        <n v="0.212369953230887"/>
        <n v="0.245971616714377"/>
        <n v="0.286224910640638"/>
        <n v="0.0741893995803155"/>
        <n v="0.159809627569598"/>
        <n v="0.276365478493138"/>
        <n v="0.400467744139134"/>
        <n v="0.257273143630897"/>
        <n v="0.0946678561625034"/>
        <n v="0.242297860890623"/>
        <n v="0.281388695301324"/>
        <n v="0.19683257918552"/>
        <n v="0.332124715047298"/>
        <n v="0.114566661331626"/>
        <n v="-0.0494716526856859"/>
        <n v="0.134146341463415"/>
        <n v="0.189265445111075"/>
        <n v="0.076025000982743"/>
        <n v="0.289103496935221"/>
        <n v="0.156527055946194"/>
        <n v="0.325418569254186"/>
        <n v="0.258365858340265"/>
        <n v="0.283397016680138"/>
        <n v="0.244317966230317"/>
        <n v="-0.0894271255842701"/>
        <n v="0.175333404317619"/>
        <n v="0.297075447064076"/>
        <n v="0.389731523885551"/>
        <n v="0.130378482370787"/>
        <n v="0.286990508096036"/>
        <n v="0.282038278355971"/>
        <n v="0.0039832285115304"/>
        <n v="0.168016243262189"/>
        <n v="0.162686567164179"/>
        <n v="0.361480169274678"/>
        <n v="0.215271868910054"/>
        <n v="-0.0775043016383631"/>
        <n v="0.210698516565548"/>
        <n v="0.176338143485825"/>
        <n v="0.387136623897488"/>
        <n v="0.151719895995452"/>
        <n v="0.217689855309409"/>
        <n v="0.224252866921271"/>
        <n v="0.365400169559243"/>
        <n v="0.170363459817604"/>
        <n v="0.159578585250484"/>
        <n v="0.203400739421335"/>
        <n v="0.336527245161866"/>
        <n v="0.355352326626779"/>
        <n v="0.222314441546123"/>
        <n v="0.23735595390525"/>
        <n v="0.120432692307692"/>
        <n v="0.397268647980751"/>
        <n v="0.329878474900847"/>
        <n v="0.391016708190814"/>
        <n v="0.270153816293852"/>
        <n v="0.250974544679945"/>
        <n v="0.287265287933724"/>
        <n v="-0.0664206317824349"/>
        <n v="0.113990361109171"/>
        <n v="0.518367600858503"/>
        <n v="0.508289374529013"/>
        <n v="0.0741128341737228"/>
        <n v="0.139561834335854"/>
        <n v="0.0876867369033972"/>
        <n v="0.241166865467684"/>
        <n v="0.137381611355153"/>
        <n v="0.309692637902089"/>
        <n v="0.137853240434534"/>
        <n v="0.217268590518979"/>
        <n v="0.163890908476067"/>
        <n v="0.197826973867858"/>
        <n v="0.219102280331497"/>
        <n v="0.127613004988968"/>
        <n v="0.0317726248369114"/>
        <n v="0.11665769087369"/>
        <n v="0.178288567493113"/>
        <n v="0.27706180725155"/>
        <n v="0.214487743557511"/>
        <n v="0.203356550088915"/>
        <n v="0.0939171611469995"/>
        <n v="-0.0144141054479065"/>
        <n v="0.136090799956346"/>
        <n v="0.170658523632501"/>
        <n v="0.241400567131057"/>
        <n v="0.0760340811934314"/>
        <n v="0.194985211671743"/>
        <n v="0.249523064129531"/>
        <n v="0.423669206586029"/>
        <n v="0.300858867054385"/>
        <n v="0.303760769625561"/>
        <n v="0.0306759735488611"/>
        <n v="0.195364911567392"/>
        <n v="0.205767201764865"/>
        <n v="0.0355784407586617"/>
        <n v="-0.00744775174160861"/>
        <n v="0.270397344887987"/>
        <n v="0.02877184639163"/>
        <n v="0.0778259443454518"/>
        <n v="0.396175591688997"/>
        <n v="0.430988894764675"/>
        <n v="0.344708725078158"/>
        <n v="0.098465603089117"/>
        <n v="0.421297311831761"/>
        <n v="0.0362781979355141"/>
        <n v="0.213210153295745"/>
        <n v="0.277115223134455"/>
        <n v="0.0692011827394931"/>
        <n v="0.250937041277322"/>
        <n v="0.335696904108047"/>
        <n v="0.132995828955328"/>
        <n v="0.0104035614052066"/>
        <n v="0.325699541330423"/>
        <n v="0.347807041138633"/>
        <n v="0.361109679812855"/>
        <n v="0.350884857733583"/>
        <n v="0.390381715149847"/>
        <n v="-0.0036884500239832"/>
        <n v="0.262202917009234"/>
        <n v="0.239456104984387"/>
        <n v="0.181316348195329"/>
        <n v="0.434398798387309"/>
        <n v="0.159465298406697"/>
        <n v="0.193103924714263"/>
        <n v="0.309245388485187"/>
        <n v="0.471332446339242"/>
        <n v="0.116855724037136"/>
        <n v="0.284192374018011"/>
        <n v="0.33627563856552"/>
        <n v="0.346379611398001"/>
        <n v="0.17360624951384"/>
        <n v="0.0398143291346617"/>
        <n v="0.378592312225194"/>
        <n v="0.0553258816924412"/>
        <n v="-0.0224067058918353"/>
        <n v="0.20178194365762"/>
        <n v="0.376048743925143"/>
        <n v="0.234876497559533"/>
        <n v="0.16328016012616"/>
        <n v="0.276905160057334"/>
        <n v="0.33462302384588"/>
        <n v="0.520766643705174"/>
        <n v="0.234966678629989"/>
        <n v="0.298829317177607"/>
        <n v="0.184181011361974"/>
        <n v="0.429652797855284"/>
        <n v="0.285857321652065"/>
        <n v="0.268926099381717"/>
        <n v="0.0558222466054039"/>
        <n v="0.285822800194458"/>
        <n v="0.179004954582989"/>
        <n v="0.293204553294239"/>
        <n v="0.109268484530676"/>
        <n v="0.312912269129288"/>
        <n v="0.204564205544918"/>
        <n v="0.12550907514278"/>
        <n v="0.252786695299534"/>
        <n v="0.289144801413335"/>
        <n v="0.441544596675485"/>
        <n v="0.165756115940469"/>
        <n v="0.285993335631392"/>
        <n v="0.0935903512929899"/>
        <n v="0.271547240121109"/>
        <n v="0.0877639402020993"/>
        <n v="-0.0662038322688142"/>
        <n v="0.323400809716599"/>
        <n v="0.190989384976906"/>
        <n v="0.296528958687606"/>
        <n v="0.459643965769955"/>
        <n v="0.134595261731641"/>
        <n v="0.067591799809373"/>
        <n v="0.191517100517144"/>
        <n v="0.44458221717922"/>
        <n v="0.165454369120357"/>
        <n v="0.240990351872872"/>
        <n v="0.16763347496767"/>
        <n v="0.183673469387755"/>
        <n v="0.265420730050421"/>
        <n v="0.298693161475116"/>
        <n v="0.174312570404979"/>
        <n v="0.120655700808373"/>
        <n v="0.305147293456919"/>
        <n v="0.248835568101623"/>
        <n v="0.225366627031312"/>
        <n v="0.14665359957532"/>
        <n v="0.399607353203641"/>
        <n v="0.339906303236797"/>
        <n v="0.233827698772182"/>
        <n v="0.173922376781728"/>
        <n v="0.0931939217257236"/>
        <n v="0.237933988821346"/>
        <n v="0.212123505373089"/>
        <n v="0.0125138121546961"/>
        <n v="0.0758620689655172"/>
        <n v="0.44276893719224"/>
        <n v="0.354333127677023"/>
        <n v="0.309862267069308"/>
        <n v="0.156294914528608"/>
        <n v="0.273981216934833"/>
        <n v="0.378590560635448"/>
        <n v="0.241412257855723"/>
      </sharedItems>
    </cacheField>
    <cacheField name="Payment_Mode" numFmtId="0">
      <sharedItems count="6">
        <s v="Wallet"/>
        <s v="Cash"/>
        <s v="Credit Card"/>
        <s v="Net Banking"/>
        <s v="UPI"/>
        <s v="Debit Card"/>
      </sharedItems>
    </cacheField>
    <cacheField name="Return_Status" numFmtId="0">
      <sharedItems count="2">
        <s v="Not Returned"/>
        <s v="Returned"/>
      </sharedItems>
    </cacheField>
    <cacheField name="Returned_Flag" numFmtId="0">
      <sharedItems count="2">
        <s v="Not Returned"/>
        <s v="Returned"/>
      </sharedItems>
    </cacheField>
    <cacheField name="Sales_Channel" numFmtId="0">
      <sharedItems count="3">
        <s v="In-Store"/>
        <s v="Mobile App"/>
        <s v="Online"/>
      </sharedItems>
    </cacheField>
    <cacheField name="Order_Time" numFmtId="0">
      <sharedItems count="753">
        <s v="20:03"/>
        <s v="09:51"/>
        <s v="09:53"/>
        <s v="18:43"/>
        <s v="17:12"/>
        <s v="15:09"/>
        <s v="19:39"/>
        <s v="17:13"/>
        <s v="13:50"/>
        <s v="20:59"/>
        <s v="20:10"/>
        <s v="15:59"/>
        <s v="15:08"/>
        <s v="17:51"/>
        <s v="15:36"/>
        <s v="14:22"/>
        <s v="17:19"/>
        <s v="11:18"/>
        <s v="13:41"/>
        <s v="21:42"/>
        <s v="15:38"/>
        <s v="12:01"/>
        <s v="21:24"/>
        <s v="12:14"/>
        <s v="20:15"/>
        <s v="10:42"/>
        <s v="14:49"/>
        <s v="18:31"/>
        <s v="09:15"/>
        <s v="10:03"/>
        <s v="15:34"/>
        <s v="21:48"/>
        <s v="21:06"/>
        <s v="17:16"/>
        <s v="12:49"/>
        <s v="21:49"/>
        <s v="09:29"/>
        <s v="14:04"/>
        <s v="12:07"/>
        <s v="09:43"/>
        <s v="18:23"/>
        <s v="13:39"/>
        <s v="21:47"/>
        <s v="10:04"/>
        <s v="19:33"/>
        <s v="16:46"/>
        <s v="18:52"/>
        <s v="14:20"/>
        <s v="11:56"/>
        <s v="15:01"/>
        <s v="14:37"/>
        <s v="15:18"/>
        <s v="11:32"/>
        <s v="17:37"/>
        <s v="15:33"/>
        <s v="17:34"/>
        <s v="16:18"/>
        <s v="10:20"/>
        <s v="14:12"/>
        <s v="20:31"/>
        <s v="12:45"/>
        <s v="20:08"/>
        <s v="15:03"/>
        <s v="18:39"/>
        <s v="21:35"/>
        <s v="13:51"/>
        <s v="16:02"/>
        <s v="13:55"/>
        <s v="18:54"/>
        <s v="15:35"/>
        <s v="21:14"/>
        <s v="15:39"/>
        <s v="20:36"/>
        <s v="16:32"/>
        <s v="10:02"/>
        <s v="13:46"/>
        <s v="18:45"/>
        <s v="16:00"/>
        <s v="18:10"/>
        <s v="13:35"/>
        <s v="12:05"/>
        <s v="19:30"/>
        <s v="14:33"/>
        <s v="17:57"/>
        <s v="18:35"/>
        <s v="18:19"/>
        <s v="20:16"/>
        <s v="19:48"/>
        <s v="15:53"/>
        <s v="19:25"/>
        <s v="11:28"/>
        <s v="10:21"/>
        <s v="14:29"/>
        <s v="11:36"/>
        <s v="10:31"/>
        <s v="12:44"/>
        <s v="09:59"/>
        <s v="09:20"/>
        <s v="11:58"/>
        <s v="20:23"/>
        <s v="18:25"/>
        <s v="14:50"/>
        <s v="11:12"/>
        <s v="21:23"/>
        <s v="12:48"/>
        <s v="20:55"/>
        <s v="21:15"/>
        <s v="09:13"/>
        <s v="15:11"/>
        <s v="15:51"/>
        <s v="14:54"/>
        <s v="20:37"/>
        <s v="16:23"/>
        <s v="14:26"/>
        <s v="12:11"/>
        <s v="20:52"/>
        <s v="19:47"/>
        <s v="15:07"/>
        <s v="21:59"/>
        <s v="09:50"/>
        <s v="12:04"/>
        <s v="14:21"/>
        <s v="18:05"/>
        <s v="15:26"/>
        <s v="12:26"/>
        <s v="12:40"/>
        <s v="16:15"/>
        <s v="09:47"/>
        <s v="17:07"/>
        <s v="17:40"/>
        <s v="19:21"/>
        <s v="11:33"/>
        <s v="20:51"/>
        <s v="14:46"/>
        <s v="16:41"/>
        <s v="13:38"/>
        <s v="21:50"/>
        <s v="20:34"/>
        <s v="18:30"/>
        <s v="12:38"/>
        <s v="09:16"/>
        <s v="19:19"/>
        <s v="17:30"/>
        <s v="14:40"/>
        <s v="12:36"/>
        <s v="21:26"/>
        <s v="20:20"/>
        <s v="16:49"/>
        <s v="15:20"/>
        <s v="18:37"/>
        <s v="20:04"/>
        <s v="14:36"/>
        <s v="14:57"/>
        <s v="18:47"/>
        <s v="09:58"/>
        <s v="19:04"/>
        <s v="21:04"/>
        <s v="12:37"/>
        <s v="14:55"/>
        <s v="09:28"/>
        <s v="21:13"/>
        <s v="14:30"/>
        <s v="10:27"/>
        <s v="19:57"/>
        <s v="09:03"/>
        <s v="11:47"/>
        <s v="18:20"/>
        <s v="20:33"/>
        <s v="17:28"/>
        <s v="18:42"/>
        <s v="18:06"/>
        <s v="13:48"/>
        <s v="11:00"/>
        <s v="19:55"/>
        <s v="14:19"/>
        <s v="18:27"/>
        <s v="13:00"/>
        <s v="11:30"/>
        <s v="10:14"/>
        <s v="14:00"/>
        <s v="11:04"/>
        <s v="20:44"/>
        <s v="13:22"/>
        <s v="21:52"/>
        <s v="21:41"/>
        <s v="15:45"/>
        <s v="12:20"/>
        <s v="13:54"/>
        <s v="17:44"/>
        <s v="15:54"/>
        <s v="14:14"/>
        <s v="12:56"/>
        <s v="14:51"/>
        <s v="17:52"/>
        <s v="09:35"/>
        <s v="18:16"/>
        <s v="09:39"/>
        <s v="20:43"/>
        <s v="16:05"/>
        <s v="18:03"/>
        <s v="18:36"/>
        <s v="19:58"/>
        <s v="18:02"/>
        <s v="20:48"/>
        <s v="15:48"/>
        <s v="16:01"/>
        <s v="09:12"/>
        <s v="12:22"/>
        <s v="16:11"/>
        <s v="12:39"/>
        <s v="09:26"/>
        <s v="16:08"/>
        <s v="20:25"/>
        <s v="16:12"/>
        <s v="13:58"/>
        <s v="20:28"/>
        <s v="09:07"/>
        <s v="19:14"/>
        <s v="16:59"/>
        <s v="16:30"/>
        <s v="09:27"/>
        <s v="12:15"/>
        <s v="16:06"/>
        <s v="21:12"/>
        <s v="12:47"/>
        <s v="13:19"/>
        <s v="11:35"/>
        <s v="10:48"/>
        <s v="16:37"/>
        <s v="11:39"/>
        <s v="21:05"/>
        <s v="17:17"/>
        <s v="09:17"/>
        <s v="16:24"/>
        <s v="18:04"/>
        <s v="10:11"/>
        <s v="16:38"/>
        <s v="15:32"/>
        <s v="09:04"/>
        <s v="14:47"/>
        <s v="15:29"/>
        <s v="11:13"/>
        <s v="13:14"/>
        <s v="18:50"/>
        <s v="20:17"/>
        <s v="14:52"/>
        <s v="12:59"/>
        <s v="18:28"/>
        <s v="14:35"/>
        <s v="09:41"/>
        <s v="10:33"/>
        <s v="17:26"/>
        <s v="19:53"/>
        <s v="19:42"/>
        <s v="09:22"/>
        <s v="15:46"/>
        <s v="19:54"/>
        <s v="11:06"/>
        <s v="10:19"/>
        <s v="12:29"/>
        <s v="09:31"/>
        <s v="20:18"/>
        <s v="17:10"/>
        <s v="11:21"/>
        <s v="19:09"/>
        <s v="15:56"/>
        <s v="16:07"/>
        <s v="10:44"/>
        <s v="11:52"/>
        <s v="14:13"/>
        <s v="16:55"/>
        <s v="10:30"/>
        <s v="13:44"/>
        <s v="09:19"/>
        <s v="11:08"/>
        <s v="17:06"/>
        <s v="16:25"/>
        <s v="12:55"/>
        <s v="19:34"/>
        <s v="14:25"/>
        <s v="13:25"/>
        <s v="13:40"/>
        <s v="12:52"/>
        <s v="12:43"/>
        <s v="12:13"/>
        <s v="15:52"/>
        <s v="18:26"/>
        <s v="21:51"/>
        <s v="15:13"/>
        <s v="15:14"/>
        <s v="13:57"/>
        <s v="13:30"/>
        <s v="11:05"/>
        <s v="11:14"/>
        <s v="20:11"/>
        <s v="21:11"/>
        <s v="09:32"/>
        <s v="13:29"/>
        <s v="15:24"/>
        <s v="19:50"/>
        <s v="13:59"/>
        <s v="14:01"/>
        <s v="16:48"/>
        <s v="20:46"/>
        <s v="14:39"/>
        <s v="17:09"/>
        <s v="11:59"/>
        <s v="10:05"/>
        <s v="13:53"/>
        <s v="21:10"/>
        <s v="20:30"/>
        <s v="19:20"/>
        <s v="11:46"/>
        <s v="10:59"/>
        <s v="09:02"/>
        <s v="14:09"/>
        <s v="20:21"/>
        <s v="20:47"/>
        <s v="21:29"/>
        <s v="18:14"/>
        <s v="17:14"/>
        <s v="21:17"/>
        <s v="13:49"/>
        <s v="10:54"/>
        <s v="17:29"/>
        <s v="19:22"/>
        <s v="17:49"/>
        <s v="14:41"/>
        <s v="21:21"/>
        <s v="20:19"/>
        <s v="10:06"/>
        <s v="15:05"/>
        <s v="09:30"/>
        <s v="13:15"/>
        <s v="09:46"/>
        <s v="20:00"/>
        <s v="13:27"/>
        <s v="10:56"/>
        <s v="11:01"/>
        <s v="20:06"/>
        <s v="19:59"/>
        <s v="16:14"/>
        <s v="10:17"/>
        <s v="16:52"/>
        <s v="14:48"/>
        <s v="18:08"/>
        <s v="14:02"/>
        <s v="16:27"/>
        <s v="11:03"/>
        <s v="13:16"/>
        <s v="19:37"/>
        <s v="18:01"/>
        <s v="11:38"/>
        <s v="13:33"/>
        <s v="18:49"/>
        <s v="17:58"/>
        <s v="12:06"/>
        <s v="09:11"/>
        <s v="15:19"/>
        <s v="14:15"/>
        <s v="20:07"/>
        <s v="09:38"/>
        <s v="20:24"/>
        <s v="18:18"/>
        <s v="13:08"/>
        <s v="15:27"/>
        <s v="09:33"/>
        <s v="20:13"/>
        <s v="10:15"/>
        <s v="17:08"/>
        <s v="18:15"/>
        <s v="17:38"/>
        <s v="19:17"/>
        <s v="11:15"/>
        <s v="19:12"/>
        <s v="16:56"/>
        <s v="13:04"/>
        <s v="14:58"/>
        <s v="09:24"/>
        <s v="14:24"/>
        <s v="09:52"/>
        <s v="16:42"/>
        <s v="17:59"/>
        <s v="16:47"/>
        <s v="10:43"/>
        <s v="11:57"/>
        <s v="14:59"/>
        <s v="17:11"/>
        <s v="19:08"/>
        <s v="11:16"/>
        <s v="11:25"/>
        <s v="10:35"/>
        <s v="19:18"/>
        <s v="12:51"/>
        <s v="21:30"/>
        <s v="10:51"/>
        <s v="20:45"/>
        <s v="19:29"/>
        <s v="11:24"/>
        <s v="18:58"/>
        <s v="17:35"/>
        <s v="18:21"/>
        <s v="14:42"/>
        <s v="18:57"/>
        <s v="12:30"/>
        <s v="18:07"/>
        <s v="10:38"/>
        <s v="11:09"/>
        <s v="14:34"/>
        <s v="12:08"/>
        <s v="12:16"/>
        <s v="21:32"/>
        <s v="14:45"/>
        <s v="17:43"/>
        <s v="17:15"/>
        <s v="13:21"/>
        <s v="18:33"/>
        <s v="13:06"/>
        <s v="11:48"/>
        <s v="13:10"/>
        <s v="18:32"/>
        <s v="19:32"/>
        <s v="16:43"/>
        <s v="14:27"/>
        <s v="10:49"/>
        <s v="20:40"/>
        <s v="17:21"/>
        <s v="09:21"/>
        <s v="11:23"/>
        <s v="13:01"/>
        <s v="10:50"/>
        <s v="18:51"/>
        <s v="09:54"/>
        <s v="19:46"/>
        <s v="13:20"/>
        <s v="13:11"/>
        <s v="16:50"/>
        <s v="21:25"/>
        <s v="21:28"/>
        <s v="11:17"/>
        <s v="09:06"/>
        <s v="14:28"/>
        <s v="14:16"/>
        <s v="12:54"/>
        <s v="17:04"/>
        <s v="19:23"/>
        <s v="16:45"/>
        <s v="19:16"/>
        <s v="20:38"/>
        <s v="18:13"/>
        <s v="13:26"/>
        <s v="19:24"/>
        <s v="12:18"/>
        <s v="09:23"/>
        <s v="16:53"/>
        <s v="21:22"/>
        <s v="14:11"/>
        <s v="16:04"/>
        <s v="21:19"/>
        <s v="20:32"/>
        <s v="21:56"/>
        <s v="21:58"/>
        <s v="09:34"/>
        <s v="09:10"/>
        <s v="16:40"/>
        <s v="13:43"/>
        <s v="11:02"/>
        <s v="11:34"/>
        <s v="19:01"/>
        <s v="20:57"/>
        <s v="18:44"/>
        <s v="11:40"/>
        <s v="09:36"/>
        <s v="16:21"/>
        <s v="12:53"/>
        <s v="11:51"/>
        <s v="20:56"/>
        <s v="15:12"/>
        <s v="18:34"/>
        <s v="13:24"/>
        <s v="19:15"/>
        <s v="18:24"/>
        <s v="10:58"/>
        <s v="10:01"/>
        <s v="18:41"/>
        <s v="11:10"/>
        <s v="12:24"/>
        <s v="11:45"/>
        <s v="21:16"/>
        <s v="21:38"/>
        <s v="19:40"/>
        <s v="15:15"/>
        <s v="10:52"/>
        <s v="09:56"/>
        <s v="11:26"/>
        <s v="13:56"/>
        <s v="19:36"/>
        <s v="14:07"/>
        <s v="17:39"/>
        <s v="09:09"/>
        <s v="12:12"/>
        <s v="16:28"/>
        <s v="21:53"/>
        <s v="09:14"/>
        <s v="21:08"/>
        <s v="11:42"/>
        <s v="20:49"/>
        <s v="13:03"/>
        <s v="17:55"/>
        <s v="10:29"/>
        <s v="19:51"/>
        <s v="10:53"/>
        <s v="17:31"/>
        <s v="09:18"/>
        <s v="20:35"/>
        <s v="21:39"/>
        <s v="11:54"/>
        <s v="20:05"/>
        <s v="10:00"/>
        <s v="20:14"/>
        <s v="20:01"/>
        <s v="16:58"/>
        <s v="19:31"/>
        <s v="18:55"/>
        <s v="16:09"/>
        <s v="17:50"/>
        <s v="12:25"/>
        <s v="12:00"/>
        <s v="18:38"/>
        <s v="15:28"/>
        <s v="12:27"/>
        <s v="17:20"/>
        <s v="10:16"/>
        <s v="20:54"/>
        <s v="11:27"/>
        <s v="13:17"/>
        <s v="20:50"/>
        <s v="17:45"/>
        <s v="10:57"/>
        <s v="13:28"/>
        <s v="16:31"/>
        <s v="15:16"/>
        <s v="13:23"/>
        <s v="13:34"/>
        <s v="14:05"/>
        <s v="17:25"/>
        <s v="16:10"/>
        <s v="10:36"/>
        <s v="09:37"/>
        <s v="15:41"/>
        <s v="19:07"/>
        <s v="17:56"/>
        <s v="19:00"/>
        <s v="13:18"/>
        <s v="19:27"/>
        <s v="21:57"/>
        <s v="18:56"/>
        <s v="11:37"/>
        <s v="11:29"/>
        <s v="17:33"/>
        <s v="20:12"/>
        <s v="15:57"/>
        <s v="21:45"/>
        <s v="17:05"/>
        <s v="15:30"/>
        <s v="19:44"/>
        <s v="10:37"/>
        <s v="19:56"/>
        <s v="21:01"/>
        <s v="18:12"/>
        <s v="18:17"/>
        <s v="21:36"/>
        <s v="17:27"/>
        <s v="18:53"/>
        <s v="17:36"/>
        <s v="10:08"/>
        <s v="13:37"/>
        <s v="15:00"/>
        <s v="19:02"/>
        <s v="15:42"/>
        <s v="16:39"/>
        <s v="10:34"/>
        <s v="17:24"/>
        <s v="15:37"/>
        <s v="09:49"/>
        <s v="16:03"/>
        <s v="11:49"/>
        <s v="10:39"/>
        <s v="15:40"/>
        <s v="10:09"/>
        <s v="20:41"/>
        <s v="11:55"/>
        <s v="21:00"/>
        <s v="12:03"/>
        <s v="16:51"/>
        <s v="14:10"/>
        <s v="21:43"/>
        <s v="10:28"/>
        <s v="18:59"/>
        <s v="11:20"/>
        <s v="21:18"/>
        <s v="11:43"/>
        <s v="19:10"/>
        <s v="10:13"/>
        <s v="13:07"/>
        <s v="17:00"/>
        <s v="20:39"/>
        <s v="21:54"/>
        <s v="21:31"/>
        <s v="14:08"/>
        <s v="12:41"/>
        <s v="18:40"/>
        <s v="13:52"/>
        <s v="09:08"/>
        <s v="12:57"/>
        <s v="12:09"/>
        <s v="13:47"/>
        <s v="12:19"/>
        <s v="15:23"/>
        <s v="10:22"/>
        <s v="11:41"/>
        <s v="19:26"/>
        <s v="15:31"/>
        <s v="19:45"/>
        <s v="11:19"/>
        <s v="16:22"/>
        <s v="10:18"/>
        <s v="14:56"/>
        <s v="14:31"/>
        <s v="16:35"/>
        <s v="17:41"/>
        <s v="18:46"/>
        <s v="10:25"/>
        <s v="21:02"/>
        <s v="15:25"/>
        <s v="09:25"/>
        <s v="21:34"/>
        <s v="12:58"/>
        <s v="19:03"/>
        <s v="16:29"/>
        <s v="21:33"/>
        <s v="17:18"/>
        <s v="19:13"/>
        <s v="12:23"/>
        <s v="17:54"/>
        <s v="13:42"/>
        <s v="15:10"/>
        <s v="17:53"/>
        <s v="19:38"/>
        <s v="09:00"/>
        <s v="21:44"/>
        <s v="12:21"/>
        <s v="15:22"/>
        <s v="17:23"/>
        <s v="15:49"/>
        <s v="14:06"/>
        <s v="18:11"/>
        <s v="19:06"/>
        <s v="20:53"/>
        <s v="19:41"/>
        <s v="19:28"/>
        <s v="17:42"/>
        <s v="10:26"/>
        <s v="17:48"/>
        <s v="10:07"/>
        <s v="19:52"/>
        <s v="13:13"/>
        <s v="13:05"/>
        <s v="09:40"/>
        <s v="15:04"/>
        <s v="14:38"/>
        <s v="12:35"/>
        <s v="13:45"/>
        <s v="20:26"/>
        <s v="09:57"/>
        <s v="17:01"/>
        <s v="17:32"/>
        <s v="12:28"/>
        <s v="20:09"/>
        <s v="09:42"/>
        <s v="12:31"/>
        <s v="12:50"/>
        <s v="14:44"/>
        <s v="16:17"/>
        <s v="11:07"/>
        <s v="18:00"/>
        <s v="21:40"/>
        <s v="10:40"/>
        <s v="09:48"/>
        <s v="16:26"/>
        <s v="16:34"/>
        <s v="09:01"/>
        <s v="09:55"/>
        <s v="18:48"/>
        <s v="20:22"/>
        <s v="19:35"/>
        <s v="21:03"/>
        <s v="12:10"/>
        <s v="16:33"/>
        <s v="10:24"/>
        <s v="12:42"/>
        <s v="20:27"/>
        <s v="16:16"/>
        <s v="21:55"/>
        <s v="15:50"/>
        <s v="16:44"/>
        <s v="16:19"/>
        <s v="14:32"/>
        <s v="14:53"/>
        <s v="11:50"/>
        <s v="21:37"/>
        <s v="13:32"/>
        <s v="19:05"/>
        <s v="21:27"/>
        <s v="15:58"/>
        <s v="10:47"/>
        <s v="10:45"/>
        <s v="18:22"/>
        <s v="21:09"/>
        <s v="10:23"/>
        <s v="12:46"/>
        <s v="19:49"/>
        <s v="13:02"/>
        <s v="12:32"/>
        <s v="12:33"/>
        <s v="19:43"/>
        <s v="19:11"/>
        <s v="14:23"/>
        <s v="13:36"/>
        <s v="12:17"/>
        <s v="15:02"/>
        <s v="15:43"/>
        <s v="09:45"/>
        <s v="14:17"/>
        <s v="18:09"/>
        <s v="10:41"/>
        <s v="20:58"/>
        <s v="20:02"/>
        <s v="09:44"/>
        <s v="16:20"/>
        <s v="09:05"/>
        <s v="16:36"/>
        <s v="13:09"/>
        <s v="10:32"/>
        <s v="15:47"/>
        <s v="11:22"/>
        <s v="10:10"/>
        <s v="10:55"/>
        <s v="21:46"/>
        <s v="20:42"/>
        <s v="12:02"/>
        <s v="16:54"/>
        <s v="11:44"/>
      </sharedItems>
    </cacheField>
    <cacheField name="Day_Type" numFmtId="0">
      <sharedItems count="2">
        <s v="Weekend"/>
        <s v="Weekday"/>
      </sharedItems>
    </cacheField>
    <cacheField name="Years (Transaction_Date)" numFmtId="0" databaseField="0">
      <fieldGroup base="2">
        <rangePr groupBy="years" startDate="2025-03-10T00:00:00" endDate="2026-03-31T00:00:00" groupInterval="1"/>
        <groupItems count="4">
          <s v="&lt;10-03-2025"/>
          <s v="2025"/>
          <s v="2026"/>
          <s v="&gt;31-03-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0"/>
    <x v="0"/>
    <x v="1"/>
    <x v="1"/>
    <x v="1"/>
    <x v="1"/>
    <x v="1"/>
    <x v="0"/>
    <x v="0"/>
    <x v="0"/>
    <x v="1"/>
    <x v="1"/>
    <x v="0"/>
  </r>
  <r>
    <x v="2"/>
    <x v="2"/>
    <x v="2"/>
    <x v="0"/>
    <x v="2"/>
    <x v="2"/>
    <x v="2"/>
    <x v="2"/>
    <x v="2"/>
    <x v="2"/>
    <x v="2"/>
    <x v="0"/>
    <x v="2"/>
    <x v="1"/>
    <x v="1"/>
    <x v="2"/>
    <x v="2"/>
    <x v="2"/>
    <x v="2"/>
    <x v="2"/>
    <x v="1"/>
    <x v="0"/>
    <x v="0"/>
    <x v="0"/>
    <x v="2"/>
    <x v="0"/>
  </r>
  <r>
    <x v="3"/>
    <x v="3"/>
    <x v="3"/>
    <x v="0"/>
    <x v="3"/>
    <x v="3"/>
    <x v="2"/>
    <x v="3"/>
    <x v="3"/>
    <x v="3"/>
    <x v="3"/>
    <x v="1"/>
    <x v="3"/>
    <x v="2"/>
    <x v="2"/>
    <x v="3"/>
    <x v="3"/>
    <x v="3"/>
    <x v="3"/>
    <x v="3"/>
    <x v="2"/>
    <x v="0"/>
    <x v="0"/>
    <x v="0"/>
    <x v="3"/>
    <x v="1"/>
  </r>
  <r>
    <x v="4"/>
    <x v="4"/>
    <x v="4"/>
    <x v="0"/>
    <x v="3"/>
    <x v="3"/>
    <x v="2"/>
    <x v="4"/>
    <x v="4"/>
    <x v="4"/>
    <x v="4"/>
    <x v="2"/>
    <x v="4"/>
    <x v="3"/>
    <x v="3"/>
    <x v="4"/>
    <x v="4"/>
    <x v="4"/>
    <x v="4"/>
    <x v="4"/>
    <x v="2"/>
    <x v="0"/>
    <x v="0"/>
    <x v="2"/>
    <x v="4"/>
    <x v="0"/>
  </r>
  <r>
    <x v="5"/>
    <x v="5"/>
    <x v="5"/>
    <x v="0"/>
    <x v="0"/>
    <x v="0"/>
    <x v="0"/>
    <x v="5"/>
    <x v="5"/>
    <x v="5"/>
    <x v="5"/>
    <x v="3"/>
    <x v="5"/>
    <x v="4"/>
    <x v="4"/>
    <x v="5"/>
    <x v="5"/>
    <x v="5"/>
    <x v="5"/>
    <x v="5"/>
    <x v="0"/>
    <x v="0"/>
    <x v="0"/>
    <x v="0"/>
    <x v="5"/>
    <x v="1"/>
  </r>
  <r>
    <x v="6"/>
    <x v="6"/>
    <x v="6"/>
    <x v="0"/>
    <x v="3"/>
    <x v="3"/>
    <x v="2"/>
    <x v="6"/>
    <x v="6"/>
    <x v="6"/>
    <x v="6"/>
    <x v="2"/>
    <x v="6"/>
    <x v="0"/>
    <x v="0"/>
    <x v="6"/>
    <x v="6"/>
    <x v="6"/>
    <x v="6"/>
    <x v="6"/>
    <x v="3"/>
    <x v="0"/>
    <x v="0"/>
    <x v="0"/>
    <x v="6"/>
    <x v="0"/>
  </r>
  <r>
    <x v="7"/>
    <x v="7"/>
    <x v="7"/>
    <x v="1"/>
    <x v="1"/>
    <x v="1"/>
    <x v="1"/>
    <x v="7"/>
    <x v="6"/>
    <x v="7"/>
    <x v="7"/>
    <x v="2"/>
    <x v="6"/>
    <x v="0"/>
    <x v="0"/>
    <x v="6"/>
    <x v="6"/>
    <x v="6"/>
    <x v="6"/>
    <x v="6"/>
    <x v="1"/>
    <x v="0"/>
    <x v="0"/>
    <x v="0"/>
    <x v="7"/>
    <x v="0"/>
  </r>
  <r>
    <x v="8"/>
    <x v="8"/>
    <x v="8"/>
    <x v="0"/>
    <x v="4"/>
    <x v="4"/>
    <x v="2"/>
    <x v="8"/>
    <x v="7"/>
    <x v="8"/>
    <x v="8"/>
    <x v="4"/>
    <x v="7"/>
    <x v="0"/>
    <x v="0"/>
    <x v="7"/>
    <x v="7"/>
    <x v="7"/>
    <x v="7"/>
    <x v="7"/>
    <x v="4"/>
    <x v="0"/>
    <x v="0"/>
    <x v="2"/>
    <x v="8"/>
    <x v="0"/>
  </r>
  <r>
    <x v="9"/>
    <x v="9"/>
    <x v="9"/>
    <x v="0"/>
    <x v="5"/>
    <x v="5"/>
    <x v="0"/>
    <x v="9"/>
    <x v="8"/>
    <x v="9"/>
    <x v="9"/>
    <x v="2"/>
    <x v="8"/>
    <x v="4"/>
    <x v="5"/>
    <x v="8"/>
    <x v="8"/>
    <x v="8"/>
    <x v="8"/>
    <x v="8"/>
    <x v="4"/>
    <x v="0"/>
    <x v="0"/>
    <x v="0"/>
    <x v="9"/>
    <x v="1"/>
  </r>
  <r>
    <x v="10"/>
    <x v="10"/>
    <x v="10"/>
    <x v="0"/>
    <x v="6"/>
    <x v="6"/>
    <x v="3"/>
    <x v="10"/>
    <x v="9"/>
    <x v="10"/>
    <x v="10"/>
    <x v="4"/>
    <x v="9"/>
    <x v="2"/>
    <x v="6"/>
    <x v="9"/>
    <x v="9"/>
    <x v="9"/>
    <x v="9"/>
    <x v="9"/>
    <x v="4"/>
    <x v="0"/>
    <x v="0"/>
    <x v="0"/>
    <x v="10"/>
    <x v="1"/>
  </r>
  <r>
    <x v="11"/>
    <x v="11"/>
    <x v="11"/>
    <x v="1"/>
    <x v="1"/>
    <x v="1"/>
    <x v="1"/>
    <x v="11"/>
    <x v="10"/>
    <x v="11"/>
    <x v="11"/>
    <x v="1"/>
    <x v="10"/>
    <x v="0"/>
    <x v="0"/>
    <x v="10"/>
    <x v="10"/>
    <x v="10"/>
    <x v="10"/>
    <x v="10"/>
    <x v="2"/>
    <x v="0"/>
    <x v="0"/>
    <x v="0"/>
    <x v="11"/>
    <x v="1"/>
  </r>
  <r>
    <x v="12"/>
    <x v="12"/>
    <x v="12"/>
    <x v="0"/>
    <x v="5"/>
    <x v="5"/>
    <x v="0"/>
    <x v="12"/>
    <x v="11"/>
    <x v="12"/>
    <x v="12"/>
    <x v="5"/>
    <x v="11"/>
    <x v="0"/>
    <x v="0"/>
    <x v="11"/>
    <x v="11"/>
    <x v="11"/>
    <x v="11"/>
    <x v="11"/>
    <x v="2"/>
    <x v="0"/>
    <x v="0"/>
    <x v="0"/>
    <x v="12"/>
    <x v="1"/>
  </r>
  <r>
    <x v="13"/>
    <x v="13"/>
    <x v="13"/>
    <x v="0"/>
    <x v="2"/>
    <x v="2"/>
    <x v="2"/>
    <x v="13"/>
    <x v="12"/>
    <x v="13"/>
    <x v="13"/>
    <x v="6"/>
    <x v="12"/>
    <x v="0"/>
    <x v="0"/>
    <x v="12"/>
    <x v="12"/>
    <x v="12"/>
    <x v="12"/>
    <x v="12"/>
    <x v="2"/>
    <x v="0"/>
    <x v="0"/>
    <x v="0"/>
    <x v="13"/>
    <x v="1"/>
  </r>
  <r>
    <x v="14"/>
    <x v="14"/>
    <x v="14"/>
    <x v="0"/>
    <x v="0"/>
    <x v="0"/>
    <x v="0"/>
    <x v="14"/>
    <x v="13"/>
    <x v="14"/>
    <x v="14"/>
    <x v="0"/>
    <x v="13"/>
    <x v="2"/>
    <x v="7"/>
    <x v="13"/>
    <x v="13"/>
    <x v="13"/>
    <x v="13"/>
    <x v="13"/>
    <x v="2"/>
    <x v="0"/>
    <x v="0"/>
    <x v="0"/>
    <x v="14"/>
    <x v="0"/>
  </r>
  <r>
    <x v="15"/>
    <x v="15"/>
    <x v="15"/>
    <x v="0"/>
    <x v="6"/>
    <x v="6"/>
    <x v="3"/>
    <x v="15"/>
    <x v="14"/>
    <x v="15"/>
    <x v="15"/>
    <x v="2"/>
    <x v="14"/>
    <x v="0"/>
    <x v="0"/>
    <x v="14"/>
    <x v="14"/>
    <x v="14"/>
    <x v="14"/>
    <x v="14"/>
    <x v="2"/>
    <x v="0"/>
    <x v="0"/>
    <x v="0"/>
    <x v="15"/>
    <x v="1"/>
  </r>
  <r>
    <x v="16"/>
    <x v="16"/>
    <x v="12"/>
    <x v="0"/>
    <x v="5"/>
    <x v="5"/>
    <x v="0"/>
    <x v="3"/>
    <x v="15"/>
    <x v="16"/>
    <x v="16"/>
    <x v="2"/>
    <x v="15"/>
    <x v="2"/>
    <x v="8"/>
    <x v="15"/>
    <x v="15"/>
    <x v="15"/>
    <x v="15"/>
    <x v="15"/>
    <x v="1"/>
    <x v="0"/>
    <x v="0"/>
    <x v="0"/>
    <x v="16"/>
    <x v="1"/>
  </r>
  <r>
    <x v="17"/>
    <x v="17"/>
    <x v="16"/>
    <x v="0"/>
    <x v="6"/>
    <x v="6"/>
    <x v="3"/>
    <x v="16"/>
    <x v="16"/>
    <x v="17"/>
    <x v="17"/>
    <x v="2"/>
    <x v="16"/>
    <x v="0"/>
    <x v="0"/>
    <x v="16"/>
    <x v="16"/>
    <x v="16"/>
    <x v="16"/>
    <x v="16"/>
    <x v="5"/>
    <x v="0"/>
    <x v="0"/>
    <x v="0"/>
    <x v="17"/>
    <x v="0"/>
  </r>
  <r>
    <x v="18"/>
    <x v="18"/>
    <x v="17"/>
    <x v="1"/>
    <x v="1"/>
    <x v="1"/>
    <x v="1"/>
    <x v="17"/>
    <x v="17"/>
    <x v="1"/>
    <x v="1"/>
    <x v="0"/>
    <x v="17"/>
    <x v="1"/>
    <x v="9"/>
    <x v="17"/>
    <x v="17"/>
    <x v="17"/>
    <x v="17"/>
    <x v="17"/>
    <x v="0"/>
    <x v="0"/>
    <x v="0"/>
    <x v="0"/>
    <x v="18"/>
    <x v="1"/>
  </r>
  <r>
    <x v="19"/>
    <x v="19"/>
    <x v="18"/>
    <x v="0"/>
    <x v="2"/>
    <x v="2"/>
    <x v="2"/>
    <x v="18"/>
    <x v="18"/>
    <x v="18"/>
    <x v="18"/>
    <x v="0"/>
    <x v="18"/>
    <x v="0"/>
    <x v="0"/>
    <x v="18"/>
    <x v="18"/>
    <x v="18"/>
    <x v="18"/>
    <x v="18"/>
    <x v="2"/>
    <x v="0"/>
    <x v="0"/>
    <x v="2"/>
    <x v="19"/>
    <x v="1"/>
  </r>
  <r>
    <x v="20"/>
    <x v="20"/>
    <x v="19"/>
    <x v="0"/>
    <x v="5"/>
    <x v="5"/>
    <x v="0"/>
    <x v="19"/>
    <x v="19"/>
    <x v="19"/>
    <x v="19"/>
    <x v="4"/>
    <x v="19"/>
    <x v="3"/>
    <x v="10"/>
    <x v="19"/>
    <x v="19"/>
    <x v="19"/>
    <x v="19"/>
    <x v="19"/>
    <x v="1"/>
    <x v="0"/>
    <x v="0"/>
    <x v="0"/>
    <x v="20"/>
    <x v="1"/>
  </r>
  <r>
    <x v="21"/>
    <x v="21"/>
    <x v="20"/>
    <x v="1"/>
    <x v="1"/>
    <x v="1"/>
    <x v="1"/>
    <x v="20"/>
    <x v="19"/>
    <x v="20"/>
    <x v="20"/>
    <x v="5"/>
    <x v="20"/>
    <x v="0"/>
    <x v="0"/>
    <x v="20"/>
    <x v="20"/>
    <x v="20"/>
    <x v="20"/>
    <x v="20"/>
    <x v="4"/>
    <x v="0"/>
    <x v="0"/>
    <x v="2"/>
    <x v="21"/>
    <x v="1"/>
  </r>
  <r>
    <x v="22"/>
    <x v="22"/>
    <x v="21"/>
    <x v="0"/>
    <x v="2"/>
    <x v="2"/>
    <x v="2"/>
    <x v="21"/>
    <x v="20"/>
    <x v="21"/>
    <x v="21"/>
    <x v="7"/>
    <x v="21"/>
    <x v="3"/>
    <x v="11"/>
    <x v="21"/>
    <x v="21"/>
    <x v="21"/>
    <x v="3"/>
    <x v="21"/>
    <x v="1"/>
    <x v="0"/>
    <x v="0"/>
    <x v="0"/>
    <x v="22"/>
    <x v="1"/>
  </r>
  <r>
    <x v="23"/>
    <x v="23"/>
    <x v="22"/>
    <x v="0"/>
    <x v="3"/>
    <x v="3"/>
    <x v="2"/>
    <x v="22"/>
    <x v="21"/>
    <x v="22"/>
    <x v="22"/>
    <x v="6"/>
    <x v="22"/>
    <x v="0"/>
    <x v="0"/>
    <x v="22"/>
    <x v="22"/>
    <x v="22"/>
    <x v="21"/>
    <x v="22"/>
    <x v="2"/>
    <x v="0"/>
    <x v="0"/>
    <x v="1"/>
    <x v="23"/>
    <x v="1"/>
  </r>
  <r>
    <x v="24"/>
    <x v="24"/>
    <x v="23"/>
    <x v="0"/>
    <x v="2"/>
    <x v="2"/>
    <x v="2"/>
    <x v="23"/>
    <x v="22"/>
    <x v="23"/>
    <x v="23"/>
    <x v="4"/>
    <x v="23"/>
    <x v="1"/>
    <x v="12"/>
    <x v="23"/>
    <x v="23"/>
    <x v="23"/>
    <x v="22"/>
    <x v="23"/>
    <x v="1"/>
    <x v="0"/>
    <x v="0"/>
    <x v="0"/>
    <x v="24"/>
    <x v="0"/>
  </r>
  <r>
    <x v="25"/>
    <x v="25"/>
    <x v="24"/>
    <x v="1"/>
    <x v="7"/>
    <x v="7"/>
    <x v="1"/>
    <x v="24"/>
    <x v="23"/>
    <x v="24"/>
    <x v="24"/>
    <x v="1"/>
    <x v="24"/>
    <x v="0"/>
    <x v="0"/>
    <x v="24"/>
    <x v="24"/>
    <x v="24"/>
    <x v="23"/>
    <x v="24"/>
    <x v="2"/>
    <x v="0"/>
    <x v="0"/>
    <x v="0"/>
    <x v="25"/>
    <x v="0"/>
  </r>
  <r>
    <x v="26"/>
    <x v="26"/>
    <x v="25"/>
    <x v="0"/>
    <x v="2"/>
    <x v="2"/>
    <x v="2"/>
    <x v="25"/>
    <x v="12"/>
    <x v="20"/>
    <x v="25"/>
    <x v="4"/>
    <x v="25"/>
    <x v="2"/>
    <x v="13"/>
    <x v="25"/>
    <x v="25"/>
    <x v="25"/>
    <x v="24"/>
    <x v="25"/>
    <x v="2"/>
    <x v="0"/>
    <x v="0"/>
    <x v="0"/>
    <x v="26"/>
    <x v="1"/>
  </r>
  <r>
    <x v="27"/>
    <x v="27"/>
    <x v="26"/>
    <x v="0"/>
    <x v="8"/>
    <x v="8"/>
    <x v="3"/>
    <x v="26"/>
    <x v="24"/>
    <x v="25"/>
    <x v="26"/>
    <x v="3"/>
    <x v="26"/>
    <x v="0"/>
    <x v="0"/>
    <x v="26"/>
    <x v="26"/>
    <x v="26"/>
    <x v="25"/>
    <x v="26"/>
    <x v="1"/>
    <x v="0"/>
    <x v="0"/>
    <x v="0"/>
    <x v="27"/>
    <x v="0"/>
  </r>
  <r>
    <x v="28"/>
    <x v="28"/>
    <x v="27"/>
    <x v="0"/>
    <x v="2"/>
    <x v="2"/>
    <x v="2"/>
    <x v="27"/>
    <x v="24"/>
    <x v="26"/>
    <x v="27"/>
    <x v="1"/>
    <x v="27"/>
    <x v="0"/>
    <x v="0"/>
    <x v="27"/>
    <x v="27"/>
    <x v="27"/>
    <x v="26"/>
    <x v="27"/>
    <x v="5"/>
    <x v="0"/>
    <x v="0"/>
    <x v="2"/>
    <x v="28"/>
    <x v="1"/>
  </r>
  <r>
    <x v="29"/>
    <x v="29"/>
    <x v="28"/>
    <x v="0"/>
    <x v="9"/>
    <x v="9"/>
    <x v="0"/>
    <x v="28"/>
    <x v="25"/>
    <x v="27"/>
    <x v="28"/>
    <x v="6"/>
    <x v="28"/>
    <x v="0"/>
    <x v="0"/>
    <x v="28"/>
    <x v="28"/>
    <x v="28"/>
    <x v="27"/>
    <x v="28"/>
    <x v="3"/>
    <x v="0"/>
    <x v="0"/>
    <x v="2"/>
    <x v="29"/>
    <x v="1"/>
  </r>
  <r>
    <x v="30"/>
    <x v="30"/>
    <x v="29"/>
    <x v="0"/>
    <x v="10"/>
    <x v="10"/>
    <x v="3"/>
    <x v="29"/>
    <x v="26"/>
    <x v="28"/>
    <x v="29"/>
    <x v="2"/>
    <x v="29"/>
    <x v="0"/>
    <x v="0"/>
    <x v="29"/>
    <x v="29"/>
    <x v="29"/>
    <x v="28"/>
    <x v="29"/>
    <x v="2"/>
    <x v="0"/>
    <x v="0"/>
    <x v="0"/>
    <x v="30"/>
    <x v="0"/>
  </r>
  <r>
    <x v="31"/>
    <x v="31"/>
    <x v="30"/>
    <x v="0"/>
    <x v="6"/>
    <x v="6"/>
    <x v="3"/>
    <x v="30"/>
    <x v="23"/>
    <x v="29"/>
    <x v="30"/>
    <x v="6"/>
    <x v="30"/>
    <x v="2"/>
    <x v="14"/>
    <x v="30"/>
    <x v="30"/>
    <x v="30"/>
    <x v="29"/>
    <x v="30"/>
    <x v="5"/>
    <x v="0"/>
    <x v="0"/>
    <x v="1"/>
    <x v="31"/>
    <x v="0"/>
  </r>
  <r>
    <x v="32"/>
    <x v="32"/>
    <x v="31"/>
    <x v="1"/>
    <x v="7"/>
    <x v="7"/>
    <x v="1"/>
    <x v="31"/>
    <x v="27"/>
    <x v="30"/>
    <x v="31"/>
    <x v="2"/>
    <x v="31"/>
    <x v="2"/>
    <x v="15"/>
    <x v="31"/>
    <x v="31"/>
    <x v="31"/>
    <x v="30"/>
    <x v="31"/>
    <x v="0"/>
    <x v="0"/>
    <x v="0"/>
    <x v="2"/>
    <x v="32"/>
    <x v="0"/>
  </r>
  <r>
    <x v="33"/>
    <x v="33"/>
    <x v="32"/>
    <x v="0"/>
    <x v="8"/>
    <x v="8"/>
    <x v="3"/>
    <x v="32"/>
    <x v="28"/>
    <x v="31"/>
    <x v="32"/>
    <x v="4"/>
    <x v="32"/>
    <x v="4"/>
    <x v="16"/>
    <x v="32"/>
    <x v="32"/>
    <x v="32"/>
    <x v="31"/>
    <x v="32"/>
    <x v="4"/>
    <x v="0"/>
    <x v="0"/>
    <x v="0"/>
    <x v="33"/>
    <x v="1"/>
  </r>
  <r>
    <x v="34"/>
    <x v="34"/>
    <x v="33"/>
    <x v="0"/>
    <x v="8"/>
    <x v="8"/>
    <x v="3"/>
    <x v="33"/>
    <x v="29"/>
    <x v="26"/>
    <x v="33"/>
    <x v="0"/>
    <x v="33"/>
    <x v="0"/>
    <x v="0"/>
    <x v="33"/>
    <x v="33"/>
    <x v="33"/>
    <x v="32"/>
    <x v="33"/>
    <x v="0"/>
    <x v="0"/>
    <x v="0"/>
    <x v="0"/>
    <x v="34"/>
    <x v="0"/>
  </r>
  <r>
    <x v="35"/>
    <x v="35"/>
    <x v="34"/>
    <x v="0"/>
    <x v="9"/>
    <x v="9"/>
    <x v="0"/>
    <x v="34"/>
    <x v="30"/>
    <x v="32"/>
    <x v="34"/>
    <x v="6"/>
    <x v="34"/>
    <x v="0"/>
    <x v="0"/>
    <x v="34"/>
    <x v="34"/>
    <x v="34"/>
    <x v="33"/>
    <x v="34"/>
    <x v="5"/>
    <x v="0"/>
    <x v="0"/>
    <x v="2"/>
    <x v="35"/>
    <x v="0"/>
  </r>
  <r>
    <x v="36"/>
    <x v="36"/>
    <x v="10"/>
    <x v="0"/>
    <x v="6"/>
    <x v="6"/>
    <x v="3"/>
    <x v="35"/>
    <x v="31"/>
    <x v="33"/>
    <x v="35"/>
    <x v="6"/>
    <x v="35"/>
    <x v="2"/>
    <x v="17"/>
    <x v="35"/>
    <x v="35"/>
    <x v="35"/>
    <x v="34"/>
    <x v="35"/>
    <x v="2"/>
    <x v="0"/>
    <x v="0"/>
    <x v="0"/>
    <x v="36"/>
    <x v="1"/>
  </r>
  <r>
    <x v="37"/>
    <x v="37"/>
    <x v="23"/>
    <x v="0"/>
    <x v="2"/>
    <x v="2"/>
    <x v="2"/>
    <x v="11"/>
    <x v="32"/>
    <x v="34"/>
    <x v="32"/>
    <x v="0"/>
    <x v="36"/>
    <x v="1"/>
    <x v="18"/>
    <x v="36"/>
    <x v="36"/>
    <x v="36"/>
    <x v="35"/>
    <x v="36"/>
    <x v="1"/>
    <x v="0"/>
    <x v="0"/>
    <x v="0"/>
    <x v="37"/>
    <x v="0"/>
  </r>
  <r>
    <x v="38"/>
    <x v="38"/>
    <x v="35"/>
    <x v="0"/>
    <x v="8"/>
    <x v="8"/>
    <x v="3"/>
    <x v="36"/>
    <x v="33"/>
    <x v="35"/>
    <x v="36"/>
    <x v="2"/>
    <x v="37"/>
    <x v="0"/>
    <x v="0"/>
    <x v="37"/>
    <x v="37"/>
    <x v="37"/>
    <x v="36"/>
    <x v="37"/>
    <x v="2"/>
    <x v="0"/>
    <x v="0"/>
    <x v="0"/>
    <x v="38"/>
    <x v="1"/>
  </r>
  <r>
    <x v="39"/>
    <x v="39"/>
    <x v="36"/>
    <x v="1"/>
    <x v="7"/>
    <x v="7"/>
    <x v="1"/>
    <x v="37"/>
    <x v="34"/>
    <x v="36"/>
    <x v="37"/>
    <x v="5"/>
    <x v="38"/>
    <x v="0"/>
    <x v="0"/>
    <x v="38"/>
    <x v="38"/>
    <x v="38"/>
    <x v="37"/>
    <x v="38"/>
    <x v="0"/>
    <x v="0"/>
    <x v="0"/>
    <x v="1"/>
    <x v="39"/>
    <x v="1"/>
  </r>
  <r>
    <x v="40"/>
    <x v="40"/>
    <x v="37"/>
    <x v="0"/>
    <x v="5"/>
    <x v="5"/>
    <x v="0"/>
    <x v="38"/>
    <x v="34"/>
    <x v="37"/>
    <x v="38"/>
    <x v="6"/>
    <x v="39"/>
    <x v="0"/>
    <x v="0"/>
    <x v="39"/>
    <x v="39"/>
    <x v="39"/>
    <x v="36"/>
    <x v="39"/>
    <x v="3"/>
    <x v="0"/>
    <x v="0"/>
    <x v="0"/>
    <x v="40"/>
    <x v="0"/>
  </r>
  <r>
    <x v="41"/>
    <x v="41"/>
    <x v="38"/>
    <x v="1"/>
    <x v="11"/>
    <x v="11"/>
    <x v="1"/>
    <x v="39"/>
    <x v="35"/>
    <x v="31"/>
    <x v="39"/>
    <x v="5"/>
    <x v="40"/>
    <x v="0"/>
    <x v="0"/>
    <x v="40"/>
    <x v="40"/>
    <x v="40"/>
    <x v="38"/>
    <x v="40"/>
    <x v="4"/>
    <x v="0"/>
    <x v="0"/>
    <x v="0"/>
    <x v="41"/>
    <x v="0"/>
  </r>
  <r>
    <x v="42"/>
    <x v="42"/>
    <x v="39"/>
    <x v="0"/>
    <x v="3"/>
    <x v="3"/>
    <x v="2"/>
    <x v="40"/>
    <x v="36"/>
    <x v="38"/>
    <x v="40"/>
    <x v="0"/>
    <x v="41"/>
    <x v="1"/>
    <x v="19"/>
    <x v="41"/>
    <x v="41"/>
    <x v="41"/>
    <x v="39"/>
    <x v="41"/>
    <x v="2"/>
    <x v="0"/>
    <x v="0"/>
    <x v="0"/>
    <x v="42"/>
    <x v="1"/>
  </r>
  <r>
    <x v="43"/>
    <x v="43"/>
    <x v="40"/>
    <x v="0"/>
    <x v="2"/>
    <x v="2"/>
    <x v="2"/>
    <x v="41"/>
    <x v="37"/>
    <x v="9"/>
    <x v="41"/>
    <x v="5"/>
    <x v="42"/>
    <x v="3"/>
    <x v="20"/>
    <x v="42"/>
    <x v="42"/>
    <x v="42"/>
    <x v="40"/>
    <x v="42"/>
    <x v="2"/>
    <x v="0"/>
    <x v="0"/>
    <x v="1"/>
    <x v="43"/>
    <x v="0"/>
  </r>
  <r>
    <x v="44"/>
    <x v="44"/>
    <x v="41"/>
    <x v="1"/>
    <x v="11"/>
    <x v="11"/>
    <x v="1"/>
    <x v="42"/>
    <x v="38"/>
    <x v="28"/>
    <x v="29"/>
    <x v="0"/>
    <x v="43"/>
    <x v="2"/>
    <x v="21"/>
    <x v="43"/>
    <x v="43"/>
    <x v="43"/>
    <x v="41"/>
    <x v="43"/>
    <x v="3"/>
    <x v="0"/>
    <x v="0"/>
    <x v="0"/>
    <x v="44"/>
    <x v="0"/>
  </r>
  <r>
    <x v="45"/>
    <x v="45"/>
    <x v="42"/>
    <x v="0"/>
    <x v="8"/>
    <x v="8"/>
    <x v="3"/>
    <x v="43"/>
    <x v="39"/>
    <x v="39"/>
    <x v="42"/>
    <x v="4"/>
    <x v="44"/>
    <x v="0"/>
    <x v="0"/>
    <x v="44"/>
    <x v="44"/>
    <x v="44"/>
    <x v="42"/>
    <x v="44"/>
    <x v="0"/>
    <x v="0"/>
    <x v="0"/>
    <x v="0"/>
    <x v="45"/>
    <x v="0"/>
  </r>
  <r>
    <x v="46"/>
    <x v="46"/>
    <x v="43"/>
    <x v="0"/>
    <x v="6"/>
    <x v="6"/>
    <x v="3"/>
    <x v="44"/>
    <x v="40"/>
    <x v="40"/>
    <x v="43"/>
    <x v="4"/>
    <x v="45"/>
    <x v="1"/>
    <x v="22"/>
    <x v="45"/>
    <x v="45"/>
    <x v="45"/>
    <x v="43"/>
    <x v="45"/>
    <x v="2"/>
    <x v="0"/>
    <x v="0"/>
    <x v="0"/>
    <x v="46"/>
    <x v="1"/>
  </r>
  <r>
    <x v="47"/>
    <x v="47"/>
    <x v="44"/>
    <x v="0"/>
    <x v="8"/>
    <x v="8"/>
    <x v="3"/>
    <x v="45"/>
    <x v="41"/>
    <x v="41"/>
    <x v="44"/>
    <x v="7"/>
    <x v="46"/>
    <x v="3"/>
    <x v="23"/>
    <x v="46"/>
    <x v="46"/>
    <x v="46"/>
    <x v="44"/>
    <x v="46"/>
    <x v="2"/>
    <x v="0"/>
    <x v="0"/>
    <x v="2"/>
    <x v="47"/>
    <x v="0"/>
  </r>
  <r>
    <x v="48"/>
    <x v="48"/>
    <x v="45"/>
    <x v="1"/>
    <x v="11"/>
    <x v="11"/>
    <x v="1"/>
    <x v="46"/>
    <x v="42"/>
    <x v="42"/>
    <x v="45"/>
    <x v="1"/>
    <x v="47"/>
    <x v="1"/>
    <x v="24"/>
    <x v="47"/>
    <x v="47"/>
    <x v="47"/>
    <x v="45"/>
    <x v="47"/>
    <x v="4"/>
    <x v="0"/>
    <x v="0"/>
    <x v="2"/>
    <x v="48"/>
    <x v="0"/>
  </r>
  <r>
    <x v="49"/>
    <x v="49"/>
    <x v="44"/>
    <x v="0"/>
    <x v="8"/>
    <x v="8"/>
    <x v="3"/>
    <x v="47"/>
    <x v="43"/>
    <x v="43"/>
    <x v="46"/>
    <x v="5"/>
    <x v="48"/>
    <x v="4"/>
    <x v="25"/>
    <x v="48"/>
    <x v="48"/>
    <x v="48"/>
    <x v="46"/>
    <x v="48"/>
    <x v="0"/>
    <x v="0"/>
    <x v="0"/>
    <x v="2"/>
    <x v="49"/>
    <x v="0"/>
  </r>
  <r>
    <x v="50"/>
    <x v="50"/>
    <x v="46"/>
    <x v="0"/>
    <x v="10"/>
    <x v="10"/>
    <x v="3"/>
    <x v="48"/>
    <x v="44"/>
    <x v="44"/>
    <x v="47"/>
    <x v="2"/>
    <x v="49"/>
    <x v="1"/>
    <x v="26"/>
    <x v="49"/>
    <x v="49"/>
    <x v="49"/>
    <x v="47"/>
    <x v="49"/>
    <x v="2"/>
    <x v="0"/>
    <x v="0"/>
    <x v="0"/>
    <x v="50"/>
    <x v="1"/>
  </r>
  <r>
    <x v="51"/>
    <x v="51"/>
    <x v="47"/>
    <x v="0"/>
    <x v="5"/>
    <x v="5"/>
    <x v="0"/>
    <x v="49"/>
    <x v="45"/>
    <x v="45"/>
    <x v="48"/>
    <x v="3"/>
    <x v="50"/>
    <x v="4"/>
    <x v="27"/>
    <x v="50"/>
    <x v="50"/>
    <x v="50"/>
    <x v="48"/>
    <x v="50"/>
    <x v="4"/>
    <x v="0"/>
    <x v="0"/>
    <x v="2"/>
    <x v="51"/>
    <x v="0"/>
  </r>
  <r>
    <x v="52"/>
    <x v="52"/>
    <x v="48"/>
    <x v="0"/>
    <x v="0"/>
    <x v="0"/>
    <x v="0"/>
    <x v="50"/>
    <x v="46"/>
    <x v="46"/>
    <x v="49"/>
    <x v="5"/>
    <x v="51"/>
    <x v="3"/>
    <x v="28"/>
    <x v="51"/>
    <x v="51"/>
    <x v="51"/>
    <x v="49"/>
    <x v="51"/>
    <x v="0"/>
    <x v="0"/>
    <x v="0"/>
    <x v="0"/>
    <x v="52"/>
    <x v="1"/>
  </r>
  <r>
    <x v="53"/>
    <x v="53"/>
    <x v="49"/>
    <x v="0"/>
    <x v="0"/>
    <x v="0"/>
    <x v="0"/>
    <x v="51"/>
    <x v="47"/>
    <x v="24"/>
    <x v="50"/>
    <x v="6"/>
    <x v="52"/>
    <x v="4"/>
    <x v="29"/>
    <x v="52"/>
    <x v="52"/>
    <x v="52"/>
    <x v="50"/>
    <x v="52"/>
    <x v="5"/>
    <x v="0"/>
    <x v="0"/>
    <x v="0"/>
    <x v="53"/>
    <x v="0"/>
  </r>
  <r>
    <x v="54"/>
    <x v="54"/>
    <x v="50"/>
    <x v="0"/>
    <x v="10"/>
    <x v="10"/>
    <x v="3"/>
    <x v="52"/>
    <x v="48"/>
    <x v="35"/>
    <x v="36"/>
    <x v="1"/>
    <x v="53"/>
    <x v="0"/>
    <x v="0"/>
    <x v="53"/>
    <x v="53"/>
    <x v="53"/>
    <x v="51"/>
    <x v="53"/>
    <x v="0"/>
    <x v="0"/>
    <x v="0"/>
    <x v="2"/>
    <x v="54"/>
    <x v="1"/>
  </r>
  <r>
    <x v="55"/>
    <x v="55"/>
    <x v="51"/>
    <x v="0"/>
    <x v="6"/>
    <x v="6"/>
    <x v="3"/>
    <x v="53"/>
    <x v="14"/>
    <x v="4"/>
    <x v="18"/>
    <x v="1"/>
    <x v="14"/>
    <x v="0"/>
    <x v="0"/>
    <x v="54"/>
    <x v="54"/>
    <x v="54"/>
    <x v="52"/>
    <x v="14"/>
    <x v="5"/>
    <x v="0"/>
    <x v="0"/>
    <x v="0"/>
    <x v="17"/>
    <x v="1"/>
  </r>
  <r>
    <x v="56"/>
    <x v="56"/>
    <x v="14"/>
    <x v="0"/>
    <x v="0"/>
    <x v="0"/>
    <x v="0"/>
    <x v="54"/>
    <x v="8"/>
    <x v="47"/>
    <x v="51"/>
    <x v="5"/>
    <x v="54"/>
    <x v="2"/>
    <x v="30"/>
    <x v="55"/>
    <x v="55"/>
    <x v="55"/>
    <x v="53"/>
    <x v="54"/>
    <x v="2"/>
    <x v="1"/>
    <x v="1"/>
    <x v="1"/>
    <x v="55"/>
    <x v="0"/>
  </r>
  <r>
    <x v="57"/>
    <x v="57"/>
    <x v="52"/>
    <x v="0"/>
    <x v="9"/>
    <x v="9"/>
    <x v="0"/>
    <x v="55"/>
    <x v="49"/>
    <x v="48"/>
    <x v="52"/>
    <x v="2"/>
    <x v="55"/>
    <x v="1"/>
    <x v="31"/>
    <x v="56"/>
    <x v="56"/>
    <x v="56"/>
    <x v="54"/>
    <x v="55"/>
    <x v="4"/>
    <x v="0"/>
    <x v="0"/>
    <x v="0"/>
    <x v="56"/>
    <x v="0"/>
  </r>
  <r>
    <x v="58"/>
    <x v="58"/>
    <x v="53"/>
    <x v="1"/>
    <x v="11"/>
    <x v="11"/>
    <x v="1"/>
    <x v="56"/>
    <x v="9"/>
    <x v="49"/>
    <x v="53"/>
    <x v="3"/>
    <x v="56"/>
    <x v="0"/>
    <x v="0"/>
    <x v="57"/>
    <x v="57"/>
    <x v="57"/>
    <x v="55"/>
    <x v="56"/>
    <x v="1"/>
    <x v="0"/>
    <x v="0"/>
    <x v="0"/>
    <x v="57"/>
    <x v="0"/>
  </r>
  <r>
    <x v="59"/>
    <x v="59"/>
    <x v="54"/>
    <x v="0"/>
    <x v="5"/>
    <x v="5"/>
    <x v="0"/>
    <x v="57"/>
    <x v="50"/>
    <x v="19"/>
    <x v="54"/>
    <x v="0"/>
    <x v="57"/>
    <x v="4"/>
    <x v="32"/>
    <x v="58"/>
    <x v="58"/>
    <x v="58"/>
    <x v="56"/>
    <x v="57"/>
    <x v="5"/>
    <x v="0"/>
    <x v="0"/>
    <x v="2"/>
    <x v="58"/>
    <x v="1"/>
  </r>
  <r>
    <x v="60"/>
    <x v="60"/>
    <x v="55"/>
    <x v="0"/>
    <x v="9"/>
    <x v="9"/>
    <x v="0"/>
    <x v="58"/>
    <x v="51"/>
    <x v="50"/>
    <x v="55"/>
    <x v="2"/>
    <x v="58"/>
    <x v="0"/>
    <x v="0"/>
    <x v="59"/>
    <x v="59"/>
    <x v="59"/>
    <x v="57"/>
    <x v="58"/>
    <x v="4"/>
    <x v="0"/>
    <x v="0"/>
    <x v="2"/>
    <x v="59"/>
    <x v="0"/>
  </r>
  <r>
    <x v="61"/>
    <x v="61"/>
    <x v="56"/>
    <x v="0"/>
    <x v="0"/>
    <x v="0"/>
    <x v="0"/>
    <x v="59"/>
    <x v="52"/>
    <x v="51"/>
    <x v="56"/>
    <x v="1"/>
    <x v="59"/>
    <x v="0"/>
    <x v="0"/>
    <x v="60"/>
    <x v="60"/>
    <x v="60"/>
    <x v="58"/>
    <x v="59"/>
    <x v="4"/>
    <x v="0"/>
    <x v="0"/>
    <x v="0"/>
    <x v="60"/>
    <x v="1"/>
  </r>
  <r>
    <x v="62"/>
    <x v="62"/>
    <x v="57"/>
    <x v="0"/>
    <x v="10"/>
    <x v="10"/>
    <x v="3"/>
    <x v="60"/>
    <x v="53"/>
    <x v="38"/>
    <x v="13"/>
    <x v="4"/>
    <x v="60"/>
    <x v="0"/>
    <x v="0"/>
    <x v="61"/>
    <x v="61"/>
    <x v="61"/>
    <x v="59"/>
    <x v="60"/>
    <x v="0"/>
    <x v="0"/>
    <x v="0"/>
    <x v="0"/>
    <x v="48"/>
    <x v="0"/>
  </r>
  <r>
    <x v="63"/>
    <x v="63"/>
    <x v="58"/>
    <x v="1"/>
    <x v="1"/>
    <x v="1"/>
    <x v="1"/>
    <x v="61"/>
    <x v="11"/>
    <x v="52"/>
    <x v="57"/>
    <x v="7"/>
    <x v="61"/>
    <x v="1"/>
    <x v="33"/>
    <x v="62"/>
    <x v="62"/>
    <x v="62"/>
    <x v="60"/>
    <x v="61"/>
    <x v="4"/>
    <x v="0"/>
    <x v="0"/>
    <x v="0"/>
    <x v="31"/>
    <x v="1"/>
  </r>
  <r>
    <x v="64"/>
    <x v="64"/>
    <x v="59"/>
    <x v="1"/>
    <x v="11"/>
    <x v="11"/>
    <x v="1"/>
    <x v="62"/>
    <x v="54"/>
    <x v="53"/>
    <x v="58"/>
    <x v="2"/>
    <x v="62"/>
    <x v="0"/>
    <x v="0"/>
    <x v="63"/>
    <x v="63"/>
    <x v="63"/>
    <x v="61"/>
    <x v="62"/>
    <x v="0"/>
    <x v="0"/>
    <x v="0"/>
    <x v="0"/>
    <x v="61"/>
    <x v="0"/>
  </r>
  <r>
    <x v="65"/>
    <x v="65"/>
    <x v="60"/>
    <x v="1"/>
    <x v="1"/>
    <x v="1"/>
    <x v="1"/>
    <x v="61"/>
    <x v="55"/>
    <x v="54"/>
    <x v="59"/>
    <x v="2"/>
    <x v="63"/>
    <x v="0"/>
    <x v="0"/>
    <x v="64"/>
    <x v="64"/>
    <x v="64"/>
    <x v="62"/>
    <x v="63"/>
    <x v="3"/>
    <x v="0"/>
    <x v="0"/>
    <x v="2"/>
    <x v="62"/>
    <x v="1"/>
  </r>
  <r>
    <x v="66"/>
    <x v="66"/>
    <x v="61"/>
    <x v="0"/>
    <x v="6"/>
    <x v="6"/>
    <x v="3"/>
    <x v="63"/>
    <x v="7"/>
    <x v="55"/>
    <x v="60"/>
    <x v="2"/>
    <x v="7"/>
    <x v="4"/>
    <x v="34"/>
    <x v="65"/>
    <x v="65"/>
    <x v="65"/>
    <x v="63"/>
    <x v="64"/>
    <x v="4"/>
    <x v="0"/>
    <x v="0"/>
    <x v="0"/>
    <x v="45"/>
    <x v="1"/>
  </r>
  <r>
    <x v="67"/>
    <x v="67"/>
    <x v="62"/>
    <x v="0"/>
    <x v="10"/>
    <x v="10"/>
    <x v="3"/>
    <x v="64"/>
    <x v="56"/>
    <x v="56"/>
    <x v="61"/>
    <x v="1"/>
    <x v="64"/>
    <x v="1"/>
    <x v="35"/>
    <x v="66"/>
    <x v="66"/>
    <x v="66"/>
    <x v="64"/>
    <x v="65"/>
    <x v="2"/>
    <x v="0"/>
    <x v="0"/>
    <x v="0"/>
    <x v="63"/>
    <x v="1"/>
  </r>
  <r>
    <x v="68"/>
    <x v="68"/>
    <x v="63"/>
    <x v="0"/>
    <x v="9"/>
    <x v="9"/>
    <x v="0"/>
    <x v="65"/>
    <x v="57"/>
    <x v="10"/>
    <x v="10"/>
    <x v="2"/>
    <x v="65"/>
    <x v="0"/>
    <x v="0"/>
    <x v="67"/>
    <x v="67"/>
    <x v="67"/>
    <x v="65"/>
    <x v="66"/>
    <x v="0"/>
    <x v="0"/>
    <x v="0"/>
    <x v="0"/>
    <x v="64"/>
    <x v="0"/>
  </r>
  <r>
    <x v="69"/>
    <x v="69"/>
    <x v="64"/>
    <x v="0"/>
    <x v="2"/>
    <x v="2"/>
    <x v="2"/>
    <x v="66"/>
    <x v="58"/>
    <x v="15"/>
    <x v="62"/>
    <x v="1"/>
    <x v="66"/>
    <x v="2"/>
    <x v="36"/>
    <x v="68"/>
    <x v="68"/>
    <x v="68"/>
    <x v="66"/>
    <x v="67"/>
    <x v="3"/>
    <x v="0"/>
    <x v="0"/>
    <x v="2"/>
    <x v="65"/>
    <x v="1"/>
  </r>
  <r>
    <x v="70"/>
    <x v="70"/>
    <x v="21"/>
    <x v="0"/>
    <x v="2"/>
    <x v="2"/>
    <x v="2"/>
    <x v="67"/>
    <x v="59"/>
    <x v="57"/>
    <x v="63"/>
    <x v="6"/>
    <x v="67"/>
    <x v="0"/>
    <x v="0"/>
    <x v="69"/>
    <x v="69"/>
    <x v="69"/>
    <x v="67"/>
    <x v="68"/>
    <x v="3"/>
    <x v="0"/>
    <x v="0"/>
    <x v="0"/>
    <x v="66"/>
    <x v="1"/>
  </r>
  <r>
    <x v="71"/>
    <x v="71"/>
    <x v="65"/>
    <x v="0"/>
    <x v="8"/>
    <x v="8"/>
    <x v="3"/>
    <x v="68"/>
    <x v="26"/>
    <x v="58"/>
    <x v="64"/>
    <x v="2"/>
    <x v="29"/>
    <x v="3"/>
    <x v="37"/>
    <x v="70"/>
    <x v="70"/>
    <x v="29"/>
    <x v="68"/>
    <x v="69"/>
    <x v="4"/>
    <x v="0"/>
    <x v="0"/>
    <x v="2"/>
    <x v="67"/>
    <x v="0"/>
  </r>
  <r>
    <x v="72"/>
    <x v="72"/>
    <x v="41"/>
    <x v="1"/>
    <x v="11"/>
    <x v="11"/>
    <x v="1"/>
    <x v="69"/>
    <x v="60"/>
    <x v="59"/>
    <x v="65"/>
    <x v="1"/>
    <x v="68"/>
    <x v="0"/>
    <x v="0"/>
    <x v="71"/>
    <x v="71"/>
    <x v="70"/>
    <x v="69"/>
    <x v="70"/>
    <x v="0"/>
    <x v="0"/>
    <x v="0"/>
    <x v="0"/>
    <x v="68"/>
    <x v="0"/>
  </r>
  <r>
    <x v="73"/>
    <x v="73"/>
    <x v="66"/>
    <x v="0"/>
    <x v="9"/>
    <x v="9"/>
    <x v="0"/>
    <x v="70"/>
    <x v="61"/>
    <x v="60"/>
    <x v="66"/>
    <x v="2"/>
    <x v="69"/>
    <x v="4"/>
    <x v="38"/>
    <x v="72"/>
    <x v="72"/>
    <x v="71"/>
    <x v="70"/>
    <x v="71"/>
    <x v="5"/>
    <x v="0"/>
    <x v="0"/>
    <x v="0"/>
    <x v="69"/>
    <x v="0"/>
  </r>
  <r>
    <x v="74"/>
    <x v="74"/>
    <x v="67"/>
    <x v="0"/>
    <x v="8"/>
    <x v="8"/>
    <x v="3"/>
    <x v="71"/>
    <x v="47"/>
    <x v="61"/>
    <x v="18"/>
    <x v="0"/>
    <x v="52"/>
    <x v="4"/>
    <x v="39"/>
    <x v="73"/>
    <x v="73"/>
    <x v="72"/>
    <x v="71"/>
    <x v="52"/>
    <x v="2"/>
    <x v="0"/>
    <x v="0"/>
    <x v="0"/>
    <x v="70"/>
    <x v="0"/>
  </r>
  <r>
    <x v="75"/>
    <x v="75"/>
    <x v="68"/>
    <x v="0"/>
    <x v="6"/>
    <x v="6"/>
    <x v="3"/>
    <x v="72"/>
    <x v="40"/>
    <x v="32"/>
    <x v="34"/>
    <x v="1"/>
    <x v="70"/>
    <x v="2"/>
    <x v="40"/>
    <x v="74"/>
    <x v="74"/>
    <x v="73"/>
    <x v="72"/>
    <x v="72"/>
    <x v="4"/>
    <x v="0"/>
    <x v="0"/>
    <x v="0"/>
    <x v="71"/>
    <x v="1"/>
  </r>
  <r>
    <x v="76"/>
    <x v="76"/>
    <x v="69"/>
    <x v="0"/>
    <x v="8"/>
    <x v="8"/>
    <x v="3"/>
    <x v="73"/>
    <x v="54"/>
    <x v="62"/>
    <x v="67"/>
    <x v="4"/>
    <x v="71"/>
    <x v="3"/>
    <x v="41"/>
    <x v="75"/>
    <x v="75"/>
    <x v="74"/>
    <x v="73"/>
    <x v="73"/>
    <x v="5"/>
    <x v="0"/>
    <x v="0"/>
    <x v="0"/>
    <x v="72"/>
    <x v="1"/>
  </r>
  <r>
    <x v="77"/>
    <x v="77"/>
    <x v="70"/>
    <x v="0"/>
    <x v="2"/>
    <x v="2"/>
    <x v="2"/>
    <x v="30"/>
    <x v="62"/>
    <x v="43"/>
    <x v="68"/>
    <x v="7"/>
    <x v="72"/>
    <x v="0"/>
    <x v="0"/>
    <x v="76"/>
    <x v="76"/>
    <x v="75"/>
    <x v="74"/>
    <x v="74"/>
    <x v="0"/>
    <x v="0"/>
    <x v="0"/>
    <x v="0"/>
    <x v="73"/>
    <x v="1"/>
  </r>
  <r>
    <x v="78"/>
    <x v="78"/>
    <x v="71"/>
    <x v="1"/>
    <x v="11"/>
    <x v="11"/>
    <x v="1"/>
    <x v="74"/>
    <x v="63"/>
    <x v="18"/>
    <x v="69"/>
    <x v="6"/>
    <x v="73"/>
    <x v="3"/>
    <x v="42"/>
    <x v="77"/>
    <x v="77"/>
    <x v="76"/>
    <x v="75"/>
    <x v="75"/>
    <x v="1"/>
    <x v="0"/>
    <x v="0"/>
    <x v="0"/>
    <x v="74"/>
    <x v="0"/>
  </r>
  <r>
    <x v="79"/>
    <x v="79"/>
    <x v="72"/>
    <x v="1"/>
    <x v="1"/>
    <x v="1"/>
    <x v="1"/>
    <x v="75"/>
    <x v="64"/>
    <x v="63"/>
    <x v="70"/>
    <x v="4"/>
    <x v="74"/>
    <x v="4"/>
    <x v="43"/>
    <x v="78"/>
    <x v="78"/>
    <x v="77"/>
    <x v="76"/>
    <x v="76"/>
    <x v="4"/>
    <x v="1"/>
    <x v="1"/>
    <x v="0"/>
    <x v="75"/>
    <x v="1"/>
  </r>
  <r>
    <x v="80"/>
    <x v="80"/>
    <x v="73"/>
    <x v="0"/>
    <x v="6"/>
    <x v="6"/>
    <x v="3"/>
    <x v="76"/>
    <x v="0"/>
    <x v="64"/>
    <x v="71"/>
    <x v="5"/>
    <x v="75"/>
    <x v="0"/>
    <x v="0"/>
    <x v="79"/>
    <x v="79"/>
    <x v="78"/>
    <x v="77"/>
    <x v="77"/>
    <x v="5"/>
    <x v="0"/>
    <x v="0"/>
    <x v="0"/>
    <x v="76"/>
    <x v="1"/>
  </r>
  <r>
    <x v="81"/>
    <x v="81"/>
    <x v="74"/>
    <x v="0"/>
    <x v="8"/>
    <x v="8"/>
    <x v="3"/>
    <x v="77"/>
    <x v="65"/>
    <x v="0"/>
    <x v="72"/>
    <x v="4"/>
    <x v="76"/>
    <x v="3"/>
    <x v="44"/>
    <x v="80"/>
    <x v="80"/>
    <x v="79"/>
    <x v="78"/>
    <x v="78"/>
    <x v="2"/>
    <x v="0"/>
    <x v="0"/>
    <x v="2"/>
    <x v="77"/>
    <x v="1"/>
  </r>
  <r>
    <x v="82"/>
    <x v="82"/>
    <x v="75"/>
    <x v="0"/>
    <x v="3"/>
    <x v="3"/>
    <x v="2"/>
    <x v="44"/>
    <x v="10"/>
    <x v="6"/>
    <x v="73"/>
    <x v="3"/>
    <x v="77"/>
    <x v="4"/>
    <x v="45"/>
    <x v="81"/>
    <x v="81"/>
    <x v="80"/>
    <x v="79"/>
    <x v="79"/>
    <x v="5"/>
    <x v="0"/>
    <x v="0"/>
    <x v="0"/>
    <x v="78"/>
    <x v="1"/>
  </r>
  <r>
    <x v="83"/>
    <x v="83"/>
    <x v="76"/>
    <x v="0"/>
    <x v="9"/>
    <x v="9"/>
    <x v="0"/>
    <x v="78"/>
    <x v="6"/>
    <x v="65"/>
    <x v="74"/>
    <x v="7"/>
    <x v="78"/>
    <x v="0"/>
    <x v="0"/>
    <x v="82"/>
    <x v="82"/>
    <x v="81"/>
    <x v="80"/>
    <x v="80"/>
    <x v="5"/>
    <x v="0"/>
    <x v="0"/>
    <x v="0"/>
    <x v="79"/>
    <x v="0"/>
  </r>
  <r>
    <x v="84"/>
    <x v="84"/>
    <x v="77"/>
    <x v="0"/>
    <x v="4"/>
    <x v="4"/>
    <x v="2"/>
    <x v="79"/>
    <x v="14"/>
    <x v="65"/>
    <x v="74"/>
    <x v="6"/>
    <x v="14"/>
    <x v="0"/>
    <x v="0"/>
    <x v="83"/>
    <x v="83"/>
    <x v="82"/>
    <x v="81"/>
    <x v="14"/>
    <x v="5"/>
    <x v="0"/>
    <x v="0"/>
    <x v="0"/>
    <x v="53"/>
    <x v="1"/>
  </r>
  <r>
    <x v="85"/>
    <x v="85"/>
    <x v="78"/>
    <x v="0"/>
    <x v="8"/>
    <x v="8"/>
    <x v="3"/>
    <x v="80"/>
    <x v="50"/>
    <x v="29"/>
    <x v="30"/>
    <x v="2"/>
    <x v="57"/>
    <x v="0"/>
    <x v="0"/>
    <x v="84"/>
    <x v="84"/>
    <x v="83"/>
    <x v="82"/>
    <x v="81"/>
    <x v="2"/>
    <x v="1"/>
    <x v="1"/>
    <x v="0"/>
    <x v="80"/>
    <x v="1"/>
  </r>
  <r>
    <x v="86"/>
    <x v="86"/>
    <x v="79"/>
    <x v="1"/>
    <x v="1"/>
    <x v="1"/>
    <x v="1"/>
    <x v="81"/>
    <x v="11"/>
    <x v="66"/>
    <x v="75"/>
    <x v="6"/>
    <x v="79"/>
    <x v="0"/>
    <x v="0"/>
    <x v="85"/>
    <x v="85"/>
    <x v="84"/>
    <x v="83"/>
    <x v="82"/>
    <x v="2"/>
    <x v="0"/>
    <x v="0"/>
    <x v="0"/>
    <x v="81"/>
    <x v="0"/>
  </r>
  <r>
    <x v="87"/>
    <x v="87"/>
    <x v="29"/>
    <x v="0"/>
    <x v="10"/>
    <x v="10"/>
    <x v="3"/>
    <x v="82"/>
    <x v="66"/>
    <x v="67"/>
    <x v="76"/>
    <x v="2"/>
    <x v="80"/>
    <x v="3"/>
    <x v="46"/>
    <x v="86"/>
    <x v="86"/>
    <x v="85"/>
    <x v="84"/>
    <x v="83"/>
    <x v="4"/>
    <x v="0"/>
    <x v="0"/>
    <x v="2"/>
    <x v="82"/>
    <x v="0"/>
  </r>
  <r>
    <x v="88"/>
    <x v="88"/>
    <x v="80"/>
    <x v="0"/>
    <x v="8"/>
    <x v="8"/>
    <x v="3"/>
    <x v="83"/>
    <x v="67"/>
    <x v="51"/>
    <x v="56"/>
    <x v="2"/>
    <x v="81"/>
    <x v="4"/>
    <x v="47"/>
    <x v="87"/>
    <x v="87"/>
    <x v="86"/>
    <x v="85"/>
    <x v="84"/>
    <x v="0"/>
    <x v="0"/>
    <x v="0"/>
    <x v="0"/>
    <x v="83"/>
    <x v="0"/>
  </r>
  <r>
    <x v="89"/>
    <x v="89"/>
    <x v="81"/>
    <x v="0"/>
    <x v="10"/>
    <x v="10"/>
    <x v="3"/>
    <x v="84"/>
    <x v="68"/>
    <x v="68"/>
    <x v="77"/>
    <x v="2"/>
    <x v="82"/>
    <x v="2"/>
    <x v="48"/>
    <x v="88"/>
    <x v="88"/>
    <x v="87"/>
    <x v="86"/>
    <x v="85"/>
    <x v="0"/>
    <x v="0"/>
    <x v="0"/>
    <x v="0"/>
    <x v="84"/>
    <x v="0"/>
  </r>
  <r>
    <x v="90"/>
    <x v="90"/>
    <x v="82"/>
    <x v="0"/>
    <x v="4"/>
    <x v="4"/>
    <x v="2"/>
    <x v="85"/>
    <x v="69"/>
    <x v="37"/>
    <x v="78"/>
    <x v="8"/>
    <x v="83"/>
    <x v="0"/>
    <x v="0"/>
    <x v="89"/>
    <x v="89"/>
    <x v="88"/>
    <x v="87"/>
    <x v="86"/>
    <x v="4"/>
    <x v="0"/>
    <x v="0"/>
    <x v="0"/>
    <x v="85"/>
    <x v="0"/>
  </r>
  <r>
    <x v="91"/>
    <x v="91"/>
    <x v="83"/>
    <x v="1"/>
    <x v="1"/>
    <x v="1"/>
    <x v="1"/>
    <x v="86"/>
    <x v="49"/>
    <x v="69"/>
    <x v="79"/>
    <x v="6"/>
    <x v="84"/>
    <x v="3"/>
    <x v="49"/>
    <x v="90"/>
    <x v="90"/>
    <x v="89"/>
    <x v="88"/>
    <x v="87"/>
    <x v="4"/>
    <x v="0"/>
    <x v="0"/>
    <x v="1"/>
    <x v="86"/>
    <x v="0"/>
  </r>
  <r>
    <x v="92"/>
    <x v="92"/>
    <x v="84"/>
    <x v="0"/>
    <x v="9"/>
    <x v="9"/>
    <x v="0"/>
    <x v="43"/>
    <x v="70"/>
    <x v="70"/>
    <x v="80"/>
    <x v="7"/>
    <x v="85"/>
    <x v="3"/>
    <x v="50"/>
    <x v="91"/>
    <x v="91"/>
    <x v="90"/>
    <x v="89"/>
    <x v="88"/>
    <x v="4"/>
    <x v="0"/>
    <x v="0"/>
    <x v="0"/>
    <x v="87"/>
    <x v="1"/>
  </r>
  <r>
    <x v="93"/>
    <x v="93"/>
    <x v="34"/>
    <x v="0"/>
    <x v="9"/>
    <x v="9"/>
    <x v="0"/>
    <x v="62"/>
    <x v="25"/>
    <x v="71"/>
    <x v="81"/>
    <x v="3"/>
    <x v="86"/>
    <x v="3"/>
    <x v="51"/>
    <x v="92"/>
    <x v="92"/>
    <x v="91"/>
    <x v="90"/>
    <x v="89"/>
    <x v="2"/>
    <x v="0"/>
    <x v="0"/>
    <x v="0"/>
    <x v="88"/>
    <x v="0"/>
  </r>
  <r>
    <x v="94"/>
    <x v="94"/>
    <x v="85"/>
    <x v="0"/>
    <x v="5"/>
    <x v="5"/>
    <x v="0"/>
    <x v="87"/>
    <x v="11"/>
    <x v="0"/>
    <x v="82"/>
    <x v="0"/>
    <x v="87"/>
    <x v="2"/>
    <x v="52"/>
    <x v="93"/>
    <x v="93"/>
    <x v="92"/>
    <x v="91"/>
    <x v="90"/>
    <x v="3"/>
    <x v="0"/>
    <x v="0"/>
    <x v="2"/>
    <x v="6"/>
    <x v="0"/>
  </r>
  <r>
    <x v="95"/>
    <x v="95"/>
    <x v="86"/>
    <x v="0"/>
    <x v="6"/>
    <x v="6"/>
    <x v="3"/>
    <x v="20"/>
    <x v="71"/>
    <x v="14"/>
    <x v="83"/>
    <x v="3"/>
    <x v="88"/>
    <x v="1"/>
    <x v="53"/>
    <x v="94"/>
    <x v="94"/>
    <x v="93"/>
    <x v="92"/>
    <x v="91"/>
    <x v="0"/>
    <x v="0"/>
    <x v="0"/>
    <x v="0"/>
    <x v="89"/>
    <x v="0"/>
  </r>
  <r>
    <x v="96"/>
    <x v="96"/>
    <x v="47"/>
    <x v="0"/>
    <x v="5"/>
    <x v="5"/>
    <x v="0"/>
    <x v="88"/>
    <x v="8"/>
    <x v="42"/>
    <x v="84"/>
    <x v="1"/>
    <x v="8"/>
    <x v="2"/>
    <x v="54"/>
    <x v="95"/>
    <x v="95"/>
    <x v="94"/>
    <x v="93"/>
    <x v="92"/>
    <x v="3"/>
    <x v="0"/>
    <x v="0"/>
    <x v="0"/>
    <x v="90"/>
    <x v="0"/>
  </r>
  <r>
    <x v="97"/>
    <x v="97"/>
    <x v="87"/>
    <x v="0"/>
    <x v="10"/>
    <x v="10"/>
    <x v="3"/>
    <x v="89"/>
    <x v="72"/>
    <x v="47"/>
    <x v="51"/>
    <x v="3"/>
    <x v="89"/>
    <x v="2"/>
    <x v="55"/>
    <x v="96"/>
    <x v="96"/>
    <x v="95"/>
    <x v="94"/>
    <x v="93"/>
    <x v="1"/>
    <x v="0"/>
    <x v="0"/>
    <x v="0"/>
    <x v="91"/>
    <x v="0"/>
  </r>
  <r>
    <x v="98"/>
    <x v="98"/>
    <x v="88"/>
    <x v="1"/>
    <x v="7"/>
    <x v="7"/>
    <x v="1"/>
    <x v="90"/>
    <x v="73"/>
    <x v="72"/>
    <x v="85"/>
    <x v="4"/>
    <x v="90"/>
    <x v="0"/>
    <x v="0"/>
    <x v="97"/>
    <x v="97"/>
    <x v="96"/>
    <x v="95"/>
    <x v="94"/>
    <x v="2"/>
    <x v="0"/>
    <x v="0"/>
    <x v="0"/>
    <x v="92"/>
    <x v="1"/>
  </r>
  <r>
    <x v="99"/>
    <x v="99"/>
    <x v="8"/>
    <x v="0"/>
    <x v="4"/>
    <x v="4"/>
    <x v="2"/>
    <x v="91"/>
    <x v="74"/>
    <x v="73"/>
    <x v="86"/>
    <x v="3"/>
    <x v="91"/>
    <x v="0"/>
    <x v="0"/>
    <x v="98"/>
    <x v="98"/>
    <x v="97"/>
    <x v="96"/>
    <x v="95"/>
    <x v="4"/>
    <x v="0"/>
    <x v="0"/>
    <x v="0"/>
    <x v="93"/>
    <x v="0"/>
  </r>
  <r>
    <x v="100"/>
    <x v="100"/>
    <x v="89"/>
    <x v="0"/>
    <x v="4"/>
    <x v="4"/>
    <x v="2"/>
    <x v="92"/>
    <x v="75"/>
    <x v="2"/>
    <x v="87"/>
    <x v="1"/>
    <x v="92"/>
    <x v="0"/>
    <x v="0"/>
    <x v="99"/>
    <x v="99"/>
    <x v="98"/>
    <x v="97"/>
    <x v="96"/>
    <x v="5"/>
    <x v="0"/>
    <x v="0"/>
    <x v="0"/>
    <x v="94"/>
    <x v="0"/>
  </r>
  <r>
    <x v="101"/>
    <x v="101"/>
    <x v="90"/>
    <x v="1"/>
    <x v="7"/>
    <x v="7"/>
    <x v="1"/>
    <x v="93"/>
    <x v="55"/>
    <x v="27"/>
    <x v="28"/>
    <x v="2"/>
    <x v="93"/>
    <x v="2"/>
    <x v="56"/>
    <x v="100"/>
    <x v="100"/>
    <x v="64"/>
    <x v="98"/>
    <x v="97"/>
    <x v="3"/>
    <x v="0"/>
    <x v="0"/>
    <x v="0"/>
    <x v="95"/>
    <x v="1"/>
  </r>
  <r>
    <x v="102"/>
    <x v="102"/>
    <x v="91"/>
    <x v="1"/>
    <x v="1"/>
    <x v="1"/>
    <x v="1"/>
    <x v="94"/>
    <x v="14"/>
    <x v="9"/>
    <x v="9"/>
    <x v="4"/>
    <x v="94"/>
    <x v="2"/>
    <x v="57"/>
    <x v="101"/>
    <x v="101"/>
    <x v="99"/>
    <x v="99"/>
    <x v="98"/>
    <x v="2"/>
    <x v="0"/>
    <x v="0"/>
    <x v="0"/>
    <x v="96"/>
    <x v="1"/>
  </r>
  <r>
    <x v="103"/>
    <x v="103"/>
    <x v="92"/>
    <x v="0"/>
    <x v="4"/>
    <x v="4"/>
    <x v="2"/>
    <x v="95"/>
    <x v="76"/>
    <x v="74"/>
    <x v="88"/>
    <x v="2"/>
    <x v="95"/>
    <x v="0"/>
    <x v="0"/>
    <x v="102"/>
    <x v="102"/>
    <x v="100"/>
    <x v="100"/>
    <x v="99"/>
    <x v="5"/>
    <x v="0"/>
    <x v="0"/>
    <x v="0"/>
    <x v="97"/>
    <x v="0"/>
  </r>
  <r>
    <x v="104"/>
    <x v="104"/>
    <x v="93"/>
    <x v="0"/>
    <x v="9"/>
    <x v="9"/>
    <x v="0"/>
    <x v="96"/>
    <x v="77"/>
    <x v="63"/>
    <x v="70"/>
    <x v="2"/>
    <x v="96"/>
    <x v="4"/>
    <x v="9"/>
    <x v="103"/>
    <x v="103"/>
    <x v="101"/>
    <x v="101"/>
    <x v="100"/>
    <x v="5"/>
    <x v="0"/>
    <x v="0"/>
    <x v="1"/>
    <x v="98"/>
    <x v="0"/>
  </r>
  <r>
    <x v="105"/>
    <x v="105"/>
    <x v="94"/>
    <x v="0"/>
    <x v="4"/>
    <x v="4"/>
    <x v="2"/>
    <x v="97"/>
    <x v="30"/>
    <x v="75"/>
    <x v="89"/>
    <x v="2"/>
    <x v="34"/>
    <x v="3"/>
    <x v="58"/>
    <x v="104"/>
    <x v="104"/>
    <x v="102"/>
    <x v="102"/>
    <x v="101"/>
    <x v="4"/>
    <x v="0"/>
    <x v="0"/>
    <x v="0"/>
    <x v="99"/>
    <x v="1"/>
  </r>
  <r>
    <x v="106"/>
    <x v="106"/>
    <x v="69"/>
    <x v="0"/>
    <x v="8"/>
    <x v="8"/>
    <x v="3"/>
    <x v="98"/>
    <x v="78"/>
    <x v="34"/>
    <x v="32"/>
    <x v="2"/>
    <x v="97"/>
    <x v="1"/>
    <x v="59"/>
    <x v="105"/>
    <x v="105"/>
    <x v="103"/>
    <x v="103"/>
    <x v="102"/>
    <x v="1"/>
    <x v="0"/>
    <x v="0"/>
    <x v="2"/>
    <x v="100"/>
    <x v="1"/>
  </r>
  <r>
    <x v="107"/>
    <x v="107"/>
    <x v="95"/>
    <x v="0"/>
    <x v="8"/>
    <x v="8"/>
    <x v="3"/>
    <x v="74"/>
    <x v="61"/>
    <x v="76"/>
    <x v="90"/>
    <x v="3"/>
    <x v="98"/>
    <x v="0"/>
    <x v="0"/>
    <x v="106"/>
    <x v="106"/>
    <x v="104"/>
    <x v="104"/>
    <x v="103"/>
    <x v="3"/>
    <x v="0"/>
    <x v="0"/>
    <x v="0"/>
    <x v="101"/>
    <x v="1"/>
  </r>
  <r>
    <x v="108"/>
    <x v="108"/>
    <x v="96"/>
    <x v="0"/>
    <x v="3"/>
    <x v="3"/>
    <x v="2"/>
    <x v="99"/>
    <x v="67"/>
    <x v="77"/>
    <x v="91"/>
    <x v="6"/>
    <x v="81"/>
    <x v="4"/>
    <x v="60"/>
    <x v="107"/>
    <x v="107"/>
    <x v="105"/>
    <x v="105"/>
    <x v="104"/>
    <x v="4"/>
    <x v="0"/>
    <x v="0"/>
    <x v="0"/>
    <x v="102"/>
    <x v="0"/>
  </r>
  <r>
    <x v="109"/>
    <x v="109"/>
    <x v="97"/>
    <x v="0"/>
    <x v="4"/>
    <x v="4"/>
    <x v="2"/>
    <x v="100"/>
    <x v="37"/>
    <x v="10"/>
    <x v="10"/>
    <x v="2"/>
    <x v="99"/>
    <x v="0"/>
    <x v="0"/>
    <x v="108"/>
    <x v="108"/>
    <x v="106"/>
    <x v="106"/>
    <x v="105"/>
    <x v="0"/>
    <x v="0"/>
    <x v="0"/>
    <x v="0"/>
    <x v="103"/>
    <x v="1"/>
  </r>
  <r>
    <x v="110"/>
    <x v="110"/>
    <x v="91"/>
    <x v="1"/>
    <x v="1"/>
    <x v="1"/>
    <x v="1"/>
    <x v="101"/>
    <x v="46"/>
    <x v="20"/>
    <x v="20"/>
    <x v="1"/>
    <x v="100"/>
    <x v="4"/>
    <x v="61"/>
    <x v="109"/>
    <x v="109"/>
    <x v="107"/>
    <x v="107"/>
    <x v="106"/>
    <x v="0"/>
    <x v="0"/>
    <x v="0"/>
    <x v="0"/>
    <x v="104"/>
    <x v="1"/>
  </r>
  <r>
    <x v="111"/>
    <x v="111"/>
    <x v="98"/>
    <x v="0"/>
    <x v="6"/>
    <x v="6"/>
    <x v="3"/>
    <x v="102"/>
    <x v="18"/>
    <x v="78"/>
    <x v="92"/>
    <x v="2"/>
    <x v="18"/>
    <x v="2"/>
    <x v="62"/>
    <x v="110"/>
    <x v="110"/>
    <x v="108"/>
    <x v="108"/>
    <x v="107"/>
    <x v="5"/>
    <x v="0"/>
    <x v="0"/>
    <x v="2"/>
    <x v="105"/>
    <x v="1"/>
  </r>
  <r>
    <x v="112"/>
    <x v="112"/>
    <x v="99"/>
    <x v="0"/>
    <x v="6"/>
    <x v="6"/>
    <x v="3"/>
    <x v="103"/>
    <x v="79"/>
    <x v="79"/>
    <x v="93"/>
    <x v="3"/>
    <x v="101"/>
    <x v="1"/>
    <x v="63"/>
    <x v="111"/>
    <x v="111"/>
    <x v="109"/>
    <x v="109"/>
    <x v="108"/>
    <x v="1"/>
    <x v="0"/>
    <x v="0"/>
    <x v="0"/>
    <x v="106"/>
    <x v="0"/>
  </r>
  <r>
    <x v="113"/>
    <x v="113"/>
    <x v="34"/>
    <x v="0"/>
    <x v="9"/>
    <x v="9"/>
    <x v="0"/>
    <x v="104"/>
    <x v="80"/>
    <x v="80"/>
    <x v="94"/>
    <x v="2"/>
    <x v="102"/>
    <x v="0"/>
    <x v="0"/>
    <x v="112"/>
    <x v="112"/>
    <x v="110"/>
    <x v="110"/>
    <x v="109"/>
    <x v="0"/>
    <x v="0"/>
    <x v="0"/>
    <x v="0"/>
    <x v="107"/>
    <x v="0"/>
  </r>
  <r>
    <x v="114"/>
    <x v="114"/>
    <x v="100"/>
    <x v="0"/>
    <x v="4"/>
    <x v="4"/>
    <x v="2"/>
    <x v="105"/>
    <x v="27"/>
    <x v="81"/>
    <x v="95"/>
    <x v="2"/>
    <x v="31"/>
    <x v="3"/>
    <x v="64"/>
    <x v="113"/>
    <x v="113"/>
    <x v="31"/>
    <x v="111"/>
    <x v="110"/>
    <x v="4"/>
    <x v="1"/>
    <x v="1"/>
    <x v="1"/>
    <x v="108"/>
    <x v="0"/>
  </r>
  <r>
    <x v="115"/>
    <x v="115"/>
    <x v="101"/>
    <x v="0"/>
    <x v="0"/>
    <x v="0"/>
    <x v="0"/>
    <x v="106"/>
    <x v="81"/>
    <x v="82"/>
    <x v="96"/>
    <x v="0"/>
    <x v="103"/>
    <x v="0"/>
    <x v="0"/>
    <x v="114"/>
    <x v="114"/>
    <x v="111"/>
    <x v="112"/>
    <x v="111"/>
    <x v="0"/>
    <x v="0"/>
    <x v="0"/>
    <x v="0"/>
    <x v="109"/>
    <x v="0"/>
  </r>
  <r>
    <x v="116"/>
    <x v="116"/>
    <x v="6"/>
    <x v="0"/>
    <x v="3"/>
    <x v="3"/>
    <x v="2"/>
    <x v="107"/>
    <x v="74"/>
    <x v="0"/>
    <x v="19"/>
    <x v="2"/>
    <x v="104"/>
    <x v="3"/>
    <x v="65"/>
    <x v="115"/>
    <x v="115"/>
    <x v="112"/>
    <x v="113"/>
    <x v="112"/>
    <x v="4"/>
    <x v="1"/>
    <x v="1"/>
    <x v="0"/>
    <x v="89"/>
    <x v="0"/>
  </r>
  <r>
    <x v="117"/>
    <x v="117"/>
    <x v="102"/>
    <x v="0"/>
    <x v="8"/>
    <x v="8"/>
    <x v="3"/>
    <x v="108"/>
    <x v="61"/>
    <x v="79"/>
    <x v="97"/>
    <x v="5"/>
    <x v="105"/>
    <x v="4"/>
    <x v="66"/>
    <x v="116"/>
    <x v="116"/>
    <x v="113"/>
    <x v="114"/>
    <x v="113"/>
    <x v="3"/>
    <x v="0"/>
    <x v="0"/>
    <x v="0"/>
    <x v="110"/>
    <x v="1"/>
  </r>
  <r>
    <x v="118"/>
    <x v="118"/>
    <x v="103"/>
    <x v="0"/>
    <x v="4"/>
    <x v="4"/>
    <x v="2"/>
    <x v="109"/>
    <x v="64"/>
    <x v="83"/>
    <x v="98"/>
    <x v="2"/>
    <x v="74"/>
    <x v="2"/>
    <x v="67"/>
    <x v="117"/>
    <x v="117"/>
    <x v="114"/>
    <x v="115"/>
    <x v="114"/>
    <x v="0"/>
    <x v="0"/>
    <x v="0"/>
    <x v="0"/>
    <x v="111"/>
    <x v="1"/>
  </r>
  <r>
    <x v="119"/>
    <x v="119"/>
    <x v="104"/>
    <x v="1"/>
    <x v="7"/>
    <x v="7"/>
    <x v="1"/>
    <x v="110"/>
    <x v="16"/>
    <x v="84"/>
    <x v="99"/>
    <x v="0"/>
    <x v="106"/>
    <x v="4"/>
    <x v="68"/>
    <x v="118"/>
    <x v="118"/>
    <x v="115"/>
    <x v="116"/>
    <x v="115"/>
    <x v="5"/>
    <x v="1"/>
    <x v="1"/>
    <x v="2"/>
    <x v="112"/>
    <x v="0"/>
  </r>
  <r>
    <x v="120"/>
    <x v="120"/>
    <x v="105"/>
    <x v="0"/>
    <x v="6"/>
    <x v="6"/>
    <x v="3"/>
    <x v="111"/>
    <x v="64"/>
    <x v="19"/>
    <x v="54"/>
    <x v="6"/>
    <x v="74"/>
    <x v="2"/>
    <x v="69"/>
    <x v="119"/>
    <x v="119"/>
    <x v="116"/>
    <x v="117"/>
    <x v="116"/>
    <x v="1"/>
    <x v="0"/>
    <x v="0"/>
    <x v="0"/>
    <x v="113"/>
    <x v="0"/>
  </r>
  <r>
    <x v="121"/>
    <x v="121"/>
    <x v="34"/>
    <x v="0"/>
    <x v="9"/>
    <x v="9"/>
    <x v="0"/>
    <x v="112"/>
    <x v="82"/>
    <x v="16"/>
    <x v="100"/>
    <x v="0"/>
    <x v="107"/>
    <x v="0"/>
    <x v="0"/>
    <x v="120"/>
    <x v="120"/>
    <x v="117"/>
    <x v="52"/>
    <x v="117"/>
    <x v="0"/>
    <x v="1"/>
    <x v="1"/>
    <x v="2"/>
    <x v="114"/>
    <x v="0"/>
  </r>
  <r>
    <x v="122"/>
    <x v="122"/>
    <x v="106"/>
    <x v="0"/>
    <x v="3"/>
    <x v="3"/>
    <x v="2"/>
    <x v="113"/>
    <x v="83"/>
    <x v="85"/>
    <x v="101"/>
    <x v="6"/>
    <x v="108"/>
    <x v="0"/>
    <x v="0"/>
    <x v="121"/>
    <x v="121"/>
    <x v="118"/>
    <x v="118"/>
    <x v="118"/>
    <x v="4"/>
    <x v="0"/>
    <x v="0"/>
    <x v="0"/>
    <x v="115"/>
    <x v="1"/>
  </r>
  <r>
    <x v="123"/>
    <x v="123"/>
    <x v="86"/>
    <x v="0"/>
    <x v="6"/>
    <x v="6"/>
    <x v="3"/>
    <x v="114"/>
    <x v="11"/>
    <x v="83"/>
    <x v="98"/>
    <x v="0"/>
    <x v="87"/>
    <x v="4"/>
    <x v="70"/>
    <x v="122"/>
    <x v="122"/>
    <x v="92"/>
    <x v="119"/>
    <x v="119"/>
    <x v="3"/>
    <x v="0"/>
    <x v="0"/>
    <x v="0"/>
    <x v="116"/>
    <x v="0"/>
  </r>
  <r>
    <x v="124"/>
    <x v="124"/>
    <x v="93"/>
    <x v="0"/>
    <x v="9"/>
    <x v="9"/>
    <x v="0"/>
    <x v="115"/>
    <x v="84"/>
    <x v="61"/>
    <x v="102"/>
    <x v="6"/>
    <x v="109"/>
    <x v="3"/>
    <x v="71"/>
    <x v="123"/>
    <x v="123"/>
    <x v="119"/>
    <x v="120"/>
    <x v="120"/>
    <x v="0"/>
    <x v="0"/>
    <x v="0"/>
    <x v="0"/>
    <x v="117"/>
    <x v="0"/>
  </r>
  <r>
    <x v="125"/>
    <x v="125"/>
    <x v="107"/>
    <x v="0"/>
    <x v="8"/>
    <x v="8"/>
    <x v="3"/>
    <x v="116"/>
    <x v="85"/>
    <x v="39"/>
    <x v="103"/>
    <x v="1"/>
    <x v="110"/>
    <x v="3"/>
    <x v="72"/>
    <x v="124"/>
    <x v="124"/>
    <x v="120"/>
    <x v="15"/>
    <x v="121"/>
    <x v="1"/>
    <x v="0"/>
    <x v="0"/>
    <x v="0"/>
    <x v="118"/>
    <x v="1"/>
  </r>
  <r>
    <x v="126"/>
    <x v="126"/>
    <x v="108"/>
    <x v="0"/>
    <x v="5"/>
    <x v="5"/>
    <x v="0"/>
    <x v="117"/>
    <x v="19"/>
    <x v="86"/>
    <x v="102"/>
    <x v="1"/>
    <x v="19"/>
    <x v="3"/>
    <x v="73"/>
    <x v="125"/>
    <x v="125"/>
    <x v="121"/>
    <x v="121"/>
    <x v="19"/>
    <x v="5"/>
    <x v="0"/>
    <x v="0"/>
    <x v="0"/>
    <x v="119"/>
    <x v="1"/>
  </r>
  <r>
    <x v="127"/>
    <x v="127"/>
    <x v="109"/>
    <x v="1"/>
    <x v="7"/>
    <x v="7"/>
    <x v="1"/>
    <x v="118"/>
    <x v="54"/>
    <x v="87"/>
    <x v="104"/>
    <x v="6"/>
    <x v="111"/>
    <x v="0"/>
    <x v="0"/>
    <x v="126"/>
    <x v="126"/>
    <x v="122"/>
    <x v="122"/>
    <x v="122"/>
    <x v="2"/>
    <x v="0"/>
    <x v="0"/>
    <x v="2"/>
    <x v="120"/>
    <x v="1"/>
  </r>
  <r>
    <x v="128"/>
    <x v="128"/>
    <x v="36"/>
    <x v="1"/>
    <x v="7"/>
    <x v="7"/>
    <x v="1"/>
    <x v="119"/>
    <x v="86"/>
    <x v="88"/>
    <x v="105"/>
    <x v="6"/>
    <x v="112"/>
    <x v="1"/>
    <x v="74"/>
    <x v="127"/>
    <x v="127"/>
    <x v="123"/>
    <x v="123"/>
    <x v="123"/>
    <x v="4"/>
    <x v="0"/>
    <x v="0"/>
    <x v="0"/>
    <x v="121"/>
    <x v="1"/>
  </r>
  <r>
    <x v="129"/>
    <x v="129"/>
    <x v="110"/>
    <x v="1"/>
    <x v="1"/>
    <x v="1"/>
    <x v="1"/>
    <x v="120"/>
    <x v="87"/>
    <x v="5"/>
    <x v="106"/>
    <x v="5"/>
    <x v="113"/>
    <x v="3"/>
    <x v="75"/>
    <x v="128"/>
    <x v="128"/>
    <x v="124"/>
    <x v="124"/>
    <x v="124"/>
    <x v="4"/>
    <x v="0"/>
    <x v="0"/>
    <x v="0"/>
    <x v="122"/>
    <x v="0"/>
  </r>
  <r>
    <x v="130"/>
    <x v="130"/>
    <x v="111"/>
    <x v="0"/>
    <x v="10"/>
    <x v="10"/>
    <x v="3"/>
    <x v="121"/>
    <x v="30"/>
    <x v="67"/>
    <x v="76"/>
    <x v="1"/>
    <x v="34"/>
    <x v="1"/>
    <x v="76"/>
    <x v="129"/>
    <x v="129"/>
    <x v="125"/>
    <x v="125"/>
    <x v="125"/>
    <x v="3"/>
    <x v="0"/>
    <x v="0"/>
    <x v="0"/>
    <x v="123"/>
    <x v="1"/>
  </r>
  <r>
    <x v="131"/>
    <x v="131"/>
    <x v="80"/>
    <x v="0"/>
    <x v="8"/>
    <x v="8"/>
    <x v="3"/>
    <x v="122"/>
    <x v="38"/>
    <x v="17"/>
    <x v="107"/>
    <x v="2"/>
    <x v="43"/>
    <x v="0"/>
    <x v="0"/>
    <x v="130"/>
    <x v="130"/>
    <x v="126"/>
    <x v="126"/>
    <x v="126"/>
    <x v="4"/>
    <x v="0"/>
    <x v="0"/>
    <x v="0"/>
    <x v="68"/>
    <x v="0"/>
  </r>
  <r>
    <x v="132"/>
    <x v="132"/>
    <x v="0"/>
    <x v="0"/>
    <x v="0"/>
    <x v="0"/>
    <x v="0"/>
    <x v="123"/>
    <x v="27"/>
    <x v="79"/>
    <x v="93"/>
    <x v="2"/>
    <x v="114"/>
    <x v="3"/>
    <x v="77"/>
    <x v="131"/>
    <x v="131"/>
    <x v="31"/>
    <x v="127"/>
    <x v="127"/>
    <x v="4"/>
    <x v="0"/>
    <x v="0"/>
    <x v="0"/>
    <x v="124"/>
    <x v="0"/>
  </r>
  <r>
    <x v="133"/>
    <x v="133"/>
    <x v="57"/>
    <x v="0"/>
    <x v="10"/>
    <x v="10"/>
    <x v="3"/>
    <x v="124"/>
    <x v="11"/>
    <x v="89"/>
    <x v="108"/>
    <x v="6"/>
    <x v="115"/>
    <x v="3"/>
    <x v="78"/>
    <x v="132"/>
    <x v="132"/>
    <x v="84"/>
    <x v="128"/>
    <x v="128"/>
    <x v="0"/>
    <x v="0"/>
    <x v="0"/>
    <x v="0"/>
    <x v="55"/>
    <x v="0"/>
  </r>
  <r>
    <x v="134"/>
    <x v="134"/>
    <x v="112"/>
    <x v="0"/>
    <x v="10"/>
    <x v="10"/>
    <x v="3"/>
    <x v="125"/>
    <x v="72"/>
    <x v="90"/>
    <x v="109"/>
    <x v="6"/>
    <x v="116"/>
    <x v="2"/>
    <x v="79"/>
    <x v="133"/>
    <x v="133"/>
    <x v="127"/>
    <x v="129"/>
    <x v="129"/>
    <x v="4"/>
    <x v="0"/>
    <x v="0"/>
    <x v="2"/>
    <x v="51"/>
    <x v="1"/>
  </r>
  <r>
    <x v="135"/>
    <x v="135"/>
    <x v="113"/>
    <x v="0"/>
    <x v="4"/>
    <x v="4"/>
    <x v="2"/>
    <x v="126"/>
    <x v="88"/>
    <x v="91"/>
    <x v="110"/>
    <x v="2"/>
    <x v="117"/>
    <x v="1"/>
    <x v="80"/>
    <x v="134"/>
    <x v="134"/>
    <x v="128"/>
    <x v="130"/>
    <x v="130"/>
    <x v="0"/>
    <x v="0"/>
    <x v="0"/>
    <x v="0"/>
    <x v="125"/>
    <x v="1"/>
  </r>
  <r>
    <x v="136"/>
    <x v="136"/>
    <x v="114"/>
    <x v="1"/>
    <x v="1"/>
    <x v="1"/>
    <x v="1"/>
    <x v="127"/>
    <x v="89"/>
    <x v="92"/>
    <x v="111"/>
    <x v="2"/>
    <x v="118"/>
    <x v="0"/>
    <x v="0"/>
    <x v="135"/>
    <x v="135"/>
    <x v="129"/>
    <x v="131"/>
    <x v="131"/>
    <x v="5"/>
    <x v="0"/>
    <x v="0"/>
    <x v="0"/>
    <x v="81"/>
    <x v="1"/>
  </r>
  <r>
    <x v="137"/>
    <x v="137"/>
    <x v="115"/>
    <x v="0"/>
    <x v="10"/>
    <x v="10"/>
    <x v="3"/>
    <x v="128"/>
    <x v="0"/>
    <x v="11"/>
    <x v="11"/>
    <x v="1"/>
    <x v="0"/>
    <x v="2"/>
    <x v="81"/>
    <x v="136"/>
    <x v="136"/>
    <x v="130"/>
    <x v="132"/>
    <x v="132"/>
    <x v="2"/>
    <x v="0"/>
    <x v="0"/>
    <x v="2"/>
    <x v="114"/>
    <x v="1"/>
  </r>
  <r>
    <x v="138"/>
    <x v="138"/>
    <x v="116"/>
    <x v="0"/>
    <x v="8"/>
    <x v="8"/>
    <x v="3"/>
    <x v="84"/>
    <x v="90"/>
    <x v="35"/>
    <x v="36"/>
    <x v="1"/>
    <x v="119"/>
    <x v="1"/>
    <x v="82"/>
    <x v="137"/>
    <x v="137"/>
    <x v="131"/>
    <x v="133"/>
    <x v="133"/>
    <x v="4"/>
    <x v="0"/>
    <x v="0"/>
    <x v="0"/>
    <x v="126"/>
    <x v="1"/>
  </r>
  <r>
    <x v="139"/>
    <x v="139"/>
    <x v="117"/>
    <x v="0"/>
    <x v="0"/>
    <x v="0"/>
    <x v="0"/>
    <x v="129"/>
    <x v="91"/>
    <x v="59"/>
    <x v="112"/>
    <x v="4"/>
    <x v="120"/>
    <x v="0"/>
    <x v="0"/>
    <x v="138"/>
    <x v="138"/>
    <x v="132"/>
    <x v="134"/>
    <x v="134"/>
    <x v="2"/>
    <x v="0"/>
    <x v="0"/>
    <x v="1"/>
    <x v="127"/>
    <x v="1"/>
  </r>
  <r>
    <x v="140"/>
    <x v="140"/>
    <x v="79"/>
    <x v="1"/>
    <x v="1"/>
    <x v="1"/>
    <x v="1"/>
    <x v="52"/>
    <x v="92"/>
    <x v="93"/>
    <x v="113"/>
    <x v="2"/>
    <x v="121"/>
    <x v="0"/>
    <x v="0"/>
    <x v="139"/>
    <x v="139"/>
    <x v="133"/>
    <x v="135"/>
    <x v="135"/>
    <x v="4"/>
    <x v="0"/>
    <x v="0"/>
    <x v="2"/>
    <x v="128"/>
    <x v="0"/>
  </r>
  <r>
    <x v="141"/>
    <x v="141"/>
    <x v="118"/>
    <x v="0"/>
    <x v="5"/>
    <x v="5"/>
    <x v="0"/>
    <x v="98"/>
    <x v="93"/>
    <x v="45"/>
    <x v="48"/>
    <x v="7"/>
    <x v="122"/>
    <x v="3"/>
    <x v="83"/>
    <x v="140"/>
    <x v="140"/>
    <x v="134"/>
    <x v="136"/>
    <x v="136"/>
    <x v="1"/>
    <x v="0"/>
    <x v="0"/>
    <x v="2"/>
    <x v="129"/>
    <x v="0"/>
  </r>
  <r>
    <x v="142"/>
    <x v="142"/>
    <x v="48"/>
    <x v="0"/>
    <x v="0"/>
    <x v="0"/>
    <x v="0"/>
    <x v="130"/>
    <x v="25"/>
    <x v="13"/>
    <x v="114"/>
    <x v="4"/>
    <x v="28"/>
    <x v="2"/>
    <x v="84"/>
    <x v="141"/>
    <x v="141"/>
    <x v="135"/>
    <x v="137"/>
    <x v="137"/>
    <x v="1"/>
    <x v="0"/>
    <x v="0"/>
    <x v="0"/>
    <x v="130"/>
    <x v="1"/>
  </r>
  <r>
    <x v="143"/>
    <x v="143"/>
    <x v="110"/>
    <x v="1"/>
    <x v="1"/>
    <x v="1"/>
    <x v="1"/>
    <x v="131"/>
    <x v="66"/>
    <x v="78"/>
    <x v="91"/>
    <x v="6"/>
    <x v="80"/>
    <x v="0"/>
    <x v="0"/>
    <x v="142"/>
    <x v="142"/>
    <x v="136"/>
    <x v="138"/>
    <x v="138"/>
    <x v="5"/>
    <x v="0"/>
    <x v="0"/>
    <x v="0"/>
    <x v="59"/>
    <x v="0"/>
  </r>
  <r>
    <x v="144"/>
    <x v="144"/>
    <x v="119"/>
    <x v="1"/>
    <x v="7"/>
    <x v="7"/>
    <x v="1"/>
    <x v="132"/>
    <x v="11"/>
    <x v="82"/>
    <x v="115"/>
    <x v="6"/>
    <x v="87"/>
    <x v="1"/>
    <x v="85"/>
    <x v="143"/>
    <x v="143"/>
    <x v="84"/>
    <x v="139"/>
    <x v="139"/>
    <x v="5"/>
    <x v="0"/>
    <x v="0"/>
    <x v="2"/>
    <x v="131"/>
    <x v="1"/>
  </r>
  <r>
    <x v="145"/>
    <x v="145"/>
    <x v="87"/>
    <x v="0"/>
    <x v="10"/>
    <x v="10"/>
    <x v="3"/>
    <x v="10"/>
    <x v="94"/>
    <x v="87"/>
    <x v="104"/>
    <x v="5"/>
    <x v="123"/>
    <x v="4"/>
    <x v="86"/>
    <x v="144"/>
    <x v="144"/>
    <x v="137"/>
    <x v="140"/>
    <x v="140"/>
    <x v="0"/>
    <x v="0"/>
    <x v="0"/>
    <x v="0"/>
    <x v="132"/>
    <x v="0"/>
  </r>
  <r>
    <x v="146"/>
    <x v="146"/>
    <x v="120"/>
    <x v="0"/>
    <x v="10"/>
    <x v="10"/>
    <x v="3"/>
    <x v="91"/>
    <x v="31"/>
    <x v="3"/>
    <x v="3"/>
    <x v="6"/>
    <x v="124"/>
    <x v="1"/>
    <x v="87"/>
    <x v="145"/>
    <x v="145"/>
    <x v="35"/>
    <x v="141"/>
    <x v="141"/>
    <x v="5"/>
    <x v="0"/>
    <x v="0"/>
    <x v="0"/>
    <x v="133"/>
    <x v="1"/>
  </r>
  <r>
    <x v="147"/>
    <x v="147"/>
    <x v="121"/>
    <x v="0"/>
    <x v="4"/>
    <x v="4"/>
    <x v="2"/>
    <x v="133"/>
    <x v="95"/>
    <x v="22"/>
    <x v="22"/>
    <x v="5"/>
    <x v="125"/>
    <x v="0"/>
    <x v="0"/>
    <x v="146"/>
    <x v="146"/>
    <x v="138"/>
    <x v="142"/>
    <x v="142"/>
    <x v="3"/>
    <x v="0"/>
    <x v="0"/>
    <x v="2"/>
    <x v="134"/>
    <x v="1"/>
  </r>
  <r>
    <x v="148"/>
    <x v="148"/>
    <x v="122"/>
    <x v="0"/>
    <x v="10"/>
    <x v="10"/>
    <x v="3"/>
    <x v="134"/>
    <x v="96"/>
    <x v="86"/>
    <x v="116"/>
    <x v="0"/>
    <x v="126"/>
    <x v="0"/>
    <x v="0"/>
    <x v="147"/>
    <x v="147"/>
    <x v="139"/>
    <x v="143"/>
    <x v="143"/>
    <x v="2"/>
    <x v="0"/>
    <x v="0"/>
    <x v="0"/>
    <x v="135"/>
    <x v="1"/>
  </r>
  <r>
    <x v="149"/>
    <x v="149"/>
    <x v="99"/>
    <x v="0"/>
    <x v="6"/>
    <x v="6"/>
    <x v="3"/>
    <x v="132"/>
    <x v="97"/>
    <x v="94"/>
    <x v="117"/>
    <x v="2"/>
    <x v="127"/>
    <x v="1"/>
    <x v="88"/>
    <x v="148"/>
    <x v="148"/>
    <x v="140"/>
    <x v="144"/>
    <x v="144"/>
    <x v="0"/>
    <x v="0"/>
    <x v="0"/>
    <x v="2"/>
    <x v="136"/>
    <x v="0"/>
  </r>
  <r>
    <x v="150"/>
    <x v="150"/>
    <x v="57"/>
    <x v="0"/>
    <x v="10"/>
    <x v="10"/>
    <x v="3"/>
    <x v="135"/>
    <x v="98"/>
    <x v="17"/>
    <x v="118"/>
    <x v="6"/>
    <x v="128"/>
    <x v="1"/>
    <x v="89"/>
    <x v="149"/>
    <x v="149"/>
    <x v="141"/>
    <x v="145"/>
    <x v="145"/>
    <x v="1"/>
    <x v="0"/>
    <x v="0"/>
    <x v="1"/>
    <x v="137"/>
    <x v="0"/>
  </r>
  <r>
    <x v="151"/>
    <x v="151"/>
    <x v="123"/>
    <x v="0"/>
    <x v="8"/>
    <x v="8"/>
    <x v="3"/>
    <x v="30"/>
    <x v="51"/>
    <x v="92"/>
    <x v="111"/>
    <x v="2"/>
    <x v="129"/>
    <x v="3"/>
    <x v="90"/>
    <x v="150"/>
    <x v="150"/>
    <x v="59"/>
    <x v="146"/>
    <x v="146"/>
    <x v="4"/>
    <x v="0"/>
    <x v="0"/>
    <x v="1"/>
    <x v="79"/>
    <x v="1"/>
  </r>
  <r>
    <x v="152"/>
    <x v="152"/>
    <x v="124"/>
    <x v="0"/>
    <x v="5"/>
    <x v="5"/>
    <x v="0"/>
    <x v="136"/>
    <x v="71"/>
    <x v="95"/>
    <x v="119"/>
    <x v="6"/>
    <x v="130"/>
    <x v="0"/>
    <x v="0"/>
    <x v="151"/>
    <x v="151"/>
    <x v="142"/>
    <x v="147"/>
    <x v="147"/>
    <x v="2"/>
    <x v="0"/>
    <x v="0"/>
    <x v="0"/>
    <x v="138"/>
    <x v="1"/>
  </r>
  <r>
    <x v="153"/>
    <x v="153"/>
    <x v="125"/>
    <x v="0"/>
    <x v="5"/>
    <x v="5"/>
    <x v="0"/>
    <x v="69"/>
    <x v="12"/>
    <x v="28"/>
    <x v="29"/>
    <x v="2"/>
    <x v="12"/>
    <x v="0"/>
    <x v="0"/>
    <x v="152"/>
    <x v="152"/>
    <x v="143"/>
    <x v="148"/>
    <x v="148"/>
    <x v="4"/>
    <x v="0"/>
    <x v="0"/>
    <x v="0"/>
    <x v="139"/>
    <x v="1"/>
  </r>
  <r>
    <x v="154"/>
    <x v="154"/>
    <x v="126"/>
    <x v="0"/>
    <x v="0"/>
    <x v="0"/>
    <x v="0"/>
    <x v="44"/>
    <x v="99"/>
    <x v="96"/>
    <x v="120"/>
    <x v="3"/>
    <x v="131"/>
    <x v="2"/>
    <x v="91"/>
    <x v="153"/>
    <x v="153"/>
    <x v="144"/>
    <x v="149"/>
    <x v="149"/>
    <x v="0"/>
    <x v="0"/>
    <x v="0"/>
    <x v="0"/>
    <x v="140"/>
    <x v="1"/>
  </r>
  <r>
    <x v="155"/>
    <x v="155"/>
    <x v="83"/>
    <x v="1"/>
    <x v="1"/>
    <x v="1"/>
    <x v="1"/>
    <x v="137"/>
    <x v="6"/>
    <x v="0"/>
    <x v="121"/>
    <x v="1"/>
    <x v="6"/>
    <x v="0"/>
    <x v="0"/>
    <x v="154"/>
    <x v="154"/>
    <x v="145"/>
    <x v="150"/>
    <x v="6"/>
    <x v="3"/>
    <x v="0"/>
    <x v="0"/>
    <x v="0"/>
    <x v="141"/>
    <x v="0"/>
  </r>
  <r>
    <x v="156"/>
    <x v="156"/>
    <x v="17"/>
    <x v="1"/>
    <x v="1"/>
    <x v="1"/>
    <x v="1"/>
    <x v="138"/>
    <x v="77"/>
    <x v="58"/>
    <x v="122"/>
    <x v="0"/>
    <x v="96"/>
    <x v="2"/>
    <x v="9"/>
    <x v="155"/>
    <x v="155"/>
    <x v="146"/>
    <x v="151"/>
    <x v="150"/>
    <x v="2"/>
    <x v="0"/>
    <x v="0"/>
    <x v="0"/>
    <x v="142"/>
    <x v="1"/>
  </r>
  <r>
    <x v="157"/>
    <x v="157"/>
    <x v="127"/>
    <x v="0"/>
    <x v="5"/>
    <x v="5"/>
    <x v="0"/>
    <x v="139"/>
    <x v="18"/>
    <x v="97"/>
    <x v="111"/>
    <x v="2"/>
    <x v="18"/>
    <x v="3"/>
    <x v="92"/>
    <x v="156"/>
    <x v="156"/>
    <x v="108"/>
    <x v="152"/>
    <x v="151"/>
    <x v="5"/>
    <x v="0"/>
    <x v="0"/>
    <x v="2"/>
    <x v="143"/>
    <x v="0"/>
  </r>
  <r>
    <x v="158"/>
    <x v="158"/>
    <x v="128"/>
    <x v="0"/>
    <x v="0"/>
    <x v="0"/>
    <x v="0"/>
    <x v="24"/>
    <x v="100"/>
    <x v="98"/>
    <x v="123"/>
    <x v="4"/>
    <x v="132"/>
    <x v="4"/>
    <x v="93"/>
    <x v="157"/>
    <x v="157"/>
    <x v="147"/>
    <x v="153"/>
    <x v="152"/>
    <x v="1"/>
    <x v="0"/>
    <x v="0"/>
    <x v="1"/>
    <x v="144"/>
    <x v="1"/>
  </r>
  <r>
    <x v="159"/>
    <x v="159"/>
    <x v="87"/>
    <x v="0"/>
    <x v="10"/>
    <x v="10"/>
    <x v="3"/>
    <x v="5"/>
    <x v="10"/>
    <x v="57"/>
    <x v="63"/>
    <x v="5"/>
    <x v="133"/>
    <x v="0"/>
    <x v="0"/>
    <x v="158"/>
    <x v="158"/>
    <x v="148"/>
    <x v="154"/>
    <x v="153"/>
    <x v="3"/>
    <x v="0"/>
    <x v="0"/>
    <x v="0"/>
    <x v="145"/>
    <x v="0"/>
  </r>
  <r>
    <x v="160"/>
    <x v="160"/>
    <x v="74"/>
    <x v="0"/>
    <x v="8"/>
    <x v="8"/>
    <x v="3"/>
    <x v="140"/>
    <x v="101"/>
    <x v="35"/>
    <x v="36"/>
    <x v="6"/>
    <x v="134"/>
    <x v="0"/>
    <x v="0"/>
    <x v="159"/>
    <x v="159"/>
    <x v="149"/>
    <x v="155"/>
    <x v="154"/>
    <x v="2"/>
    <x v="0"/>
    <x v="0"/>
    <x v="2"/>
    <x v="146"/>
    <x v="1"/>
  </r>
  <r>
    <x v="161"/>
    <x v="161"/>
    <x v="129"/>
    <x v="1"/>
    <x v="11"/>
    <x v="11"/>
    <x v="1"/>
    <x v="124"/>
    <x v="99"/>
    <x v="25"/>
    <x v="26"/>
    <x v="7"/>
    <x v="135"/>
    <x v="4"/>
    <x v="94"/>
    <x v="160"/>
    <x v="160"/>
    <x v="150"/>
    <x v="156"/>
    <x v="155"/>
    <x v="5"/>
    <x v="0"/>
    <x v="0"/>
    <x v="0"/>
    <x v="147"/>
    <x v="1"/>
  </r>
  <r>
    <x v="162"/>
    <x v="162"/>
    <x v="130"/>
    <x v="0"/>
    <x v="2"/>
    <x v="2"/>
    <x v="2"/>
    <x v="141"/>
    <x v="19"/>
    <x v="99"/>
    <x v="35"/>
    <x v="6"/>
    <x v="19"/>
    <x v="0"/>
    <x v="0"/>
    <x v="161"/>
    <x v="161"/>
    <x v="151"/>
    <x v="157"/>
    <x v="156"/>
    <x v="5"/>
    <x v="1"/>
    <x v="1"/>
    <x v="0"/>
    <x v="148"/>
    <x v="0"/>
  </r>
  <r>
    <x v="163"/>
    <x v="163"/>
    <x v="2"/>
    <x v="0"/>
    <x v="2"/>
    <x v="2"/>
    <x v="2"/>
    <x v="142"/>
    <x v="102"/>
    <x v="62"/>
    <x v="124"/>
    <x v="2"/>
    <x v="136"/>
    <x v="2"/>
    <x v="95"/>
    <x v="162"/>
    <x v="162"/>
    <x v="152"/>
    <x v="158"/>
    <x v="157"/>
    <x v="5"/>
    <x v="0"/>
    <x v="0"/>
    <x v="0"/>
    <x v="133"/>
    <x v="0"/>
  </r>
  <r>
    <x v="164"/>
    <x v="164"/>
    <x v="127"/>
    <x v="0"/>
    <x v="5"/>
    <x v="5"/>
    <x v="0"/>
    <x v="143"/>
    <x v="15"/>
    <x v="100"/>
    <x v="125"/>
    <x v="2"/>
    <x v="15"/>
    <x v="3"/>
    <x v="96"/>
    <x v="163"/>
    <x v="163"/>
    <x v="15"/>
    <x v="159"/>
    <x v="158"/>
    <x v="0"/>
    <x v="0"/>
    <x v="0"/>
    <x v="0"/>
    <x v="149"/>
    <x v="0"/>
  </r>
  <r>
    <x v="165"/>
    <x v="165"/>
    <x v="131"/>
    <x v="0"/>
    <x v="6"/>
    <x v="6"/>
    <x v="3"/>
    <x v="144"/>
    <x v="99"/>
    <x v="54"/>
    <x v="126"/>
    <x v="6"/>
    <x v="137"/>
    <x v="4"/>
    <x v="97"/>
    <x v="164"/>
    <x v="54"/>
    <x v="153"/>
    <x v="160"/>
    <x v="159"/>
    <x v="5"/>
    <x v="0"/>
    <x v="0"/>
    <x v="0"/>
    <x v="150"/>
    <x v="0"/>
  </r>
  <r>
    <x v="166"/>
    <x v="166"/>
    <x v="6"/>
    <x v="0"/>
    <x v="3"/>
    <x v="3"/>
    <x v="2"/>
    <x v="145"/>
    <x v="45"/>
    <x v="101"/>
    <x v="127"/>
    <x v="6"/>
    <x v="138"/>
    <x v="1"/>
    <x v="98"/>
    <x v="165"/>
    <x v="164"/>
    <x v="154"/>
    <x v="161"/>
    <x v="160"/>
    <x v="2"/>
    <x v="0"/>
    <x v="0"/>
    <x v="0"/>
    <x v="151"/>
    <x v="0"/>
  </r>
  <r>
    <x v="167"/>
    <x v="167"/>
    <x v="44"/>
    <x v="0"/>
    <x v="8"/>
    <x v="8"/>
    <x v="3"/>
    <x v="146"/>
    <x v="5"/>
    <x v="102"/>
    <x v="128"/>
    <x v="0"/>
    <x v="139"/>
    <x v="2"/>
    <x v="99"/>
    <x v="166"/>
    <x v="165"/>
    <x v="155"/>
    <x v="162"/>
    <x v="161"/>
    <x v="0"/>
    <x v="0"/>
    <x v="0"/>
    <x v="0"/>
    <x v="152"/>
    <x v="0"/>
  </r>
  <r>
    <x v="168"/>
    <x v="168"/>
    <x v="132"/>
    <x v="1"/>
    <x v="1"/>
    <x v="1"/>
    <x v="1"/>
    <x v="147"/>
    <x v="56"/>
    <x v="103"/>
    <x v="129"/>
    <x v="7"/>
    <x v="140"/>
    <x v="0"/>
    <x v="0"/>
    <x v="167"/>
    <x v="166"/>
    <x v="156"/>
    <x v="163"/>
    <x v="162"/>
    <x v="0"/>
    <x v="0"/>
    <x v="0"/>
    <x v="0"/>
    <x v="153"/>
    <x v="0"/>
  </r>
  <r>
    <x v="169"/>
    <x v="169"/>
    <x v="133"/>
    <x v="0"/>
    <x v="10"/>
    <x v="10"/>
    <x v="3"/>
    <x v="148"/>
    <x v="0"/>
    <x v="104"/>
    <x v="130"/>
    <x v="2"/>
    <x v="0"/>
    <x v="2"/>
    <x v="100"/>
    <x v="168"/>
    <x v="167"/>
    <x v="157"/>
    <x v="164"/>
    <x v="163"/>
    <x v="4"/>
    <x v="0"/>
    <x v="0"/>
    <x v="2"/>
    <x v="154"/>
    <x v="0"/>
  </r>
  <r>
    <x v="170"/>
    <x v="170"/>
    <x v="134"/>
    <x v="1"/>
    <x v="7"/>
    <x v="7"/>
    <x v="1"/>
    <x v="149"/>
    <x v="37"/>
    <x v="10"/>
    <x v="35"/>
    <x v="6"/>
    <x v="99"/>
    <x v="2"/>
    <x v="101"/>
    <x v="169"/>
    <x v="168"/>
    <x v="158"/>
    <x v="165"/>
    <x v="164"/>
    <x v="3"/>
    <x v="0"/>
    <x v="0"/>
    <x v="0"/>
    <x v="155"/>
    <x v="1"/>
  </r>
  <r>
    <x v="171"/>
    <x v="171"/>
    <x v="0"/>
    <x v="0"/>
    <x v="0"/>
    <x v="0"/>
    <x v="0"/>
    <x v="109"/>
    <x v="18"/>
    <x v="105"/>
    <x v="131"/>
    <x v="0"/>
    <x v="18"/>
    <x v="1"/>
    <x v="102"/>
    <x v="170"/>
    <x v="169"/>
    <x v="18"/>
    <x v="166"/>
    <x v="165"/>
    <x v="4"/>
    <x v="0"/>
    <x v="0"/>
    <x v="1"/>
    <x v="156"/>
    <x v="0"/>
  </r>
  <r>
    <x v="172"/>
    <x v="172"/>
    <x v="135"/>
    <x v="1"/>
    <x v="7"/>
    <x v="7"/>
    <x v="1"/>
    <x v="150"/>
    <x v="69"/>
    <x v="106"/>
    <x v="132"/>
    <x v="1"/>
    <x v="141"/>
    <x v="3"/>
    <x v="103"/>
    <x v="171"/>
    <x v="170"/>
    <x v="159"/>
    <x v="167"/>
    <x v="166"/>
    <x v="5"/>
    <x v="0"/>
    <x v="0"/>
    <x v="0"/>
    <x v="92"/>
    <x v="0"/>
  </r>
  <r>
    <x v="173"/>
    <x v="173"/>
    <x v="136"/>
    <x v="0"/>
    <x v="10"/>
    <x v="10"/>
    <x v="3"/>
    <x v="151"/>
    <x v="103"/>
    <x v="107"/>
    <x v="15"/>
    <x v="7"/>
    <x v="142"/>
    <x v="0"/>
    <x v="0"/>
    <x v="172"/>
    <x v="171"/>
    <x v="160"/>
    <x v="168"/>
    <x v="167"/>
    <x v="5"/>
    <x v="0"/>
    <x v="0"/>
    <x v="0"/>
    <x v="157"/>
    <x v="0"/>
  </r>
  <r>
    <x v="174"/>
    <x v="174"/>
    <x v="24"/>
    <x v="1"/>
    <x v="7"/>
    <x v="7"/>
    <x v="1"/>
    <x v="152"/>
    <x v="85"/>
    <x v="97"/>
    <x v="133"/>
    <x v="1"/>
    <x v="110"/>
    <x v="2"/>
    <x v="104"/>
    <x v="173"/>
    <x v="172"/>
    <x v="120"/>
    <x v="169"/>
    <x v="168"/>
    <x v="3"/>
    <x v="0"/>
    <x v="0"/>
    <x v="2"/>
    <x v="105"/>
    <x v="0"/>
  </r>
  <r>
    <x v="175"/>
    <x v="175"/>
    <x v="2"/>
    <x v="0"/>
    <x v="2"/>
    <x v="2"/>
    <x v="2"/>
    <x v="153"/>
    <x v="30"/>
    <x v="108"/>
    <x v="134"/>
    <x v="0"/>
    <x v="34"/>
    <x v="2"/>
    <x v="76"/>
    <x v="174"/>
    <x v="173"/>
    <x v="161"/>
    <x v="170"/>
    <x v="169"/>
    <x v="2"/>
    <x v="0"/>
    <x v="0"/>
    <x v="1"/>
    <x v="158"/>
    <x v="0"/>
  </r>
  <r>
    <x v="176"/>
    <x v="176"/>
    <x v="130"/>
    <x v="0"/>
    <x v="2"/>
    <x v="2"/>
    <x v="2"/>
    <x v="154"/>
    <x v="2"/>
    <x v="2"/>
    <x v="87"/>
    <x v="6"/>
    <x v="2"/>
    <x v="0"/>
    <x v="0"/>
    <x v="175"/>
    <x v="174"/>
    <x v="162"/>
    <x v="171"/>
    <x v="170"/>
    <x v="4"/>
    <x v="0"/>
    <x v="0"/>
    <x v="0"/>
    <x v="34"/>
    <x v="0"/>
  </r>
  <r>
    <x v="177"/>
    <x v="177"/>
    <x v="137"/>
    <x v="1"/>
    <x v="7"/>
    <x v="7"/>
    <x v="1"/>
    <x v="155"/>
    <x v="104"/>
    <x v="109"/>
    <x v="135"/>
    <x v="7"/>
    <x v="143"/>
    <x v="2"/>
    <x v="105"/>
    <x v="176"/>
    <x v="175"/>
    <x v="163"/>
    <x v="172"/>
    <x v="171"/>
    <x v="0"/>
    <x v="0"/>
    <x v="0"/>
    <x v="0"/>
    <x v="159"/>
    <x v="1"/>
  </r>
  <r>
    <x v="178"/>
    <x v="178"/>
    <x v="138"/>
    <x v="0"/>
    <x v="10"/>
    <x v="10"/>
    <x v="3"/>
    <x v="156"/>
    <x v="82"/>
    <x v="110"/>
    <x v="136"/>
    <x v="6"/>
    <x v="144"/>
    <x v="1"/>
    <x v="106"/>
    <x v="177"/>
    <x v="176"/>
    <x v="164"/>
    <x v="173"/>
    <x v="172"/>
    <x v="3"/>
    <x v="0"/>
    <x v="0"/>
    <x v="0"/>
    <x v="160"/>
    <x v="1"/>
  </r>
  <r>
    <x v="179"/>
    <x v="179"/>
    <x v="139"/>
    <x v="0"/>
    <x v="10"/>
    <x v="10"/>
    <x v="3"/>
    <x v="157"/>
    <x v="105"/>
    <x v="32"/>
    <x v="34"/>
    <x v="2"/>
    <x v="119"/>
    <x v="0"/>
    <x v="0"/>
    <x v="178"/>
    <x v="177"/>
    <x v="165"/>
    <x v="174"/>
    <x v="173"/>
    <x v="2"/>
    <x v="0"/>
    <x v="0"/>
    <x v="2"/>
    <x v="161"/>
    <x v="1"/>
  </r>
  <r>
    <x v="180"/>
    <x v="180"/>
    <x v="140"/>
    <x v="0"/>
    <x v="9"/>
    <x v="9"/>
    <x v="0"/>
    <x v="158"/>
    <x v="106"/>
    <x v="111"/>
    <x v="137"/>
    <x v="2"/>
    <x v="145"/>
    <x v="4"/>
    <x v="107"/>
    <x v="179"/>
    <x v="178"/>
    <x v="166"/>
    <x v="175"/>
    <x v="174"/>
    <x v="1"/>
    <x v="0"/>
    <x v="0"/>
    <x v="1"/>
    <x v="162"/>
    <x v="1"/>
  </r>
  <r>
    <x v="181"/>
    <x v="181"/>
    <x v="141"/>
    <x v="0"/>
    <x v="0"/>
    <x v="0"/>
    <x v="0"/>
    <x v="89"/>
    <x v="107"/>
    <x v="46"/>
    <x v="138"/>
    <x v="3"/>
    <x v="146"/>
    <x v="4"/>
    <x v="108"/>
    <x v="180"/>
    <x v="179"/>
    <x v="167"/>
    <x v="176"/>
    <x v="175"/>
    <x v="1"/>
    <x v="0"/>
    <x v="0"/>
    <x v="0"/>
    <x v="163"/>
    <x v="0"/>
  </r>
  <r>
    <x v="182"/>
    <x v="182"/>
    <x v="142"/>
    <x v="0"/>
    <x v="8"/>
    <x v="8"/>
    <x v="3"/>
    <x v="15"/>
    <x v="108"/>
    <x v="78"/>
    <x v="139"/>
    <x v="1"/>
    <x v="147"/>
    <x v="1"/>
    <x v="109"/>
    <x v="181"/>
    <x v="180"/>
    <x v="168"/>
    <x v="177"/>
    <x v="176"/>
    <x v="2"/>
    <x v="0"/>
    <x v="0"/>
    <x v="0"/>
    <x v="164"/>
    <x v="1"/>
  </r>
  <r>
    <x v="183"/>
    <x v="183"/>
    <x v="67"/>
    <x v="0"/>
    <x v="8"/>
    <x v="8"/>
    <x v="3"/>
    <x v="156"/>
    <x v="73"/>
    <x v="110"/>
    <x v="136"/>
    <x v="5"/>
    <x v="148"/>
    <x v="0"/>
    <x v="0"/>
    <x v="182"/>
    <x v="181"/>
    <x v="169"/>
    <x v="178"/>
    <x v="177"/>
    <x v="4"/>
    <x v="0"/>
    <x v="0"/>
    <x v="1"/>
    <x v="165"/>
    <x v="0"/>
  </r>
  <r>
    <x v="184"/>
    <x v="184"/>
    <x v="14"/>
    <x v="0"/>
    <x v="0"/>
    <x v="0"/>
    <x v="0"/>
    <x v="118"/>
    <x v="98"/>
    <x v="57"/>
    <x v="140"/>
    <x v="6"/>
    <x v="149"/>
    <x v="4"/>
    <x v="110"/>
    <x v="183"/>
    <x v="182"/>
    <x v="141"/>
    <x v="179"/>
    <x v="178"/>
    <x v="0"/>
    <x v="0"/>
    <x v="0"/>
    <x v="2"/>
    <x v="166"/>
    <x v="0"/>
  </r>
  <r>
    <x v="185"/>
    <x v="185"/>
    <x v="143"/>
    <x v="1"/>
    <x v="1"/>
    <x v="1"/>
    <x v="1"/>
    <x v="159"/>
    <x v="109"/>
    <x v="112"/>
    <x v="141"/>
    <x v="1"/>
    <x v="150"/>
    <x v="4"/>
    <x v="111"/>
    <x v="184"/>
    <x v="183"/>
    <x v="170"/>
    <x v="180"/>
    <x v="179"/>
    <x v="1"/>
    <x v="0"/>
    <x v="0"/>
    <x v="2"/>
    <x v="167"/>
    <x v="1"/>
  </r>
  <r>
    <x v="186"/>
    <x v="186"/>
    <x v="144"/>
    <x v="0"/>
    <x v="2"/>
    <x v="2"/>
    <x v="2"/>
    <x v="160"/>
    <x v="74"/>
    <x v="89"/>
    <x v="35"/>
    <x v="6"/>
    <x v="151"/>
    <x v="4"/>
    <x v="112"/>
    <x v="185"/>
    <x v="184"/>
    <x v="171"/>
    <x v="181"/>
    <x v="180"/>
    <x v="4"/>
    <x v="0"/>
    <x v="0"/>
    <x v="2"/>
    <x v="168"/>
    <x v="1"/>
  </r>
  <r>
    <x v="187"/>
    <x v="187"/>
    <x v="145"/>
    <x v="0"/>
    <x v="9"/>
    <x v="9"/>
    <x v="0"/>
    <x v="101"/>
    <x v="109"/>
    <x v="113"/>
    <x v="140"/>
    <x v="6"/>
    <x v="150"/>
    <x v="0"/>
    <x v="0"/>
    <x v="186"/>
    <x v="185"/>
    <x v="172"/>
    <x v="182"/>
    <x v="181"/>
    <x v="5"/>
    <x v="0"/>
    <x v="0"/>
    <x v="0"/>
    <x v="169"/>
    <x v="1"/>
  </r>
  <r>
    <x v="188"/>
    <x v="188"/>
    <x v="146"/>
    <x v="0"/>
    <x v="2"/>
    <x v="2"/>
    <x v="2"/>
    <x v="161"/>
    <x v="8"/>
    <x v="54"/>
    <x v="59"/>
    <x v="0"/>
    <x v="8"/>
    <x v="3"/>
    <x v="113"/>
    <x v="187"/>
    <x v="186"/>
    <x v="173"/>
    <x v="183"/>
    <x v="182"/>
    <x v="1"/>
    <x v="0"/>
    <x v="0"/>
    <x v="0"/>
    <x v="170"/>
    <x v="1"/>
  </r>
  <r>
    <x v="189"/>
    <x v="189"/>
    <x v="26"/>
    <x v="0"/>
    <x v="8"/>
    <x v="8"/>
    <x v="3"/>
    <x v="162"/>
    <x v="83"/>
    <x v="13"/>
    <x v="114"/>
    <x v="2"/>
    <x v="108"/>
    <x v="3"/>
    <x v="114"/>
    <x v="188"/>
    <x v="187"/>
    <x v="174"/>
    <x v="184"/>
    <x v="183"/>
    <x v="3"/>
    <x v="0"/>
    <x v="0"/>
    <x v="0"/>
    <x v="171"/>
    <x v="0"/>
  </r>
  <r>
    <x v="190"/>
    <x v="190"/>
    <x v="6"/>
    <x v="0"/>
    <x v="3"/>
    <x v="3"/>
    <x v="2"/>
    <x v="163"/>
    <x v="7"/>
    <x v="9"/>
    <x v="9"/>
    <x v="0"/>
    <x v="7"/>
    <x v="3"/>
    <x v="115"/>
    <x v="189"/>
    <x v="188"/>
    <x v="175"/>
    <x v="185"/>
    <x v="184"/>
    <x v="4"/>
    <x v="0"/>
    <x v="0"/>
    <x v="2"/>
    <x v="172"/>
    <x v="0"/>
  </r>
  <r>
    <x v="191"/>
    <x v="191"/>
    <x v="142"/>
    <x v="0"/>
    <x v="8"/>
    <x v="8"/>
    <x v="3"/>
    <x v="141"/>
    <x v="2"/>
    <x v="25"/>
    <x v="26"/>
    <x v="0"/>
    <x v="2"/>
    <x v="1"/>
    <x v="1"/>
    <x v="2"/>
    <x v="189"/>
    <x v="2"/>
    <x v="186"/>
    <x v="185"/>
    <x v="4"/>
    <x v="0"/>
    <x v="0"/>
    <x v="0"/>
    <x v="173"/>
    <x v="1"/>
  </r>
  <r>
    <x v="192"/>
    <x v="192"/>
    <x v="147"/>
    <x v="0"/>
    <x v="2"/>
    <x v="2"/>
    <x v="2"/>
    <x v="164"/>
    <x v="110"/>
    <x v="21"/>
    <x v="142"/>
    <x v="2"/>
    <x v="152"/>
    <x v="0"/>
    <x v="0"/>
    <x v="190"/>
    <x v="190"/>
    <x v="176"/>
    <x v="187"/>
    <x v="186"/>
    <x v="0"/>
    <x v="0"/>
    <x v="0"/>
    <x v="2"/>
    <x v="121"/>
    <x v="1"/>
  </r>
  <r>
    <x v="193"/>
    <x v="193"/>
    <x v="148"/>
    <x v="1"/>
    <x v="1"/>
    <x v="1"/>
    <x v="1"/>
    <x v="165"/>
    <x v="102"/>
    <x v="41"/>
    <x v="104"/>
    <x v="3"/>
    <x v="153"/>
    <x v="2"/>
    <x v="116"/>
    <x v="191"/>
    <x v="191"/>
    <x v="177"/>
    <x v="188"/>
    <x v="187"/>
    <x v="5"/>
    <x v="0"/>
    <x v="0"/>
    <x v="0"/>
    <x v="103"/>
    <x v="1"/>
  </r>
  <r>
    <x v="194"/>
    <x v="194"/>
    <x v="149"/>
    <x v="0"/>
    <x v="3"/>
    <x v="3"/>
    <x v="2"/>
    <x v="51"/>
    <x v="24"/>
    <x v="45"/>
    <x v="48"/>
    <x v="0"/>
    <x v="27"/>
    <x v="0"/>
    <x v="0"/>
    <x v="192"/>
    <x v="192"/>
    <x v="178"/>
    <x v="189"/>
    <x v="188"/>
    <x v="3"/>
    <x v="0"/>
    <x v="0"/>
    <x v="0"/>
    <x v="174"/>
    <x v="0"/>
  </r>
  <r>
    <x v="195"/>
    <x v="195"/>
    <x v="0"/>
    <x v="0"/>
    <x v="0"/>
    <x v="0"/>
    <x v="0"/>
    <x v="166"/>
    <x v="31"/>
    <x v="52"/>
    <x v="143"/>
    <x v="4"/>
    <x v="35"/>
    <x v="0"/>
    <x v="0"/>
    <x v="193"/>
    <x v="193"/>
    <x v="179"/>
    <x v="190"/>
    <x v="189"/>
    <x v="4"/>
    <x v="0"/>
    <x v="0"/>
    <x v="2"/>
    <x v="4"/>
    <x v="0"/>
  </r>
  <r>
    <x v="196"/>
    <x v="196"/>
    <x v="150"/>
    <x v="0"/>
    <x v="2"/>
    <x v="2"/>
    <x v="2"/>
    <x v="167"/>
    <x v="1"/>
    <x v="72"/>
    <x v="85"/>
    <x v="4"/>
    <x v="1"/>
    <x v="1"/>
    <x v="117"/>
    <x v="194"/>
    <x v="194"/>
    <x v="180"/>
    <x v="191"/>
    <x v="190"/>
    <x v="2"/>
    <x v="0"/>
    <x v="0"/>
    <x v="0"/>
    <x v="1"/>
    <x v="1"/>
  </r>
  <r>
    <x v="197"/>
    <x v="197"/>
    <x v="121"/>
    <x v="0"/>
    <x v="4"/>
    <x v="4"/>
    <x v="2"/>
    <x v="168"/>
    <x v="15"/>
    <x v="27"/>
    <x v="107"/>
    <x v="8"/>
    <x v="15"/>
    <x v="0"/>
    <x v="0"/>
    <x v="89"/>
    <x v="195"/>
    <x v="181"/>
    <x v="192"/>
    <x v="191"/>
    <x v="0"/>
    <x v="0"/>
    <x v="0"/>
    <x v="1"/>
    <x v="175"/>
    <x v="1"/>
  </r>
  <r>
    <x v="198"/>
    <x v="198"/>
    <x v="111"/>
    <x v="0"/>
    <x v="10"/>
    <x v="10"/>
    <x v="3"/>
    <x v="169"/>
    <x v="111"/>
    <x v="91"/>
    <x v="110"/>
    <x v="5"/>
    <x v="154"/>
    <x v="4"/>
    <x v="118"/>
    <x v="195"/>
    <x v="196"/>
    <x v="182"/>
    <x v="193"/>
    <x v="192"/>
    <x v="4"/>
    <x v="0"/>
    <x v="0"/>
    <x v="2"/>
    <x v="176"/>
    <x v="1"/>
  </r>
  <r>
    <x v="199"/>
    <x v="199"/>
    <x v="151"/>
    <x v="0"/>
    <x v="6"/>
    <x v="6"/>
    <x v="3"/>
    <x v="102"/>
    <x v="15"/>
    <x v="81"/>
    <x v="144"/>
    <x v="4"/>
    <x v="15"/>
    <x v="1"/>
    <x v="119"/>
    <x v="196"/>
    <x v="197"/>
    <x v="181"/>
    <x v="194"/>
    <x v="193"/>
    <x v="1"/>
    <x v="0"/>
    <x v="0"/>
    <x v="0"/>
    <x v="177"/>
    <x v="1"/>
  </r>
  <r>
    <x v="200"/>
    <x v="200"/>
    <x v="152"/>
    <x v="0"/>
    <x v="8"/>
    <x v="8"/>
    <x v="3"/>
    <x v="75"/>
    <x v="19"/>
    <x v="114"/>
    <x v="145"/>
    <x v="2"/>
    <x v="19"/>
    <x v="4"/>
    <x v="120"/>
    <x v="197"/>
    <x v="198"/>
    <x v="183"/>
    <x v="195"/>
    <x v="194"/>
    <x v="3"/>
    <x v="0"/>
    <x v="0"/>
    <x v="2"/>
    <x v="178"/>
    <x v="1"/>
  </r>
  <r>
    <x v="201"/>
    <x v="201"/>
    <x v="153"/>
    <x v="0"/>
    <x v="10"/>
    <x v="10"/>
    <x v="3"/>
    <x v="170"/>
    <x v="12"/>
    <x v="61"/>
    <x v="61"/>
    <x v="1"/>
    <x v="12"/>
    <x v="0"/>
    <x v="0"/>
    <x v="198"/>
    <x v="199"/>
    <x v="184"/>
    <x v="196"/>
    <x v="148"/>
    <x v="4"/>
    <x v="0"/>
    <x v="0"/>
    <x v="0"/>
    <x v="179"/>
    <x v="1"/>
  </r>
  <r>
    <x v="202"/>
    <x v="202"/>
    <x v="132"/>
    <x v="1"/>
    <x v="1"/>
    <x v="1"/>
    <x v="1"/>
    <x v="107"/>
    <x v="68"/>
    <x v="115"/>
    <x v="146"/>
    <x v="2"/>
    <x v="82"/>
    <x v="0"/>
    <x v="0"/>
    <x v="199"/>
    <x v="200"/>
    <x v="87"/>
    <x v="197"/>
    <x v="195"/>
    <x v="1"/>
    <x v="0"/>
    <x v="0"/>
    <x v="0"/>
    <x v="180"/>
    <x v="0"/>
  </r>
  <r>
    <x v="203"/>
    <x v="203"/>
    <x v="154"/>
    <x v="0"/>
    <x v="5"/>
    <x v="5"/>
    <x v="0"/>
    <x v="171"/>
    <x v="42"/>
    <x v="116"/>
    <x v="147"/>
    <x v="6"/>
    <x v="47"/>
    <x v="0"/>
    <x v="0"/>
    <x v="200"/>
    <x v="201"/>
    <x v="185"/>
    <x v="198"/>
    <x v="196"/>
    <x v="0"/>
    <x v="0"/>
    <x v="0"/>
    <x v="0"/>
    <x v="181"/>
    <x v="1"/>
  </r>
  <r>
    <x v="204"/>
    <x v="204"/>
    <x v="2"/>
    <x v="0"/>
    <x v="2"/>
    <x v="2"/>
    <x v="2"/>
    <x v="172"/>
    <x v="89"/>
    <x v="25"/>
    <x v="26"/>
    <x v="5"/>
    <x v="155"/>
    <x v="0"/>
    <x v="0"/>
    <x v="201"/>
    <x v="202"/>
    <x v="186"/>
    <x v="199"/>
    <x v="197"/>
    <x v="0"/>
    <x v="0"/>
    <x v="0"/>
    <x v="2"/>
    <x v="123"/>
    <x v="0"/>
  </r>
  <r>
    <x v="205"/>
    <x v="205"/>
    <x v="155"/>
    <x v="0"/>
    <x v="8"/>
    <x v="8"/>
    <x v="3"/>
    <x v="47"/>
    <x v="93"/>
    <x v="117"/>
    <x v="148"/>
    <x v="4"/>
    <x v="156"/>
    <x v="3"/>
    <x v="121"/>
    <x v="202"/>
    <x v="203"/>
    <x v="187"/>
    <x v="200"/>
    <x v="198"/>
    <x v="3"/>
    <x v="0"/>
    <x v="0"/>
    <x v="0"/>
    <x v="182"/>
    <x v="1"/>
  </r>
  <r>
    <x v="206"/>
    <x v="206"/>
    <x v="132"/>
    <x v="1"/>
    <x v="1"/>
    <x v="1"/>
    <x v="1"/>
    <x v="173"/>
    <x v="60"/>
    <x v="118"/>
    <x v="149"/>
    <x v="2"/>
    <x v="68"/>
    <x v="0"/>
    <x v="0"/>
    <x v="203"/>
    <x v="204"/>
    <x v="188"/>
    <x v="201"/>
    <x v="199"/>
    <x v="3"/>
    <x v="0"/>
    <x v="0"/>
    <x v="0"/>
    <x v="183"/>
    <x v="0"/>
  </r>
  <r>
    <x v="207"/>
    <x v="207"/>
    <x v="136"/>
    <x v="0"/>
    <x v="10"/>
    <x v="10"/>
    <x v="3"/>
    <x v="174"/>
    <x v="112"/>
    <x v="113"/>
    <x v="150"/>
    <x v="5"/>
    <x v="157"/>
    <x v="3"/>
    <x v="122"/>
    <x v="204"/>
    <x v="205"/>
    <x v="189"/>
    <x v="202"/>
    <x v="200"/>
    <x v="4"/>
    <x v="0"/>
    <x v="0"/>
    <x v="0"/>
    <x v="184"/>
    <x v="0"/>
  </r>
  <r>
    <x v="208"/>
    <x v="208"/>
    <x v="67"/>
    <x v="0"/>
    <x v="8"/>
    <x v="8"/>
    <x v="3"/>
    <x v="175"/>
    <x v="112"/>
    <x v="82"/>
    <x v="96"/>
    <x v="4"/>
    <x v="158"/>
    <x v="3"/>
    <x v="123"/>
    <x v="205"/>
    <x v="206"/>
    <x v="190"/>
    <x v="203"/>
    <x v="201"/>
    <x v="0"/>
    <x v="0"/>
    <x v="0"/>
    <x v="0"/>
    <x v="185"/>
    <x v="0"/>
  </r>
  <r>
    <x v="209"/>
    <x v="209"/>
    <x v="31"/>
    <x v="1"/>
    <x v="7"/>
    <x v="7"/>
    <x v="1"/>
    <x v="176"/>
    <x v="42"/>
    <x v="96"/>
    <x v="150"/>
    <x v="7"/>
    <x v="159"/>
    <x v="1"/>
    <x v="124"/>
    <x v="206"/>
    <x v="207"/>
    <x v="191"/>
    <x v="204"/>
    <x v="202"/>
    <x v="1"/>
    <x v="0"/>
    <x v="0"/>
    <x v="2"/>
    <x v="116"/>
    <x v="0"/>
  </r>
  <r>
    <x v="210"/>
    <x v="210"/>
    <x v="156"/>
    <x v="0"/>
    <x v="2"/>
    <x v="2"/>
    <x v="2"/>
    <x v="177"/>
    <x v="34"/>
    <x v="76"/>
    <x v="151"/>
    <x v="4"/>
    <x v="160"/>
    <x v="4"/>
    <x v="125"/>
    <x v="207"/>
    <x v="208"/>
    <x v="192"/>
    <x v="205"/>
    <x v="203"/>
    <x v="1"/>
    <x v="0"/>
    <x v="0"/>
    <x v="2"/>
    <x v="182"/>
    <x v="0"/>
  </r>
  <r>
    <x v="211"/>
    <x v="211"/>
    <x v="35"/>
    <x v="0"/>
    <x v="8"/>
    <x v="8"/>
    <x v="3"/>
    <x v="178"/>
    <x v="51"/>
    <x v="98"/>
    <x v="152"/>
    <x v="0"/>
    <x v="161"/>
    <x v="0"/>
    <x v="0"/>
    <x v="208"/>
    <x v="209"/>
    <x v="193"/>
    <x v="206"/>
    <x v="204"/>
    <x v="4"/>
    <x v="0"/>
    <x v="0"/>
    <x v="0"/>
    <x v="136"/>
    <x v="1"/>
  </r>
  <r>
    <x v="212"/>
    <x v="212"/>
    <x v="98"/>
    <x v="0"/>
    <x v="6"/>
    <x v="6"/>
    <x v="3"/>
    <x v="179"/>
    <x v="78"/>
    <x v="102"/>
    <x v="128"/>
    <x v="7"/>
    <x v="162"/>
    <x v="0"/>
    <x v="0"/>
    <x v="209"/>
    <x v="210"/>
    <x v="194"/>
    <x v="207"/>
    <x v="205"/>
    <x v="5"/>
    <x v="0"/>
    <x v="0"/>
    <x v="2"/>
    <x v="186"/>
    <x v="1"/>
  </r>
  <r>
    <x v="213"/>
    <x v="213"/>
    <x v="141"/>
    <x v="0"/>
    <x v="0"/>
    <x v="0"/>
    <x v="0"/>
    <x v="180"/>
    <x v="65"/>
    <x v="106"/>
    <x v="153"/>
    <x v="7"/>
    <x v="163"/>
    <x v="4"/>
    <x v="126"/>
    <x v="210"/>
    <x v="211"/>
    <x v="195"/>
    <x v="208"/>
    <x v="206"/>
    <x v="0"/>
    <x v="0"/>
    <x v="0"/>
    <x v="0"/>
    <x v="187"/>
    <x v="0"/>
  </r>
  <r>
    <x v="214"/>
    <x v="214"/>
    <x v="157"/>
    <x v="1"/>
    <x v="7"/>
    <x v="7"/>
    <x v="1"/>
    <x v="181"/>
    <x v="24"/>
    <x v="113"/>
    <x v="2"/>
    <x v="1"/>
    <x v="27"/>
    <x v="0"/>
    <x v="0"/>
    <x v="27"/>
    <x v="27"/>
    <x v="27"/>
    <x v="26"/>
    <x v="27"/>
    <x v="1"/>
    <x v="0"/>
    <x v="0"/>
    <x v="0"/>
    <x v="188"/>
    <x v="1"/>
  </r>
  <r>
    <x v="215"/>
    <x v="215"/>
    <x v="158"/>
    <x v="0"/>
    <x v="4"/>
    <x v="4"/>
    <x v="2"/>
    <x v="182"/>
    <x v="8"/>
    <x v="62"/>
    <x v="154"/>
    <x v="6"/>
    <x v="164"/>
    <x v="0"/>
    <x v="0"/>
    <x v="211"/>
    <x v="212"/>
    <x v="196"/>
    <x v="209"/>
    <x v="207"/>
    <x v="0"/>
    <x v="0"/>
    <x v="0"/>
    <x v="2"/>
    <x v="189"/>
    <x v="1"/>
  </r>
  <r>
    <x v="216"/>
    <x v="216"/>
    <x v="159"/>
    <x v="0"/>
    <x v="10"/>
    <x v="10"/>
    <x v="3"/>
    <x v="91"/>
    <x v="41"/>
    <x v="93"/>
    <x v="113"/>
    <x v="6"/>
    <x v="165"/>
    <x v="3"/>
    <x v="127"/>
    <x v="212"/>
    <x v="213"/>
    <x v="197"/>
    <x v="210"/>
    <x v="208"/>
    <x v="5"/>
    <x v="0"/>
    <x v="0"/>
    <x v="1"/>
    <x v="190"/>
    <x v="1"/>
  </r>
  <r>
    <x v="217"/>
    <x v="217"/>
    <x v="113"/>
    <x v="0"/>
    <x v="4"/>
    <x v="4"/>
    <x v="2"/>
    <x v="183"/>
    <x v="113"/>
    <x v="102"/>
    <x v="128"/>
    <x v="0"/>
    <x v="166"/>
    <x v="4"/>
    <x v="128"/>
    <x v="213"/>
    <x v="214"/>
    <x v="198"/>
    <x v="211"/>
    <x v="209"/>
    <x v="2"/>
    <x v="0"/>
    <x v="0"/>
    <x v="1"/>
    <x v="191"/>
    <x v="1"/>
  </r>
  <r>
    <x v="218"/>
    <x v="218"/>
    <x v="160"/>
    <x v="0"/>
    <x v="2"/>
    <x v="2"/>
    <x v="2"/>
    <x v="184"/>
    <x v="109"/>
    <x v="6"/>
    <x v="155"/>
    <x v="5"/>
    <x v="167"/>
    <x v="4"/>
    <x v="129"/>
    <x v="214"/>
    <x v="215"/>
    <x v="199"/>
    <x v="212"/>
    <x v="210"/>
    <x v="4"/>
    <x v="0"/>
    <x v="0"/>
    <x v="1"/>
    <x v="124"/>
    <x v="0"/>
  </r>
  <r>
    <x v="219"/>
    <x v="219"/>
    <x v="57"/>
    <x v="0"/>
    <x v="10"/>
    <x v="10"/>
    <x v="3"/>
    <x v="185"/>
    <x v="64"/>
    <x v="40"/>
    <x v="104"/>
    <x v="5"/>
    <x v="168"/>
    <x v="4"/>
    <x v="130"/>
    <x v="215"/>
    <x v="216"/>
    <x v="200"/>
    <x v="213"/>
    <x v="211"/>
    <x v="0"/>
    <x v="0"/>
    <x v="0"/>
    <x v="2"/>
    <x v="192"/>
    <x v="0"/>
  </r>
  <r>
    <x v="220"/>
    <x v="220"/>
    <x v="26"/>
    <x v="0"/>
    <x v="8"/>
    <x v="8"/>
    <x v="3"/>
    <x v="186"/>
    <x v="45"/>
    <x v="20"/>
    <x v="25"/>
    <x v="4"/>
    <x v="138"/>
    <x v="0"/>
    <x v="0"/>
    <x v="216"/>
    <x v="217"/>
    <x v="201"/>
    <x v="214"/>
    <x v="212"/>
    <x v="1"/>
    <x v="0"/>
    <x v="0"/>
    <x v="0"/>
    <x v="24"/>
    <x v="0"/>
  </r>
  <r>
    <x v="221"/>
    <x v="221"/>
    <x v="91"/>
    <x v="1"/>
    <x v="1"/>
    <x v="1"/>
    <x v="1"/>
    <x v="187"/>
    <x v="11"/>
    <x v="52"/>
    <x v="143"/>
    <x v="1"/>
    <x v="87"/>
    <x v="3"/>
    <x v="131"/>
    <x v="217"/>
    <x v="218"/>
    <x v="202"/>
    <x v="215"/>
    <x v="213"/>
    <x v="5"/>
    <x v="0"/>
    <x v="0"/>
    <x v="0"/>
    <x v="193"/>
    <x v="1"/>
  </r>
  <r>
    <x v="222"/>
    <x v="222"/>
    <x v="12"/>
    <x v="0"/>
    <x v="5"/>
    <x v="5"/>
    <x v="0"/>
    <x v="53"/>
    <x v="56"/>
    <x v="32"/>
    <x v="41"/>
    <x v="2"/>
    <x v="64"/>
    <x v="1"/>
    <x v="132"/>
    <x v="218"/>
    <x v="219"/>
    <x v="203"/>
    <x v="216"/>
    <x v="214"/>
    <x v="4"/>
    <x v="0"/>
    <x v="0"/>
    <x v="1"/>
    <x v="194"/>
    <x v="1"/>
  </r>
  <r>
    <x v="223"/>
    <x v="223"/>
    <x v="124"/>
    <x v="0"/>
    <x v="5"/>
    <x v="5"/>
    <x v="0"/>
    <x v="61"/>
    <x v="9"/>
    <x v="42"/>
    <x v="156"/>
    <x v="3"/>
    <x v="169"/>
    <x v="3"/>
    <x v="133"/>
    <x v="219"/>
    <x v="220"/>
    <x v="57"/>
    <x v="217"/>
    <x v="215"/>
    <x v="5"/>
    <x v="0"/>
    <x v="0"/>
    <x v="2"/>
    <x v="195"/>
    <x v="1"/>
  </r>
  <r>
    <x v="224"/>
    <x v="224"/>
    <x v="161"/>
    <x v="1"/>
    <x v="1"/>
    <x v="1"/>
    <x v="1"/>
    <x v="188"/>
    <x v="114"/>
    <x v="119"/>
    <x v="157"/>
    <x v="3"/>
    <x v="170"/>
    <x v="0"/>
    <x v="0"/>
    <x v="220"/>
    <x v="221"/>
    <x v="204"/>
    <x v="218"/>
    <x v="216"/>
    <x v="4"/>
    <x v="0"/>
    <x v="0"/>
    <x v="0"/>
    <x v="188"/>
    <x v="0"/>
  </r>
  <r>
    <x v="225"/>
    <x v="225"/>
    <x v="162"/>
    <x v="0"/>
    <x v="8"/>
    <x v="8"/>
    <x v="3"/>
    <x v="189"/>
    <x v="51"/>
    <x v="120"/>
    <x v="133"/>
    <x v="2"/>
    <x v="161"/>
    <x v="0"/>
    <x v="0"/>
    <x v="221"/>
    <x v="222"/>
    <x v="59"/>
    <x v="219"/>
    <x v="217"/>
    <x v="3"/>
    <x v="0"/>
    <x v="0"/>
    <x v="0"/>
    <x v="196"/>
    <x v="0"/>
  </r>
  <r>
    <x v="226"/>
    <x v="226"/>
    <x v="136"/>
    <x v="0"/>
    <x v="10"/>
    <x v="10"/>
    <x v="3"/>
    <x v="190"/>
    <x v="2"/>
    <x v="97"/>
    <x v="158"/>
    <x v="0"/>
    <x v="2"/>
    <x v="1"/>
    <x v="1"/>
    <x v="2"/>
    <x v="2"/>
    <x v="2"/>
    <x v="2"/>
    <x v="2"/>
    <x v="4"/>
    <x v="0"/>
    <x v="0"/>
    <x v="2"/>
    <x v="139"/>
    <x v="0"/>
  </r>
  <r>
    <x v="227"/>
    <x v="227"/>
    <x v="163"/>
    <x v="0"/>
    <x v="9"/>
    <x v="9"/>
    <x v="0"/>
    <x v="191"/>
    <x v="9"/>
    <x v="41"/>
    <x v="44"/>
    <x v="0"/>
    <x v="171"/>
    <x v="0"/>
    <x v="0"/>
    <x v="222"/>
    <x v="223"/>
    <x v="205"/>
    <x v="220"/>
    <x v="218"/>
    <x v="1"/>
    <x v="0"/>
    <x v="0"/>
    <x v="0"/>
    <x v="197"/>
    <x v="1"/>
  </r>
  <r>
    <x v="228"/>
    <x v="228"/>
    <x v="72"/>
    <x v="1"/>
    <x v="1"/>
    <x v="1"/>
    <x v="1"/>
    <x v="185"/>
    <x v="98"/>
    <x v="121"/>
    <x v="159"/>
    <x v="2"/>
    <x v="172"/>
    <x v="0"/>
    <x v="0"/>
    <x v="223"/>
    <x v="224"/>
    <x v="206"/>
    <x v="221"/>
    <x v="219"/>
    <x v="2"/>
    <x v="0"/>
    <x v="0"/>
    <x v="2"/>
    <x v="198"/>
    <x v="1"/>
  </r>
  <r>
    <x v="229"/>
    <x v="229"/>
    <x v="164"/>
    <x v="0"/>
    <x v="6"/>
    <x v="6"/>
    <x v="3"/>
    <x v="192"/>
    <x v="23"/>
    <x v="100"/>
    <x v="125"/>
    <x v="6"/>
    <x v="24"/>
    <x v="4"/>
    <x v="134"/>
    <x v="224"/>
    <x v="225"/>
    <x v="30"/>
    <x v="222"/>
    <x v="220"/>
    <x v="1"/>
    <x v="0"/>
    <x v="0"/>
    <x v="0"/>
    <x v="199"/>
    <x v="1"/>
  </r>
  <r>
    <x v="230"/>
    <x v="230"/>
    <x v="165"/>
    <x v="0"/>
    <x v="0"/>
    <x v="0"/>
    <x v="0"/>
    <x v="193"/>
    <x v="27"/>
    <x v="39"/>
    <x v="160"/>
    <x v="0"/>
    <x v="31"/>
    <x v="0"/>
    <x v="0"/>
    <x v="225"/>
    <x v="226"/>
    <x v="207"/>
    <x v="223"/>
    <x v="221"/>
    <x v="4"/>
    <x v="0"/>
    <x v="0"/>
    <x v="2"/>
    <x v="200"/>
    <x v="0"/>
  </r>
  <r>
    <x v="231"/>
    <x v="231"/>
    <x v="166"/>
    <x v="0"/>
    <x v="4"/>
    <x v="4"/>
    <x v="2"/>
    <x v="194"/>
    <x v="51"/>
    <x v="52"/>
    <x v="57"/>
    <x v="1"/>
    <x v="161"/>
    <x v="1"/>
    <x v="135"/>
    <x v="226"/>
    <x v="227"/>
    <x v="208"/>
    <x v="224"/>
    <x v="222"/>
    <x v="2"/>
    <x v="0"/>
    <x v="0"/>
    <x v="0"/>
    <x v="201"/>
    <x v="1"/>
  </r>
  <r>
    <x v="232"/>
    <x v="232"/>
    <x v="167"/>
    <x v="1"/>
    <x v="7"/>
    <x v="7"/>
    <x v="1"/>
    <x v="195"/>
    <x v="99"/>
    <x v="122"/>
    <x v="45"/>
    <x v="1"/>
    <x v="137"/>
    <x v="1"/>
    <x v="136"/>
    <x v="227"/>
    <x v="228"/>
    <x v="209"/>
    <x v="225"/>
    <x v="223"/>
    <x v="2"/>
    <x v="0"/>
    <x v="0"/>
    <x v="0"/>
    <x v="202"/>
    <x v="1"/>
  </r>
  <r>
    <x v="233"/>
    <x v="233"/>
    <x v="30"/>
    <x v="0"/>
    <x v="6"/>
    <x v="6"/>
    <x v="3"/>
    <x v="196"/>
    <x v="75"/>
    <x v="123"/>
    <x v="161"/>
    <x v="4"/>
    <x v="173"/>
    <x v="3"/>
    <x v="137"/>
    <x v="228"/>
    <x v="229"/>
    <x v="210"/>
    <x v="226"/>
    <x v="224"/>
    <x v="2"/>
    <x v="0"/>
    <x v="0"/>
    <x v="0"/>
    <x v="94"/>
    <x v="0"/>
  </r>
  <r>
    <x v="234"/>
    <x v="234"/>
    <x v="168"/>
    <x v="0"/>
    <x v="6"/>
    <x v="6"/>
    <x v="3"/>
    <x v="26"/>
    <x v="109"/>
    <x v="124"/>
    <x v="162"/>
    <x v="3"/>
    <x v="174"/>
    <x v="4"/>
    <x v="138"/>
    <x v="229"/>
    <x v="230"/>
    <x v="211"/>
    <x v="227"/>
    <x v="225"/>
    <x v="4"/>
    <x v="0"/>
    <x v="0"/>
    <x v="0"/>
    <x v="91"/>
    <x v="0"/>
  </r>
  <r>
    <x v="235"/>
    <x v="235"/>
    <x v="110"/>
    <x v="1"/>
    <x v="1"/>
    <x v="1"/>
    <x v="1"/>
    <x v="197"/>
    <x v="14"/>
    <x v="67"/>
    <x v="76"/>
    <x v="7"/>
    <x v="175"/>
    <x v="0"/>
    <x v="0"/>
    <x v="230"/>
    <x v="231"/>
    <x v="212"/>
    <x v="228"/>
    <x v="226"/>
    <x v="4"/>
    <x v="0"/>
    <x v="0"/>
    <x v="1"/>
    <x v="203"/>
    <x v="0"/>
  </r>
  <r>
    <x v="236"/>
    <x v="236"/>
    <x v="169"/>
    <x v="0"/>
    <x v="0"/>
    <x v="0"/>
    <x v="0"/>
    <x v="29"/>
    <x v="84"/>
    <x v="41"/>
    <x v="44"/>
    <x v="6"/>
    <x v="109"/>
    <x v="1"/>
    <x v="139"/>
    <x v="231"/>
    <x v="232"/>
    <x v="119"/>
    <x v="229"/>
    <x v="227"/>
    <x v="3"/>
    <x v="0"/>
    <x v="0"/>
    <x v="0"/>
    <x v="204"/>
    <x v="0"/>
  </r>
  <r>
    <x v="237"/>
    <x v="237"/>
    <x v="170"/>
    <x v="0"/>
    <x v="3"/>
    <x v="3"/>
    <x v="2"/>
    <x v="198"/>
    <x v="71"/>
    <x v="1"/>
    <x v="1"/>
    <x v="6"/>
    <x v="130"/>
    <x v="3"/>
    <x v="140"/>
    <x v="232"/>
    <x v="233"/>
    <x v="142"/>
    <x v="230"/>
    <x v="228"/>
    <x v="4"/>
    <x v="0"/>
    <x v="0"/>
    <x v="0"/>
    <x v="205"/>
    <x v="1"/>
  </r>
  <r>
    <x v="238"/>
    <x v="238"/>
    <x v="111"/>
    <x v="0"/>
    <x v="10"/>
    <x v="10"/>
    <x v="3"/>
    <x v="199"/>
    <x v="32"/>
    <x v="54"/>
    <x v="59"/>
    <x v="6"/>
    <x v="36"/>
    <x v="2"/>
    <x v="141"/>
    <x v="233"/>
    <x v="234"/>
    <x v="213"/>
    <x v="231"/>
    <x v="229"/>
    <x v="0"/>
    <x v="0"/>
    <x v="0"/>
    <x v="0"/>
    <x v="206"/>
    <x v="1"/>
  </r>
  <r>
    <x v="239"/>
    <x v="239"/>
    <x v="166"/>
    <x v="0"/>
    <x v="4"/>
    <x v="4"/>
    <x v="2"/>
    <x v="200"/>
    <x v="12"/>
    <x v="125"/>
    <x v="163"/>
    <x v="0"/>
    <x v="12"/>
    <x v="1"/>
    <x v="142"/>
    <x v="234"/>
    <x v="235"/>
    <x v="214"/>
    <x v="232"/>
    <x v="230"/>
    <x v="1"/>
    <x v="0"/>
    <x v="0"/>
    <x v="0"/>
    <x v="207"/>
    <x v="1"/>
  </r>
  <r>
    <x v="240"/>
    <x v="240"/>
    <x v="171"/>
    <x v="1"/>
    <x v="7"/>
    <x v="7"/>
    <x v="1"/>
    <x v="201"/>
    <x v="9"/>
    <x v="126"/>
    <x v="164"/>
    <x v="2"/>
    <x v="176"/>
    <x v="3"/>
    <x v="21"/>
    <x v="235"/>
    <x v="236"/>
    <x v="215"/>
    <x v="233"/>
    <x v="231"/>
    <x v="0"/>
    <x v="0"/>
    <x v="0"/>
    <x v="0"/>
    <x v="208"/>
    <x v="1"/>
  </r>
  <r>
    <x v="241"/>
    <x v="241"/>
    <x v="156"/>
    <x v="0"/>
    <x v="2"/>
    <x v="2"/>
    <x v="2"/>
    <x v="202"/>
    <x v="115"/>
    <x v="127"/>
    <x v="165"/>
    <x v="5"/>
    <x v="177"/>
    <x v="4"/>
    <x v="143"/>
    <x v="236"/>
    <x v="237"/>
    <x v="216"/>
    <x v="234"/>
    <x v="232"/>
    <x v="2"/>
    <x v="0"/>
    <x v="0"/>
    <x v="0"/>
    <x v="176"/>
    <x v="0"/>
  </r>
  <r>
    <x v="242"/>
    <x v="242"/>
    <x v="172"/>
    <x v="0"/>
    <x v="10"/>
    <x v="10"/>
    <x v="3"/>
    <x v="203"/>
    <x v="116"/>
    <x v="7"/>
    <x v="7"/>
    <x v="1"/>
    <x v="178"/>
    <x v="0"/>
    <x v="0"/>
    <x v="237"/>
    <x v="238"/>
    <x v="217"/>
    <x v="235"/>
    <x v="233"/>
    <x v="4"/>
    <x v="0"/>
    <x v="0"/>
    <x v="0"/>
    <x v="209"/>
    <x v="0"/>
  </r>
  <r>
    <x v="243"/>
    <x v="243"/>
    <x v="173"/>
    <x v="1"/>
    <x v="11"/>
    <x v="11"/>
    <x v="1"/>
    <x v="204"/>
    <x v="56"/>
    <x v="114"/>
    <x v="166"/>
    <x v="3"/>
    <x v="179"/>
    <x v="3"/>
    <x v="144"/>
    <x v="238"/>
    <x v="239"/>
    <x v="218"/>
    <x v="236"/>
    <x v="234"/>
    <x v="0"/>
    <x v="0"/>
    <x v="0"/>
    <x v="0"/>
    <x v="210"/>
    <x v="1"/>
  </r>
  <r>
    <x v="244"/>
    <x v="244"/>
    <x v="174"/>
    <x v="0"/>
    <x v="4"/>
    <x v="4"/>
    <x v="2"/>
    <x v="89"/>
    <x v="73"/>
    <x v="46"/>
    <x v="138"/>
    <x v="4"/>
    <x v="180"/>
    <x v="3"/>
    <x v="145"/>
    <x v="239"/>
    <x v="240"/>
    <x v="96"/>
    <x v="237"/>
    <x v="235"/>
    <x v="0"/>
    <x v="0"/>
    <x v="0"/>
    <x v="0"/>
    <x v="211"/>
    <x v="1"/>
  </r>
  <r>
    <x v="245"/>
    <x v="245"/>
    <x v="175"/>
    <x v="0"/>
    <x v="0"/>
    <x v="0"/>
    <x v="0"/>
    <x v="204"/>
    <x v="88"/>
    <x v="51"/>
    <x v="56"/>
    <x v="4"/>
    <x v="181"/>
    <x v="3"/>
    <x v="146"/>
    <x v="240"/>
    <x v="241"/>
    <x v="219"/>
    <x v="238"/>
    <x v="236"/>
    <x v="5"/>
    <x v="0"/>
    <x v="0"/>
    <x v="2"/>
    <x v="212"/>
    <x v="1"/>
  </r>
  <r>
    <x v="246"/>
    <x v="246"/>
    <x v="65"/>
    <x v="0"/>
    <x v="8"/>
    <x v="8"/>
    <x v="3"/>
    <x v="175"/>
    <x v="97"/>
    <x v="13"/>
    <x v="114"/>
    <x v="0"/>
    <x v="127"/>
    <x v="4"/>
    <x v="147"/>
    <x v="241"/>
    <x v="242"/>
    <x v="220"/>
    <x v="239"/>
    <x v="237"/>
    <x v="2"/>
    <x v="0"/>
    <x v="0"/>
    <x v="0"/>
    <x v="213"/>
    <x v="0"/>
  </r>
  <r>
    <x v="247"/>
    <x v="247"/>
    <x v="175"/>
    <x v="0"/>
    <x v="0"/>
    <x v="0"/>
    <x v="0"/>
    <x v="107"/>
    <x v="60"/>
    <x v="128"/>
    <x v="167"/>
    <x v="0"/>
    <x v="68"/>
    <x v="0"/>
    <x v="0"/>
    <x v="242"/>
    <x v="243"/>
    <x v="221"/>
    <x v="240"/>
    <x v="238"/>
    <x v="4"/>
    <x v="0"/>
    <x v="0"/>
    <x v="0"/>
    <x v="90"/>
    <x v="1"/>
  </r>
  <r>
    <x v="248"/>
    <x v="248"/>
    <x v="148"/>
    <x v="1"/>
    <x v="1"/>
    <x v="1"/>
    <x v="1"/>
    <x v="78"/>
    <x v="117"/>
    <x v="33"/>
    <x v="168"/>
    <x v="2"/>
    <x v="182"/>
    <x v="0"/>
    <x v="0"/>
    <x v="243"/>
    <x v="244"/>
    <x v="191"/>
    <x v="241"/>
    <x v="239"/>
    <x v="3"/>
    <x v="1"/>
    <x v="1"/>
    <x v="0"/>
    <x v="214"/>
    <x v="1"/>
  </r>
  <r>
    <x v="249"/>
    <x v="249"/>
    <x v="154"/>
    <x v="0"/>
    <x v="5"/>
    <x v="5"/>
    <x v="0"/>
    <x v="205"/>
    <x v="83"/>
    <x v="16"/>
    <x v="100"/>
    <x v="4"/>
    <x v="183"/>
    <x v="0"/>
    <x v="0"/>
    <x v="244"/>
    <x v="245"/>
    <x v="222"/>
    <x v="242"/>
    <x v="240"/>
    <x v="2"/>
    <x v="0"/>
    <x v="0"/>
    <x v="0"/>
    <x v="215"/>
    <x v="1"/>
  </r>
  <r>
    <x v="250"/>
    <x v="250"/>
    <x v="176"/>
    <x v="0"/>
    <x v="5"/>
    <x v="5"/>
    <x v="0"/>
    <x v="206"/>
    <x v="16"/>
    <x v="78"/>
    <x v="131"/>
    <x v="6"/>
    <x v="106"/>
    <x v="1"/>
    <x v="148"/>
    <x v="245"/>
    <x v="246"/>
    <x v="223"/>
    <x v="243"/>
    <x v="241"/>
    <x v="2"/>
    <x v="0"/>
    <x v="0"/>
    <x v="1"/>
    <x v="216"/>
    <x v="0"/>
  </r>
  <r>
    <x v="251"/>
    <x v="251"/>
    <x v="34"/>
    <x v="0"/>
    <x v="9"/>
    <x v="9"/>
    <x v="0"/>
    <x v="73"/>
    <x v="66"/>
    <x v="124"/>
    <x v="72"/>
    <x v="3"/>
    <x v="184"/>
    <x v="0"/>
    <x v="0"/>
    <x v="246"/>
    <x v="247"/>
    <x v="224"/>
    <x v="244"/>
    <x v="242"/>
    <x v="5"/>
    <x v="1"/>
    <x v="1"/>
    <x v="1"/>
    <x v="217"/>
    <x v="0"/>
  </r>
  <r>
    <x v="252"/>
    <x v="252"/>
    <x v="177"/>
    <x v="0"/>
    <x v="10"/>
    <x v="10"/>
    <x v="3"/>
    <x v="16"/>
    <x v="48"/>
    <x v="82"/>
    <x v="169"/>
    <x v="2"/>
    <x v="185"/>
    <x v="0"/>
    <x v="0"/>
    <x v="247"/>
    <x v="248"/>
    <x v="225"/>
    <x v="245"/>
    <x v="243"/>
    <x v="3"/>
    <x v="0"/>
    <x v="0"/>
    <x v="0"/>
    <x v="218"/>
    <x v="1"/>
  </r>
  <r>
    <x v="253"/>
    <x v="253"/>
    <x v="178"/>
    <x v="0"/>
    <x v="10"/>
    <x v="10"/>
    <x v="3"/>
    <x v="207"/>
    <x v="1"/>
    <x v="93"/>
    <x v="113"/>
    <x v="2"/>
    <x v="186"/>
    <x v="1"/>
    <x v="149"/>
    <x v="248"/>
    <x v="249"/>
    <x v="226"/>
    <x v="246"/>
    <x v="244"/>
    <x v="5"/>
    <x v="0"/>
    <x v="0"/>
    <x v="1"/>
    <x v="219"/>
    <x v="1"/>
  </r>
  <r>
    <x v="254"/>
    <x v="254"/>
    <x v="57"/>
    <x v="0"/>
    <x v="10"/>
    <x v="10"/>
    <x v="3"/>
    <x v="208"/>
    <x v="60"/>
    <x v="32"/>
    <x v="170"/>
    <x v="1"/>
    <x v="68"/>
    <x v="4"/>
    <x v="150"/>
    <x v="249"/>
    <x v="250"/>
    <x v="70"/>
    <x v="0"/>
    <x v="245"/>
    <x v="5"/>
    <x v="0"/>
    <x v="0"/>
    <x v="0"/>
    <x v="220"/>
    <x v="0"/>
  </r>
  <r>
    <x v="255"/>
    <x v="255"/>
    <x v="179"/>
    <x v="0"/>
    <x v="10"/>
    <x v="10"/>
    <x v="3"/>
    <x v="118"/>
    <x v="46"/>
    <x v="66"/>
    <x v="75"/>
    <x v="1"/>
    <x v="100"/>
    <x v="4"/>
    <x v="61"/>
    <x v="109"/>
    <x v="109"/>
    <x v="107"/>
    <x v="107"/>
    <x v="106"/>
    <x v="2"/>
    <x v="0"/>
    <x v="0"/>
    <x v="0"/>
    <x v="123"/>
    <x v="1"/>
  </r>
  <r>
    <x v="256"/>
    <x v="256"/>
    <x v="180"/>
    <x v="1"/>
    <x v="7"/>
    <x v="7"/>
    <x v="1"/>
    <x v="209"/>
    <x v="72"/>
    <x v="50"/>
    <x v="171"/>
    <x v="6"/>
    <x v="116"/>
    <x v="0"/>
    <x v="0"/>
    <x v="250"/>
    <x v="251"/>
    <x v="127"/>
    <x v="247"/>
    <x v="246"/>
    <x v="0"/>
    <x v="0"/>
    <x v="0"/>
    <x v="2"/>
    <x v="221"/>
    <x v="1"/>
  </r>
  <r>
    <x v="257"/>
    <x v="257"/>
    <x v="46"/>
    <x v="0"/>
    <x v="10"/>
    <x v="10"/>
    <x v="3"/>
    <x v="163"/>
    <x v="109"/>
    <x v="60"/>
    <x v="172"/>
    <x v="2"/>
    <x v="150"/>
    <x v="0"/>
    <x v="0"/>
    <x v="251"/>
    <x v="252"/>
    <x v="227"/>
    <x v="248"/>
    <x v="181"/>
    <x v="0"/>
    <x v="0"/>
    <x v="0"/>
    <x v="0"/>
    <x v="222"/>
    <x v="1"/>
  </r>
  <r>
    <x v="258"/>
    <x v="258"/>
    <x v="38"/>
    <x v="1"/>
    <x v="11"/>
    <x v="11"/>
    <x v="1"/>
    <x v="158"/>
    <x v="1"/>
    <x v="71"/>
    <x v="81"/>
    <x v="4"/>
    <x v="1"/>
    <x v="0"/>
    <x v="0"/>
    <x v="252"/>
    <x v="253"/>
    <x v="180"/>
    <x v="249"/>
    <x v="1"/>
    <x v="0"/>
    <x v="0"/>
    <x v="0"/>
    <x v="0"/>
    <x v="90"/>
    <x v="0"/>
  </r>
  <r>
    <x v="259"/>
    <x v="259"/>
    <x v="89"/>
    <x v="0"/>
    <x v="4"/>
    <x v="4"/>
    <x v="2"/>
    <x v="210"/>
    <x v="63"/>
    <x v="129"/>
    <x v="173"/>
    <x v="4"/>
    <x v="187"/>
    <x v="2"/>
    <x v="151"/>
    <x v="253"/>
    <x v="254"/>
    <x v="228"/>
    <x v="250"/>
    <x v="247"/>
    <x v="2"/>
    <x v="0"/>
    <x v="0"/>
    <x v="0"/>
    <x v="223"/>
    <x v="0"/>
  </r>
  <r>
    <x v="260"/>
    <x v="260"/>
    <x v="181"/>
    <x v="0"/>
    <x v="3"/>
    <x v="3"/>
    <x v="2"/>
    <x v="211"/>
    <x v="118"/>
    <x v="75"/>
    <x v="174"/>
    <x v="6"/>
    <x v="188"/>
    <x v="1"/>
    <x v="152"/>
    <x v="254"/>
    <x v="255"/>
    <x v="229"/>
    <x v="251"/>
    <x v="248"/>
    <x v="3"/>
    <x v="0"/>
    <x v="0"/>
    <x v="0"/>
    <x v="39"/>
    <x v="1"/>
  </r>
  <r>
    <x v="261"/>
    <x v="261"/>
    <x v="182"/>
    <x v="0"/>
    <x v="9"/>
    <x v="9"/>
    <x v="0"/>
    <x v="212"/>
    <x v="15"/>
    <x v="50"/>
    <x v="55"/>
    <x v="0"/>
    <x v="15"/>
    <x v="0"/>
    <x v="0"/>
    <x v="255"/>
    <x v="256"/>
    <x v="230"/>
    <x v="252"/>
    <x v="191"/>
    <x v="1"/>
    <x v="0"/>
    <x v="0"/>
    <x v="1"/>
    <x v="224"/>
    <x v="1"/>
  </r>
  <r>
    <x v="262"/>
    <x v="262"/>
    <x v="183"/>
    <x v="0"/>
    <x v="5"/>
    <x v="5"/>
    <x v="0"/>
    <x v="175"/>
    <x v="119"/>
    <x v="130"/>
    <x v="175"/>
    <x v="6"/>
    <x v="189"/>
    <x v="1"/>
    <x v="153"/>
    <x v="256"/>
    <x v="257"/>
    <x v="231"/>
    <x v="253"/>
    <x v="249"/>
    <x v="4"/>
    <x v="0"/>
    <x v="0"/>
    <x v="2"/>
    <x v="225"/>
    <x v="1"/>
  </r>
  <r>
    <x v="263"/>
    <x v="263"/>
    <x v="184"/>
    <x v="0"/>
    <x v="4"/>
    <x v="4"/>
    <x v="2"/>
    <x v="213"/>
    <x v="1"/>
    <x v="131"/>
    <x v="137"/>
    <x v="1"/>
    <x v="1"/>
    <x v="4"/>
    <x v="154"/>
    <x v="257"/>
    <x v="258"/>
    <x v="1"/>
    <x v="254"/>
    <x v="250"/>
    <x v="1"/>
    <x v="0"/>
    <x v="0"/>
    <x v="0"/>
    <x v="226"/>
    <x v="1"/>
  </r>
  <r>
    <x v="264"/>
    <x v="264"/>
    <x v="185"/>
    <x v="0"/>
    <x v="8"/>
    <x v="8"/>
    <x v="3"/>
    <x v="114"/>
    <x v="107"/>
    <x v="90"/>
    <x v="176"/>
    <x v="1"/>
    <x v="190"/>
    <x v="0"/>
    <x v="0"/>
    <x v="258"/>
    <x v="259"/>
    <x v="232"/>
    <x v="255"/>
    <x v="251"/>
    <x v="0"/>
    <x v="0"/>
    <x v="0"/>
    <x v="1"/>
    <x v="227"/>
    <x v="1"/>
  </r>
  <r>
    <x v="265"/>
    <x v="265"/>
    <x v="112"/>
    <x v="0"/>
    <x v="10"/>
    <x v="10"/>
    <x v="3"/>
    <x v="214"/>
    <x v="32"/>
    <x v="132"/>
    <x v="177"/>
    <x v="2"/>
    <x v="191"/>
    <x v="1"/>
    <x v="155"/>
    <x v="259"/>
    <x v="260"/>
    <x v="233"/>
    <x v="256"/>
    <x v="252"/>
    <x v="0"/>
    <x v="0"/>
    <x v="0"/>
    <x v="0"/>
    <x v="228"/>
    <x v="1"/>
  </r>
  <r>
    <x v="266"/>
    <x v="266"/>
    <x v="20"/>
    <x v="1"/>
    <x v="1"/>
    <x v="1"/>
    <x v="1"/>
    <x v="23"/>
    <x v="17"/>
    <x v="87"/>
    <x v="178"/>
    <x v="6"/>
    <x v="17"/>
    <x v="0"/>
    <x v="0"/>
    <x v="260"/>
    <x v="261"/>
    <x v="234"/>
    <x v="257"/>
    <x v="253"/>
    <x v="1"/>
    <x v="0"/>
    <x v="0"/>
    <x v="0"/>
    <x v="229"/>
    <x v="1"/>
  </r>
  <r>
    <x v="267"/>
    <x v="267"/>
    <x v="186"/>
    <x v="0"/>
    <x v="0"/>
    <x v="0"/>
    <x v="0"/>
    <x v="215"/>
    <x v="62"/>
    <x v="107"/>
    <x v="15"/>
    <x v="1"/>
    <x v="192"/>
    <x v="3"/>
    <x v="156"/>
    <x v="261"/>
    <x v="262"/>
    <x v="235"/>
    <x v="258"/>
    <x v="254"/>
    <x v="5"/>
    <x v="0"/>
    <x v="0"/>
    <x v="2"/>
    <x v="230"/>
    <x v="1"/>
  </r>
  <r>
    <x v="268"/>
    <x v="268"/>
    <x v="187"/>
    <x v="1"/>
    <x v="1"/>
    <x v="1"/>
    <x v="1"/>
    <x v="216"/>
    <x v="67"/>
    <x v="133"/>
    <x v="179"/>
    <x v="5"/>
    <x v="193"/>
    <x v="4"/>
    <x v="157"/>
    <x v="262"/>
    <x v="263"/>
    <x v="236"/>
    <x v="259"/>
    <x v="255"/>
    <x v="2"/>
    <x v="0"/>
    <x v="0"/>
    <x v="0"/>
    <x v="231"/>
    <x v="0"/>
  </r>
  <r>
    <x v="269"/>
    <x v="269"/>
    <x v="188"/>
    <x v="0"/>
    <x v="4"/>
    <x v="4"/>
    <x v="2"/>
    <x v="217"/>
    <x v="105"/>
    <x v="134"/>
    <x v="131"/>
    <x v="3"/>
    <x v="194"/>
    <x v="0"/>
    <x v="0"/>
    <x v="263"/>
    <x v="264"/>
    <x v="237"/>
    <x v="260"/>
    <x v="256"/>
    <x v="5"/>
    <x v="0"/>
    <x v="0"/>
    <x v="0"/>
    <x v="232"/>
    <x v="0"/>
  </r>
  <r>
    <x v="270"/>
    <x v="270"/>
    <x v="30"/>
    <x v="0"/>
    <x v="6"/>
    <x v="6"/>
    <x v="3"/>
    <x v="218"/>
    <x v="120"/>
    <x v="135"/>
    <x v="180"/>
    <x v="5"/>
    <x v="195"/>
    <x v="1"/>
    <x v="158"/>
    <x v="264"/>
    <x v="265"/>
    <x v="238"/>
    <x v="261"/>
    <x v="257"/>
    <x v="1"/>
    <x v="0"/>
    <x v="0"/>
    <x v="0"/>
    <x v="233"/>
    <x v="0"/>
  </r>
  <r>
    <x v="271"/>
    <x v="271"/>
    <x v="189"/>
    <x v="0"/>
    <x v="6"/>
    <x v="6"/>
    <x v="3"/>
    <x v="82"/>
    <x v="121"/>
    <x v="117"/>
    <x v="181"/>
    <x v="2"/>
    <x v="196"/>
    <x v="4"/>
    <x v="159"/>
    <x v="265"/>
    <x v="266"/>
    <x v="239"/>
    <x v="262"/>
    <x v="258"/>
    <x v="0"/>
    <x v="0"/>
    <x v="0"/>
    <x v="1"/>
    <x v="86"/>
    <x v="1"/>
  </r>
  <r>
    <x v="272"/>
    <x v="272"/>
    <x v="186"/>
    <x v="0"/>
    <x v="0"/>
    <x v="0"/>
    <x v="0"/>
    <x v="219"/>
    <x v="119"/>
    <x v="84"/>
    <x v="182"/>
    <x v="3"/>
    <x v="197"/>
    <x v="3"/>
    <x v="160"/>
    <x v="266"/>
    <x v="267"/>
    <x v="240"/>
    <x v="263"/>
    <x v="259"/>
    <x v="5"/>
    <x v="0"/>
    <x v="0"/>
    <x v="2"/>
    <x v="1"/>
    <x v="1"/>
  </r>
  <r>
    <x v="273"/>
    <x v="273"/>
    <x v="190"/>
    <x v="0"/>
    <x v="4"/>
    <x v="4"/>
    <x v="2"/>
    <x v="220"/>
    <x v="20"/>
    <x v="124"/>
    <x v="183"/>
    <x v="0"/>
    <x v="198"/>
    <x v="0"/>
    <x v="0"/>
    <x v="267"/>
    <x v="268"/>
    <x v="241"/>
    <x v="264"/>
    <x v="260"/>
    <x v="0"/>
    <x v="1"/>
    <x v="1"/>
    <x v="2"/>
    <x v="234"/>
    <x v="0"/>
  </r>
  <r>
    <x v="274"/>
    <x v="274"/>
    <x v="191"/>
    <x v="0"/>
    <x v="6"/>
    <x v="6"/>
    <x v="3"/>
    <x v="37"/>
    <x v="119"/>
    <x v="124"/>
    <x v="72"/>
    <x v="5"/>
    <x v="199"/>
    <x v="3"/>
    <x v="161"/>
    <x v="268"/>
    <x v="269"/>
    <x v="242"/>
    <x v="265"/>
    <x v="261"/>
    <x v="2"/>
    <x v="0"/>
    <x v="0"/>
    <x v="2"/>
    <x v="235"/>
    <x v="1"/>
  </r>
  <r>
    <x v="275"/>
    <x v="275"/>
    <x v="26"/>
    <x v="0"/>
    <x v="8"/>
    <x v="8"/>
    <x v="3"/>
    <x v="221"/>
    <x v="38"/>
    <x v="117"/>
    <x v="35"/>
    <x v="4"/>
    <x v="43"/>
    <x v="0"/>
    <x v="0"/>
    <x v="269"/>
    <x v="270"/>
    <x v="243"/>
    <x v="266"/>
    <x v="262"/>
    <x v="4"/>
    <x v="0"/>
    <x v="0"/>
    <x v="2"/>
    <x v="236"/>
    <x v="0"/>
  </r>
  <r>
    <x v="276"/>
    <x v="276"/>
    <x v="47"/>
    <x v="0"/>
    <x v="5"/>
    <x v="5"/>
    <x v="0"/>
    <x v="55"/>
    <x v="105"/>
    <x v="88"/>
    <x v="104"/>
    <x v="2"/>
    <x v="200"/>
    <x v="0"/>
    <x v="0"/>
    <x v="270"/>
    <x v="271"/>
    <x v="165"/>
    <x v="267"/>
    <x v="263"/>
    <x v="2"/>
    <x v="0"/>
    <x v="0"/>
    <x v="0"/>
    <x v="95"/>
    <x v="0"/>
  </r>
  <r>
    <x v="277"/>
    <x v="277"/>
    <x v="98"/>
    <x v="0"/>
    <x v="6"/>
    <x v="6"/>
    <x v="3"/>
    <x v="222"/>
    <x v="66"/>
    <x v="8"/>
    <x v="8"/>
    <x v="1"/>
    <x v="80"/>
    <x v="4"/>
    <x v="162"/>
    <x v="271"/>
    <x v="272"/>
    <x v="244"/>
    <x v="268"/>
    <x v="264"/>
    <x v="0"/>
    <x v="0"/>
    <x v="0"/>
    <x v="0"/>
    <x v="237"/>
    <x v="1"/>
  </r>
  <r>
    <x v="278"/>
    <x v="278"/>
    <x v="16"/>
    <x v="0"/>
    <x v="6"/>
    <x v="6"/>
    <x v="3"/>
    <x v="76"/>
    <x v="37"/>
    <x v="43"/>
    <x v="46"/>
    <x v="3"/>
    <x v="201"/>
    <x v="3"/>
    <x v="163"/>
    <x v="272"/>
    <x v="273"/>
    <x v="245"/>
    <x v="269"/>
    <x v="265"/>
    <x v="5"/>
    <x v="0"/>
    <x v="0"/>
    <x v="0"/>
    <x v="238"/>
    <x v="0"/>
  </r>
  <r>
    <x v="279"/>
    <x v="279"/>
    <x v="108"/>
    <x v="0"/>
    <x v="5"/>
    <x v="5"/>
    <x v="0"/>
    <x v="51"/>
    <x v="99"/>
    <x v="40"/>
    <x v="37"/>
    <x v="2"/>
    <x v="137"/>
    <x v="0"/>
    <x v="0"/>
    <x v="273"/>
    <x v="274"/>
    <x v="246"/>
    <x v="270"/>
    <x v="266"/>
    <x v="0"/>
    <x v="0"/>
    <x v="0"/>
    <x v="2"/>
    <x v="127"/>
    <x v="1"/>
  </r>
  <r>
    <x v="280"/>
    <x v="280"/>
    <x v="179"/>
    <x v="0"/>
    <x v="10"/>
    <x v="10"/>
    <x v="3"/>
    <x v="75"/>
    <x v="61"/>
    <x v="95"/>
    <x v="184"/>
    <x v="0"/>
    <x v="69"/>
    <x v="1"/>
    <x v="164"/>
    <x v="274"/>
    <x v="275"/>
    <x v="247"/>
    <x v="271"/>
    <x v="267"/>
    <x v="5"/>
    <x v="0"/>
    <x v="0"/>
    <x v="0"/>
    <x v="239"/>
    <x v="1"/>
  </r>
  <r>
    <x v="281"/>
    <x v="281"/>
    <x v="11"/>
    <x v="1"/>
    <x v="1"/>
    <x v="1"/>
    <x v="1"/>
    <x v="223"/>
    <x v="1"/>
    <x v="85"/>
    <x v="185"/>
    <x v="1"/>
    <x v="1"/>
    <x v="0"/>
    <x v="0"/>
    <x v="1"/>
    <x v="276"/>
    <x v="1"/>
    <x v="272"/>
    <x v="268"/>
    <x v="3"/>
    <x v="0"/>
    <x v="0"/>
    <x v="0"/>
    <x v="240"/>
    <x v="1"/>
  </r>
  <r>
    <x v="282"/>
    <x v="282"/>
    <x v="178"/>
    <x v="0"/>
    <x v="10"/>
    <x v="10"/>
    <x v="3"/>
    <x v="86"/>
    <x v="104"/>
    <x v="56"/>
    <x v="186"/>
    <x v="2"/>
    <x v="202"/>
    <x v="4"/>
    <x v="93"/>
    <x v="275"/>
    <x v="277"/>
    <x v="248"/>
    <x v="273"/>
    <x v="269"/>
    <x v="2"/>
    <x v="0"/>
    <x v="0"/>
    <x v="2"/>
    <x v="49"/>
    <x v="1"/>
  </r>
  <r>
    <x v="283"/>
    <x v="283"/>
    <x v="192"/>
    <x v="0"/>
    <x v="3"/>
    <x v="3"/>
    <x v="2"/>
    <x v="123"/>
    <x v="122"/>
    <x v="1"/>
    <x v="1"/>
    <x v="4"/>
    <x v="203"/>
    <x v="2"/>
    <x v="165"/>
    <x v="276"/>
    <x v="278"/>
    <x v="249"/>
    <x v="274"/>
    <x v="270"/>
    <x v="0"/>
    <x v="0"/>
    <x v="0"/>
    <x v="0"/>
    <x v="241"/>
    <x v="0"/>
  </r>
  <r>
    <x v="284"/>
    <x v="284"/>
    <x v="110"/>
    <x v="1"/>
    <x v="1"/>
    <x v="1"/>
    <x v="1"/>
    <x v="224"/>
    <x v="117"/>
    <x v="113"/>
    <x v="35"/>
    <x v="6"/>
    <x v="204"/>
    <x v="0"/>
    <x v="0"/>
    <x v="277"/>
    <x v="279"/>
    <x v="250"/>
    <x v="275"/>
    <x v="271"/>
    <x v="5"/>
    <x v="0"/>
    <x v="0"/>
    <x v="2"/>
    <x v="242"/>
    <x v="0"/>
  </r>
  <r>
    <x v="285"/>
    <x v="285"/>
    <x v="92"/>
    <x v="0"/>
    <x v="4"/>
    <x v="4"/>
    <x v="2"/>
    <x v="28"/>
    <x v="42"/>
    <x v="36"/>
    <x v="37"/>
    <x v="0"/>
    <x v="47"/>
    <x v="0"/>
    <x v="0"/>
    <x v="278"/>
    <x v="280"/>
    <x v="251"/>
    <x v="276"/>
    <x v="272"/>
    <x v="1"/>
    <x v="0"/>
    <x v="0"/>
    <x v="0"/>
    <x v="236"/>
    <x v="0"/>
  </r>
  <r>
    <x v="286"/>
    <x v="286"/>
    <x v="187"/>
    <x v="1"/>
    <x v="1"/>
    <x v="1"/>
    <x v="1"/>
    <x v="225"/>
    <x v="122"/>
    <x v="136"/>
    <x v="142"/>
    <x v="6"/>
    <x v="205"/>
    <x v="3"/>
    <x v="166"/>
    <x v="279"/>
    <x v="281"/>
    <x v="252"/>
    <x v="277"/>
    <x v="273"/>
    <x v="2"/>
    <x v="0"/>
    <x v="0"/>
    <x v="0"/>
    <x v="175"/>
    <x v="0"/>
  </r>
  <r>
    <x v="287"/>
    <x v="287"/>
    <x v="193"/>
    <x v="0"/>
    <x v="6"/>
    <x v="6"/>
    <x v="3"/>
    <x v="226"/>
    <x v="114"/>
    <x v="8"/>
    <x v="8"/>
    <x v="1"/>
    <x v="206"/>
    <x v="0"/>
    <x v="0"/>
    <x v="280"/>
    <x v="282"/>
    <x v="253"/>
    <x v="278"/>
    <x v="274"/>
    <x v="3"/>
    <x v="0"/>
    <x v="0"/>
    <x v="0"/>
    <x v="112"/>
    <x v="1"/>
  </r>
  <r>
    <x v="288"/>
    <x v="288"/>
    <x v="194"/>
    <x v="0"/>
    <x v="8"/>
    <x v="8"/>
    <x v="3"/>
    <x v="227"/>
    <x v="98"/>
    <x v="112"/>
    <x v="141"/>
    <x v="6"/>
    <x v="149"/>
    <x v="3"/>
    <x v="167"/>
    <x v="281"/>
    <x v="283"/>
    <x v="141"/>
    <x v="279"/>
    <x v="275"/>
    <x v="4"/>
    <x v="0"/>
    <x v="0"/>
    <x v="0"/>
    <x v="243"/>
    <x v="1"/>
  </r>
  <r>
    <x v="289"/>
    <x v="289"/>
    <x v="191"/>
    <x v="0"/>
    <x v="6"/>
    <x v="6"/>
    <x v="3"/>
    <x v="228"/>
    <x v="2"/>
    <x v="5"/>
    <x v="187"/>
    <x v="2"/>
    <x v="207"/>
    <x v="1"/>
    <x v="168"/>
    <x v="282"/>
    <x v="284"/>
    <x v="254"/>
    <x v="280"/>
    <x v="276"/>
    <x v="2"/>
    <x v="0"/>
    <x v="0"/>
    <x v="0"/>
    <x v="138"/>
    <x v="1"/>
  </r>
  <r>
    <x v="290"/>
    <x v="290"/>
    <x v="195"/>
    <x v="0"/>
    <x v="0"/>
    <x v="0"/>
    <x v="0"/>
    <x v="229"/>
    <x v="19"/>
    <x v="0"/>
    <x v="188"/>
    <x v="6"/>
    <x v="19"/>
    <x v="0"/>
    <x v="0"/>
    <x v="161"/>
    <x v="285"/>
    <x v="151"/>
    <x v="281"/>
    <x v="277"/>
    <x v="3"/>
    <x v="0"/>
    <x v="0"/>
    <x v="0"/>
    <x v="244"/>
    <x v="1"/>
  </r>
  <r>
    <x v="291"/>
    <x v="291"/>
    <x v="44"/>
    <x v="0"/>
    <x v="8"/>
    <x v="8"/>
    <x v="3"/>
    <x v="1"/>
    <x v="3"/>
    <x v="137"/>
    <x v="189"/>
    <x v="0"/>
    <x v="3"/>
    <x v="4"/>
    <x v="169"/>
    <x v="283"/>
    <x v="286"/>
    <x v="255"/>
    <x v="282"/>
    <x v="278"/>
    <x v="2"/>
    <x v="0"/>
    <x v="0"/>
    <x v="0"/>
    <x v="245"/>
    <x v="0"/>
  </r>
  <r>
    <x v="292"/>
    <x v="292"/>
    <x v="78"/>
    <x v="0"/>
    <x v="8"/>
    <x v="8"/>
    <x v="3"/>
    <x v="230"/>
    <x v="61"/>
    <x v="138"/>
    <x v="190"/>
    <x v="6"/>
    <x v="69"/>
    <x v="1"/>
    <x v="170"/>
    <x v="284"/>
    <x v="287"/>
    <x v="256"/>
    <x v="283"/>
    <x v="279"/>
    <x v="3"/>
    <x v="0"/>
    <x v="0"/>
    <x v="2"/>
    <x v="246"/>
    <x v="1"/>
  </r>
  <r>
    <x v="293"/>
    <x v="293"/>
    <x v="196"/>
    <x v="0"/>
    <x v="5"/>
    <x v="5"/>
    <x v="0"/>
    <x v="231"/>
    <x v="44"/>
    <x v="58"/>
    <x v="122"/>
    <x v="2"/>
    <x v="208"/>
    <x v="1"/>
    <x v="171"/>
    <x v="285"/>
    <x v="288"/>
    <x v="49"/>
    <x v="284"/>
    <x v="280"/>
    <x v="5"/>
    <x v="0"/>
    <x v="0"/>
    <x v="0"/>
    <x v="115"/>
    <x v="0"/>
  </r>
  <r>
    <x v="294"/>
    <x v="294"/>
    <x v="3"/>
    <x v="0"/>
    <x v="3"/>
    <x v="3"/>
    <x v="2"/>
    <x v="232"/>
    <x v="51"/>
    <x v="48"/>
    <x v="191"/>
    <x v="4"/>
    <x v="209"/>
    <x v="0"/>
    <x v="0"/>
    <x v="286"/>
    <x v="289"/>
    <x v="257"/>
    <x v="285"/>
    <x v="281"/>
    <x v="4"/>
    <x v="0"/>
    <x v="0"/>
    <x v="0"/>
    <x v="247"/>
    <x v="1"/>
  </r>
  <r>
    <x v="295"/>
    <x v="295"/>
    <x v="135"/>
    <x v="1"/>
    <x v="7"/>
    <x v="7"/>
    <x v="1"/>
    <x v="50"/>
    <x v="70"/>
    <x v="5"/>
    <x v="192"/>
    <x v="4"/>
    <x v="210"/>
    <x v="0"/>
    <x v="0"/>
    <x v="287"/>
    <x v="290"/>
    <x v="258"/>
    <x v="286"/>
    <x v="282"/>
    <x v="5"/>
    <x v="0"/>
    <x v="0"/>
    <x v="0"/>
    <x v="248"/>
    <x v="0"/>
  </r>
  <r>
    <x v="296"/>
    <x v="296"/>
    <x v="133"/>
    <x v="0"/>
    <x v="10"/>
    <x v="10"/>
    <x v="3"/>
    <x v="233"/>
    <x v="78"/>
    <x v="80"/>
    <x v="193"/>
    <x v="6"/>
    <x v="211"/>
    <x v="4"/>
    <x v="172"/>
    <x v="288"/>
    <x v="291"/>
    <x v="259"/>
    <x v="287"/>
    <x v="283"/>
    <x v="2"/>
    <x v="0"/>
    <x v="0"/>
    <x v="2"/>
    <x v="249"/>
    <x v="0"/>
  </r>
  <r>
    <x v="297"/>
    <x v="297"/>
    <x v="124"/>
    <x v="0"/>
    <x v="5"/>
    <x v="5"/>
    <x v="0"/>
    <x v="163"/>
    <x v="123"/>
    <x v="79"/>
    <x v="194"/>
    <x v="1"/>
    <x v="212"/>
    <x v="4"/>
    <x v="173"/>
    <x v="289"/>
    <x v="292"/>
    <x v="260"/>
    <x v="288"/>
    <x v="284"/>
    <x v="1"/>
    <x v="0"/>
    <x v="0"/>
    <x v="0"/>
    <x v="250"/>
    <x v="1"/>
  </r>
  <r>
    <x v="298"/>
    <x v="298"/>
    <x v="197"/>
    <x v="0"/>
    <x v="10"/>
    <x v="10"/>
    <x v="3"/>
    <x v="84"/>
    <x v="4"/>
    <x v="46"/>
    <x v="49"/>
    <x v="2"/>
    <x v="213"/>
    <x v="0"/>
    <x v="0"/>
    <x v="290"/>
    <x v="293"/>
    <x v="4"/>
    <x v="289"/>
    <x v="285"/>
    <x v="1"/>
    <x v="0"/>
    <x v="0"/>
    <x v="0"/>
    <x v="251"/>
    <x v="1"/>
  </r>
  <r>
    <x v="299"/>
    <x v="299"/>
    <x v="0"/>
    <x v="0"/>
    <x v="0"/>
    <x v="0"/>
    <x v="0"/>
    <x v="91"/>
    <x v="57"/>
    <x v="91"/>
    <x v="110"/>
    <x v="4"/>
    <x v="214"/>
    <x v="0"/>
    <x v="0"/>
    <x v="291"/>
    <x v="294"/>
    <x v="261"/>
    <x v="290"/>
    <x v="286"/>
    <x v="0"/>
    <x v="0"/>
    <x v="0"/>
    <x v="0"/>
    <x v="252"/>
    <x v="0"/>
  </r>
  <r>
    <x v="300"/>
    <x v="300"/>
    <x v="198"/>
    <x v="0"/>
    <x v="5"/>
    <x v="5"/>
    <x v="0"/>
    <x v="4"/>
    <x v="3"/>
    <x v="113"/>
    <x v="155"/>
    <x v="2"/>
    <x v="215"/>
    <x v="0"/>
    <x v="0"/>
    <x v="292"/>
    <x v="295"/>
    <x v="262"/>
    <x v="291"/>
    <x v="287"/>
    <x v="3"/>
    <x v="0"/>
    <x v="0"/>
    <x v="0"/>
    <x v="253"/>
    <x v="1"/>
  </r>
  <r>
    <x v="301"/>
    <x v="301"/>
    <x v="41"/>
    <x v="1"/>
    <x v="11"/>
    <x v="11"/>
    <x v="1"/>
    <x v="16"/>
    <x v="37"/>
    <x v="130"/>
    <x v="175"/>
    <x v="6"/>
    <x v="216"/>
    <x v="1"/>
    <x v="174"/>
    <x v="293"/>
    <x v="296"/>
    <x v="158"/>
    <x v="292"/>
    <x v="288"/>
    <x v="1"/>
    <x v="0"/>
    <x v="0"/>
    <x v="0"/>
    <x v="254"/>
    <x v="0"/>
  </r>
  <r>
    <x v="302"/>
    <x v="302"/>
    <x v="82"/>
    <x v="0"/>
    <x v="4"/>
    <x v="4"/>
    <x v="2"/>
    <x v="234"/>
    <x v="38"/>
    <x v="38"/>
    <x v="40"/>
    <x v="6"/>
    <x v="43"/>
    <x v="0"/>
    <x v="0"/>
    <x v="294"/>
    <x v="297"/>
    <x v="263"/>
    <x v="293"/>
    <x v="289"/>
    <x v="3"/>
    <x v="0"/>
    <x v="0"/>
    <x v="0"/>
    <x v="104"/>
    <x v="0"/>
  </r>
  <r>
    <x v="303"/>
    <x v="303"/>
    <x v="152"/>
    <x v="0"/>
    <x v="8"/>
    <x v="8"/>
    <x v="3"/>
    <x v="179"/>
    <x v="8"/>
    <x v="106"/>
    <x v="132"/>
    <x v="3"/>
    <x v="217"/>
    <x v="2"/>
    <x v="175"/>
    <x v="295"/>
    <x v="298"/>
    <x v="264"/>
    <x v="294"/>
    <x v="290"/>
    <x v="4"/>
    <x v="0"/>
    <x v="0"/>
    <x v="0"/>
    <x v="109"/>
    <x v="1"/>
  </r>
  <r>
    <x v="304"/>
    <x v="304"/>
    <x v="155"/>
    <x v="0"/>
    <x v="8"/>
    <x v="8"/>
    <x v="3"/>
    <x v="235"/>
    <x v="30"/>
    <x v="25"/>
    <x v="26"/>
    <x v="1"/>
    <x v="34"/>
    <x v="1"/>
    <x v="76"/>
    <x v="129"/>
    <x v="129"/>
    <x v="125"/>
    <x v="125"/>
    <x v="125"/>
    <x v="5"/>
    <x v="0"/>
    <x v="0"/>
    <x v="0"/>
    <x v="217"/>
    <x v="1"/>
  </r>
  <r>
    <x v="305"/>
    <x v="305"/>
    <x v="76"/>
    <x v="0"/>
    <x v="9"/>
    <x v="9"/>
    <x v="0"/>
    <x v="236"/>
    <x v="6"/>
    <x v="13"/>
    <x v="114"/>
    <x v="1"/>
    <x v="6"/>
    <x v="2"/>
    <x v="176"/>
    <x v="296"/>
    <x v="299"/>
    <x v="145"/>
    <x v="295"/>
    <x v="291"/>
    <x v="5"/>
    <x v="0"/>
    <x v="0"/>
    <x v="1"/>
    <x v="255"/>
    <x v="0"/>
  </r>
  <r>
    <x v="306"/>
    <x v="306"/>
    <x v="136"/>
    <x v="0"/>
    <x v="10"/>
    <x v="10"/>
    <x v="3"/>
    <x v="85"/>
    <x v="66"/>
    <x v="139"/>
    <x v="195"/>
    <x v="2"/>
    <x v="218"/>
    <x v="4"/>
    <x v="177"/>
    <x v="297"/>
    <x v="300"/>
    <x v="85"/>
    <x v="296"/>
    <x v="292"/>
    <x v="3"/>
    <x v="0"/>
    <x v="0"/>
    <x v="2"/>
    <x v="256"/>
    <x v="0"/>
  </r>
  <r>
    <x v="307"/>
    <x v="307"/>
    <x v="84"/>
    <x v="0"/>
    <x v="9"/>
    <x v="9"/>
    <x v="0"/>
    <x v="171"/>
    <x v="34"/>
    <x v="123"/>
    <x v="161"/>
    <x v="0"/>
    <x v="219"/>
    <x v="0"/>
    <x v="0"/>
    <x v="298"/>
    <x v="301"/>
    <x v="265"/>
    <x v="297"/>
    <x v="293"/>
    <x v="4"/>
    <x v="0"/>
    <x v="0"/>
    <x v="0"/>
    <x v="257"/>
    <x v="1"/>
  </r>
  <r>
    <x v="308"/>
    <x v="308"/>
    <x v="103"/>
    <x v="0"/>
    <x v="4"/>
    <x v="4"/>
    <x v="2"/>
    <x v="179"/>
    <x v="3"/>
    <x v="133"/>
    <x v="158"/>
    <x v="4"/>
    <x v="220"/>
    <x v="4"/>
    <x v="178"/>
    <x v="299"/>
    <x v="302"/>
    <x v="266"/>
    <x v="298"/>
    <x v="294"/>
    <x v="0"/>
    <x v="1"/>
    <x v="1"/>
    <x v="2"/>
    <x v="258"/>
    <x v="1"/>
  </r>
  <r>
    <x v="309"/>
    <x v="309"/>
    <x v="199"/>
    <x v="0"/>
    <x v="2"/>
    <x v="2"/>
    <x v="2"/>
    <x v="237"/>
    <x v="54"/>
    <x v="16"/>
    <x v="100"/>
    <x v="0"/>
    <x v="111"/>
    <x v="4"/>
    <x v="179"/>
    <x v="300"/>
    <x v="303"/>
    <x v="267"/>
    <x v="299"/>
    <x v="295"/>
    <x v="2"/>
    <x v="1"/>
    <x v="1"/>
    <x v="0"/>
    <x v="259"/>
    <x v="1"/>
  </r>
  <r>
    <x v="310"/>
    <x v="310"/>
    <x v="114"/>
    <x v="1"/>
    <x v="1"/>
    <x v="1"/>
    <x v="1"/>
    <x v="238"/>
    <x v="120"/>
    <x v="7"/>
    <x v="7"/>
    <x v="1"/>
    <x v="221"/>
    <x v="0"/>
    <x v="0"/>
    <x v="301"/>
    <x v="304"/>
    <x v="268"/>
    <x v="300"/>
    <x v="296"/>
    <x v="1"/>
    <x v="0"/>
    <x v="0"/>
    <x v="0"/>
    <x v="260"/>
    <x v="1"/>
  </r>
  <r>
    <x v="311"/>
    <x v="311"/>
    <x v="66"/>
    <x v="0"/>
    <x v="9"/>
    <x v="9"/>
    <x v="0"/>
    <x v="153"/>
    <x v="9"/>
    <x v="98"/>
    <x v="152"/>
    <x v="0"/>
    <x v="171"/>
    <x v="3"/>
    <x v="180"/>
    <x v="302"/>
    <x v="305"/>
    <x v="205"/>
    <x v="301"/>
    <x v="297"/>
    <x v="1"/>
    <x v="0"/>
    <x v="0"/>
    <x v="2"/>
    <x v="261"/>
    <x v="0"/>
  </r>
  <r>
    <x v="312"/>
    <x v="312"/>
    <x v="200"/>
    <x v="0"/>
    <x v="9"/>
    <x v="9"/>
    <x v="0"/>
    <x v="117"/>
    <x v="124"/>
    <x v="48"/>
    <x v="52"/>
    <x v="0"/>
    <x v="222"/>
    <x v="3"/>
    <x v="181"/>
    <x v="303"/>
    <x v="306"/>
    <x v="269"/>
    <x v="302"/>
    <x v="298"/>
    <x v="1"/>
    <x v="0"/>
    <x v="0"/>
    <x v="2"/>
    <x v="69"/>
    <x v="1"/>
  </r>
  <r>
    <x v="313"/>
    <x v="313"/>
    <x v="118"/>
    <x v="0"/>
    <x v="5"/>
    <x v="5"/>
    <x v="0"/>
    <x v="99"/>
    <x v="19"/>
    <x v="66"/>
    <x v="75"/>
    <x v="6"/>
    <x v="19"/>
    <x v="0"/>
    <x v="0"/>
    <x v="161"/>
    <x v="161"/>
    <x v="151"/>
    <x v="157"/>
    <x v="156"/>
    <x v="3"/>
    <x v="0"/>
    <x v="0"/>
    <x v="2"/>
    <x v="262"/>
    <x v="0"/>
  </r>
  <r>
    <x v="314"/>
    <x v="314"/>
    <x v="139"/>
    <x v="0"/>
    <x v="10"/>
    <x v="10"/>
    <x v="3"/>
    <x v="224"/>
    <x v="123"/>
    <x v="140"/>
    <x v="196"/>
    <x v="2"/>
    <x v="223"/>
    <x v="3"/>
    <x v="182"/>
    <x v="304"/>
    <x v="307"/>
    <x v="270"/>
    <x v="303"/>
    <x v="299"/>
    <x v="5"/>
    <x v="0"/>
    <x v="0"/>
    <x v="0"/>
    <x v="92"/>
    <x v="1"/>
  </r>
  <r>
    <x v="315"/>
    <x v="315"/>
    <x v="1"/>
    <x v="1"/>
    <x v="1"/>
    <x v="1"/>
    <x v="1"/>
    <x v="239"/>
    <x v="109"/>
    <x v="95"/>
    <x v="197"/>
    <x v="2"/>
    <x v="150"/>
    <x v="0"/>
    <x v="0"/>
    <x v="251"/>
    <x v="308"/>
    <x v="227"/>
    <x v="304"/>
    <x v="300"/>
    <x v="4"/>
    <x v="0"/>
    <x v="0"/>
    <x v="0"/>
    <x v="263"/>
    <x v="0"/>
  </r>
  <r>
    <x v="316"/>
    <x v="316"/>
    <x v="201"/>
    <x v="1"/>
    <x v="7"/>
    <x v="7"/>
    <x v="1"/>
    <x v="240"/>
    <x v="103"/>
    <x v="132"/>
    <x v="184"/>
    <x v="1"/>
    <x v="224"/>
    <x v="0"/>
    <x v="0"/>
    <x v="305"/>
    <x v="309"/>
    <x v="271"/>
    <x v="305"/>
    <x v="301"/>
    <x v="5"/>
    <x v="0"/>
    <x v="0"/>
    <x v="2"/>
    <x v="264"/>
    <x v="1"/>
  </r>
  <r>
    <x v="317"/>
    <x v="317"/>
    <x v="202"/>
    <x v="0"/>
    <x v="4"/>
    <x v="4"/>
    <x v="2"/>
    <x v="76"/>
    <x v="9"/>
    <x v="15"/>
    <x v="198"/>
    <x v="2"/>
    <x v="225"/>
    <x v="2"/>
    <x v="183"/>
    <x v="306"/>
    <x v="310"/>
    <x v="215"/>
    <x v="306"/>
    <x v="302"/>
    <x v="2"/>
    <x v="0"/>
    <x v="0"/>
    <x v="0"/>
    <x v="265"/>
    <x v="1"/>
  </r>
  <r>
    <x v="318"/>
    <x v="318"/>
    <x v="169"/>
    <x v="0"/>
    <x v="0"/>
    <x v="0"/>
    <x v="0"/>
    <x v="82"/>
    <x v="125"/>
    <x v="141"/>
    <x v="4"/>
    <x v="1"/>
    <x v="226"/>
    <x v="3"/>
    <x v="184"/>
    <x v="307"/>
    <x v="311"/>
    <x v="272"/>
    <x v="307"/>
    <x v="303"/>
    <x v="2"/>
    <x v="0"/>
    <x v="0"/>
    <x v="2"/>
    <x v="266"/>
    <x v="0"/>
  </r>
  <r>
    <x v="319"/>
    <x v="319"/>
    <x v="115"/>
    <x v="0"/>
    <x v="10"/>
    <x v="10"/>
    <x v="3"/>
    <x v="241"/>
    <x v="56"/>
    <x v="99"/>
    <x v="27"/>
    <x v="2"/>
    <x v="64"/>
    <x v="0"/>
    <x v="0"/>
    <x v="308"/>
    <x v="312"/>
    <x v="203"/>
    <x v="308"/>
    <x v="304"/>
    <x v="3"/>
    <x v="0"/>
    <x v="0"/>
    <x v="0"/>
    <x v="32"/>
    <x v="1"/>
  </r>
  <r>
    <x v="320"/>
    <x v="320"/>
    <x v="203"/>
    <x v="0"/>
    <x v="4"/>
    <x v="4"/>
    <x v="2"/>
    <x v="242"/>
    <x v="126"/>
    <x v="56"/>
    <x v="186"/>
    <x v="0"/>
    <x v="227"/>
    <x v="2"/>
    <x v="185"/>
    <x v="309"/>
    <x v="313"/>
    <x v="273"/>
    <x v="309"/>
    <x v="305"/>
    <x v="3"/>
    <x v="0"/>
    <x v="0"/>
    <x v="0"/>
    <x v="267"/>
    <x v="0"/>
  </r>
  <r>
    <x v="321"/>
    <x v="321"/>
    <x v="65"/>
    <x v="0"/>
    <x v="8"/>
    <x v="8"/>
    <x v="3"/>
    <x v="243"/>
    <x v="6"/>
    <x v="19"/>
    <x v="19"/>
    <x v="1"/>
    <x v="6"/>
    <x v="0"/>
    <x v="0"/>
    <x v="154"/>
    <x v="154"/>
    <x v="145"/>
    <x v="150"/>
    <x v="6"/>
    <x v="1"/>
    <x v="1"/>
    <x v="1"/>
    <x v="0"/>
    <x v="268"/>
    <x v="0"/>
  </r>
  <r>
    <x v="322"/>
    <x v="322"/>
    <x v="137"/>
    <x v="1"/>
    <x v="7"/>
    <x v="7"/>
    <x v="1"/>
    <x v="214"/>
    <x v="5"/>
    <x v="138"/>
    <x v="199"/>
    <x v="4"/>
    <x v="228"/>
    <x v="0"/>
    <x v="0"/>
    <x v="310"/>
    <x v="314"/>
    <x v="274"/>
    <x v="310"/>
    <x v="306"/>
    <x v="0"/>
    <x v="0"/>
    <x v="0"/>
    <x v="0"/>
    <x v="269"/>
    <x v="1"/>
  </r>
  <r>
    <x v="323"/>
    <x v="323"/>
    <x v="204"/>
    <x v="0"/>
    <x v="5"/>
    <x v="5"/>
    <x v="0"/>
    <x v="244"/>
    <x v="61"/>
    <x v="142"/>
    <x v="196"/>
    <x v="0"/>
    <x v="69"/>
    <x v="4"/>
    <x v="186"/>
    <x v="311"/>
    <x v="315"/>
    <x v="247"/>
    <x v="311"/>
    <x v="307"/>
    <x v="5"/>
    <x v="0"/>
    <x v="0"/>
    <x v="0"/>
    <x v="270"/>
    <x v="1"/>
  </r>
  <r>
    <x v="324"/>
    <x v="324"/>
    <x v="105"/>
    <x v="0"/>
    <x v="6"/>
    <x v="6"/>
    <x v="3"/>
    <x v="245"/>
    <x v="35"/>
    <x v="143"/>
    <x v="200"/>
    <x v="2"/>
    <x v="229"/>
    <x v="0"/>
    <x v="0"/>
    <x v="312"/>
    <x v="316"/>
    <x v="275"/>
    <x v="312"/>
    <x v="308"/>
    <x v="4"/>
    <x v="1"/>
    <x v="1"/>
    <x v="0"/>
    <x v="271"/>
    <x v="0"/>
  </r>
  <r>
    <x v="325"/>
    <x v="325"/>
    <x v="101"/>
    <x v="0"/>
    <x v="0"/>
    <x v="0"/>
    <x v="0"/>
    <x v="196"/>
    <x v="103"/>
    <x v="144"/>
    <x v="197"/>
    <x v="7"/>
    <x v="230"/>
    <x v="0"/>
    <x v="0"/>
    <x v="313"/>
    <x v="317"/>
    <x v="160"/>
    <x v="313"/>
    <x v="309"/>
    <x v="3"/>
    <x v="0"/>
    <x v="0"/>
    <x v="0"/>
    <x v="79"/>
    <x v="0"/>
  </r>
  <r>
    <x v="326"/>
    <x v="326"/>
    <x v="81"/>
    <x v="0"/>
    <x v="10"/>
    <x v="10"/>
    <x v="3"/>
    <x v="246"/>
    <x v="103"/>
    <x v="43"/>
    <x v="201"/>
    <x v="0"/>
    <x v="224"/>
    <x v="1"/>
    <x v="187"/>
    <x v="314"/>
    <x v="318"/>
    <x v="276"/>
    <x v="314"/>
    <x v="310"/>
    <x v="4"/>
    <x v="0"/>
    <x v="0"/>
    <x v="0"/>
    <x v="272"/>
    <x v="0"/>
  </r>
  <r>
    <x v="327"/>
    <x v="327"/>
    <x v="205"/>
    <x v="0"/>
    <x v="3"/>
    <x v="3"/>
    <x v="2"/>
    <x v="21"/>
    <x v="51"/>
    <x v="110"/>
    <x v="136"/>
    <x v="2"/>
    <x v="231"/>
    <x v="0"/>
    <x v="0"/>
    <x v="315"/>
    <x v="319"/>
    <x v="59"/>
    <x v="315"/>
    <x v="311"/>
    <x v="2"/>
    <x v="1"/>
    <x v="1"/>
    <x v="0"/>
    <x v="117"/>
    <x v="1"/>
  </r>
  <r>
    <x v="328"/>
    <x v="328"/>
    <x v="132"/>
    <x v="1"/>
    <x v="1"/>
    <x v="1"/>
    <x v="1"/>
    <x v="247"/>
    <x v="80"/>
    <x v="24"/>
    <x v="24"/>
    <x v="6"/>
    <x v="232"/>
    <x v="3"/>
    <x v="188"/>
    <x v="316"/>
    <x v="320"/>
    <x v="277"/>
    <x v="316"/>
    <x v="312"/>
    <x v="0"/>
    <x v="0"/>
    <x v="0"/>
    <x v="2"/>
    <x v="273"/>
    <x v="0"/>
  </r>
  <r>
    <x v="329"/>
    <x v="329"/>
    <x v="132"/>
    <x v="1"/>
    <x v="1"/>
    <x v="1"/>
    <x v="1"/>
    <x v="248"/>
    <x v="78"/>
    <x v="6"/>
    <x v="202"/>
    <x v="2"/>
    <x v="211"/>
    <x v="2"/>
    <x v="189"/>
    <x v="317"/>
    <x v="321"/>
    <x v="103"/>
    <x v="317"/>
    <x v="313"/>
    <x v="0"/>
    <x v="0"/>
    <x v="0"/>
    <x v="0"/>
    <x v="274"/>
    <x v="0"/>
  </r>
  <r>
    <x v="330"/>
    <x v="330"/>
    <x v="206"/>
    <x v="0"/>
    <x v="10"/>
    <x v="10"/>
    <x v="3"/>
    <x v="249"/>
    <x v="59"/>
    <x v="70"/>
    <x v="80"/>
    <x v="0"/>
    <x v="233"/>
    <x v="3"/>
    <x v="190"/>
    <x v="318"/>
    <x v="322"/>
    <x v="278"/>
    <x v="318"/>
    <x v="314"/>
    <x v="3"/>
    <x v="0"/>
    <x v="0"/>
    <x v="0"/>
    <x v="275"/>
    <x v="1"/>
  </r>
  <r>
    <x v="331"/>
    <x v="331"/>
    <x v="207"/>
    <x v="1"/>
    <x v="11"/>
    <x v="11"/>
    <x v="1"/>
    <x v="250"/>
    <x v="68"/>
    <x v="84"/>
    <x v="203"/>
    <x v="0"/>
    <x v="82"/>
    <x v="0"/>
    <x v="0"/>
    <x v="319"/>
    <x v="323"/>
    <x v="279"/>
    <x v="319"/>
    <x v="315"/>
    <x v="5"/>
    <x v="0"/>
    <x v="0"/>
    <x v="0"/>
    <x v="276"/>
    <x v="0"/>
  </r>
  <r>
    <x v="332"/>
    <x v="332"/>
    <x v="6"/>
    <x v="0"/>
    <x v="3"/>
    <x v="3"/>
    <x v="2"/>
    <x v="141"/>
    <x v="109"/>
    <x v="145"/>
    <x v="204"/>
    <x v="1"/>
    <x v="150"/>
    <x v="3"/>
    <x v="191"/>
    <x v="320"/>
    <x v="324"/>
    <x v="170"/>
    <x v="320"/>
    <x v="316"/>
    <x v="2"/>
    <x v="0"/>
    <x v="0"/>
    <x v="1"/>
    <x v="248"/>
    <x v="0"/>
  </r>
  <r>
    <x v="333"/>
    <x v="333"/>
    <x v="208"/>
    <x v="0"/>
    <x v="4"/>
    <x v="4"/>
    <x v="2"/>
    <x v="251"/>
    <x v="15"/>
    <x v="146"/>
    <x v="205"/>
    <x v="0"/>
    <x v="15"/>
    <x v="0"/>
    <x v="0"/>
    <x v="255"/>
    <x v="256"/>
    <x v="230"/>
    <x v="252"/>
    <x v="191"/>
    <x v="2"/>
    <x v="0"/>
    <x v="0"/>
    <x v="0"/>
    <x v="212"/>
    <x v="1"/>
  </r>
  <r>
    <x v="334"/>
    <x v="334"/>
    <x v="209"/>
    <x v="0"/>
    <x v="9"/>
    <x v="9"/>
    <x v="0"/>
    <x v="120"/>
    <x v="55"/>
    <x v="132"/>
    <x v="206"/>
    <x v="4"/>
    <x v="234"/>
    <x v="0"/>
    <x v="0"/>
    <x v="321"/>
    <x v="325"/>
    <x v="280"/>
    <x v="321"/>
    <x v="317"/>
    <x v="5"/>
    <x v="0"/>
    <x v="0"/>
    <x v="0"/>
    <x v="277"/>
    <x v="1"/>
  </r>
  <r>
    <x v="335"/>
    <x v="335"/>
    <x v="113"/>
    <x v="0"/>
    <x v="4"/>
    <x v="4"/>
    <x v="2"/>
    <x v="252"/>
    <x v="59"/>
    <x v="15"/>
    <x v="207"/>
    <x v="2"/>
    <x v="233"/>
    <x v="0"/>
    <x v="0"/>
    <x v="322"/>
    <x v="326"/>
    <x v="281"/>
    <x v="322"/>
    <x v="318"/>
    <x v="1"/>
    <x v="0"/>
    <x v="0"/>
    <x v="0"/>
    <x v="278"/>
    <x v="1"/>
  </r>
  <r>
    <x v="336"/>
    <x v="336"/>
    <x v="210"/>
    <x v="0"/>
    <x v="3"/>
    <x v="3"/>
    <x v="2"/>
    <x v="41"/>
    <x v="127"/>
    <x v="32"/>
    <x v="170"/>
    <x v="6"/>
    <x v="235"/>
    <x v="0"/>
    <x v="0"/>
    <x v="323"/>
    <x v="327"/>
    <x v="282"/>
    <x v="323"/>
    <x v="319"/>
    <x v="3"/>
    <x v="0"/>
    <x v="0"/>
    <x v="0"/>
    <x v="88"/>
    <x v="1"/>
  </r>
  <r>
    <x v="337"/>
    <x v="337"/>
    <x v="211"/>
    <x v="0"/>
    <x v="10"/>
    <x v="10"/>
    <x v="3"/>
    <x v="253"/>
    <x v="82"/>
    <x v="147"/>
    <x v="208"/>
    <x v="6"/>
    <x v="236"/>
    <x v="2"/>
    <x v="192"/>
    <x v="324"/>
    <x v="328"/>
    <x v="164"/>
    <x v="324"/>
    <x v="320"/>
    <x v="4"/>
    <x v="1"/>
    <x v="1"/>
    <x v="0"/>
    <x v="279"/>
    <x v="1"/>
  </r>
  <r>
    <x v="338"/>
    <x v="338"/>
    <x v="75"/>
    <x v="0"/>
    <x v="3"/>
    <x v="3"/>
    <x v="2"/>
    <x v="254"/>
    <x v="110"/>
    <x v="68"/>
    <x v="209"/>
    <x v="4"/>
    <x v="152"/>
    <x v="4"/>
    <x v="193"/>
    <x v="325"/>
    <x v="329"/>
    <x v="283"/>
    <x v="325"/>
    <x v="321"/>
    <x v="0"/>
    <x v="0"/>
    <x v="0"/>
    <x v="0"/>
    <x v="139"/>
    <x v="1"/>
  </r>
  <r>
    <x v="339"/>
    <x v="339"/>
    <x v="207"/>
    <x v="1"/>
    <x v="11"/>
    <x v="11"/>
    <x v="1"/>
    <x v="208"/>
    <x v="124"/>
    <x v="136"/>
    <x v="142"/>
    <x v="0"/>
    <x v="222"/>
    <x v="3"/>
    <x v="181"/>
    <x v="303"/>
    <x v="330"/>
    <x v="269"/>
    <x v="326"/>
    <x v="322"/>
    <x v="2"/>
    <x v="0"/>
    <x v="0"/>
    <x v="0"/>
    <x v="280"/>
    <x v="0"/>
  </r>
  <r>
    <x v="340"/>
    <x v="340"/>
    <x v="30"/>
    <x v="0"/>
    <x v="6"/>
    <x v="6"/>
    <x v="3"/>
    <x v="58"/>
    <x v="5"/>
    <x v="87"/>
    <x v="210"/>
    <x v="4"/>
    <x v="237"/>
    <x v="4"/>
    <x v="194"/>
    <x v="326"/>
    <x v="331"/>
    <x v="274"/>
    <x v="327"/>
    <x v="323"/>
    <x v="3"/>
    <x v="0"/>
    <x v="0"/>
    <x v="2"/>
    <x v="111"/>
    <x v="0"/>
  </r>
  <r>
    <x v="341"/>
    <x v="341"/>
    <x v="75"/>
    <x v="0"/>
    <x v="3"/>
    <x v="3"/>
    <x v="2"/>
    <x v="103"/>
    <x v="82"/>
    <x v="97"/>
    <x v="103"/>
    <x v="3"/>
    <x v="238"/>
    <x v="0"/>
    <x v="0"/>
    <x v="327"/>
    <x v="332"/>
    <x v="284"/>
    <x v="328"/>
    <x v="324"/>
    <x v="3"/>
    <x v="0"/>
    <x v="0"/>
    <x v="0"/>
    <x v="281"/>
    <x v="1"/>
  </r>
  <r>
    <x v="342"/>
    <x v="342"/>
    <x v="18"/>
    <x v="0"/>
    <x v="2"/>
    <x v="2"/>
    <x v="2"/>
    <x v="127"/>
    <x v="85"/>
    <x v="148"/>
    <x v="211"/>
    <x v="6"/>
    <x v="110"/>
    <x v="0"/>
    <x v="0"/>
    <x v="328"/>
    <x v="333"/>
    <x v="285"/>
    <x v="329"/>
    <x v="325"/>
    <x v="3"/>
    <x v="0"/>
    <x v="0"/>
    <x v="1"/>
    <x v="282"/>
    <x v="1"/>
  </r>
  <r>
    <x v="343"/>
    <x v="343"/>
    <x v="173"/>
    <x v="1"/>
    <x v="11"/>
    <x v="11"/>
    <x v="1"/>
    <x v="255"/>
    <x v="42"/>
    <x v="149"/>
    <x v="212"/>
    <x v="4"/>
    <x v="47"/>
    <x v="2"/>
    <x v="195"/>
    <x v="329"/>
    <x v="334"/>
    <x v="286"/>
    <x v="330"/>
    <x v="326"/>
    <x v="2"/>
    <x v="0"/>
    <x v="0"/>
    <x v="0"/>
    <x v="283"/>
    <x v="1"/>
  </r>
  <r>
    <x v="344"/>
    <x v="344"/>
    <x v="151"/>
    <x v="0"/>
    <x v="6"/>
    <x v="6"/>
    <x v="3"/>
    <x v="21"/>
    <x v="12"/>
    <x v="33"/>
    <x v="182"/>
    <x v="5"/>
    <x v="239"/>
    <x v="0"/>
    <x v="0"/>
    <x v="321"/>
    <x v="335"/>
    <x v="287"/>
    <x v="331"/>
    <x v="327"/>
    <x v="0"/>
    <x v="0"/>
    <x v="0"/>
    <x v="0"/>
    <x v="284"/>
    <x v="1"/>
  </r>
  <r>
    <x v="345"/>
    <x v="345"/>
    <x v="212"/>
    <x v="1"/>
    <x v="1"/>
    <x v="1"/>
    <x v="1"/>
    <x v="256"/>
    <x v="38"/>
    <x v="75"/>
    <x v="174"/>
    <x v="7"/>
    <x v="240"/>
    <x v="0"/>
    <x v="0"/>
    <x v="330"/>
    <x v="336"/>
    <x v="288"/>
    <x v="332"/>
    <x v="328"/>
    <x v="5"/>
    <x v="0"/>
    <x v="0"/>
    <x v="0"/>
    <x v="285"/>
    <x v="1"/>
  </r>
  <r>
    <x v="346"/>
    <x v="346"/>
    <x v="213"/>
    <x v="0"/>
    <x v="4"/>
    <x v="4"/>
    <x v="2"/>
    <x v="257"/>
    <x v="14"/>
    <x v="150"/>
    <x v="35"/>
    <x v="2"/>
    <x v="14"/>
    <x v="4"/>
    <x v="196"/>
    <x v="331"/>
    <x v="337"/>
    <x v="14"/>
    <x v="333"/>
    <x v="329"/>
    <x v="3"/>
    <x v="0"/>
    <x v="0"/>
    <x v="0"/>
    <x v="286"/>
    <x v="1"/>
  </r>
  <r>
    <x v="347"/>
    <x v="347"/>
    <x v="161"/>
    <x v="1"/>
    <x v="1"/>
    <x v="1"/>
    <x v="1"/>
    <x v="258"/>
    <x v="14"/>
    <x v="93"/>
    <x v="113"/>
    <x v="2"/>
    <x v="14"/>
    <x v="0"/>
    <x v="0"/>
    <x v="14"/>
    <x v="338"/>
    <x v="14"/>
    <x v="334"/>
    <x v="330"/>
    <x v="1"/>
    <x v="0"/>
    <x v="0"/>
    <x v="0"/>
    <x v="287"/>
    <x v="0"/>
  </r>
  <r>
    <x v="348"/>
    <x v="348"/>
    <x v="65"/>
    <x v="0"/>
    <x v="8"/>
    <x v="8"/>
    <x v="3"/>
    <x v="259"/>
    <x v="107"/>
    <x v="55"/>
    <x v="213"/>
    <x v="4"/>
    <x v="190"/>
    <x v="1"/>
    <x v="197"/>
    <x v="332"/>
    <x v="339"/>
    <x v="289"/>
    <x v="335"/>
    <x v="331"/>
    <x v="5"/>
    <x v="0"/>
    <x v="0"/>
    <x v="0"/>
    <x v="197"/>
    <x v="0"/>
  </r>
  <r>
    <x v="349"/>
    <x v="349"/>
    <x v="196"/>
    <x v="0"/>
    <x v="5"/>
    <x v="5"/>
    <x v="0"/>
    <x v="260"/>
    <x v="121"/>
    <x v="63"/>
    <x v="214"/>
    <x v="6"/>
    <x v="196"/>
    <x v="0"/>
    <x v="0"/>
    <x v="333"/>
    <x v="340"/>
    <x v="290"/>
    <x v="336"/>
    <x v="332"/>
    <x v="4"/>
    <x v="0"/>
    <x v="0"/>
    <x v="0"/>
    <x v="200"/>
    <x v="0"/>
  </r>
  <r>
    <x v="350"/>
    <x v="350"/>
    <x v="214"/>
    <x v="0"/>
    <x v="3"/>
    <x v="3"/>
    <x v="2"/>
    <x v="261"/>
    <x v="75"/>
    <x v="51"/>
    <x v="56"/>
    <x v="6"/>
    <x v="92"/>
    <x v="2"/>
    <x v="198"/>
    <x v="334"/>
    <x v="341"/>
    <x v="291"/>
    <x v="337"/>
    <x v="333"/>
    <x v="2"/>
    <x v="0"/>
    <x v="0"/>
    <x v="1"/>
    <x v="288"/>
    <x v="1"/>
  </r>
  <r>
    <x v="351"/>
    <x v="351"/>
    <x v="5"/>
    <x v="0"/>
    <x v="0"/>
    <x v="0"/>
    <x v="0"/>
    <x v="130"/>
    <x v="104"/>
    <x v="70"/>
    <x v="80"/>
    <x v="6"/>
    <x v="202"/>
    <x v="2"/>
    <x v="199"/>
    <x v="335"/>
    <x v="342"/>
    <x v="292"/>
    <x v="338"/>
    <x v="334"/>
    <x v="4"/>
    <x v="0"/>
    <x v="0"/>
    <x v="0"/>
    <x v="289"/>
    <x v="1"/>
  </r>
  <r>
    <x v="352"/>
    <x v="352"/>
    <x v="23"/>
    <x v="0"/>
    <x v="2"/>
    <x v="2"/>
    <x v="2"/>
    <x v="262"/>
    <x v="119"/>
    <x v="151"/>
    <x v="215"/>
    <x v="2"/>
    <x v="189"/>
    <x v="4"/>
    <x v="200"/>
    <x v="336"/>
    <x v="343"/>
    <x v="293"/>
    <x v="339"/>
    <x v="335"/>
    <x v="2"/>
    <x v="0"/>
    <x v="0"/>
    <x v="2"/>
    <x v="185"/>
    <x v="0"/>
  </r>
  <r>
    <x v="353"/>
    <x v="353"/>
    <x v="81"/>
    <x v="0"/>
    <x v="10"/>
    <x v="10"/>
    <x v="3"/>
    <x v="238"/>
    <x v="33"/>
    <x v="25"/>
    <x v="26"/>
    <x v="4"/>
    <x v="241"/>
    <x v="2"/>
    <x v="201"/>
    <x v="337"/>
    <x v="344"/>
    <x v="294"/>
    <x v="340"/>
    <x v="336"/>
    <x v="4"/>
    <x v="1"/>
    <x v="1"/>
    <x v="2"/>
    <x v="191"/>
    <x v="0"/>
  </r>
  <r>
    <x v="354"/>
    <x v="354"/>
    <x v="168"/>
    <x v="0"/>
    <x v="6"/>
    <x v="6"/>
    <x v="3"/>
    <x v="263"/>
    <x v="37"/>
    <x v="151"/>
    <x v="216"/>
    <x v="1"/>
    <x v="99"/>
    <x v="0"/>
    <x v="0"/>
    <x v="338"/>
    <x v="345"/>
    <x v="295"/>
    <x v="341"/>
    <x v="337"/>
    <x v="2"/>
    <x v="0"/>
    <x v="0"/>
    <x v="0"/>
    <x v="197"/>
    <x v="0"/>
  </r>
  <r>
    <x v="355"/>
    <x v="355"/>
    <x v="215"/>
    <x v="0"/>
    <x v="10"/>
    <x v="10"/>
    <x v="3"/>
    <x v="209"/>
    <x v="44"/>
    <x v="88"/>
    <x v="217"/>
    <x v="1"/>
    <x v="242"/>
    <x v="0"/>
    <x v="0"/>
    <x v="339"/>
    <x v="346"/>
    <x v="296"/>
    <x v="342"/>
    <x v="338"/>
    <x v="5"/>
    <x v="0"/>
    <x v="0"/>
    <x v="0"/>
    <x v="290"/>
    <x v="0"/>
  </r>
  <r>
    <x v="356"/>
    <x v="356"/>
    <x v="216"/>
    <x v="0"/>
    <x v="8"/>
    <x v="8"/>
    <x v="3"/>
    <x v="264"/>
    <x v="6"/>
    <x v="20"/>
    <x v="25"/>
    <x v="7"/>
    <x v="243"/>
    <x v="0"/>
    <x v="0"/>
    <x v="340"/>
    <x v="347"/>
    <x v="81"/>
    <x v="343"/>
    <x v="339"/>
    <x v="4"/>
    <x v="0"/>
    <x v="0"/>
    <x v="0"/>
    <x v="260"/>
    <x v="1"/>
  </r>
  <r>
    <x v="357"/>
    <x v="357"/>
    <x v="207"/>
    <x v="1"/>
    <x v="11"/>
    <x v="11"/>
    <x v="1"/>
    <x v="114"/>
    <x v="18"/>
    <x v="33"/>
    <x v="218"/>
    <x v="2"/>
    <x v="18"/>
    <x v="0"/>
    <x v="0"/>
    <x v="341"/>
    <x v="348"/>
    <x v="108"/>
    <x v="344"/>
    <x v="340"/>
    <x v="5"/>
    <x v="0"/>
    <x v="0"/>
    <x v="0"/>
    <x v="291"/>
    <x v="0"/>
  </r>
  <r>
    <x v="358"/>
    <x v="358"/>
    <x v="160"/>
    <x v="0"/>
    <x v="2"/>
    <x v="2"/>
    <x v="2"/>
    <x v="78"/>
    <x v="27"/>
    <x v="147"/>
    <x v="208"/>
    <x v="6"/>
    <x v="244"/>
    <x v="0"/>
    <x v="0"/>
    <x v="342"/>
    <x v="349"/>
    <x v="297"/>
    <x v="345"/>
    <x v="341"/>
    <x v="1"/>
    <x v="0"/>
    <x v="0"/>
    <x v="0"/>
    <x v="292"/>
    <x v="0"/>
  </r>
  <r>
    <x v="359"/>
    <x v="359"/>
    <x v="56"/>
    <x v="0"/>
    <x v="0"/>
    <x v="0"/>
    <x v="0"/>
    <x v="141"/>
    <x v="35"/>
    <x v="152"/>
    <x v="219"/>
    <x v="2"/>
    <x v="229"/>
    <x v="0"/>
    <x v="0"/>
    <x v="312"/>
    <x v="350"/>
    <x v="275"/>
    <x v="346"/>
    <x v="342"/>
    <x v="5"/>
    <x v="0"/>
    <x v="0"/>
    <x v="0"/>
    <x v="293"/>
    <x v="1"/>
  </r>
  <r>
    <x v="360"/>
    <x v="360"/>
    <x v="160"/>
    <x v="0"/>
    <x v="2"/>
    <x v="2"/>
    <x v="2"/>
    <x v="265"/>
    <x v="89"/>
    <x v="153"/>
    <x v="220"/>
    <x v="0"/>
    <x v="118"/>
    <x v="1"/>
    <x v="202"/>
    <x v="343"/>
    <x v="351"/>
    <x v="298"/>
    <x v="347"/>
    <x v="343"/>
    <x v="1"/>
    <x v="0"/>
    <x v="0"/>
    <x v="2"/>
    <x v="294"/>
    <x v="0"/>
  </r>
  <r>
    <x v="361"/>
    <x v="361"/>
    <x v="217"/>
    <x v="0"/>
    <x v="4"/>
    <x v="4"/>
    <x v="2"/>
    <x v="266"/>
    <x v="82"/>
    <x v="51"/>
    <x v="56"/>
    <x v="2"/>
    <x v="245"/>
    <x v="0"/>
    <x v="0"/>
    <x v="344"/>
    <x v="352"/>
    <x v="299"/>
    <x v="348"/>
    <x v="344"/>
    <x v="1"/>
    <x v="0"/>
    <x v="0"/>
    <x v="0"/>
    <x v="295"/>
    <x v="0"/>
  </r>
  <r>
    <x v="362"/>
    <x v="362"/>
    <x v="87"/>
    <x v="0"/>
    <x v="10"/>
    <x v="10"/>
    <x v="3"/>
    <x v="267"/>
    <x v="56"/>
    <x v="10"/>
    <x v="10"/>
    <x v="2"/>
    <x v="246"/>
    <x v="0"/>
    <x v="0"/>
    <x v="345"/>
    <x v="353"/>
    <x v="203"/>
    <x v="349"/>
    <x v="345"/>
    <x v="2"/>
    <x v="0"/>
    <x v="0"/>
    <x v="0"/>
    <x v="296"/>
    <x v="0"/>
  </r>
  <r>
    <x v="363"/>
    <x v="363"/>
    <x v="81"/>
    <x v="0"/>
    <x v="10"/>
    <x v="10"/>
    <x v="3"/>
    <x v="69"/>
    <x v="82"/>
    <x v="33"/>
    <x v="221"/>
    <x v="1"/>
    <x v="107"/>
    <x v="0"/>
    <x v="0"/>
    <x v="346"/>
    <x v="354"/>
    <x v="300"/>
    <x v="350"/>
    <x v="346"/>
    <x v="3"/>
    <x v="0"/>
    <x v="0"/>
    <x v="0"/>
    <x v="297"/>
    <x v="0"/>
  </r>
  <r>
    <x v="364"/>
    <x v="364"/>
    <x v="142"/>
    <x v="0"/>
    <x v="8"/>
    <x v="8"/>
    <x v="3"/>
    <x v="268"/>
    <x v="49"/>
    <x v="10"/>
    <x v="10"/>
    <x v="0"/>
    <x v="84"/>
    <x v="0"/>
    <x v="0"/>
    <x v="347"/>
    <x v="355"/>
    <x v="301"/>
    <x v="351"/>
    <x v="347"/>
    <x v="0"/>
    <x v="0"/>
    <x v="0"/>
    <x v="0"/>
    <x v="13"/>
    <x v="1"/>
  </r>
  <r>
    <x v="365"/>
    <x v="365"/>
    <x v="46"/>
    <x v="0"/>
    <x v="10"/>
    <x v="10"/>
    <x v="3"/>
    <x v="53"/>
    <x v="35"/>
    <x v="81"/>
    <x v="35"/>
    <x v="6"/>
    <x v="229"/>
    <x v="2"/>
    <x v="203"/>
    <x v="348"/>
    <x v="356"/>
    <x v="302"/>
    <x v="352"/>
    <x v="348"/>
    <x v="3"/>
    <x v="0"/>
    <x v="0"/>
    <x v="2"/>
    <x v="204"/>
    <x v="1"/>
  </r>
  <r>
    <x v="366"/>
    <x v="366"/>
    <x v="72"/>
    <x v="1"/>
    <x v="1"/>
    <x v="1"/>
    <x v="1"/>
    <x v="269"/>
    <x v="38"/>
    <x v="154"/>
    <x v="222"/>
    <x v="2"/>
    <x v="247"/>
    <x v="0"/>
    <x v="0"/>
    <x v="349"/>
    <x v="357"/>
    <x v="126"/>
    <x v="353"/>
    <x v="349"/>
    <x v="5"/>
    <x v="0"/>
    <x v="0"/>
    <x v="1"/>
    <x v="298"/>
    <x v="1"/>
  </r>
  <r>
    <x v="367"/>
    <x v="367"/>
    <x v="23"/>
    <x v="0"/>
    <x v="2"/>
    <x v="2"/>
    <x v="2"/>
    <x v="77"/>
    <x v="128"/>
    <x v="155"/>
    <x v="206"/>
    <x v="3"/>
    <x v="248"/>
    <x v="4"/>
    <x v="204"/>
    <x v="350"/>
    <x v="358"/>
    <x v="303"/>
    <x v="354"/>
    <x v="350"/>
    <x v="3"/>
    <x v="0"/>
    <x v="0"/>
    <x v="2"/>
    <x v="299"/>
    <x v="0"/>
  </r>
  <r>
    <x v="368"/>
    <x v="368"/>
    <x v="218"/>
    <x v="0"/>
    <x v="2"/>
    <x v="2"/>
    <x v="2"/>
    <x v="163"/>
    <x v="9"/>
    <x v="156"/>
    <x v="168"/>
    <x v="2"/>
    <x v="171"/>
    <x v="4"/>
    <x v="205"/>
    <x v="351"/>
    <x v="359"/>
    <x v="215"/>
    <x v="355"/>
    <x v="351"/>
    <x v="4"/>
    <x v="0"/>
    <x v="0"/>
    <x v="0"/>
    <x v="259"/>
    <x v="1"/>
  </r>
  <r>
    <x v="369"/>
    <x v="369"/>
    <x v="219"/>
    <x v="0"/>
    <x v="3"/>
    <x v="3"/>
    <x v="2"/>
    <x v="195"/>
    <x v="101"/>
    <x v="89"/>
    <x v="223"/>
    <x v="0"/>
    <x v="134"/>
    <x v="0"/>
    <x v="0"/>
    <x v="352"/>
    <x v="360"/>
    <x v="304"/>
    <x v="356"/>
    <x v="154"/>
    <x v="5"/>
    <x v="0"/>
    <x v="0"/>
    <x v="0"/>
    <x v="265"/>
    <x v="1"/>
  </r>
  <r>
    <x v="370"/>
    <x v="370"/>
    <x v="67"/>
    <x v="0"/>
    <x v="8"/>
    <x v="8"/>
    <x v="3"/>
    <x v="270"/>
    <x v="35"/>
    <x v="86"/>
    <x v="116"/>
    <x v="2"/>
    <x v="229"/>
    <x v="0"/>
    <x v="0"/>
    <x v="312"/>
    <x v="316"/>
    <x v="275"/>
    <x v="312"/>
    <x v="308"/>
    <x v="4"/>
    <x v="0"/>
    <x v="0"/>
    <x v="0"/>
    <x v="300"/>
    <x v="0"/>
  </r>
  <r>
    <x v="371"/>
    <x v="371"/>
    <x v="220"/>
    <x v="0"/>
    <x v="3"/>
    <x v="3"/>
    <x v="2"/>
    <x v="271"/>
    <x v="8"/>
    <x v="102"/>
    <x v="128"/>
    <x v="6"/>
    <x v="8"/>
    <x v="0"/>
    <x v="0"/>
    <x v="353"/>
    <x v="361"/>
    <x v="196"/>
    <x v="357"/>
    <x v="352"/>
    <x v="1"/>
    <x v="0"/>
    <x v="0"/>
    <x v="0"/>
    <x v="301"/>
    <x v="1"/>
  </r>
  <r>
    <x v="372"/>
    <x v="372"/>
    <x v="157"/>
    <x v="1"/>
    <x v="7"/>
    <x v="7"/>
    <x v="1"/>
    <x v="272"/>
    <x v="129"/>
    <x v="61"/>
    <x v="156"/>
    <x v="6"/>
    <x v="249"/>
    <x v="0"/>
    <x v="0"/>
    <x v="354"/>
    <x v="362"/>
    <x v="305"/>
    <x v="358"/>
    <x v="353"/>
    <x v="1"/>
    <x v="0"/>
    <x v="0"/>
    <x v="0"/>
    <x v="302"/>
    <x v="1"/>
  </r>
  <r>
    <x v="373"/>
    <x v="373"/>
    <x v="221"/>
    <x v="0"/>
    <x v="5"/>
    <x v="5"/>
    <x v="0"/>
    <x v="273"/>
    <x v="25"/>
    <x v="72"/>
    <x v="85"/>
    <x v="1"/>
    <x v="28"/>
    <x v="2"/>
    <x v="206"/>
    <x v="355"/>
    <x v="363"/>
    <x v="306"/>
    <x v="359"/>
    <x v="354"/>
    <x v="4"/>
    <x v="0"/>
    <x v="0"/>
    <x v="2"/>
    <x v="303"/>
    <x v="0"/>
  </r>
  <r>
    <x v="374"/>
    <x v="374"/>
    <x v="144"/>
    <x v="0"/>
    <x v="2"/>
    <x v="2"/>
    <x v="2"/>
    <x v="274"/>
    <x v="69"/>
    <x v="148"/>
    <x v="224"/>
    <x v="4"/>
    <x v="250"/>
    <x v="0"/>
    <x v="0"/>
    <x v="356"/>
    <x v="364"/>
    <x v="307"/>
    <x v="360"/>
    <x v="355"/>
    <x v="1"/>
    <x v="0"/>
    <x v="0"/>
    <x v="1"/>
    <x v="124"/>
    <x v="1"/>
  </r>
  <r>
    <x v="375"/>
    <x v="375"/>
    <x v="222"/>
    <x v="0"/>
    <x v="3"/>
    <x v="3"/>
    <x v="2"/>
    <x v="275"/>
    <x v="89"/>
    <x v="57"/>
    <x v="225"/>
    <x v="6"/>
    <x v="118"/>
    <x v="0"/>
    <x v="0"/>
    <x v="357"/>
    <x v="365"/>
    <x v="308"/>
    <x v="361"/>
    <x v="131"/>
    <x v="1"/>
    <x v="0"/>
    <x v="0"/>
    <x v="0"/>
    <x v="140"/>
    <x v="1"/>
  </r>
  <r>
    <x v="376"/>
    <x v="376"/>
    <x v="147"/>
    <x v="0"/>
    <x v="2"/>
    <x v="2"/>
    <x v="2"/>
    <x v="256"/>
    <x v="52"/>
    <x v="0"/>
    <x v="46"/>
    <x v="2"/>
    <x v="251"/>
    <x v="4"/>
    <x v="207"/>
    <x v="358"/>
    <x v="366"/>
    <x v="309"/>
    <x v="362"/>
    <x v="356"/>
    <x v="1"/>
    <x v="0"/>
    <x v="0"/>
    <x v="0"/>
    <x v="304"/>
    <x v="1"/>
  </r>
  <r>
    <x v="377"/>
    <x v="377"/>
    <x v="162"/>
    <x v="0"/>
    <x v="8"/>
    <x v="8"/>
    <x v="3"/>
    <x v="41"/>
    <x v="31"/>
    <x v="43"/>
    <x v="226"/>
    <x v="5"/>
    <x v="252"/>
    <x v="2"/>
    <x v="208"/>
    <x v="359"/>
    <x v="367"/>
    <x v="310"/>
    <x v="363"/>
    <x v="357"/>
    <x v="0"/>
    <x v="0"/>
    <x v="0"/>
    <x v="0"/>
    <x v="305"/>
    <x v="0"/>
  </r>
  <r>
    <x v="378"/>
    <x v="378"/>
    <x v="123"/>
    <x v="0"/>
    <x v="8"/>
    <x v="8"/>
    <x v="3"/>
    <x v="156"/>
    <x v="31"/>
    <x v="103"/>
    <x v="109"/>
    <x v="7"/>
    <x v="253"/>
    <x v="0"/>
    <x v="0"/>
    <x v="360"/>
    <x v="368"/>
    <x v="311"/>
    <x v="364"/>
    <x v="358"/>
    <x v="3"/>
    <x v="0"/>
    <x v="0"/>
    <x v="1"/>
    <x v="62"/>
    <x v="1"/>
  </r>
  <r>
    <x v="379"/>
    <x v="379"/>
    <x v="65"/>
    <x v="0"/>
    <x v="8"/>
    <x v="8"/>
    <x v="3"/>
    <x v="276"/>
    <x v="111"/>
    <x v="45"/>
    <x v="227"/>
    <x v="2"/>
    <x v="254"/>
    <x v="2"/>
    <x v="209"/>
    <x v="361"/>
    <x v="369"/>
    <x v="312"/>
    <x v="365"/>
    <x v="359"/>
    <x v="2"/>
    <x v="0"/>
    <x v="0"/>
    <x v="0"/>
    <x v="306"/>
    <x v="0"/>
  </r>
  <r>
    <x v="380"/>
    <x v="380"/>
    <x v="133"/>
    <x v="0"/>
    <x v="10"/>
    <x v="10"/>
    <x v="3"/>
    <x v="54"/>
    <x v="38"/>
    <x v="104"/>
    <x v="221"/>
    <x v="5"/>
    <x v="255"/>
    <x v="0"/>
    <x v="0"/>
    <x v="362"/>
    <x v="370"/>
    <x v="313"/>
    <x v="366"/>
    <x v="360"/>
    <x v="2"/>
    <x v="0"/>
    <x v="0"/>
    <x v="0"/>
    <x v="155"/>
    <x v="0"/>
  </r>
  <r>
    <x v="381"/>
    <x v="381"/>
    <x v="223"/>
    <x v="1"/>
    <x v="11"/>
    <x v="11"/>
    <x v="1"/>
    <x v="277"/>
    <x v="52"/>
    <x v="136"/>
    <x v="142"/>
    <x v="6"/>
    <x v="256"/>
    <x v="0"/>
    <x v="0"/>
    <x v="363"/>
    <x v="371"/>
    <x v="314"/>
    <x v="367"/>
    <x v="361"/>
    <x v="1"/>
    <x v="0"/>
    <x v="0"/>
    <x v="0"/>
    <x v="218"/>
    <x v="1"/>
  </r>
  <r>
    <x v="382"/>
    <x v="382"/>
    <x v="42"/>
    <x v="0"/>
    <x v="8"/>
    <x v="8"/>
    <x v="3"/>
    <x v="156"/>
    <x v="61"/>
    <x v="71"/>
    <x v="81"/>
    <x v="2"/>
    <x v="257"/>
    <x v="1"/>
    <x v="210"/>
    <x v="364"/>
    <x v="372"/>
    <x v="71"/>
    <x v="368"/>
    <x v="362"/>
    <x v="5"/>
    <x v="0"/>
    <x v="0"/>
    <x v="2"/>
    <x v="307"/>
    <x v="0"/>
  </r>
  <r>
    <x v="383"/>
    <x v="383"/>
    <x v="224"/>
    <x v="1"/>
    <x v="11"/>
    <x v="11"/>
    <x v="1"/>
    <x v="278"/>
    <x v="79"/>
    <x v="105"/>
    <x v="131"/>
    <x v="1"/>
    <x v="258"/>
    <x v="0"/>
    <x v="0"/>
    <x v="365"/>
    <x v="373"/>
    <x v="315"/>
    <x v="369"/>
    <x v="363"/>
    <x v="1"/>
    <x v="0"/>
    <x v="0"/>
    <x v="0"/>
    <x v="308"/>
    <x v="1"/>
  </r>
  <r>
    <x v="384"/>
    <x v="384"/>
    <x v="225"/>
    <x v="0"/>
    <x v="0"/>
    <x v="0"/>
    <x v="0"/>
    <x v="279"/>
    <x v="84"/>
    <x v="87"/>
    <x v="210"/>
    <x v="0"/>
    <x v="109"/>
    <x v="0"/>
    <x v="0"/>
    <x v="366"/>
    <x v="374"/>
    <x v="316"/>
    <x v="370"/>
    <x v="364"/>
    <x v="3"/>
    <x v="1"/>
    <x v="1"/>
    <x v="1"/>
    <x v="309"/>
    <x v="1"/>
  </r>
  <r>
    <x v="385"/>
    <x v="385"/>
    <x v="107"/>
    <x v="0"/>
    <x v="8"/>
    <x v="8"/>
    <x v="3"/>
    <x v="280"/>
    <x v="1"/>
    <x v="94"/>
    <x v="117"/>
    <x v="0"/>
    <x v="1"/>
    <x v="2"/>
    <x v="211"/>
    <x v="367"/>
    <x v="375"/>
    <x v="317"/>
    <x v="371"/>
    <x v="365"/>
    <x v="3"/>
    <x v="0"/>
    <x v="0"/>
    <x v="0"/>
    <x v="68"/>
    <x v="1"/>
  </r>
  <r>
    <x v="386"/>
    <x v="386"/>
    <x v="226"/>
    <x v="0"/>
    <x v="0"/>
    <x v="0"/>
    <x v="0"/>
    <x v="281"/>
    <x v="28"/>
    <x v="132"/>
    <x v="228"/>
    <x v="6"/>
    <x v="32"/>
    <x v="0"/>
    <x v="0"/>
    <x v="161"/>
    <x v="376"/>
    <x v="318"/>
    <x v="372"/>
    <x v="366"/>
    <x v="4"/>
    <x v="0"/>
    <x v="0"/>
    <x v="0"/>
    <x v="310"/>
    <x v="1"/>
  </r>
  <r>
    <x v="387"/>
    <x v="387"/>
    <x v="227"/>
    <x v="0"/>
    <x v="8"/>
    <x v="8"/>
    <x v="3"/>
    <x v="282"/>
    <x v="24"/>
    <x v="72"/>
    <x v="85"/>
    <x v="2"/>
    <x v="27"/>
    <x v="4"/>
    <x v="212"/>
    <x v="368"/>
    <x v="377"/>
    <x v="319"/>
    <x v="373"/>
    <x v="367"/>
    <x v="2"/>
    <x v="0"/>
    <x v="0"/>
    <x v="2"/>
    <x v="311"/>
    <x v="1"/>
  </r>
  <r>
    <x v="388"/>
    <x v="388"/>
    <x v="188"/>
    <x v="0"/>
    <x v="4"/>
    <x v="4"/>
    <x v="2"/>
    <x v="283"/>
    <x v="22"/>
    <x v="34"/>
    <x v="32"/>
    <x v="6"/>
    <x v="259"/>
    <x v="0"/>
    <x v="0"/>
    <x v="369"/>
    <x v="378"/>
    <x v="320"/>
    <x v="374"/>
    <x v="368"/>
    <x v="2"/>
    <x v="0"/>
    <x v="0"/>
    <x v="0"/>
    <x v="312"/>
    <x v="0"/>
  </r>
  <r>
    <x v="389"/>
    <x v="389"/>
    <x v="228"/>
    <x v="0"/>
    <x v="6"/>
    <x v="6"/>
    <x v="3"/>
    <x v="284"/>
    <x v="58"/>
    <x v="90"/>
    <x v="165"/>
    <x v="6"/>
    <x v="66"/>
    <x v="1"/>
    <x v="213"/>
    <x v="370"/>
    <x v="379"/>
    <x v="321"/>
    <x v="375"/>
    <x v="369"/>
    <x v="2"/>
    <x v="0"/>
    <x v="0"/>
    <x v="0"/>
    <x v="313"/>
    <x v="0"/>
  </r>
  <r>
    <x v="390"/>
    <x v="390"/>
    <x v="194"/>
    <x v="0"/>
    <x v="8"/>
    <x v="8"/>
    <x v="3"/>
    <x v="285"/>
    <x v="130"/>
    <x v="82"/>
    <x v="96"/>
    <x v="7"/>
    <x v="260"/>
    <x v="0"/>
    <x v="0"/>
    <x v="371"/>
    <x v="380"/>
    <x v="322"/>
    <x v="376"/>
    <x v="370"/>
    <x v="2"/>
    <x v="0"/>
    <x v="0"/>
    <x v="0"/>
    <x v="314"/>
    <x v="1"/>
  </r>
  <r>
    <x v="391"/>
    <x v="391"/>
    <x v="229"/>
    <x v="1"/>
    <x v="1"/>
    <x v="1"/>
    <x v="1"/>
    <x v="257"/>
    <x v="81"/>
    <x v="144"/>
    <x v="197"/>
    <x v="2"/>
    <x v="103"/>
    <x v="2"/>
    <x v="214"/>
    <x v="372"/>
    <x v="381"/>
    <x v="323"/>
    <x v="377"/>
    <x v="371"/>
    <x v="0"/>
    <x v="0"/>
    <x v="0"/>
    <x v="0"/>
    <x v="239"/>
    <x v="0"/>
  </r>
  <r>
    <x v="392"/>
    <x v="392"/>
    <x v="230"/>
    <x v="0"/>
    <x v="4"/>
    <x v="4"/>
    <x v="2"/>
    <x v="131"/>
    <x v="51"/>
    <x v="154"/>
    <x v="222"/>
    <x v="1"/>
    <x v="161"/>
    <x v="0"/>
    <x v="0"/>
    <x v="373"/>
    <x v="382"/>
    <x v="208"/>
    <x v="378"/>
    <x v="204"/>
    <x v="4"/>
    <x v="0"/>
    <x v="0"/>
    <x v="2"/>
    <x v="315"/>
    <x v="1"/>
  </r>
  <r>
    <x v="393"/>
    <x v="393"/>
    <x v="110"/>
    <x v="1"/>
    <x v="1"/>
    <x v="1"/>
    <x v="1"/>
    <x v="286"/>
    <x v="77"/>
    <x v="16"/>
    <x v="62"/>
    <x v="1"/>
    <x v="96"/>
    <x v="4"/>
    <x v="215"/>
    <x v="374"/>
    <x v="383"/>
    <x v="324"/>
    <x v="379"/>
    <x v="100"/>
    <x v="1"/>
    <x v="0"/>
    <x v="0"/>
    <x v="0"/>
    <x v="316"/>
    <x v="0"/>
  </r>
  <r>
    <x v="394"/>
    <x v="394"/>
    <x v="226"/>
    <x v="0"/>
    <x v="0"/>
    <x v="0"/>
    <x v="0"/>
    <x v="287"/>
    <x v="32"/>
    <x v="35"/>
    <x v="36"/>
    <x v="1"/>
    <x v="36"/>
    <x v="0"/>
    <x v="0"/>
    <x v="375"/>
    <x v="384"/>
    <x v="325"/>
    <x v="380"/>
    <x v="372"/>
    <x v="2"/>
    <x v="0"/>
    <x v="0"/>
    <x v="0"/>
    <x v="317"/>
    <x v="1"/>
  </r>
  <r>
    <x v="395"/>
    <x v="395"/>
    <x v="23"/>
    <x v="0"/>
    <x v="2"/>
    <x v="2"/>
    <x v="2"/>
    <x v="288"/>
    <x v="59"/>
    <x v="126"/>
    <x v="229"/>
    <x v="3"/>
    <x v="261"/>
    <x v="4"/>
    <x v="216"/>
    <x v="376"/>
    <x v="385"/>
    <x v="326"/>
    <x v="381"/>
    <x v="373"/>
    <x v="0"/>
    <x v="0"/>
    <x v="0"/>
    <x v="0"/>
    <x v="318"/>
    <x v="0"/>
  </r>
  <r>
    <x v="396"/>
    <x v="396"/>
    <x v="231"/>
    <x v="0"/>
    <x v="5"/>
    <x v="5"/>
    <x v="0"/>
    <x v="289"/>
    <x v="79"/>
    <x v="128"/>
    <x v="35"/>
    <x v="2"/>
    <x v="258"/>
    <x v="4"/>
    <x v="217"/>
    <x v="377"/>
    <x v="386"/>
    <x v="327"/>
    <x v="382"/>
    <x v="374"/>
    <x v="3"/>
    <x v="0"/>
    <x v="0"/>
    <x v="1"/>
    <x v="319"/>
    <x v="1"/>
  </r>
  <r>
    <x v="397"/>
    <x v="397"/>
    <x v="76"/>
    <x v="0"/>
    <x v="9"/>
    <x v="9"/>
    <x v="0"/>
    <x v="290"/>
    <x v="38"/>
    <x v="130"/>
    <x v="175"/>
    <x v="1"/>
    <x v="43"/>
    <x v="3"/>
    <x v="218"/>
    <x v="378"/>
    <x v="387"/>
    <x v="328"/>
    <x v="383"/>
    <x v="375"/>
    <x v="3"/>
    <x v="0"/>
    <x v="0"/>
    <x v="0"/>
    <x v="320"/>
    <x v="0"/>
  </r>
  <r>
    <x v="398"/>
    <x v="398"/>
    <x v="232"/>
    <x v="1"/>
    <x v="7"/>
    <x v="7"/>
    <x v="1"/>
    <x v="291"/>
    <x v="33"/>
    <x v="99"/>
    <x v="177"/>
    <x v="2"/>
    <x v="241"/>
    <x v="0"/>
    <x v="0"/>
    <x v="337"/>
    <x v="344"/>
    <x v="37"/>
    <x v="384"/>
    <x v="376"/>
    <x v="4"/>
    <x v="0"/>
    <x v="0"/>
    <x v="0"/>
    <x v="321"/>
    <x v="0"/>
  </r>
  <r>
    <x v="399"/>
    <x v="399"/>
    <x v="44"/>
    <x v="0"/>
    <x v="8"/>
    <x v="8"/>
    <x v="3"/>
    <x v="292"/>
    <x v="87"/>
    <x v="155"/>
    <x v="35"/>
    <x v="5"/>
    <x v="262"/>
    <x v="4"/>
    <x v="219"/>
    <x v="379"/>
    <x v="388"/>
    <x v="124"/>
    <x v="385"/>
    <x v="377"/>
    <x v="3"/>
    <x v="0"/>
    <x v="0"/>
    <x v="0"/>
    <x v="322"/>
    <x v="0"/>
  </r>
  <r>
    <x v="400"/>
    <x v="400"/>
    <x v="115"/>
    <x v="0"/>
    <x v="10"/>
    <x v="10"/>
    <x v="3"/>
    <x v="293"/>
    <x v="3"/>
    <x v="89"/>
    <x v="223"/>
    <x v="1"/>
    <x v="3"/>
    <x v="1"/>
    <x v="220"/>
    <x v="380"/>
    <x v="389"/>
    <x v="3"/>
    <x v="386"/>
    <x v="378"/>
    <x v="0"/>
    <x v="0"/>
    <x v="0"/>
    <x v="0"/>
    <x v="91"/>
    <x v="1"/>
  </r>
  <r>
    <x v="401"/>
    <x v="401"/>
    <x v="39"/>
    <x v="0"/>
    <x v="3"/>
    <x v="3"/>
    <x v="2"/>
    <x v="90"/>
    <x v="127"/>
    <x v="39"/>
    <x v="42"/>
    <x v="4"/>
    <x v="263"/>
    <x v="0"/>
    <x v="0"/>
    <x v="381"/>
    <x v="390"/>
    <x v="329"/>
    <x v="387"/>
    <x v="379"/>
    <x v="0"/>
    <x v="0"/>
    <x v="0"/>
    <x v="0"/>
    <x v="288"/>
    <x v="1"/>
  </r>
  <r>
    <x v="402"/>
    <x v="402"/>
    <x v="227"/>
    <x v="0"/>
    <x v="8"/>
    <x v="8"/>
    <x v="3"/>
    <x v="153"/>
    <x v="105"/>
    <x v="103"/>
    <x v="109"/>
    <x v="4"/>
    <x v="119"/>
    <x v="3"/>
    <x v="221"/>
    <x v="382"/>
    <x v="391"/>
    <x v="330"/>
    <x v="388"/>
    <x v="380"/>
    <x v="1"/>
    <x v="0"/>
    <x v="0"/>
    <x v="0"/>
    <x v="323"/>
    <x v="1"/>
  </r>
  <r>
    <x v="403"/>
    <x v="403"/>
    <x v="44"/>
    <x v="0"/>
    <x v="8"/>
    <x v="8"/>
    <x v="3"/>
    <x v="294"/>
    <x v="27"/>
    <x v="157"/>
    <x v="230"/>
    <x v="2"/>
    <x v="31"/>
    <x v="0"/>
    <x v="0"/>
    <x v="383"/>
    <x v="392"/>
    <x v="31"/>
    <x v="389"/>
    <x v="381"/>
    <x v="1"/>
    <x v="0"/>
    <x v="0"/>
    <x v="2"/>
    <x v="324"/>
    <x v="0"/>
  </r>
  <r>
    <x v="404"/>
    <x v="404"/>
    <x v="42"/>
    <x v="0"/>
    <x v="8"/>
    <x v="8"/>
    <x v="3"/>
    <x v="295"/>
    <x v="116"/>
    <x v="114"/>
    <x v="38"/>
    <x v="6"/>
    <x v="264"/>
    <x v="0"/>
    <x v="0"/>
    <x v="384"/>
    <x v="393"/>
    <x v="331"/>
    <x v="390"/>
    <x v="382"/>
    <x v="5"/>
    <x v="0"/>
    <x v="0"/>
    <x v="2"/>
    <x v="33"/>
    <x v="0"/>
  </r>
  <r>
    <x v="405"/>
    <x v="405"/>
    <x v="233"/>
    <x v="0"/>
    <x v="4"/>
    <x v="4"/>
    <x v="2"/>
    <x v="182"/>
    <x v="89"/>
    <x v="73"/>
    <x v="86"/>
    <x v="5"/>
    <x v="265"/>
    <x v="1"/>
    <x v="222"/>
    <x v="385"/>
    <x v="394"/>
    <x v="186"/>
    <x v="391"/>
    <x v="383"/>
    <x v="2"/>
    <x v="0"/>
    <x v="0"/>
    <x v="1"/>
    <x v="325"/>
    <x v="1"/>
  </r>
  <r>
    <x v="406"/>
    <x v="406"/>
    <x v="206"/>
    <x v="0"/>
    <x v="10"/>
    <x v="10"/>
    <x v="3"/>
    <x v="296"/>
    <x v="19"/>
    <x v="140"/>
    <x v="90"/>
    <x v="0"/>
    <x v="19"/>
    <x v="2"/>
    <x v="120"/>
    <x v="386"/>
    <x v="395"/>
    <x v="332"/>
    <x v="392"/>
    <x v="384"/>
    <x v="3"/>
    <x v="0"/>
    <x v="0"/>
    <x v="0"/>
    <x v="102"/>
    <x v="1"/>
  </r>
  <r>
    <x v="407"/>
    <x v="407"/>
    <x v="196"/>
    <x v="0"/>
    <x v="5"/>
    <x v="5"/>
    <x v="0"/>
    <x v="297"/>
    <x v="27"/>
    <x v="107"/>
    <x v="15"/>
    <x v="1"/>
    <x v="31"/>
    <x v="2"/>
    <x v="223"/>
    <x v="387"/>
    <x v="396"/>
    <x v="333"/>
    <x v="393"/>
    <x v="31"/>
    <x v="0"/>
    <x v="0"/>
    <x v="0"/>
    <x v="2"/>
    <x v="326"/>
    <x v="0"/>
  </r>
  <r>
    <x v="408"/>
    <x v="408"/>
    <x v="130"/>
    <x v="0"/>
    <x v="2"/>
    <x v="2"/>
    <x v="2"/>
    <x v="189"/>
    <x v="81"/>
    <x v="141"/>
    <x v="231"/>
    <x v="0"/>
    <x v="103"/>
    <x v="1"/>
    <x v="224"/>
    <x v="388"/>
    <x v="397"/>
    <x v="111"/>
    <x v="394"/>
    <x v="385"/>
    <x v="5"/>
    <x v="1"/>
    <x v="1"/>
    <x v="0"/>
    <x v="327"/>
    <x v="0"/>
  </r>
  <r>
    <x v="409"/>
    <x v="409"/>
    <x v="88"/>
    <x v="1"/>
    <x v="7"/>
    <x v="7"/>
    <x v="1"/>
    <x v="188"/>
    <x v="130"/>
    <x v="100"/>
    <x v="232"/>
    <x v="6"/>
    <x v="266"/>
    <x v="4"/>
    <x v="225"/>
    <x v="389"/>
    <x v="398"/>
    <x v="334"/>
    <x v="395"/>
    <x v="386"/>
    <x v="4"/>
    <x v="0"/>
    <x v="0"/>
    <x v="0"/>
    <x v="328"/>
    <x v="1"/>
  </r>
  <r>
    <x v="410"/>
    <x v="410"/>
    <x v="234"/>
    <x v="0"/>
    <x v="6"/>
    <x v="6"/>
    <x v="3"/>
    <x v="298"/>
    <x v="44"/>
    <x v="91"/>
    <x v="110"/>
    <x v="6"/>
    <x v="242"/>
    <x v="1"/>
    <x v="226"/>
    <x v="390"/>
    <x v="399"/>
    <x v="335"/>
    <x v="396"/>
    <x v="387"/>
    <x v="4"/>
    <x v="0"/>
    <x v="0"/>
    <x v="2"/>
    <x v="273"/>
    <x v="0"/>
  </r>
  <r>
    <x v="411"/>
    <x v="411"/>
    <x v="81"/>
    <x v="0"/>
    <x v="10"/>
    <x v="10"/>
    <x v="3"/>
    <x v="299"/>
    <x v="70"/>
    <x v="14"/>
    <x v="14"/>
    <x v="2"/>
    <x v="267"/>
    <x v="0"/>
    <x v="0"/>
    <x v="391"/>
    <x v="400"/>
    <x v="336"/>
    <x v="397"/>
    <x v="388"/>
    <x v="3"/>
    <x v="0"/>
    <x v="0"/>
    <x v="0"/>
    <x v="329"/>
    <x v="0"/>
  </r>
  <r>
    <x v="412"/>
    <x v="412"/>
    <x v="15"/>
    <x v="0"/>
    <x v="6"/>
    <x v="6"/>
    <x v="3"/>
    <x v="300"/>
    <x v="111"/>
    <x v="148"/>
    <x v="233"/>
    <x v="1"/>
    <x v="268"/>
    <x v="1"/>
    <x v="227"/>
    <x v="392"/>
    <x v="401"/>
    <x v="337"/>
    <x v="398"/>
    <x v="389"/>
    <x v="3"/>
    <x v="0"/>
    <x v="0"/>
    <x v="0"/>
    <x v="330"/>
    <x v="1"/>
  </r>
  <r>
    <x v="413"/>
    <x v="413"/>
    <x v="4"/>
    <x v="0"/>
    <x v="3"/>
    <x v="3"/>
    <x v="2"/>
    <x v="301"/>
    <x v="121"/>
    <x v="36"/>
    <x v="120"/>
    <x v="4"/>
    <x v="196"/>
    <x v="0"/>
    <x v="0"/>
    <x v="393"/>
    <x v="402"/>
    <x v="338"/>
    <x v="399"/>
    <x v="390"/>
    <x v="3"/>
    <x v="0"/>
    <x v="0"/>
    <x v="0"/>
    <x v="225"/>
    <x v="0"/>
  </r>
  <r>
    <x v="414"/>
    <x v="414"/>
    <x v="194"/>
    <x v="0"/>
    <x v="8"/>
    <x v="8"/>
    <x v="3"/>
    <x v="131"/>
    <x v="85"/>
    <x v="110"/>
    <x v="136"/>
    <x v="6"/>
    <x v="110"/>
    <x v="0"/>
    <x v="0"/>
    <x v="328"/>
    <x v="333"/>
    <x v="285"/>
    <x v="329"/>
    <x v="325"/>
    <x v="4"/>
    <x v="0"/>
    <x v="0"/>
    <x v="0"/>
    <x v="331"/>
    <x v="1"/>
  </r>
  <r>
    <x v="415"/>
    <x v="415"/>
    <x v="6"/>
    <x v="0"/>
    <x v="3"/>
    <x v="3"/>
    <x v="2"/>
    <x v="302"/>
    <x v="109"/>
    <x v="25"/>
    <x v="26"/>
    <x v="0"/>
    <x v="150"/>
    <x v="0"/>
    <x v="0"/>
    <x v="394"/>
    <x v="403"/>
    <x v="339"/>
    <x v="400"/>
    <x v="391"/>
    <x v="4"/>
    <x v="0"/>
    <x v="0"/>
    <x v="2"/>
    <x v="30"/>
    <x v="0"/>
  </r>
  <r>
    <x v="416"/>
    <x v="416"/>
    <x v="235"/>
    <x v="0"/>
    <x v="1"/>
    <x v="1"/>
    <x v="1"/>
    <x v="94"/>
    <x v="107"/>
    <x v="117"/>
    <x v="234"/>
    <x v="2"/>
    <x v="269"/>
    <x v="1"/>
    <x v="228"/>
    <x v="395"/>
    <x v="404"/>
    <x v="340"/>
    <x v="401"/>
    <x v="392"/>
    <x v="0"/>
    <x v="0"/>
    <x v="0"/>
    <x v="0"/>
    <x v="332"/>
    <x v="1"/>
  </r>
  <r>
    <x v="417"/>
    <x v="417"/>
    <x v="162"/>
    <x v="0"/>
    <x v="8"/>
    <x v="8"/>
    <x v="3"/>
    <x v="218"/>
    <x v="12"/>
    <x v="123"/>
    <x v="161"/>
    <x v="3"/>
    <x v="270"/>
    <x v="0"/>
    <x v="0"/>
    <x v="396"/>
    <x v="405"/>
    <x v="341"/>
    <x v="402"/>
    <x v="393"/>
    <x v="4"/>
    <x v="0"/>
    <x v="0"/>
    <x v="0"/>
    <x v="209"/>
    <x v="0"/>
  </r>
  <r>
    <x v="418"/>
    <x v="418"/>
    <x v="67"/>
    <x v="0"/>
    <x v="8"/>
    <x v="8"/>
    <x v="3"/>
    <x v="8"/>
    <x v="27"/>
    <x v="103"/>
    <x v="129"/>
    <x v="1"/>
    <x v="31"/>
    <x v="4"/>
    <x v="229"/>
    <x v="397"/>
    <x v="406"/>
    <x v="333"/>
    <x v="403"/>
    <x v="394"/>
    <x v="3"/>
    <x v="0"/>
    <x v="0"/>
    <x v="0"/>
    <x v="333"/>
    <x v="0"/>
  </r>
  <r>
    <x v="419"/>
    <x v="419"/>
    <x v="216"/>
    <x v="0"/>
    <x v="8"/>
    <x v="8"/>
    <x v="3"/>
    <x v="303"/>
    <x v="122"/>
    <x v="45"/>
    <x v="48"/>
    <x v="0"/>
    <x v="205"/>
    <x v="0"/>
    <x v="0"/>
    <x v="398"/>
    <x v="407"/>
    <x v="342"/>
    <x v="404"/>
    <x v="395"/>
    <x v="4"/>
    <x v="0"/>
    <x v="0"/>
    <x v="2"/>
    <x v="61"/>
    <x v="1"/>
  </r>
  <r>
    <x v="420"/>
    <x v="420"/>
    <x v="236"/>
    <x v="0"/>
    <x v="3"/>
    <x v="3"/>
    <x v="2"/>
    <x v="304"/>
    <x v="20"/>
    <x v="74"/>
    <x v="142"/>
    <x v="1"/>
    <x v="198"/>
    <x v="3"/>
    <x v="230"/>
    <x v="399"/>
    <x v="408"/>
    <x v="343"/>
    <x v="405"/>
    <x v="396"/>
    <x v="1"/>
    <x v="0"/>
    <x v="0"/>
    <x v="0"/>
    <x v="334"/>
    <x v="1"/>
  </r>
  <r>
    <x v="421"/>
    <x v="421"/>
    <x v="13"/>
    <x v="0"/>
    <x v="2"/>
    <x v="2"/>
    <x v="2"/>
    <x v="305"/>
    <x v="57"/>
    <x v="8"/>
    <x v="8"/>
    <x v="4"/>
    <x v="65"/>
    <x v="0"/>
    <x v="0"/>
    <x v="400"/>
    <x v="409"/>
    <x v="261"/>
    <x v="406"/>
    <x v="397"/>
    <x v="0"/>
    <x v="0"/>
    <x v="0"/>
    <x v="0"/>
    <x v="335"/>
    <x v="1"/>
  </r>
  <r>
    <x v="422"/>
    <x v="422"/>
    <x v="237"/>
    <x v="0"/>
    <x v="3"/>
    <x v="3"/>
    <x v="2"/>
    <x v="240"/>
    <x v="111"/>
    <x v="158"/>
    <x v="235"/>
    <x v="0"/>
    <x v="268"/>
    <x v="2"/>
    <x v="227"/>
    <x v="401"/>
    <x v="410"/>
    <x v="344"/>
    <x v="407"/>
    <x v="398"/>
    <x v="5"/>
    <x v="0"/>
    <x v="0"/>
    <x v="0"/>
    <x v="44"/>
    <x v="0"/>
  </r>
  <r>
    <x v="423"/>
    <x v="423"/>
    <x v="238"/>
    <x v="0"/>
    <x v="3"/>
    <x v="3"/>
    <x v="2"/>
    <x v="306"/>
    <x v="59"/>
    <x v="122"/>
    <x v="45"/>
    <x v="2"/>
    <x v="271"/>
    <x v="2"/>
    <x v="231"/>
    <x v="402"/>
    <x v="411"/>
    <x v="281"/>
    <x v="408"/>
    <x v="399"/>
    <x v="0"/>
    <x v="0"/>
    <x v="0"/>
    <x v="0"/>
    <x v="336"/>
    <x v="1"/>
  </r>
  <r>
    <x v="424"/>
    <x v="424"/>
    <x v="188"/>
    <x v="0"/>
    <x v="4"/>
    <x v="4"/>
    <x v="2"/>
    <x v="307"/>
    <x v="42"/>
    <x v="154"/>
    <x v="236"/>
    <x v="0"/>
    <x v="47"/>
    <x v="3"/>
    <x v="232"/>
    <x v="403"/>
    <x v="412"/>
    <x v="251"/>
    <x v="409"/>
    <x v="400"/>
    <x v="4"/>
    <x v="0"/>
    <x v="0"/>
    <x v="0"/>
    <x v="337"/>
    <x v="0"/>
  </r>
  <r>
    <x v="425"/>
    <x v="425"/>
    <x v="142"/>
    <x v="0"/>
    <x v="8"/>
    <x v="8"/>
    <x v="3"/>
    <x v="150"/>
    <x v="78"/>
    <x v="31"/>
    <x v="50"/>
    <x v="0"/>
    <x v="211"/>
    <x v="4"/>
    <x v="233"/>
    <x v="404"/>
    <x v="413"/>
    <x v="345"/>
    <x v="410"/>
    <x v="401"/>
    <x v="3"/>
    <x v="0"/>
    <x v="0"/>
    <x v="0"/>
    <x v="18"/>
    <x v="1"/>
  </r>
  <r>
    <x v="426"/>
    <x v="426"/>
    <x v="155"/>
    <x v="0"/>
    <x v="8"/>
    <x v="8"/>
    <x v="3"/>
    <x v="279"/>
    <x v="41"/>
    <x v="21"/>
    <x v="1"/>
    <x v="2"/>
    <x v="272"/>
    <x v="0"/>
    <x v="0"/>
    <x v="405"/>
    <x v="414"/>
    <x v="346"/>
    <x v="411"/>
    <x v="402"/>
    <x v="2"/>
    <x v="0"/>
    <x v="0"/>
    <x v="0"/>
    <x v="338"/>
    <x v="1"/>
  </r>
  <r>
    <x v="427"/>
    <x v="427"/>
    <x v="21"/>
    <x v="0"/>
    <x v="2"/>
    <x v="2"/>
    <x v="2"/>
    <x v="308"/>
    <x v="98"/>
    <x v="68"/>
    <x v="237"/>
    <x v="1"/>
    <x v="149"/>
    <x v="0"/>
    <x v="0"/>
    <x v="406"/>
    <x v="415"/>
    <x v="347"/>
    <x v="412"/>
    <x v="403"/>
    <x v="5"/>
    <x v="0"/>
    <x v="0"/>
    <x v="0"/>
    <x v="339"/>
    <x v="1"/>
  </r>
  <r>
    <x v="428"/>
    <x v="428"/>
    <x v="239"/>
    <x v="0"/>
    <x v="9"/>
    <x v="9"/>
    <x v="0"/>
    <x v="17"/>
    <x v="39"/>
    <x v="59"/>
    <x v="112"/>
    <x v="0"/>
    <x v="273"/>
    <x v="0"/>
    <x v="0"/>
    <x v="407"/>
    <x v="416"/>
    <x v="348"/>
    <x v="413"/>
    <x v="404"/>
    <x v="5"/>
    <x v="0"/>
    <x v="0"/>
    <x v="0"/>
    <x v="340"/>
    <x v="1"/>
  </r>
  <r>
    <x v="429"/>
    <x v="429"/>
    <x v="240"/>
    <x v="0"/>
    <x v="9"/>
    <x v="9"/>
    <x v="0"/>
    <x v="95"/>
    <x v="28"/>
    <x v="54"/>
    <x v="126"/>
    <x v="6"/>
    <x v="274"/>
    <x v="3"/>
    <x v="234"/>
    <x v="390"/>
    <x v="417"/>
    <x v="318"/>
    <x v="414"/>
    <x v="405"/>
    <x v="3"/>
    <x v="0"/>
    <x v="0"/>
    <x v="0"/>
    <x v="213"/>
    <x v="0"/>
  </r>
  <r>
    <x v="430"/>
    <x v="430"/>
    <x v="241"/>
    <x v="1"/>
    <x v="11"/>
    <x v="11"/>
    <x v="1"/>
    <x v="309"/>
    <x v="109"/>
    <x v="158"/>
    <x v="235"/>
    <x v="6"/>
    <x v="150"/>
    <x v="1"/>
    <x v="191"/>
    <x v="408"/>
    <x v="418"/>
    <x v="172"/>
    <x v="415"/>
    <x v="406"/>
    <x v="2"/>
    <x v="0"/>
    <x v="0"/>
    <x v="0"/>
    <x v="200"/>
    <x v="1"/>
  </r>
  <r>
    <x v="431"/>
    <x v="431"/>
    <x v="160"/>
    <x v="0"/>
    <x v="2"/>
    <x v="2"/>
    <x v="2"/>
    <x v="8"/>
    <x v="20"/>
    <x v="116"/>
    <x v="147"/>
    <x v="6"/>
    <x v="198"/>
    <x v="0"/>
    <x v="0"/>
    <x v="409"/>
    <x v="419"/>
    <x v="349"/>
    <x v="416"/>
    <x v="407"/>
    <x v="4"/>
    <x v="0"/>
    <x v="0"/>
    <x v="0"/>
    <x v="341"/>
    <x v="0"/>
  </r>
  <r>
    <x v="432"/>
    <x v="432"/>
    <x v="66"/>
    <x v="0"/>
    <x v="9"/>
    <x v="9"/>
    <x v="0"/>
    <x v="32"/>
    <x v="51"/>
    <x v="114"/>
    <x v="238"/>
    <x v="1"/>
    <x v="161"/>
    <x v="0"/>
    <x v="0"/>
    <x v="373"/>
    <x v="420"/>
    <x v="208"/>
    <x v="417"/>
    <x v="408"/>
    <x v="4"/>
    <x v="0"/>
    <x v="0"/>
    <x v="0"/>
    <x v="30"/>
    <x v="0"/>
  </r>
  <r>
    <x v="433"/>
    <x v="433"/>
    <x v="242"/>
    <x v="1"/>
    <x v="7"/>
    <x v="7"/>
    <x v="1"/>
    <x v="216"/>
    <x v="28"/>
    <x v="3"/>
    <x v="165"/>
    <x v="2"/>
    <x v="275"/>
    <x v="0"/>
    <x v="0"/>
    <x v="410"/>
    <x v="421"/>
    <x v="350"/>
    <x v="418"/>
    <x v="409"/>
    <x v="5"/>
    <x v="1"/>
    <x v="1"/>
    <x v="0"/>
    <x v="342"/>
    <x v="0"/>
  </r>
  <r>
    <x v="434"/>
    <x v="434"/>
    <x v="242"/>
    <x v="1"/>
    <x v="7"/>
    <x v="7"/>
    <x v="1"/>
    <x v="310"/>
    <x v="131"/>
    <x v="2"/>
    <x v="239"/>
    <x v="0"/>
    <x v="276"/>
    <x v="0"/>
    <x v="0"/>
    <x v="411"/>
    <x v="422"/>
    <x v="351"/>
    <x v="419"/>
    <x v="410"/>
    <x v="2"/>
    <x v="0"/>
    <x v="0"/>
    <x v="0"/>
    <x v="8"/>
    <x v="0"/>
  </r>
  <r>
    <x v="435"/>
    <x v="435"/>
    <x v="69"/>
    <x v="0"/>
    <x v="8"/>
    <x v="8"/>
    <x v="3"/>
    <x v="232"/>
    <x v="26"/>
    <x v="132"/>
    <x v="198"/>
    <x v="4"/>
    <x v="160"/>
    <x v="3"/>
    <x v="235"/>
    <x v="412"/>
    <x v="423"/>
    <x v="352"/>
    <x v="420"/>
    <x v="411"/>
    <x v="0"/>
    <x v="0"/>
    <x v="0"/>
    <x v="1"/>
    <x v="343"/>
    <x v="1"/>
  </r>
  <r>
    <x v="436"/>
    <x v="436"/>
    <x v="243"/>
    <x v="0"/>
    <x v="0"/>
    <x v="0"/>
    <x v="0"/>
    <x v="95"/>
    <x v="69"/>
    <x v="124"/>
    <x v="240"/>
    <x v="2"/>
    <x v="277"/>
    <x v="0"/>
    <x v="0"/>
    <x v="413"/>
    <x v="424"/>
    <x v="353"/>
    <x v="421"/>
    <x v="412"/>
    <x v="1"/>
    <x v="0"/>
    <x v="0"/>
    <x v="0"/>
    <x v="344"/>
    <x v="1"/>
  </r>
  <r>
    <x v="437"/>
    <x v="437"/>
    <x v="141"/>
    <x v="0"/>
    <x v="0"/>
    <x v="0"/>
    <x v="0"/>
    <x v="190"/>
    <x v="132"/>
    <x v="91"/>
    <x v="110"/>
    <x v="0"/>
    <x v="278"/>
    <x v="3"/>
    <x v="236"/>
    <x v="414"/>
    <x v="425"/>
    <x v="354"/>
    <x v="422"/>
    <x v="413"/>
    <x v="5"/>
    <x v="1"/>
    <x v="1"/>
    <x v="2"/>
    <x v="224"/>
    <x v="0"/>
  </r>
  <r>
    <x v="438"/>
    <x v="438"/>
    <x v="130"/>
    <x v="0"/>
    <x v="2"/>
    <x v="2"/>
    <x v="2"/>
    <x v="311"/>
    <x v="64"/>
    <x v="8"/>
    <x v="8"/>
    <x v="1"/>
    <x v="74"/>
    <x v="0"/>
    <x v="0"/>
    <x v="415"/>
    <x v="426"/>
    <x v="355"/>
    <x v="423"/>
    <x v="414"/>
    <x v="4"/>
    <x v="0"/>
    <x v="0"/>
    <x v="0"/>
    <x v="345"/>
    <x v="0"/>
  </r>
  <r>
    <x v="439"/>
    <x v="439"/>
    <x v="155"/>
    <x v="0"/>
    <x v="8"/>
    <x v="8"/>
    <x v="3"/>
    <x v="269"/>
    <x v="31"/>
    <x v="143"/>
    <x v="200"/>
    <x v="2"/>
    <x v="279"/>
    <x v="2"/>
    <x v="237"/>
    <x v="416"/>
    <x v="427"/>
    <x v="356"/>
    <x v="424"/>
    <x v="415"/>
    <x v="2"/>
    <x v="0"/>
    <x v="0"/>
    <x v="0"/>
    <x v="346"/>
    <x v="1"/>
  </r>
  <r>
    <x v="440"/>
    <x v="440"/>
    <x v="59"/>
    <x v="1"/>
    <x v="11"/>
    <x v="11"/>
    <x v="1"/>
    <x v="312"/>
    <x v="56"/>
    <x v="32"/>
    <x v="241"/>
    <x v="0"/>
    <x v="64"/>
    <x v="2"/>
    <x v="35"/>
    <x v="417"/>
    <x v="428"/>
    <x v="357"/>
    <x v="425"/>
    <x v="416"/>
    <x v="2"/>
    <x v="0"/>
    <x v="0"/>
    <x v="0"/>
    <x v="162"/>
    <x v="0"/>
  </r>
  <r>
    <x v="441"/>
    <x v="441"/>
    <x v="86"/>
    <x v="0"/>
    <x v="6"/>
    <x v="6"/>
    <x v="3"/>
    <x v="62"/>
    <x v="133"/>
    <x v="73"/>
    <x v="86"/>
    <x v="7"/>
    <x v="223"/>
    <x v="1"/>
    <x v="182"/>
    <x v="418"/>
    <x v="429"/>
    <x v="358"/>
    <x v="426"/>
    <x v="417"/>
    <x v="3"/>
    <x v="0"/>
    <x v="0"/>
    <x v="0"/>
    <x v="347"/>
    <x v="0"/>
  </r>
  <r>
    <x v="442"/>
    <x v="442"/>
    <x v="42"/>
    <x v="0"/>
    <x v="8"/>
    <x v="8"/>
    <x v="3"/>
    <x v="313"/>
    <x v="92"/>
    <x v="5"/>
    <x v="106"/>
    <x v="0"/>
    <x v="121"/>
    <x v="0"/>
    <x v="0"/>
    <x v="419"/>
    <x v="430"/>
    <x v="359"/>
    <x v="427"/>
    <x v="135"/>
    <x v="4"/>
    <x v="0"/>
    <x v="0"/>
    <x v="2"/>
    <x v="218"/>
    <x v="0"/>
  </r>
  <r>
    <x v="443"/>
    <x v="443"/>
    <x v="219"/>
    <x v="0"/>
    <x v="3"/>
    <x v="3"/>
    <x v="2"/>
    <x v="314"/>
    <x v="53"/>
    <x v="43"/>
    <x v="68"/>
    <x v="6"/>
    <x v="280"/>
    <x v="4"/>
    <x v="238"/>
    <x v="420"/>
    <x v="431"/>
    <x v="360"/>
    <x v="428"/>
    <x v="418"/>
    <x v="0"/>
    <x v="0"/>
    <x v="0"/>
    <x v="2"/>
    <x v="348"/>
    <x v="1"/>
  </r>
  <r>
    <x v="444"/>
    <x v="444"/>
    <x v="80"/>
    <x v="0"/>
    <x v="8"/>
    <x v="8"/>
    <x v="3"/>
    <x v="93"/>
    <x v="104"/>
    <x v="58"/>
    <x v="122"/>
    <x v="6"/>
    <x v="281"/>
    <x v="1"/>
    <x v="239"/>
    <x v="421"/>
    <x v="432"/>
    <x v="292"/>
    <x v="429"/>
    <x v="419"/>
    <x v="1"/>
    <x v="0"/>
    <x v="0"/>
    <x v="0"/>
    <x v="349"/>
    <x v="0"/>
  </r>
  <r>
    <x v="445"/>
    <x v="445"/>
    <x v="244"/>
    <x v="0"/>
    <x v="5"/>
    <x v="5"/>
    <x v="0"/>
    <x v="182"/>
    <x v="134"/>
    <x v="49"/>
    <x v="53"/>
    <x v="2"/>
    <x v="282"/>
    <x v="2"/>
    <x v="240"/>
    <x v="422"/>
    <x v="433"/>
    <x v="361"/>
    <x v="430"/>
    <x v="420"/>
    <x v="2"/>
    <x v="0"/>
    <x v="0"/>
    <x v="0"/>
    <x v="229"/>
    <x v="1"/>
  </r>
  <r>
    <x v="446"/>
    <x v="446"/>
    <x v="126"/>
    <x v="0"/>
    <x v="0"/>
    <x v="0"/>
    <x v="0"/>
    <x v="237"/>
    <x v="28"/>
    <x v="83"/>
    <x v="98"/>
    <x v="2"/>
    <x v="32"/>
    <x v="0"/>
    <x v="0"/>
    <x v="423"/>
    <x v="434"/>
    <x v="350"/>
    <x v="431"/>
    <x v="366"/>
    <x v="0"/>
    <x v="0"/>
    <x v="0"/>
    <x v="2"/>
    <x v="314"/>
    <x v="1"/>
  </r>
  <r>
    <x v="447"/>
    <x v="447"/>
    <x v="84"/>
    <x v="0"/>
    <x v="9"/>
    <x v="9"/>
    <x v="0"/>
    <x v="315"/>
    <x v="121"/>
    <x v="159"/>
    <x v="206"/>
    <x v="0"/>
    <x v="196"/>
    <x v="0"/>
    <x v="0"/>
    <x v="424"/>
    <x v="435"/>
    <x v="362"/>
    <x v="432"/>
    <x v="421"/>
    <x v="5"/>
    <x v="0"/>
    <x v="0"/>
    <x v="2"/>
    <x v="350"/>
    <x v="1"/>
  </r>
  <r>
    <x v="448"/>
    <x v="448"/>
    <x v="101"/>
    <x v="0"/>
    <x v="0"/>
    <x v="0"/>
    <x v="0"/>
    <x v="168"/>
    <x v="27"/>
    <x v="127"/>
    <x v="242"/>
    <x v="4"/>
    <x v="31"/>
    <x v="3"/>
    <x v="241"/>
    <x v="425"/>
    <x v="436"/>
    <x v="363"/>
    <x v="433"/>
    <x v="110"/>
    <x v="5"/>
    <x v="0"/>
    <x v="0"/>
    <x v="0"/>
    <x v="351"/>
    <x v="0"/>
  </r>
  <r>
    <x v="449"/>
    <x v="449"/>
    <x v="245"/>
    <x v="0"/>
    <x v="6"/>
    <x v="6"/>
    <x v="3"/>
    <x v="253"/>
    <x v="45"/>
    <x v="0"/>
    <x v="74"/>
    <x v="5"/>
    <x v="283"/>
    <x v="2"/>
    <x v="242"/>
    <x v="426"/>
    <x v="437"/>
    <x v="364"/>
    <x v="434"/>
    <x v="422"/>
    <x v="5"/>
    <x v="0"/>
    <x v="0"/>
    <x v="0"/>
    <x v="352"/>
    <x v="1"/>
  </r>
  <r>
    <x v="450"/>
    <x v="450"/>
    <x v="127"/>
    <x v="0"/>
    <x v="5"/>
    <x v="5"/>
    <x v="0"/>
    <x v="316"/>
    <x v="62"/>
    <x v="105"/>
    <x v="243"/>
    <x v="6"/>
    <x v="192"/>
    <x v="1"/>
    <x v="156"/>
    <x v="427"/>
    <x v="438"/>
    <x v="365"/>
    <x v="435"/>
    <x v="423"/>
    <x v="3"/>
    <x v="0"/>
    <x v="0"/>
    <x v="0"/>
    <x v="66"/>
    <x v="0"/>
  </r>
  <r>
    <x v="451"/>
    <x v="451"/>
    <x v="246"/>
    <x v="0"/>
    <x v="5"/>
    <x v="5"/>
    <x v="0"/>
    <x v="172"/>
    <x v="127"/>
    <x v="24"/>
    <x v="50"/>
    <x v="2"/>
    <x v="284"/>
    <x v="3"/>
    <x v="243"/>
    <x v="428"/>
    <x v="439"/>
    <x v="366"/>
    <x v="436"/>
    <x v="424"/>
    <x v="5"/>
    <x v="0"/>
    <x v="0"/>
    <x v="2"/>
    <x v="353"/>
    <x v="1"/>
  </r>
  <r>
    <x v="452"/>
    <x v="452"/>
    <x v="26"/>
    <x v="0"/>
    <x v="8"/>
    <x v="8"/>
    <x v="3"/>
    <x v="47"/>
    <x v="37"/>
    <x v="53"/>
    <x v="58"/>
    <x v="4"/>
    <x v="285"/>
    <x v="0"/>
    <x v="0"/>
    <x v="429"/>
    <x v="440"/>
    <x v="367"/>
    <x v="437"/>
    <x v="425"/>
    <x v="5"/>
    <x v="0"/>
    <x v="0"/>
    <x v="2"/>
    <x v="255"/>
    <x v="0"/>
  </r>
  <r>
    <x v="453"/>
    <x v="453"/>
    <x v="247"/>
    <x v="0"/>
    <x v="5"/>
    <x v="5"/>
    <x v="0"/>
    <x v="317"/>
    <x v="124"/>
    <x v="1"/>
    <x v="1"/>
    <x v="2"/>
    <x v="222"/>
    <x v="1"/>
    <x v="244"/>
    <x v="430"/>
    <x v="441"/>
    <x v="368"/>
    <x v="438"/>
    <x v="426"/>
    <x v="5"/>
    <x v="0"/>
    <x v="0"/>
    <x v="0"/>
    <x v="354"/>
    <x v="0"/>
  </r>
  <r>
    <x v="454"/>
    <x v="454"/>
    <x v="248"/>
    <x v="0"/>
    <x v="5"/>
    <x v="5"/>
    <x v="0"/>
    <x v="318"/>
    <x v="54"/>
    <x v="25"/>
    <x v="26"/>
    <x v="0"/>
    <x v="111"/>
    <x v="2"/>
    <x v="245"/>
    <x v="431"/>
    <x v="442"/>
    <x v="267"/>
    <x v="439"/>
    <x v="427"/>
    <x v="4"/>
    <x v="0"/>
    <x v="0"/>
    <x v="0"/>
    <x v="355"/>
    <x v="1"/>
  </r>
  <r>
    <x v="455"/>
    <x v="455"/>
    <x v="78"/>
    <x v="0"/>
    <x v="8"/>
    <x v="8"/>
    <x v="3"/>
    <x v="319"/>
    <x v="26"/>
    <x v="72"/>
    <x v="85"/>
    <x v="1"/>
    <x v="29"/>
    <x v="1"/>
    <x v="246"/>
    <x v="432"/>
    <x v="443"/>
    <x v="369"/>
    <x v="440"/>
    <x v="428"/>
    <x v="4"/>
    <x v="0"/>
    <x v="0"/>
    <x v="1"/>
    <x v="4"/>
    <x v="1"/>
  </r>
  <r>
    <x v="456"/>
    <x v="456"/>
    <x v="47"/>
    <x v="0"/>
    <x v="5"/>
    <x v="5"/>
    <x v="0"/>
    <x v="320"/>
    <x v="44"/>
    <x v="5"/>
    <x v="187"/>
    <x v="1"/>
    <x v="242"/>
    <x v="3"/>
    <x v="226"/>
    <x v="433"/>
    <x v="444"/>
    <x v="296"/>
    <x v="441"/>
    <x v="429"/>
    <x v="4"/>
    <x v="0"/>
    <x v="0"/>
    <x v="0"/>
    <x v="131"/>
    <x v="0"/>
  </r>
  <r>
    <x v="457"/>
    <x v="457"/>
    <x v="203"/>
    <x v="0"/>
    <x v="4"/>
    <x v="4"/>
    <x v="2"/>
    <x v="164"/>
    <x v="135"/>
    <x v="5"/>
    <x v="5"/>
    <x v="1"/>
    <x v="286"/>
    <x v="0"/>
    <x v="0"/>
    <x v="434"/>
    <x v="445"/>
    <x v="370"/>
    <x v="184"/>
    <x v="430"/>
    <x v="0"/>
    <x v="0"/>
    <x v="0"/>
    <x v="0"/>
    <x v="356"/>
    <x v="0"/>
  </r>
  <r>
    <x v="458"/>
    <x v="115"/>
    <x v="249"/>
    <x v="0"/>
    <x v="5"/>
    <x v="5"/>
    <x v="0"/>
    <x v="321"/>
    <x v="121"/>
    <x v="32"/>
    <x v="34"/>
    <x v="3"/>
    <x v="287"/>
    <x v="0"/>
    <x v="0"/>
    <x v="435"/>
    <x v="446"/>
    <x v="371"/>
    <x v="442"/>
    <x v="431"/>
    <x v="5"/>
    <x v="0"/>
    <x v="0"/>
    <x v="2"/>
    <x v="357"/>
    <x v="1"/>
  </r>
  <r>
    <x v="459"/>
    <x v="458"/>
    <x v="50"/>
    <x v="0"/>
    <x v="10"/>
    <x v="10"/>
    <x v="3"/>
    <x v="276"/>
    <x v="68"/>
    <x v="9"/>
    <x v="244"/>
    <x v="2"/>
    <x v="288"/>
    <x v="2"/>
    <x v="247"/>
    <x v="436"/>
    <x v="447"/>
    <x v="87"/>
    <x v="443"/>
    <x v="432"/>
    <x v="0"/>
    <x v="1"/>
    <x v="1"/>
    <x v="0"/>
    <x v="358"/>
    <x v="1"/>
  </r>
  <r>
    <x v="460"/>
    <x v="459"/>
    <x v="250"/>
    <x v="0"/>
    <x v="8"/>
    <x v="8"/>
    <x v="3"/>
    <x v="3"/>
    <x v="88"/>
    <x v="114"/>
    <x v="240"/>
    <x v="4"/>
    <x v="117"/>
    <x v="1"/>
    <x v="248"/>
    <x v="437"/>
    <x v="448"/>
    <x v="219"/>
    <x v="444"/>
    <x v="433"/>
    <x v="1"/>
    <x v="0"/>
    <x v="0"/>
    <x v="2"/>
    <x v="359"/>
    <x v="1"/>
  </r>
  <r>
    <x v="461"/>
    <x v="460"/>
    <x v="26"/>
    <x v="0"/>
    <x v="8"/>
    <x v="8"/>
    <x v="3"/>
    <x v="18"/>
    <x v="70"/>
    <x v="41"/>
    <x v="245"/>
    <x v="1"/>
    <x v="267"/>
    <x v="4"/>
    <x v="249"/>
    <x v="438"/>
    <x v="449"/>
    <x v="372"/>
    <x v="445"/>
    <x v="434"/>
    <x v="3"/>
    <x v="0"/>
    <x v="0"/>
    <x v="0"/>
    <x v="316"/>
    <x v="0"/>
  </r>
  <r>
    <x v="462"/>
    <x v="461"/>
    <x v="44"/>
    <x v="0"/>
    <x v="8"/>
    <x v="8"/>
    <x v="3"/>
    <x v="3"/>
    <x v="109"/>
    <x v="17"/>
    <x v="246"/>
    <x v="6"/>
    <x v="150"/>
    <x v="0"/>
    <x v="0"/>
    <x v="186"/>
    <x v="450"/>
    <x v="172"/>
    <x v="446"/>
    <x v="435"/>
    <x v="3"/>
    <x v="0"/>
    <x v="0"/>
    <x v="0"/>
    <x v="360"/>
    <x v="0"/>
  </r>
  <r>
    <x v="463"/>
    <x v="462"/>
    <x v="101"/>
    <x v="0"/>
    <x v="0"/>
    <x v="0"/>
    <x v="0"/>
    <x v="24"/>
    <x v="44"/>
    <x v="8"/>
    <x v="8"/>
    <x v="4"/>
    <x v="242"/>
    <x v="4"/>
    <x v="250"/>
    <x v="439"/>
    <x v="451"/>
    <x v="373"/>
    <x v="447"/>
    <x v="436"/>
    <x v="0"/>
    <x v="0"/>
    <x v="0"/>
    <x v="0"/>
    <x v="361"/>
    <x v="0"/>
  </r>
  <r>
    <x v="464"/>
    <x v="463"/>
    <x v="40"/>
    <x v="0"/>
    <x v="2"/>
    <x v="2"/>
    <x v="2"/>
    <x v="62"/>
    <x v="73"/>
    <x v="81"/>
    <x v="31"/>
    <x v="3"/>
    <x v="289"/>
    <x v="0"/>
    <x v="0"/>
    <x v="440"/>
    <x v="452"/>
    <x v="374"/>
    <x v="448"/>
    <x v="437"/>
    <x v="1"/>
    <x v="0"/>
    <x v="0"/>
    <x v="2"/>
    <x v="150"/>
    <x v="0"/>
  </r>
  <r>
    <x v="465"/>
    <x v="464"/>
    <x v="245"/>
    <x v="0"/>
    <x v="6"/>
    <x v="6"/>
    <x v="3"/>
    <x v="322"/>
    <x v="27"/>
    <x v="149"/>
    <x v="212"/>
    <x v="4"/>
    <x v="31"/>
    <x v="0"/>
    <x v="0"/>
    <x v="441"/>
    <x v="453"/>
    <x v="363"/>
    <x v="449"/>
    <x v="438"/>
    <x v="1"/>
    <x v="0"/>
    <x v="0"/>
    <x v="0"/>
    <x v="1"/>
    <x v="1"/>
  </r>
  <r>
    <x v="466"/>
    <x v="465"/>
    <x v="59"/>
    <x v="1"/>
    <x v="11"/>
    <x v="11"/>
    <x v="1"/>
    <x v="323"/>
    <x v="79"/>
    <x v="82"/>
    <x v="169"/>
    <x v="1"/>
    <x v="258"/>
    <x v="2"/>
    <x v="251"/>
    <x v="442"/>
    <x v="454"/>
    <x v="315"/>
    <x v="450"/>
    <x v="439"/>
    <x v="3"/>
    <x v="0"/>
    <x v="0"/>
    <x v="0"/>
    <x v="362"/>
    <x v="0"/>
  </r>
  <r>
    <x v="467"/>
    <x v="466"/>
    <x v="251"/>
    <x v="1"/>
    <x v="1"/>
    <x v="1"/>
    <x v="1"/>
    <x v="324"/>
    <x v="42"/>
    <x v="114"/>
    <x v="120"/>
    <x v="4"/>
    <x v="47"/>
    <x v="0"/>
    <x v="0"/>
    <x v="443"/>
    <x v="455"/>
    <x v="286"/>
    <x v="451"/>
    <x v="196"/>
    <x v="0"/>
    <x v="0"/>
    <x v="0"/>
    <x v="1"/>
    <x v="3"/>
    <x v="1"/>
  </r>
  <r>
    <x v="468"/>
    <x v="467"/>
    <x v="252"/>
    <x v="0"/>
    <x v="6"/>
    <x v="6"/>
    <x v="3"/>
    <x v="325"/>
    <x v="111"/>
    <x v="15"/>
    <x v="81"/>
    <x v="6"/>
    <x v="290"/>
    <x v="0"/>
    <x v="0"/>
    <x v="444"/>
    <x v="456"/>
    <x v="375"/>
    <x v="452"/>
    <x v="440"/>
    <x v="1"/>
    <x v="0"/>
    <x v="0"/>
    <x v="0"/>
    <x v="363"/>
    <x v="1"/>
  </r>
  <r>
    <x v="469"/>
    <x v="468"/>
    <x v="253"/>
    <x v="0"/>
    <x v="10"/>
    <x v="10"/>
    <x v="3"/>
    <x v="85"/>
    <x v="113"/>
    <x v="118"/>
    <x v="149"/>
    <x v="6"/>
    <x v="291"/>
    <x v="2"/>
    <x v="252"/>
    <x v="445"/>
    <x v="457"/>
    <x v="376"/>
    <x v="453"/>
    <x v="441"/>
    <x v="4"/>
    <x v="0"/>
    <x v="0"/>
    <x v="2"/>
    <x v="241"/>
    <x v="1"/>
  </r>
  <r>
    <x v="470"/>
    <x v="469"/>
    <x v="254"/>
    <x v="1"/>
    <x v="7"/>
    <x v="7"/>
    <x v="1"/>
    <x v="179"/>
    <x v="51"/>
    <x v="115"/>
    <x v="247"/>
    <x v="7"/>
    <x v="292"/>
    <x v="0"/>
    <x v="0"/>
    <x v="446"/>
    <x v="458"/>
    <x v="377"/>
    <x v="454"/>
    <x v="442"/>
    <x v="1"/>
    <x v="0"/>
    <x v="0"/>
    <x v="2"/>
    <x v="364"/>
    <x v="1"/>
  </r>
  <r>
    <x v="471"/>
    <x v="470"/>
    <x v="249"/>
    <x v="0"/>
    <x v="5"/>
    <x v="5"/>
    <x v="0"/>
    <x v="244"/>
    <x v="75"/>
    <x v="2"/>
    <x v="248"/>
    <x v="0"/>
    <x v="92"/>
    <x v="2"/>
    <x v="253"/>
    <x v="447"/>
    <x v="459"/>
    <x v="378"/>
    <x v="455"/>
    <x v="443"/>
    <x v="5"/>
    <x v="0"/>
    <x v="0"/>
    <x v="1"/>
    <x v="365"/>
    <x v="1"/>
  </r>
  <r>
    <x v="472"/>
    <x v="471"/>
    <x v="175"/>
    <x v="0"/>
    <x v="0"/>
    <x v="0"/>
    <x v="0"/>
    <x v="326"/>
    <x v="12"/>
    <x v="47"/>
    <x v="51"/>
    <x v="7"/>
    <x v="293"/>
    <x v="0"/>
    <x v="0"/>
    <x v="448"/>
    <x v="460"/>
    <x v="379"/>
    <x v="456"/>
    <x v="444"/>
    <x v="1"/>
    <x v="0"/>
    <x v="0"/>
    <x v="2"/>
    <x v="366"/>
    <x v="1"/>
  </r>
  <r>
    <x v="473"/>
    <x v="472"/>
    <x v="255"/>
    <x v="0"/>
    <x v="0"/>
    <x v="0"/>
    <x v="0"/>
    <x v="193"/>
    <x v="14"/>
    <x v="160"/>
    <x v="249"/>
    <x v="0"/>
    <x v="14"/>
    <x v="4"/>
    <x v="254"/>
    <x v="449"/>
    <x v="461"/>
    <x v="380"/>
    <x v="457"/>
    <x v="445"/>
    <x v="2"/>
    <x v="0"/>
    <x v="0"/>
    <x v="0"/>
    <x v="367"/>
    <x v="1"/>
  </r>
  <r>
    <x v="474"/>
    <x v="473"/>
    <x v="95"/>
    <x v="0"/>
    <x v="8"/>
    <x v="8"/>
    <x v="3"/>
    <x v="150"/>
    <x v="1"/>
    <x v="47"/>
    <x v="51"/>
    <x v="0"/>
    <x v="1"/>
    <x v="2"/>
    <x v="211"/>
    <x v="367"/>
    <x v="375"/>
    <x v="317"/>
    <x v="371"/>
    <x v="365"/>
    <x v="4"/>
    <x v="0"/>
    <x v="0"/>
    <x v="0"/>
    <x v="170"/>
    <x v="1"/>
  </r>
  <r>
    <x v="475"/>
    <x v="474"/>
    <x v="256"/>
    <x v="0"/>
    <x v="3"/>
    <x v="3"/>
    <x v="2"/>
    <x v="327"/>
    <x v="58"/>
    <x v="125"/>
    <x v="163"/>
    <x v="2"/>
    <x v="20"/>
    <x v="2"/>
    <x v="255"/>
    <x v="450"/>
    <x v="462"/>
    <x v="381"/>
    <x v="458"/>
    <x v="446"/>
    <x v="5"/>
    <x v="0"/>
    <x v="0"/>
    <x v="1"/>
    <x v="368"/>
    <x v="0"/>
  </r>
  <r>
    <x v="476"/>
    <x v="475"/>
    <x v="232"/>
    <x v="1"/>
    <x v="7"/>
    <x v="7"/>
    <x v="1"/>
    <x v="140"/>
    <x v="121"/>
    <x v="27"/>
    <x v="107"/>
    <x v="2"/>
    <x v="196"/>
    <x v="2"/>
    <x v="256"/>
    <x v="451"/>
    <x v="463"/>
    <x v="239"/>
    <x v="459"/>
    <x v="447"/>
    <x v="0"/>
    <x v="0"/>
    <x v="0"/>
    <x v="2"/>
    <x v="369"/>
    <x v="0"/>
  </r>
  <r>
    <x v="477"/>
    <x v="476"/>
    <x v="136"/>
    <x v="0"/>
    <x v="10"/>
    <x v="10"/>
    <x v="3"/>
    <x v="169"/>
    <x v="127"/>
    <x v="9"/>
    <x v="244"/>
    <x v="3"/>
    <x v="294"/>
    <x v="0"/>
    <x v="0"/>
    <x v="452"/>
    <x v="464"/>
    <x v="382"/>
    <x v="460"/>
    <x v="448"/>
    <x v="0"/>
    <x v="0"/>
    <x v="0"/>
    <x v="0"/>
    <x v="361"/>
    <x v="0"/>
  </r>
  <r>
    <x v="478"/>
    <x v="477"/>
    <x v="19"/>
    <x v="0"/>
    <x v="5"/>
    <x v="5"/>
    <x v="0"/>
    <x v="328"/>
    <x v="28"/>
    <x v="7"/>
    <x v="7"/>
    <x v="2"/>
    <x v="32"/>
    <x v="0"/>
    <x v="0"/>
    <x v="423"/>
    <x v="434"/>
    <x v="350"/>
    <x v="431"/>
    <x v="366"/>
    <x v="3"/>
    <x v="0"/>
    <x v="0"/>
    <x v="0"/>
    <x v="76"/>
    <x v="1"/>
  </r>
  <r>
    <x v="479"/>
    <x v="478"/>
    <x v="81"/>
    <x v="0"/>
    <x v="10"/>
    <x v="10"/>
    <x v="3"/>
    <x v="231"/>
    <x v="134"/>
    <x v="68"/>
    <x v="237"/>
    <x v="3"/>
    <x v="295"/>
    <x v="1"/>
    <x v="257"/>
    <x v="453"/>
    <x v="465"/>
    <x v="383"/>
    <x v="461"/>
    <x v="449"/>
    <x v="0"/>
    <x v="0"/>
    <x v="0"/>
    <x v="0"/>
    <x v="197"/>
    <x v="0"/>
  </r>
  <r>
    <x v="480"/>
    <x v="479"/>
    <x v="88"/>
    <x v="1"/>
    <x v="7"/>
    <x v="7"/>
    <x v="1"/>
    <x v="231"/>
    <x v="11"/>
    <x v="97"/>
    <x v="250"/>
    <x v="4"/>
    <x v="296"/>
    <x v="2"/>
    <x v="258"/>
    <x v="454"/>
    <x v="466"/>
    <x v="384"/>
    <x v="462"/>
    <x v="450"/>
    <x v="5"/>
    <x v="0"/>
    <x v="0"/>
    <x v="0"/>
    <x v="370"/>
    <x v="1"/>
  </r>
  <r>
    <x v="481"/>
    <x v="480"/>
    <x v="7"/>
    <x v="1"/>
    <x v="1"/>
    <x v="1"/>
    <x v="1"/>
    <x v="75"/>
    <x v="121"/>
    <x v="146"/>
    <x v="205"/>
    <x v="6"/>
    <x v="196"/>
    <x v="1"/>
    <x v="259"/>
    <x v="455"/>
    <x v="467"/>
    <x v="290"/>
    <x v="463"/>
    <x v="451"/>
    <x v="3"/>
    <x v="0"/>
    <x v="0"/>
    <x v="2"/>
    <x v="48"/>
    <x v="0"/>
  </r>
  <r>
    <x v="482"/>
    <x v="481"/>
    <x v="27"/>
    <x v="0"/>
    <x v="2"/>
    <x v="2"/>
    <x v="2"/>
    <x v="228"/>
    <x v="120"/>
    <x v="75"/>
    <x v="89"/>
    <x v="7"/>
    <x v="297"/>
    <x v="1"/>
    <x v="260"/>
    <x v="456"/>
    <x v="468"/>
    <x v="385"/>
    <x v="464"/>
    <x v="452"/>
    <x v="1"/>
    <x v="0"/>
    <x v="0"/>
    <x v="0"/>
    <x v="142"/>
    <x v="1"/>
  </r>
  <r>
    <x v="483"/>
    <x v="482"/>
    <x v="53"/>
    <x v="1"/>
    <x v="11"/>
    <x v="11"/>
    <x v="1"/>
    <x v="279"/>
    <x v="41"/>
    <x v="103"/>
    <x v="129"/>
    <x v="1"/>
    <x v="272"/>
    <x v="0"/>
    <x v="0"/>
    <x v="457"/>
    <x v="469"/>
    <x v="386"/>
    <x v="465"/>
    <x v="453"/>
    <x v="3"/>
    <x v="0"/>
    <x v="0"/>
    <x v="2"/>
    <x v="371"/>
    <x v="0"/>
  </r>
  <r>
    <x v="484"/>
    <x v="483"/>
    <x v="257"/>
    <x v="0"/>
    <x v="3"/>
    <x v="3"/>
    <x v="2"/>
    <x v="88"/>
    <x v="115"/>
    <x v="105"/>
    <x v="243"/>
    <x v="0"/>
    <x v="298"/>
    <x v="2"/>
    <x v="261"/>
    <x v="458"/>
    <x v="470"/>
    <x v="387"/>
    <x v="466"/>
    <x v="454"/>
    <x v="5"/>
    <x v="0"/>
    <x v="0"/>
    <x v="2"/>
    <x v="265"/>
    <x v="1"/>
  </r>
  <r>
    <x v="485"/>
    <x v="484"/>
    <x v="31"/>
    <x v="1"/>
    <x v="7"/>
    <x v="7"/>
    <x v="1"/>
    <x v="54"/>
    <x v="59"/>
    <x v="121"/>
    <x v="159"/>
    <x v="2"/>
    <x v="299"/>
    <x v="2"/>
    <x v="262"/>
    <x v="459"/>
    <x v="471"/>
    <x v="281"/>
    <x v="467"/>
    <x v="455"/>
    <x v="5"/>
    <x v="0"/>
    <x v="0"/>
    <x v="0"/>
    <x v="372"/>
    <x v="0"/>
  </r>
  <r>
    <x v="486"/>
    <x v="485"/>
    <x v="61"/>
    <x v="0"/>
    <x v="6"/>
    <x v="6"/>
    <x v="3"/>
    <x v="329"/>
    <x v="61"/>
    <x v="73"/>
    <x v="218"/>
    <x v="1"/>
    <x v="69"/>
    <x v="0"/>
    <x v="0"/>
    <x v="460"/>
    <x v="472"/>
    <x v="388"/>
    <x v="468"/>
    <x v="456"/>
    <x v="3"/>
    <x v="0"/>
    <x v="0"/>
    <x v="0"/>
    <x v="252"/>
    <x v="1"/>
  </r>
  <r>
    <x v="487"/>
    <x v="486"/>
    <x v="10"/>
    <x v="0"/>
    <x v="6"/>
    <x v="6"/>
    <x v="3"/>
    <x v="330"/>
    <x v="51"/>
    <x v="140"/>
    <x v="251"/>
    <x v="0"/>
    <x v="161"/>
    <x v="0"/>
    <x v="0"/>
    <x v="208"/>
    <x v="209"/>
    <x v="193"/>
    <x v="206"/>
    <x v="204"/>
    <x v="2"/>
    <x v="0"/>
    <x v="0"/>
    <x v="0"/>
    <x v="373"/>
    <x v="1"/>
  </r>
  <r>
    <x v="488"/>
    <x v="487"/>
    <x v="216"/>
    <x v="0"/>
    <x v="8"/>
    <x v="8"/>
    <x v="3"/>
    <x v="331"/>
    <x v="43"/>
    <x v="109"/>
    <x v="252"/>
    <x v="6"/>
    <x v="300"/>
    <x v="0"/>
    <x v="0"/>
    <x v="461"/>
    <x v="473"/>
    <x v="389"/>
    <x v="469"/>
    <x v="457"/>
    <x v="4"/>
    <x v="0"/>
    <x v="0"/>
    <x v="0"/>
    <x v="256"/>
    <x v="1"/>
  </r>
  <r>
    <x v="489"/>
    <x v="488"/>
    <x v="258"/>
    <x v="0"/>
    <x v="10"/>
    <x v="10"/>
    <x v="3"/>
    <x v="332"/>
    <x v="121"/>
    <x v="137"/>
    <x v="189"/>
    <x v="0"/>
    <x v="196"/>
    <x v="2"/>
    <x v="159"/>
    <x v="462"/>
    <x v="474"/>
    <x v="362"/>
    <x v="470"/>
    <x v="458"/>
    <x v="4"/>
    <x v="0"/>
    <x v="0"/>
    <x v="0"/>
    <x v="374"/>
    <x v="1"/>
  </r>
  <r>
    <x v="490"/>
    <x v="489"/>
    <x v="259"/>
    <x v="0"/>
    <x v="9"/>
    <x v="9"/>
    <x v="0"/>
    <x v="277"/>
    <x v="67"/>
    <x v="136"/>
    <x v="142"/>
    <x v="7"/>
    <x v="301"/>
    <x v="1"/>
    <x v="263"/>
    <x v="463"/>
    <x v="475"/>
    <x v="390"/>
    <x v="471"/>
    <x v="459"/>
    <x v="0"/>
    <x v="0"/>
    <x v="0"/>
    <x v="0"/>
    <x v="234"/>
    <x v="1"/>
  </r>
  <r>
    <x v="491"/>
    <x v="490"/>
    <x v="57"/>
    <x v="0"/>
    <x v="10"/>
    <x v="10"/>
    <x v="3"/>
    <x v="169"/>
    <x v="24"/>
    <x v="112"/>
    <x v="141"/>
    <x v="5"/>
    <x v="302"/>
    <x v="1"/>
    <x v="264"/>
    <x v="464"/>
    <x v="476"/>
    <x v="391"/>
    <x v="472"/>
    <x v="460"/>
    <x v="4"/>
    <x v="0"/>
    <x v="0"/>
    <x v="0"/>
    <x v="334"/>
    <x v="0"/>
  </r>
  <r>
    <x v="492"/>
    <x v="491"/>
    <x v="229"/>
    <x v="1"/>
    <x v="1"/>
    <x v="1"/>
    <x v="1"/>
    <x v="333"/>
    <x v="46"/>
    <x v="37"/>
    <x v="38"/>
    <x v="2"/>
    <x v="100"/>
    <x v="1"/>
    <x v="265"/>
    <x v="465"/>
    <x v="477"/>
    <x v="392"/>
    <x v="473"/>
    <x v="461"/>
    <x v="2"/>
    <x v="0"/>
    <x v="0"/>
    <x v="0"/>
    <x v="375"/>
    <x v="0"/>
  </r>
  <r>
    <x v="493"/>
    <x v="492"/>
    <x v="260"/>
    <x v="0"/>
    <x v="10"/>
    <x v="10"/>
    <x v="3"/>
    <x v="181"/>
    <x v="22"/>
    <x v="13"/>
    <x v="114"/>
    <x v="0"/>
    <x v="23"/>
    <x v="3"/>
    <x v="266"/>
    <x v="466"/>
    <x v="478"/>
    <x v="393"/>
    <x v="474"/>
    <x v="462"/>
    <x v="4"/>
    <x v="0"/>
    <x v="0"/>
    <x v="2"/>
    <x v="11"/>
    <x v="1"/>
  </r>
  <r>
    <x v="494"/>
    <x v="493"/>
    <x v="127"/>
    <x v="0"/>
    <x v="5"/>
    <x v="5"/>
    <x v="0"/>
    <x v="334"/>
    <x v="58"/>
    <x v="16"/>
    <x v="62"/>
    <x v="6"/>
    <x v="66"/>
    <x v="0"/>
    <x v="0"/>
    <x v="467"/>
    <x v="479"/>
    <x v="321"/>
    <x v="475"/>
    <x v="463"/>
    <x v="4"/>
    <x v="0"/>
    <x v="0"/>
    <x v="0"/>
    <x v="376"/>
    <x v="0"/>
  </r>
  <r>
    <x v="495"/>
    <x v="494"/>
    <x v="232"/>
    <x v="1"/>
    <x v="7"/>
    <x v="7"/>
    <x v="1"/>
    <x v="295"/>
    <x v="88"/>
    <x v="40"/>
    <x v="208"/>
    <x v="6"/>
    <x v="303"/>
    <x v="0"/>
    <x v="0"/>
    <x v="468"/>
    <x v="480"/>
    <x v="394"/>
    <x v="476"/>
    <x v="464"/>
    <x v="5"/>
    <x v="0"/>
    <x v="0"/>
    <x v="0"/>
    <x v="377"/>
    <x v="0"/>
  </r>
  <r>
    <x v="496"/>
    <x v="495"/>
    <x v="101"/>
    <x v="0"/>
    <x v="0"/>
    <x v="0"/>
    <x v="0"/>
    <x v="50"/>
    <x v="105"/>
    <x v="19"/>
    <x v="19"/>
    <x v="6"/>
    <x v="304"/>
    <x v="0"/>
    <x v="0"/>
    <x v="469"/>
    <x v="481"/>
    <x v="395"/>
    <x v="477"/>
    <x v="465"/>
    <x v="0"/>
    <x v="0"/>
    <x v="0"/>
    <x v="0"/>
    <x v="378"/>
    <x v="0"/>
  </r>
  <r>
    <x v="497"/>
    <x v="496"/>
    <x v="261"/>
    <x v="1"/>
    <x v="11"/>
    <x v="11"/>
    <x v="1"/>
    <x v="24"/>
    <x v="35"/>
    <x v="0"/>
    <x v="253"/>
    <x v="6"/>
    <x v="229"/>
    <x v="0"/>
    <x v="0"/>
    <x v="470"/>
    <x v="482"/>
    <x v="302"/>
    <x v="478"/>
    <x v="342"/>
    <x v="4"/>
    <x v="0"/>
    <x v="0"/>
    <x v="0"/>
    <x v="379"/>
    <x v="1"/>
  </r>
  <r>
    <x v="498"/>
    <x v="497"/>
    <x v="227"/>
    <x v="0"/>
    <x v="8"/>
    <x v="8"/>
    <x v="3"/>
    <x v="335"/>
    <x v="108"/>
    <x v="161"/>
    <x v="254"/>
    <x v="6"/>
    <x v="147"/>
    <x v="0"/>
    <x v="0"/>
    <x v="471"/>
    <x v="483"/>
    <x v="396"/>
    <x v="479"/>
    <x v="466"/>
    <x v="2"/>
    <x v="0"/>
    <x v="0"/>
    <x v="0"/>
    <x v="380"/>
    <x v="1"/>
  </r>
  <r>
    <x v="499"/>
    <x v="498"/>
    <x v="65"/>
    <x v="0"/>
    <x v="8"/>
    <x v="8"/>
    <x v="3"/>
    <x v="336"/>
    <x v="136"/>
    <x v="159"/>
    <x v="230"/>
    <x v="7"/>
    <x v="305"/>
    <x v="0"/>
    <x v="0"/>
    <x v="472"/>
    <x v="484"/>
    <x v="397"/>
    <x v="480"/>
    <x v="467"/>
    <x v="2"/>
    <x v="0"/>
    <x v="0"/>
    <x v="2"/>
    <x v="381"/>
    <x v="0"/>
  </r>
  <r>
    <x v="500"/>
    <x v="499"/>
    <x v="92"/>
    <x v="0"/>
    <x v="4"/>
    <x v="4"/>
    <x v="2"/>
    <x v="109"/>
    <x v="111"/>
    <x v="30"/>
    <x v="31"/>
    <x v="4"/>
    <x v="268"/>
    <x v="1"/>
    <x v="267"/>
    <x v="473"/>
    <x v="485"/>
    <x v="398"/>
    <x v="481"/>
    <x v="468"/>
    <x v="4"/>
    <x v="0"/>
    <x v="0"/>
    <x v="0"/>
    <x v="382"/>
    <x v="0"/>
  </r>
  <r>
    <x v="501"/>
    <x v="500"/>
    <x v="193"/>
    <x v="0"/>
    <x v="6"/>
    <x v="6"/>
    <x v="3"/>
    <x v="105"/>
    <x v="136"/>
    <x v="50"/>
    <x v="148"/>
    <x v="4"/>
    <x v="306"/>
    <x v="4"/>
    <x v="268"/>
    <x v="474"/>
    <x v="486"/>
    <x v="399"/>
    <x v="482"/>
    <x v="469"/>
    <x v="2"/>
    <x v="0"/>
    <x v="0"/>
    <x v="2"/>
    <x v="277"/>
    <x v="1"/>
  </r>
  <r>
    <x v="502"/>
    <x v="501"/>
    <x v="262"/>
    <x v="0"/>
    <x v="4"/>
    <x v="4"/>
    <x v="2"/>
    <x v="337"/>
    <x v="48"/>
    <x v="130"/>
    <x v="175"/>
    <x v="6"/>
    <x v="53"/>
    <x v="4"/>
    <x v="269"/>
    <x v="475"/>
    <x v="487"/>
    <x v="400"/>
    <x v="483"/>
    <x v="470"/>
    <x v="1"/>
    <x v="0"/>
    <x v="0"/>
    <x v="0"/>
    <x v="383"/>
    <x v="1"/>
  </r>
  <r>
    <x v="503"/>
    <x v="502"/>
    <x v="170"/>
    <x v="0"/>
    <x v="3"/>
    <x v="3"/>
    <x v="2"/>
    <x v="338"/>
    <x v="69"/>
    <x v="151"/>
    <x v="216"/>
    <x v="0"/>
    <x v="141"/>
    <x v="4"/>
    <x v="270"/>
    <x v="476"/>
    <x v="488"/>
    <x v="401"/>
    <x v="484"/>
    <x v="471"/>
    <x v="4"/>
    <x v="0"/>
    <x v="0"/>
    <x v="0"/>
    <x v="287"/>
    <x v="1"/>
  </r>
  <r>
    <x v="504"/>
    <x v="503"/>
    <x v="55"/>
    <x v="0"/>
    <x v="9"/>
    <x v="9"/>
    <x v="0"/>
    <x v="113"/>
    <x v="65"/>
    <x v="77"/>
    <x v="91"/>
    <x v="4"/>
    <x v="307"/>
    <x v="0"/>
    <x v="0"/>
    <x v="477"/>
    <x v="489"/>
    <x v="79"/>
    <x v="485"/>
    <x v="472"/>
    <x v="1"/>
    <x v="0"/>
    <x v="0"/>
    <x v="0"/>
    <x v="125"/>
    <x v="0"/>
  </r>
  <r>
    <x v="505"/>
    <x v="504"/>
    <x v="260"/>
    <x v="0"/>
    <x v="10"/>
    <x v="10"/>
    <x v="3"/>
    <x v="339"/>
    <x v="64"/>
    <x v="95"/>
    <x v="119"/>
    <x v="6"/>
    <x v="74"/>
    <x v="0"/>
    <x v="0"/>
    <x v="478"/>
    <x v="490"/>
    <x v="116"/>
    <x v="486"/>
    <x v="473"/>
    <x v="5"/>
    <x v="0"/>
    <x v="0"/>
    <x v="0"/>
    <x v="384"/>
    <x v="1"/>
  </r>
  <r>
    <x v="506"/>
    <x v="505"/>
    <x v="176"/>
    <x v="0"/>
    <x v="5"/>
    <x v="5"/>
    <x v="0"/>
    <x v="269"/>
    <x v="110"/>
    <x v="52"/>
    <x v="143"/>
    <x v="3"/>
    <x v="308"/>
    <x v="0"/>
    <x v="0"/>
    <x v="479"/>
    <x v="491"/>
    <x v="402"/>
    <x v="487"/>
    <x v="474"/>
    <x v="1"/>
    <x v="0"/>
    <x v="0"/>
    <x v="0"/>
    <x v="100"/>
    <x v="0"/>
  </r>
  <r>
    <x v="507"/>
    <x v="506"/>
    <x v="123"/>
    <x v="0"/>
    <x v="8"/>
    <x v="8"/>
    <x v="3"/>
    <x v="65"/>
    <x v="68"/>
    <x v="162"/>
    <x v="195"/>
    <x v="6"/>
    <x v="82"/>
    <x v="2"/>
    <x v="271"/>
    <x v="480"/>
    <x v="492"/>
    <x v="403"/>
    <x v="488"/>
    <x v="475"/>
    <x v="3"/>
    <x v="0"/>
    <x v="0"/>
    <x v="1"/>
    <x v="385"/>
    <x v="1"/>
  </r>
  <r>
    <x v="508"/>
    <x v="507"/>
    <x v="263"/>
    <x v="0"/>
    <x v="2"/>
    <x v="2"/>
    <x v="2"/>
    <x v="184"/>
    <x v="52"/>
    <x v="123"/>
    <x v="161"/>
    <x v="7"/>
    <x v="309"/>
    <x v="1"/>
    <x v="272"/>
    <x v="481"/>
    <x v="493"/>
    <x v="404"/>
    <x v="489"/>
    <x v="476"/>
    <x v="0"/>
    <x v="0"/>
    <x v="0"/>
    <x v="0"/>
    <x v="18"/>
    <x v="1"/>
  </r>
  <r>
    <x v="509"/>
    <x v="508"/>
    <x v="247"/>
    <x v="0"/>
    <x v="5"/>
    <x v="5"/>
    <x v="0"/>
    <x v="37"/>
    <x v="20"/>
    <x v="12"/>
    <x v="12"/>
    <x v="5"/>
    <x v="310"/>
    <x v="2"/>
    <x v="273"/>
    <x v="482"/>
    <x v="494"/>
    <x v="405"/>
    <x v="490"/>
    <x v="477"/>
    <x v="1"/>
    <x v="0"/>
    <x v="0"/>
    <x v="0"/>
    <x v="386"/>
    <x v="0"/>
  </r>
  <r>
    <x v="510"/>
    <x v="509"/>
    <x v="87"/>
    <x v="0"/>
    <x v="10"/>
    <x v="10"/>
    <x v="3"/>
    <x v="340"/>
    <x v="106"/>
    <x v="26"/>
    <x v="255"/>
    <x v="0"/>
    <x v="145"/>
    <x v="1"/>
    <x v="274"/>
    <x v="483"/>
    <x v="495"/>
    <x v="406"/>
    <x v="491"/>
    <x v="478"/>
    <x v="4"/>
    <x v="0"/>
    <x v="0"/>
    <x v="2"/>
    <x v="234"/>
    <x v="0"/>
  </r>
  <r>
    <x v="511"/>
    <x v="510"/>
    <x v="264"/>
    <x v="1"/>
    <x v="7"/>
    <x v="7"/>
    <x v="1"/>
    <x v="341"/>
    <x v="30"/>
    <x v="74"/>
    <x v="256"/>
    <x v="2"/>
    <x v="34"/>
    <x v="4"/>
    <x v="76"/>
    <x v="484"/>
    <x v="496"/>
    <x v="102"/>
    <x v="492"/>
    <x v="479"/>
    <x v="3"/>
    <x v="0"/>
    <x v="0"/>
    <x v="0"/>
    <x v="237"/>
    <x v="1"/>
  </r>
  <r>
    <x v="512"/>
    <x v="511"/>
    <x v="265"/>
    <x v="0"/>
    <x v="3"/>
    <x v="3"/>
    <x v="2"/>
    <x v="4"/>
    <x v="84"/>
    <x v="5"/>
    <x v="187"/>
    <x v="2"/>
    <x v="311"/>
    <x v="3"/>
    <x v="275"/>
    <x v="485"/>
    <x v="497"/>
    <x v="407"/>
    <x v="493"/>
    <x v="480"/>
    <x v="1"/>
    <x v="0"/>
    <x v="0"/>
    <x v="0"/>
    <x v="44"/>
    <x v="1"/>
  </r>
  <r>
    <x v="513"/>
    <x v="512"/>
    <x v="67"/>
    <x v="0"/>
    <x v="8"/>
    <x v="8"/>
    <x v="3"/>
    <x v="342"/>
    <x v="79"/>
    <x v="98"/>
    <x v="123"/>
    <x v="0"/>
    <x v="258"/>
    <x v="3"/>
    <x v="276"/>
    <x v="486"/>
    <x v="498"/>
    <x v="408"/>
    <x v="494"/>
    <x v="481"/>
    <x v="5"/>
    <x v="0"/>
    <x v="0"/>
    <x v="0"/>
    <x v="344"/>
    <x v="0"/>
  </r>
  <r>
    <x v="514"/>
    <x v="513"/>
    <x v="105"/>
    <x v="0"/>
    <x v="6"/>
    <x v="6"/>
    <x v="3"/>
    <x v="44"/>
    <x v="52"/>
    <x v="136"/>
    <x v="257"/>
    <x v="7"/>
    <x v="312"/>
    <x v="0"/>
    <x v="0"/>
    <x v="487"/>
    <x v="499"/>
    <x v="404"/>
    <x v="495"/>
    <x v="482"/>
    <x v="0"/>
    <x v="0"/>
    <x v="0"/>
    <x v="0"/>
    <x v="387"/>
    <x v="0"/>
  </r>
  <r>
    <x v="515"/>
    <x v="514"/>
    <x v="162"/>
    <x v="0"/>
    <x v="8"/>
    <x v="8"/>
    <x v="3"/>
    <x v="98"/>
    <x v="86"/>
    <x v="123"/>
    <x v="161"/>
    <x v="7"/>
    <x v="313"/>
    <x v="0"/>
    <x v="0"/>
    <x v="488"/>
    <x v="500"/>
    <x v="409"/>
    <x v="496"/>
    <x v="483"/>
    <x v="3"/>
    <x v="0"/>
    <x v="0"/>
    <x v="0"/>
    <x v="388"/>
    <x v="0"/>
  </r>
  <r>
    <x v="516"/>
    <x v="515"/>
    <x v="160"/>
    <x v="0"/>
    <x v="2"/>
    <x v="2"/>
    <x v="2"/>
    <x v="296"/>
    <x v="54"/>
    <x v="47"/>
    <x v="51"/>
    <x v="1"/>
    <x v="111"/>
    <x v="1"/>
    <x v="245"/>
    <x v="489"/>
    <x v="501"/>
    <x v="410"/>
    <x v="497"/>
    <x v="484"/>
    <x v="3"/>
    <x v="0"/>
    <x v="0"/>
    <x v="0"/>
    <x v="389"/>
    <x v="0"/>
  </r>
  <r>
    <x v="517"/>
    <x v="516"/>
    <x v="193"/>
    <x v="0"/>
    <x v="6"/>
    <x v="6"/>
    <x v="3"/>
    <x v="343"/>
    <x v="22"/>
    <x v="161"/>
    <x v="254"/>
    <x v="2"/>
    <x v="23"/>
    <x v="0"/>
    <x v="0"/>
    <x v="490"/>
    <x v="502"/>
    <x v="411"/>
    <x v="498"/>
    <x v="485"/>
    <x v="5"/>
    <x v="0"/>
    <x v="0"/>
    <x v="1"/>
    <x v="390"/>
    <x v="1"/>
  </r>
  <r>
    <x v="518"/>
    <x v="517"/>
    <x v="18"/>
    <x v="0"/>
    <x v="2"/>
    <x v="2"/>
    <x v="2"/>
    <x v="194"/>
    <x v="4"/>
    <x v="58"/>
    <x v="122"/>
    <x v="6"/>
    <x v="213"/>
    <x v="0"/>
    <x v="0"/>
    <x v="491"/>
    <x v="503"/>
    <x v="412"/>
    <x v="499"/>
    <x v="285"/>
    <x v="2"/>
    <x v="0"/>
    <x v="0"/>
    <x v="1"/>
    <x v="391"/>
    <x v="1"/>
  </r>
  <r>
    <x v="519"/>
    <x v="518"/>
    <x v="79"/>
    <x v="1"/>
    <x v="1"/>
    <x v="1"/>
    <x v="1"/>
    <x v="239"/>
    <x v="85"/>
    <x v="137"/>
    <x v="189"/>
    <x v="6"/>
    <x v="110"/>
    <x v="0"/>
    <x v="0"/>
    <x v="328"/>
    <x v="504"/>
    <x v="285"/>
    <x v="500"/>
    <x v="486"/>
    <x v="3"/>
    <x v="0"/>
    <x v="0"/>
    <x v="0"/>
    <x v="392"/>
    <x v="0"/>
  </r>
  <r>
    <x v="520"/>
    <x v="519"/>
    <x v="216"/>
    <x v="0"/>
    <x v="8"/>
    <x v="8"/>
    <x v="3"/>
    <x v="344"/>
    <x v="44"/>
    <x v="54"/>
    <x v="35"/>
    <x v="4"/>
    <x v="242"/>
    <x v="2"/>
    <x v="277"/>
    <x v="492"/>
    <x v="505"/>
    <x v="373"/>
    <x v="501"/>
    <x v="487"/>
    <x v="3"/>
    <x v="0"/>
    <x v="0"/>
    <x v="2"/>
    <x v="236"/>
    <x v="1"/>
  </r>
  <r>
    <x v="521"/>
    <x v="520"/>
    <x v="266"/>
    <x v="0"/>
    <x v="6"/>
    <x v="6"/>
    <x v="3"/>
    <x v="135"/>
    <x v="72"/>
    <x v="100"/>
    <x v="232"/>
    <x v="6"/>
    <x v="314"/>
    <x v="0"/>
    <x v="0"/>
    <x v="493"/>
    <x v="506"/>
    <x v="127"/>
    <x v="502"/>
    <x v="488"/>
    <x v="4"/>
    <x v="0"/>
    <x v="0"/>
    <x v="0"/>
    <x v="222"/>
    <x v="0"/>
  </r>
  <r>
    <x v="522"/>
    <x v="521"/>
    <x v="2"/>
    <x v="0"/>
    <x v="2"/>
    <x v="2"/>
    <x v="2"/>
    <x v="205"/>
    <x v="11"/>
    <x v="46"/>
    <x v="138"/>
    <x v="2"/>
    <x v="315"/>
    <x v="4"/>
    <x v="278"/>
    <x v="494"/>
    <x v="507"/>
    <x v="413"/>
    <x v="503"/>
    <x v="489"/>
    <x v="0"/>
    <x v="0"/>
    <x v="0"/>
    <x v="0"/>
    <x v="393"/>
    <x v="0"/>
  </r>
  <r>
    <x v="523"/>
    <x v="522"/>
    <x v="78"/>
    <x v="0"/>
    <x v="8"/>
    <x v="8"/>
    <x v="3"/>
    <x v="345"/>
    <x v="113"/>
    <x v="8"/>
    <x v="8"/>
    <x v="0"/>
    <x v="166"/>
    <x v="0"/>
    <x v="0"/>
    <x v="495"/>
    <x v="508"/>
    <x v="198"/>
    <x v="504"/>
    <x v="490"/>
    <x v="1"/>
    <x v="1"/>
    <x v="1"/>
    <x v="0"/>
    <x v="233"/>
    <x v="1"/>
  </r>
  <r>
    <x v="524"/>
    <x v="523"/>
    <x v="205"/>
    <x v="0"/>
    <x v="3"/>
    <x v="3"/>
    <x v="2"/>
    <x v="346"/>
    <x v="2"/>
    <x v="88"/>
    <x v="258"/>
    <x v="2"/>
    <x v="2"/>
    <x v="1"/>
    <x v="279"/>
    <x v="496"/>
    <x v="509"/>
    <x v="254"/>
    <x v="505"/>
    <x v="491"/>
    <x v="1"/>
    <x v="0"/>
    <x v="0"/>
    <x v="2"/>
    <x v="394"/>
    <x v="1"/>
  </r>
  <r>
    <x v="525"/>
    <x v="524"/>
    <x v="267"/>
    <x v="0"/>
    <x v="3"/>
    <x v="3"/>
    <x v="2"/>
    <x v="63"/>
    <x v="3"/>
    <x v="61"/>
    <x v="259"/>
    <x v="4"/>
    <x v="3"/>
    <x v="1"/>
    <x v="280"/>
    <x v="497"/>
    <x v="510"/>
    <x v="266"/>
    <x v="506"/>
    <x v="492"/>
    <x v="5"/>
    <x v="0"/>
    <x v="0"/>
    <x v="2"/>
    <x v="248"/>
    <x v="1"/>
  </r>
  <r>
    <x v="526"/>
    <x v="525"/>
    <x v="268"/>
    <x v="0"/>
    <x v="6"/>
    <x v="6"/>
    <x v="3"/>
    <x v="347"/>
    <x v="118"/>
    <x v="10"/>
    <x v="10"/>
    <x v="4"/>
    <x v="188"/>
    <x v="4"/>
    <x v="281"/>
    <x v="498"/>
    <x v="511"/>
    <x v="414"/>
    <x v="507"/>
    <x v="493"/>
    <x v="4"/>
    <x v="0"/>
    <x v="0"/>
    <x v="0"/>
    <x v="274"/>
    <x v="1"/>
  </r>
  <r>
    <x v="527"/>
    <x v="526"/>
    <x v="80"/>
    <x v="0"/>
    <x v="8"/>
    <x v="8"/>
    <x v="3"/>
    <x v="348"/>
    <x v="103"/>
    <x v="19"/>
    <x v="54"/>
    <x v="6"/>
    <x v="224"/>
    <x v="3"/>
    <x v="282"/>
    <x v="499"/>
    <x v="512"/>
    <x v="415"/>
    <x v="508"/>
    <x v="494"/>
    <x v="3"/>
    <x v="0"/>
    <x v="0"/>
    <x v="0"/>
    <x v="101"/>
    <x v="0"/>
  </r>
  <r>
    <x v="528"/>
    <x v="527"/>
    <x v="72"/>
    <x v="1"/>
    <x v="1"/>
    <x v="1"/>
    <x v="1"/>
    <x v="295"/>
    <x v="109"/>
    <x v="147"/>
    <x v="260"/>
    <x v="5"/>
    <x v="316"/>
    <x v="0"/>
    <x v="0"/>
    <x v="500"/>
    <x v="513"/>
    <x v="199"/>
    <x v="509"/>
    <x v="495"/>
    <x v="0"/>
    <x v="0"/>
    <x v="0"/>
    <x v="0"/>
    <x v="306"/>
    <x v="1"/>
  </r>
  <r>
    <x v="529"/>
    <x v="528"/>
    <x v="189"/>
    <x v="0"/>
    <x v="6"/>
    <x v="6"/>
    <x v="3"/>
    <x v="338"/>
    <x v="27"/>
    <x v="112"/>
    <x v="141"/>
    <x v="1"/>
    <x v="31"/>
    <x v="0"/>
    <x v="0"/>
    <x v="501"/>
    <x v="514"/>
    <x v="333"/>
    <x v="510"/>
    <x v="438"/>
    <x v="2"/>
    <x v="0"/>
    <x v="0"/>
    <x v="2"/>
    <x v="395"/>
    <x v="1"/>
  </r>
  <r>
    <x v="530"/>
    <x v="529"/>
    <x v="269"/>
    <x v="0"/>
    <x v="9"/>
    <x v="9"/>
    <x v="0"/>
    <x v="166"/>
    <x v="137"/>
    <x v="75"/>
    <x v="174"/>
    <x v="0"/>
    <x v="317"/>
    <x v="1"/>
    <x v="283"/>
    <x v="502"/>
    <x v="515"/>
    <x v="416"/>
    <x v="511"/>
    <x v="496"/>
    <x v="2"/>
    <x v="0"/>
    <x v="0"/>
    <x v="0"/>
    <x v="294"/>
    <x v="1"/>
  </r>
  <r>
    <x v="531"/>
    <x v="530"/>
    <x v="227"/>
    <x v="0"/>
    <x v="8"/>
    <x v="8"/>
    <x v="3"/>
    <x v="87"/>
    <x v="63"/>
    <x v="31"/>
    <x v="8"/>
    <x v="4"/>
    <x v="187"/>
    <x v="1"/>
    <x v="284"/>
    <x v="503"/>
    <x v="516"/>
    <x v="228"/>
    <x v="512"/>
    <x v="497"/>
    <x v="4"/>
    <x v="0"/>
    <x v="0"/>
    <x v="0"/>
    <x v="59"/>
    <x v="1"/>
  </r>
  <r>
    <x v="532"/>
    <x v="531"/>
    <x v="171"/>
    <x v="1"/>
    <x v="7"/>
    <x v="7"/>
    <x v="1"/>
    <x v="91"/>
    <x v="31"/>
    <x v="100"/>
    <x v="232"/>
    <x v="3"/>
    <x v="318"/>
    <x v="3"/>
    <x v="285"/>
    <x v="504"/>
    <x v="517"/>
    <x v="417"/>
    <x v="513"/>
    <x v="498"/>
    <x v="1"/>
    <x v="0"/>
    <x v="0"/>
    <x v="2"/>
    <x v="396"/>
    <x v="1"/>
  </r>
  <r>
    <x v="533"/>
    <x v="532"/>
    <x v="176"/>
    <x v="0"/>
    <x v="5"/>
    <x v="5"/>
    <x v="0"/>
    <x v="180"/>
    <x v="15"/>
    <x v="91"/>
    <x v="110"/>
    <x v="2"/>
    <x v="319"/>
    <x v="0"/>
    <x v="0"/>
    <x v="505"/>
    <x v="518"/>
    <x v="15"/>
    <x v="514"/>
    <x v="499"/>
    <x v="0"/>
    <x v="0"/>
    <x v="0"/>
    <x v="2"/>
    <x v="61"/>
    <x v="0"/>
  </r>
  <r>
    <x v="534"/>
    <x v="533"/>
    <x v="219"/>
    <x v="0"/>
    <x v="3"/>
    <x v="3"/>
    <x v="2"/>
    <x v="288"/>
    <x v="68"/>
    <x v="58"/>
    <x v="122"/>
    <x v="6"/>
    <x v="320"/>
    <x v="1"/>
    <x v="286"/>
    <x v="506"/>
    <x v="519"/>
    <x v="403"/>
    <x v="515"/>
    <x v="500"/>
    <x v="1"/>
    <x v="0"/>
    <x v="0"/>
    <x v="2"/>
    <x v="250"/>
    <x v="1"/>
  </r>
  <r>
    <x v="535"/>
    <x v="534"/>
    <x v="270"/>
    <x v="0"/>
    <x v="2"/>
    <x v="2"/>
    <x v="2"/>
    <x v="232"/>
    <x v="122"/>
    <x v="30"/>
    <x v="31"/>
    <x v="4"/>
    <x v="321"/>
    <x v="0"/>
    <x v="0"/>
    <x v="507"/>
    <x v="520"/>
    <x v="249"/>
    <x v="516"/>
    <x v="501"/>
    <x v="4"/>
    <x v="0"/>
    <x v="0"/>
    <x v="2"/>
    <x v="397"/>
    <x v="1"/>
  </r>
  <r>
    <x v="536"/>
    <x v="535"/>
    <x v="99"/>
    <x v="0"/>
    <x v="6"/>
    <x v="6"/>
    <x v="3"/>
    <x v="277"/>
    <x v="131"/>
    <x v="33"/>
    <x v="261"/>
    <x v="7"/>
    <x v="322"/>
    <x v="3"/>
    <x v="287"/>
    <x v="508"/>
    <x v="521"/>
    <x v="418"/>
    <x v="517"/>
    <x v="502"/>
    <x v="5"/>
    <x v="0"/>
    <x v="0"/>
    <x v="0"/>
    <x v="398"/>
    <x v="0"/>
  </r>
  <r>
    <x v="537"/>
    <x v="536"/>
    <x v="76"/>
    <x v="0"/>
    <x v="9"/>
    <x v="9"/>
    <x v="0"/>
    <x v="334"/>
    <x v="75"/>
    <x v="140"/>
    <x v="262"/>
    <x v="2"/>
    <x v="92"/>
    <x v="4"/>
    <x v="253"/>
    <x v="509"/>
    <x v="522"/>
    <x v="419"/>
    <x v="518"/>
    <x v="503"/>
    <x v="0"/>
    <x v="0"/>
    <x v="0"/>
    <x v="2"/>
    <x v="62"/>
    <x v="0"/>
  </r>
  <r>
    <x v="538"/>
    <x v="537"/>
    <x v="106"/>
    <x v="0"/>
    <x v="3"/>
    <x v="3"/>
    <x v="2"/>
    <x v="349"/>
    <x v="108"/>
    <x v="124"/>
    <x v="162"/>
    <x v="0"/>
    <x v="147"/>
    <x v="4"/>
    <x v="288"/>
    <x v="265"/>
    <x v="523"/>
    <x v="420"/>
    <x v="519"/>
    <x v="504"/>
    <x v="0"/>
    <x v="0"/>
    <x v="0"/>
    <x v="0"/>
    <x v="303"/>
    <x v="1"/>
  </r>
  <r>
    <x v="539"/>
    <x v="538"/>
    <x v="217"/>
    <x v="0"/>
    <x v="4"/>
    <x v="4"/>
    <x v="2"/>
    <x v="27"/>
    <x v="98"/>
    <x v="15"/>
    <x v="263"/>
    <x v="0"/>
    <x v="149"/>
    <x v="0"/>
    <x v="0"/>
    <x v="510"/>
    <x v="524"/>
    <x v="421"/>
    <x v="520"/>
    <x v="505"/>
    <x v="2"/>
    <x v="0"/>
    <x v="0"/>
    <x v="0"/>
    <x v="399"/>
    <x v="0"/>
  </r>
  <r>
    <x v="540"/>
    <x v="539"/>
    <x v="126"/>
    <x v="0"/>
    <x v="0"/>
    <x v="0"/>
    <x v="0"/>
    <x v="350"/>
    <x v="93"/>
    <x v="108"/>
    <x v="264"/>
    <x v="6"/>
    <x v="323"/>
    <x v="3"/>
    <x v="289"/>
    <x v="511"/>
    <x v="525"/>
    <x v="422"/>
    <x v="521"/>
    <x v="506"/>
    <x v="3"/>
    <x v="0"/>
    <x v="0"/>
    <x v="0"/>
    <x v="400"/>
    <x v="1"/>
  </r>
  <r>
    <x v="541"/>
    <x v="540"/>
    <x v="179"/>
    <x v="0"/>
    <x v="10"/>
    <x v="10"/>
    <x v="3"/>
    <x v="351"/>
    <x v="9"/>
    <x v="163"/>
    <x v="82"/>
    <x v="1"/>
    <x v="171"/>
    <x v="0"/>
    <x v="0"/>
    <x v="512"/>
    <x v="526"/>
    <x v="423"/>
    <x v="522"/>
    <x v="218"/>
    <x v="3"/>
    <x v="0"/>
    <x v="0"/>
    <x v="0"/>
    <x v="94"/>
    <x v="1"/>
  </r>
  <r>
    <x v="542"/>
    <x v="541"/>
    <x v="132"/>
    <x v="1"/>
    <x v="1"/>
    <x v="1"/>
    <x v="1"/>
    <x v="352"/>
    <x v="48"/>
    <x v="115"/>
    <x v="265"/>
    <x v="1"/>
    <x v="53"/>
    <x v="2"/>
    <x v="290"/>
    <x v="513"/>
    <x v="527"/>
    <x v="53"/>
    <x v="523"/>
    <x v="507"/>
    <x v="4"/>
    <x v="0"/>
    <x v="0"/>
    <x v="1"/>
    <x v="401"/>
    <x v="0"/>
  </r>
  <r>
    <x v="543"/>
    <x v="542"/>
    <x v="60"/>
    <x v="1"/>
    <x v="1"/>
    <x v="1"/>
    <x v="1"/>
    <x v="221"/>
    <x v="87"/>
    <x v="8"/>
    <x v="8"/>
    <x v="0"/>
    <x v="324"/>
    <x v="0"/>
    <x v="0"/>
    <x v="514"/>
    <x v="528"/>
    <x v="424"/>
    <x v="524"/>
    <x v="508"/>
    <x v="4"/>
    <x v="0"/>
    <x v="0"/>
    <x v="2"/>
    <x v="247"/>
    <x v="1"/>
  </r>
  <r>
    <x v="544"/>
    <x v="543"/>
    <x v="188"/>
    <x v="0"/>
    <x v="4"/>
    <x v="4"/>
    <x v="2"/>
    <x v="77"/>
    <x v="116"/>
    <x v="15"/>
    <x v="203"/>
    <x v="4"/>
    <x v="325"/>
    <x v="1"/>
    <x v="291"/>
    <x v="515"/>
    <x v="529"/>
    <x v="425"/>
    <x v="525"/>
    <x v="509"/>
    <x v="4"/>
    <x v="0"/>
    <x v="0"/>
    <x v="1"/>
    <x v="360"/>
    <x v="0"/>
  </r>
  <r>
    <x v="545"/>
    <x v="544"/>
    <x v="252"/>
    <x v="0"/>
    <x v="6"/>
    <x v="6"/>
    <x v="3"/>
    <x v="353"/>
    <x v="119"/>
    <x v="33"/>
    <x v="81"/>
    <x v="5"/>
    <x v="326"/>
    <x v="1"/>
    <x v="292"/>
    <x v="516"/>
    <x v="530"/>
    <x v="242"/>
    <x v="526"/>
    <x v="510"/>
    <x v="2"/>
    <x v="0"/>
    <x v="0"/>
    <x v="0"/>
    <x v="87"/>
    <x v="1"/>
  </r>
  <r>
    <x v="546"/>
    <x v="545"/>
    <x v="139"/>
    <x v="0"/>
    <x v="10"/>
    <x v="10"/>
    <x v="3"/>
    <x v="257"/>
    <x v="110"/>
    <x v="164"/>
    <x v="140"/>
    <x v="0"/>
    <x v="152"/>
    <x v="1"/>
    <x v="293"/>
    <x v="517"/>
    <x v="531"/>
    <x v="426"/>
    <x v="527"/>
    <x v="511"/>
    <x v="2"/>
    <x v="0"/>
    <x v="0"/>
    <x v="2"/>
    <x v="171"/>
    <x v="1"/>
  </r>
  <r>
    <x v="547"/>
    <x v="546"/>
    <x v="271"/>
    <x v="1"/>
    <x v="7"/>
    <x v="7"/>
    <x v="1"/>
    <x v="205"/>
    <x v="73"/>
    <x v="165"/>
    <x v="32"/>
    <x v="5"/>
    <x v="327"/>
    <x v="3"/>
    <x v="294"/>
    <x v="518"/>
    <x v="532"/>
    <x v="169"/>
    <x v="528"/>
    <x v="512"/>
    <x v="2"/>
    <x v="0"/>
    <x v="0"/>
    <x v="2"/>
    <x v="402"/>
    <x v="1"/>
  </r>
  <r>
    <x v="548"/>
    <x v="547"/>
    <x v="216"/>
    <x v="0"/>
    <x v="8"/>
    <x v="8"/>
    <x v="3"/>
    <x v="166"/>
    <x v="87"/>
    <x v="61"/>
    <x v="266"/>
    <x v="0"/>
    <x v="324"/>
    <x v="2"/>
    <x v="295"/>
    <x v="519"/>
    <x v="533"/>
    <x v="424"/>
    <x v="529"/>
    <x v="513"/>
    <x v="1"/>
    <x v="0"/>
    <x v="0"/>
    <x v="0"/>
    <x v="333"/>
    <x v="1"/>
  </r>
  <r>
    <x v="549"/>
    <x v="548"/>
    <x v="51"/>
    <x v="0"/>
    <x v="6"/>
    <x v="6"/>
    <x v="3"/>
    <x v="310"/>
    <x v="7"/>
    <x v="104"/>
    <x v="130"/>
    <x v="6"/>
    <x v="7"/>
    <x v="2"/>
    <x v="296"/>
    <x v="520"/>
    <x v="534"/>
    <x v="427"/>
    <x v="530"/>
    <x v="514"/>
    <x v="2"/>
    <x v="0"/>
    <x v="0"/>
    <x v="2"/>
    <x v="403"/>
    <x v="1"/>
  </r>
  <r>
    <x v="550"/>
    <x v="549"/>
    <x v="106"/>
    <x v="0"/>
    <x v="3"/>
    <x v="3"/>
    <x v="2"/>
    <x v="354"/>
    <x v="5"/>
    <x v="14"/>
    <x v="14"/>
    <x v="4"/>
    <x v="139"/>
    <x v="3"/>
    <x v="297"/>
    <x v="521"/>
    <x v="535"/>
    <x v="274"/>
    <x v="531"/>
    <x v="515"/>
    <x v="5"/>
    <x v="0"/>
    <x v="0"/>
    <x v="0"/>
    <x v="404"/>
    <x v="1"/>
  </r>
  <r>
    <x v="551"/>
    <x v="550"/>
    <x v="23"/>
    <x v="0"/>
    <x v="2"/>
    <x v="2"/>
    <x v="2"/>
    <x v="244"/>
    <x v="89"/>
    <x v="20"/>
    <x v="20"/>
    <x v="2"/>
    <x v="118"/>
    <x v="0"/>
    <x v="0"/>
    <x v="135"/>
    <x v="536"/>
    <x v="129"/>
    <x v="532"/>
    <x v="516"/>
    <x v="2"/>
    <x v="0"/>
    <x v="0"/>
    <x v="0"/>
    <x v="405"/>
    <x v="0"/>
  </r>
  <r>
    <x v="552"/>
    <x v="551"/>
    <x v="22"/>
    <x v="0"/>
    <x v="3"/>
    <x v="3"/>
    <x v="2"/>
    <x v="163"/>
    <x v="5"/>
    <x v="57"/>
    <x v="267"/>
    <x v="2"/>
    <x v="139"/>
    <x v="4"/>
    <x v="99"/>
    <x v="522"/>
    <x v="537"/>
    <x v="428"/>
    <x v="533"/>
    <x v="517"/>
    <x v="4"/>
    <x v="0"/>
    <x v="0"/>
    <x v="0"/>
    <x v="406"/>
    <x v="1"/>
  </r>
  <r>
    <x v="553"/>
    <x v="552"/>
    <x v="29"/>
    <x v="0"/>
    <x v="10"/>
    <x v="10"/>
    <x v="3"/>
    <x v="355"/>
    <x v="126"/>
    <x v="146"/>
    <x v="205"/>
    <x v="6"/>
    <x v="328"/>
    <x v="0"/>
    <x v="0"/>
    <x v="523"/>
    <x v="538"/>
    <x v="429"/>
    <x v="534"/>
    <x v="518"/>
    <x v="1"/>
    <x v="0"/>
    <x v="0"/>
    <x v="2"/>
    <x v="211"/>
    <x v="0"/>
  </r>
  <r>
    <x v="554"/>
    <x v="553"/>
    <x v="272"/>
    <x v="0"/>
    <x v="2"/>
    <x v="2"/>
    <x v="2"/>
    <x v="356"/>
    <x v="41"/>
    <x v="117"/>
    <x v="248"/>
    <x v="1"/>
    <x v="272"/>
    <x v="0"/>
    <x v="0"/>
    <x v="457"/>
    <x v="539"/>
    <x v="386"/>
    <x v="535"/>
    <x v="402"/>
    <x v="5"/>
    <x v="0"/>
    <x v="0"/>
    <x v="0"/>
    <x v="269"/>
    <x v="1"/>
  </r>
  <r>
    <x v="555"/>
    <x v="554"/>
    <x v="44"/>
    <x v="0"/>
    <x v="8"/>
    <x v="8"/>
    <x v="3"/>
    <x v="122"/>
    <x v="4"/>
    <x v="65"/>
    <x v="74"/>
    <x v="4"/>
    <x v="213"/>
    <x v="0"/>
    <x v="0"/>
    <x v="524"/>
    <x v="540"/>
    <x v="430"/>
    <x v="536"/>
    <x v="519"/>
    <x v="2"/>
    <x v="0"/>
    <x v="0"/>
    <x v="0"/>
    <x v="307"/>
    <x v="0"/>
  </r>
  <r>
    <x v="556"/>
    <x v="555"/>
    <x v="57"/>
    <x v="0"/>
    <x v="10"/>
    <x v="10"/>
    <x v="3"/>
    <x v="151"/>
    <x v="22"/>
    <x v="78"/>
    <x v="89"/>
    <x v="5"/>
    <x v="329"/>
    <x v="0"/>
    <x v="0"/>
    <x v="525"/>
    <x v="541"/>
    <x v="431"/>
    <x v="537"/>
    <x v="520"/>
    <x v="1"/>
    <x v="0"/>
    <x v="0"/>
    <x v="0"/>
    <x v="407"/>
    <x v="0"/>
  </r>
  <r>
    <x v="557"/>
    <x v="556"/>
    <x v="270"/>
    <x v="0"/>
    <x v="2"/>
    <x v="2"/>
    <x v="2"/>
    <x v="120"/>
    <x v="121"/>
    <x v="51"/>
    <x v="56"/>
    <x v="4"/>
    <x v="330"/>
    <x v="2"/>
    <x v="298"/>
    <x v="526"/>
    <x v="542"/>
    <x v="338"/>
    <x v="538"/>
    <x v="521"/>
    <x v="1"/>
    <x v="0"/>
    <x v="0"/>
    <x v="2"/>
    <x v="1"/>
    <x v="1"/>
  </r>
  <r>
    <x v="558"/>
    <x v="557"/>
    <x v="132"/>
    <x v="1"/>
    <x v="1"/>
    <x v="1"/>
    <x v="1"/>
    <x v="357"/>
    <x v="5"/>
    <x v="93"/>
    <x v="113"/>
    <x v="7"/>
    <x v="331"/>
    <x v="0"/>
    <x v="0"/>
    <x v="527"/>
    <x v="543"/>
    <x v="432"/>
    <x v="539"/>
    <x v="522"/>
    <x v="2"/>
    <x v="0"/>
    <x v="0"/>
    <x v="0"/>
    <x v="408"/>
    <x v="0"/>
  </r>
  <r>
    <x v="559"/>
    <x v="558"/>
    <x v="238"/>
    <x v="0"/>
    <x v="3"/>
    <x v="3"/>
    <x v="2"/>
    <x v="295"/>
    <x v="9"/>
    <x v="112"/>
    <x v="141"/>
    <x v="4"/>
    <x v="332"/>
    <x v="3"/>
    <x v="299"/>
    <x v="528"/>
    <x v="544"/>
    <x v="9"/>
    <x v="540"/>
    <x v="523"/>
    <x v="2"/>
    <x v="1"/>
    <x v="1"/>
    <x v="1"/>
    <x v="220"/>
    <x v="1"/>
  </r>
  <r>
    <x v="560"/>
    <x v="559"/>
    <x v="229"/>
    <x v="1"/>
    <x v="1"/>
    <x v="1"/>
    <x v="1"/>
    <x v="210"/>
    <x v="133"/>
    <x v="50"/>
    <x v="268"/>
    <x v="0"/>
    <x v="333"/>
    <x v="4"/>
    <x v="300"/>
    <x v="529"/>
    <x v="545"/>
    <x v="433"/>
    <x v="541"/>
    <x v="524"/>
    <x v="4"/>
    <x v="0"/>
    <x v="0"/>
    <x v="0"/>
    <x v="409"/>
    <x v="0"/>
  </r>
  <r>
    <x v="561"/>
    <x v="560"/>
    <x v="273"/>
    <x v="0"/>
    <x v="0"/>
    <x v="0"/>
    <x v="0"/>
    <x v="25"/>
    <x v="109"/>
    <x v="104"/>
    <x v="221"/>
    <x v="2"/>
    <x v="334"/>
    <x v="3"/>
    <x v="301"/>
    <x v="530"/>
    <x v="546"/>
    <x v="227"/>
    <x v="542"/>
    <x v="525"/>
    <x v="0"/>
    <x v="0"/>
    <x v="0"/>
    <x v="0"/>
    <x v="105"/>
    <x v="1"/>
  </r>
  <r>
    <x v="562"/>
    <x v="561"/>
    <x v="34"/>
    <x v="0"/>
    <x v="9"/>
    <x v="9"/>
    <x v="0"/>
    <x v="186"/>
    <x v="127"/>
    <x v="166"/>
    <x v="269"/>
    <x v="6"/>
    <x v="335"/>
    <x v="4"/>
    <x v="302"/>
    <x v="531"/>
    <x v="547"/>
    <x v="282"/>
    <x v="543"/>
    <x v="526"/>
    <x v="4"/>
    <x v="0"/>
    <x v="0"/>
    <x v="2"/>
    <x v="112"/>
    <x v="0"/>
  </r>
  <r>
    <x v="563"/>
    <x v="562"/>
    <x v="178"/>
    <x v="0"/>
    <x v="10"/>
    <x v="10"/>
    <x v="3"/>
    <x v="86"/>
    <x v="9"/>
    <x v="151"/>
    <x v="216"/>
    <x v="6"/>
    <x v="171"/>
    <x v="0"/>
    <x v="0"/>
    <x v="532"/>
    <x v="548"/>
    <x v="434"/>
    <x v="544"/>
    <x v="218"/>
    <x v="5"/>
    <x v="0"/>
    <x v="0"/>
    <x v="0"/>
    <x v="410"/>
    <x v="1"/>
  </r>
  <r>
    <x v="564"/>
    <x v="563"/>
    <x v="274"/>
    <x v="0"/>
    <x v="8"/>
    <x v="8"/>
    <x v="3"/>
    <x v="299"/>
    <x v="66"/>
    <x v="112"/>
    <x v="141"/>
    <x v="0"/>
    <x v="80"/>
    <x v="0"/>
    <x v="0"/>
    <x v="533"/>
    <x v="549"/>
    <x v="435"/>
    <x v="545"/>
    <x v="527"/>
    <x v="3"/>
    <x v="0"/>
    <x v="0"/>
    <x v="0"/>
    <x v="411"/>
    <x v="1"/>
  </r>
  <r>
    <x v="565"/>
    <x v="564"/>
    <x v="41"/>
    <x v="1"/>
    <x v="11"/>
    <x v="11"/>
    <x v="1"/>
    <x v="358"/>
    <x v="3"/>
    <x v="83"/>
    <x v="259"/>
    <x v="1"/>
    <x v="3"/>
    <x v="0"/>
    <x v="0"/>
    <x v="534"/>
    <x v="550"/>
    <x v="3"/>
    <x v="546"/>
    <x v="528"/>
    <x v="4"/>
    <x v="0"/>
    <x v="0"/>
    <x v="2"/>
    <x v="94"/>
    <x v="0"/>
  </r>
  <r>
    <x v="566"/>
    <x v="565"/>
    <x v="117"/>
    <x v="0"/>
    <x v="0"/>
    <x v="0"/>
    <x v="0"/>
    <x v="359"/>
    <x v="132"/>
    <x v="85"/>
    <x v="101"/>
    <x v="4"/>
    <x v="336"/>
    <x v="0"/>
    <x v="0"/>
    <x v="535"/>
    <x v="551"/>
    <x v="436"/>
    <x v="547"/>
    <x v="529"/>
    <x v="3"/>
    <x v="1"/>
    <x v="1"/>
    <x v="2"/>
    <x v="412"/>
    <x v="1"/>
  </r>
  <r>
    <x v="567"/>
    <x v="566"/>
    <x v="275"/>
    <x v="0"/>
    <x v="2"/>
    <x v="2"/>
    <x v="2"/>
    <x v="360"/>
    <x v="14"/>
    <x v="6"/>
    <x v="101"/>
    <x v="3"/>
    <x v="337"/>
    <x v="0"/>
    <x v="0"/>
    <x v="536"/>
    <x v="552"/>
    <x v="437"/>
    <x v="548"/>
    <x v="530"/>
    <x v="1"/>
    <x v="0"/>
    <x v="0"/>
    <x v="0"/>
    <x v="231"/>
    <x v="1"/>
  </r>
  <r>
    <x v="568"/>
    <x v="567"/>
    <x v="77"/>
    <x v="0"/>
    <x v="4"/>
    <x v="4"/>
    <x v="2"/>
    <x v="210"/>
    <x v="51"/>
    <x v="13"/>
    <x v="270"/>
    <x v="0"/>
    <x v="161"/>
    <x v="0"/>
    <x v="0"/>
    <x v="208"/>
    <x v="209"/>
    <x v="193"/>
    <x v="206"/>
    <x v="204"/>
    <x v="3"/>
    <x v="0"/>
    <x v="0"/>
    <x v="0"/>
    <x v="413"/>
    <x v="1"/>
  </r>
  <r>
    <x v="569"/>
    <x v="568"/>
    <x v="65"/>
    <x v="0"/>
    <x v="8"/>
    <x v="8"/>
    <x v="3"/>
    <x v="361"/>
    <x v="74"/>
    <x v="73"/>
    <x v="218"/>
    <x v="0"/>
    <x v="104"/>
    <x v="0"/>
    <x v="0"/>
    <x v="537"/>
    <x v="553"/>
    <x v="438"/>
    <x v="549"/>
    <x v="531"/>
    <x v="2"/>
    <x v="0"/>
    <x v="0"/>
    <x v="2"/>
    <x v="223"/>
    <x v="0"/>
  </r>
  <r>
    <x v="570"/>
    <x v="569"/>
    <x v="254"/>
    <x v="1"/>
    <x v="7"/>
    <x v="7"/>
    <x v="1"/>
    <x v="362"/>
    <x v="122"/>
    <x v="107"/>
    <x v="15"/>
    <x v="2"/>
    <x v="205"/>
    <x v="4"/>
    <x v="303"/>
    <x v="538"/>
    <x v="554"/>
    <x v="439"/>
    <x v="550"/>
    <x v="532"/>
    <x v="2"/>
    <x v="0"/>
    <x v="0"/>
    <x v="0"/>
    <x v="414"/>
    <x v="1"/>
  </r>
  <r>
    <x v="571"/>
    <x v="570"/>
    <x v="187"/>
    <x v="1"/>
    <x v="1"/>
    <x v="1"/>
    <x v="1"/>
    <x v="363"/>
    <x v="93"/>
    <x v="159"/>
    <x v="271"/>
    <x v="0"/>
    <x v="323"/>
    <x v="0"/>
    <x v="0"/>
    <x v="539"/>
    <x v="555"/>
    <x v="440"/>
    <x v="551"/>
    <x v="533"/>
    <x v="5"/>
    <x v="0"/>
    <x v="0"/>
    <x v="0"/>
    <x v="415"/>
    <x v="0"/>
  </r>
  <r>
    <x v="572"/>
    <x v="571"/>
    <x v="19"/>
    <x v="0"/>
    <x v="5"/>
    <x v="5"/>
    <x v="0"/>
    <x v="238"/>
    <x v="59"/>
    <x v="2"/>
    <x v="264"/>
    <x v="0"/>
    <x v="233"/>
    <x v="0"/>
    <x v="0"/>
    <x v="540"/>
    <x v="556"/>
    <x v="278"/>
    <x v="552"/>
    <x v="318"/>
    <x v="1"/>
    <x v="1"/>
    <x v="1"/>
    <x v="0"/>
    <x v="370"/>
    <x v="1"/>
  </r>
  <r>
    <x v="573"/>
    <x v="572"/>
    <x v="162"/>
    <x v="0"/>
    <x v="8"/>
    <x v="8"/>
    <x v="3"/>
    <x v="364"/>
    <x v="66"/>
    <x v="52"/>
    <x v="143"/>
    <x v="0"/>
    <x v="80"/>
    <x v="0"/>
    <x v="0"/>
    <x v="533"/>
    <x v="557"/>
    <x v="435"/>
    <x v="553"/>
    <x v="534"/>
    <x v="2"/>
    <x v="0"/>
    <x v="0"/>
    <x v="2"/>
    <x v="101"/>
    <x v="0"/>
  </r>
  <r>
    <x v="574"/>
    <x v="573"/>
    <x v="143"/>
    <x v="1"/>
    <x v="1"/>
    <x v="1"/>
    <x v="1"/>
    <x v="56"/>
    <x v="11"/>
    <x v="12"/>
    <x v="12"/>
    <x v="4"/>
    <x v="338"/>
    <x v="1"/>
    <x v="304"/>
    <x v="541"/>
    <x v="558"/>
    <x v="384"/>
    <x v="554"/>
    <x v="535"/>
    <x v="4"/>
    <x v="0"/>
    <x v="0"/>
    <x v="0"/>
    <x v="416"/>
    <x v="1"/>
  </r>
  <r>
    <x v="575"/>
    <x v="574"/>
    <x v="125"/>
    <x v="0"/>
    <x v="5"/>
    <x v="5"/>
    <x v="0"/>
    <x v="365"/>
    <x v="29"/>
    <x v="150"/>
    <x v="272"/>
    <x v="7"/>
    <x v="339"/>
    <x v="2"/>
    <x v="305"/>
    <x v="542"/>
    <x v="559"/>
    <x v="441"/>
    <x v="555"/>
    <x v="536"/>
    <x v="4"/>
    <x v="0"/>
    <x v="0"/>
    <x v="0"/>
    <x v="417"/>
    <x v="1"/>
  </r>
  <r>
    <x v="576"/>
    <x v="575"/>
    <x v="238"/>
    <x v="0"/>
    <x v="3"/>
    <x v="3"/>
    <x v="2"/>
    <x v="366"/>
    <x v="107"/>
    <x v="86"/>
    <x v="116"/>
    <x v="0"/>
    <x v="190"/>
    <x v="4"/>
    <x v="306"/>
    <x v="543"/>
    <x v="560"/>
    <x v="442"/>
    <x v="556"/>
    <x v="537"/>
    <x v="4"/>
    <x v="0"/>
    <x v="0"/>
    <x v="0"/>
    <x v="418"/>
    <x v="1"/>
  </r>
  <r>
    <x v="577"/>
    <x v="576"/>
    <x v="162"/>
    <x v="0"/>
    <x v="8"/>
    <x v="8"/>
    <x v="3"/>
    <x v="39"/>
    <x v="114"/>
    <x v="25"/>
    <x v="26"/>
    <x v="5"/>
    <x v="340"/>
    <x v="1"/>
    <x v="307"/>
    <x v="544"/>
    <x v="561"/>
    <x v="443"/>
    <x v="557"/>
    <x v="538"/>
    <x v="4"/>
    <x v="0"/>
    <x v="0"/>
    <x v="0"/>
    <x v="419"/>
    <x v="0"/>
  </r>
  <r>
    <x v="578"/>
    <x v="577"/>
    <x v="143"/>
    <x v="1"/>
    <x v="1"/>
    <x v="1"/>
    <x v="1"/>
    <x v="367"/>
    <x v="128"/>
    <x v="72"/>
    <x v="85"/>
    <x v="1"/>
    <x v="341"/>
    <x v="0"/>
    <x v="0"/>
    <x v="545"/>
    <x v="562"/>
    <x v="444"/>
    <x v="558"/>
    <x v="539"/>
    <x v="1"/>
    <x v="0"/>
    <x v="0"/>
    <x v="2"/>
    <x v="253"/>
    <x v="1"/>
  </r>
  <r>
    <x v="579"/>
    <x v="578"/>
    <x v="49"/>
    <x v="0"/>
    <x v="0"/>
    <x v="0"/>
    <x v="0"/>
    <x v="223"/>
    <x v="47"/>
    <x v="18"/>
    <x v="18"/>
    <x v="6"/>
    <x v="52"/>
    <x v="3"/>
    <x v="308"/>
    <x v="546"/>
    <x v="563"/>
    <x v="52"/>
    <x v="559"/>
    <x v="540"/>
    <x v="0"/>
    <x v="0"/>
    <x v="0"/>
    <x v="0"/>
    <x v="420"/>
    <x v="0"/>
  </r>
  <r>
    <x v="580"/>
    <x v="579"/>
    <x v="243"/>
    <x v="0"/>
    <x v="0"/>
    <x v="0"/>
    <x v="0"/>
    <x v="90"/>
    <x v="67"/>
    <x v="149"/>
    <x v="212"/>
    <x v="6"/>
    <x v="342"/>
    <x v="1"/>
    <x v="309"/>
    <x v="547"/>
    <x v="564"/>
    <x v="105"/>
    <x v="560"/>
    <x v="541"/>
    <x v="3"/>
    <x v="0"/>
    <x v="0"/>
    <x v="1"/>
    <x v="421"/>
    <x v="1"/>
  </r>
  <r>
    <x v="581"/>
    <x v="580"/>
    <x v="87"/>
    <x v="0"/>
    <x v="10"/>
    <x v="10"/>
    <x v="3"/>
    <x v="307"/>
    <x v="37"/>
    <x v="95"/>
    <x v="88"/>
    <x v="0"/>
    <x v="99"/>
    <x v="4"/>
    <x v="310"/>
    <x v="548"/>
    <x v="565"/>
    <x v="445"/>
    <x v="561"/>
    <x v="542"/>
    <x v="5"/>
    <x v="0"/>
    <x v="0"/>
    <x v="2"/>
    <x v="144"/>
    <x v="0"/>
  </r>
  <r>
    <x v="582"/>
    <x v="581"/>
    <x v="63"/>
    <x v="0"/>
    <x v="9"/>
    <x v="9"/>
    <x v="0"/>
    <x v="29"/>
    <x v="52"/>
    <x v="48"/>
    <x v="273"/>
    <x v="0"/>
    <x v="59"/>
    <x v="0"/>
    <x v="0"/>
    <x v="549"/>
    <x v="566"/>
    <x v="446"/>
    <x v="562"/>
    <x v="543"/>
    <x v="3"/>
    <x v="0"/>
    <x v="0"/>
    <x v="0"/>
    <x v="381"/>
    <x v="0"/>
  </r>
  <r>
    <x v="583"/>
    <x v="582"/>
    <x v="136"/>
    <x v="0"/>
    <x v="10"/>
    <x v="10"/>
    <x v="3"/>
    <x v="368"/>
    <x v="48"/>
    <x v="7"/>
    <x v="274"/>
    <x v="7"/>
    <x v="195"/>
    <x v="3"/>
    <x v="311"/>
    <x v="550"/>
    <x v="567"/>
    <x v="447"/>
    <x v="563"/>
    <x v="544"/>
    <x v="0"/>
    <x v="0"/>
    <x v="0"/>
    <x v="0"/>
    <x v="422"/>
    <x v="0"/>
  </r>
  <r>
    <x v="584"/>
    <x v="583"/>
    <x v="41"/>
    <x v="1"/>
    <x v="11"/>
    <x v="11"/>
    <x v="1"/>
    <x v="93"/>
    <x v="44"/>
    <x v="95"/>
    <x v="184"/>
    <x v="5"/>
    <x v="343"/>
    <x v="3"/>
    <x v="312"/>
    <x v="551"/>
    <x v="568"/>
    <x v="448"/>
    <x v="564"/>
    <x v="545"/>
    <x v="4"/>
    <x v="0"/>
    <x v="0"/>
    <x v="1"/>
    <x v="381"/>
    <x v="0"/>
  </r>
  <r>
    <x v="585"/>
    <x v="584"/>
    <x v="234"/>
    <x v="0"/>
    <x v="6"/>
    <x v="6"/>
    <x v="3"/>
    <x v="369"/>
    <x v="138"/>
    <x v="70"/>
    <x v="80"/>
    <x v="0"/>
    <x v="344"/>
    <x v="0"/>
    <x v="0"/>
    <x v="552"/>
    <x v="569"/>
    <x v="449"/>
    <x v="565"/>
    <x v="546"/>
    <x v="1"/>
    <x v="0"/>
    <x v="0"/>
    <x v="0"/>
    <x v="423"/>
    <x v="0"/>
  </r>
  <r>
    <x v="586"/>
    <x v="585"/>
    <x v="142"/>
    <x v="0"/>
    <x v="8"/>
    <x v="8"/>
    <x v="3"/>
    <x v="140"/>
    <x v="132"/>
    <x v="31"/>
    <x v="183"/>
    <x v="4"/>
    <x v="278"/>
    <x v="1"/>
    <x v="313"/>
    <x v="553"/>
    <x v="570"/>
    <x v="436"/>
    <x v="566"/>
    <x v="547"/>
    <x v="2"/>
    <x v="0"/>
    <x v="0"/>
    <x v="0"/>
    <x v="424"/>
    <x v="1"/>
  </r>
  <r>
    <x v="587"/>
    <x v="586"/>
    <x v="87"/>
    <x v="0"/>
    <x v="10"/>
    <x v="10"/>
    <x v="3"/>
    <x v="369"/>
    <x v="11"/>
    <x v="165"/>
    <x v="275"/>
    <x v="6"/>
    <x v="87"/>
    <x v="3"/>
    <x v="314"/>
    <x v="554"/>
    <x v="571"/>
    <x v="84"/>
    <x v="567"/>
    <x v="548"/>
    <x v="1"/>
    <x v="0"/>
    <x v="0"/>
    <x v="1"/>
    <x v="425"/>
    <x v="0"/>
  </r>
  <r>
    <x v="588"/>
    <x v="587"/>
    <x v="102"/>
    <x v="0"/>
    <x v="8"/>
    <x v="8"/>
    <x v="3"/>
    <x v="324"/>
    <x v="24"/>
    <x v="107"/>
    <x v="15"/>
    <x v="4"/>
    <x v="27"/>
    <x v="0"/>
    <x v="0"/>
    <x v="555"/>
    <x v="572"/>
    <x v="450"/>
    <x v="568"/>
    <x v="27"/>
    <x v="2"/>
    <x v="0"/>
    <x v="0"/>
    <x v="0"/>
    <x v="426"/>
    <x v="1"/>
  </r>
  <r>
    <x v="589"/>
    <x v="588"/>
    <x v="10"/>
    <x v="0"/>
    <x v="6"/>
    <x v="6"/>
    <x v="3"/>
    <x v="329"/>
    <x v="97"/>
    <x v="142"/>
    <x v="276"/>
    <x v="2"/>
    <x v="127"/>
    <x v="0"/>
    <x v="0"/>
    <x v="556"/>
    <x v="573"/>
    <x v="140"/>
    <x v="569"/>
    <x v="549"/>
    <x v="3"/>
    <x v="0"/>
    <x v="0"/>
    <x v="0"/>
    <x v="243"/>
    <x v="1"/>
  </r>
  <r>
    <x v="590"/>
    <x v="589"/>
    <x v="115"/>
    <x v="0"/>
    <x v="10"/>
    <x v="10"/>
    <x v="3"/>
    <x v="370"/>
    <x v="7"/>
    <x v="159"/>
    <x v="123"/>
    <x v="1"/>
    <x v="7"/>
    <x v="1"/>
    <x v="34"/>
    <x v="557"/>
    <x v="574"/>
    <x v="451"/>
    <x v="570"/>
    <x v="550"/>
    <x v="1"/>
    <x v="0"/>
    <x v="0"/>
    <x v="0"/>
    <x v="280"/>
    <x v="1"/>
  </r>
  <r>
    <x v="591"/>
    <x v="590"/>
    <x v="47"/>
    <x v="0"/>
    <x v="5"/>
    <x v="5"/>
    <x v="0"/>
    <x v="371"/>
    <x v="92"/>
    <x v="77"/>
    <x v="91"/>
    <x v="0"/>
    <x v="121"/>
    <x v="0"/>
    <x v="0"/>
    <x v="419"/>
    <x v="430"/>
    <x v="359"/>
    <x v="427"/>
    <x v="135"/>
    <x v="1"/>
    <x v="0"/>
    <x v="0"/>
    <x v="2"/>
    <x v="403"/>
    <x v="0"/>
  </r>
  <r>
    <x v="592"/>
    <x v="591"/>
    <x v="174"/>
    <x v="0"/>
    <x v="4"/>
    <x v="4"/>
    <x v="2"/>
    <x v="176"/>
    <x v="76"/>
    <x v="116"/>
    <x v="147"/>
    <x v="3"/>
    <x v="345"/>
    <x v="0"/>
    <x v="0"/>
    <x v="558"/>
    <x v="575"/>
    <x v="452"/>
    <x v="571"/>
    <x v="551"/>
    <x v="2"/>
    <x v="0"/>
    <x v="0"/>
    <x v="0"/>
    <x v="427"/>
    <x v="1"/>
  </r>
  <r>
    <x v="593"/>
    <x v="592"/>
    <x v="26"/>
    <x v="0"/>
    <x v="8"/>
    <x v="8"/>
    <x v="3"/>
    <x v="124"/>
    <x v="42"/>
    <x v="167"/>
    <x v="177"/>
    <x v="5"/>
    <x v="346"/>
    <x v="4"/>
    <x v="315"/>
    <x v="559"/>
    <x v="576"/>
    <x v="453"/>
    <x v="572"/>
    <x v="552"/>
    <x v="5"/>
    <x v="0"/>
    <x v="0"/>
    <x v="2"/>
    <x v="428"/>
    <x v="0"/>
  </r>
  <r>
    <x v="594"/>
    <x v="593"/>
    <x v="161"/>
    <x v="1"/>
    <x v="1"/>
    <x v="1"/>
    <x v="1"/>
    <x v="313"/>
    <x v="81"/>
    <x v="159"/>
    <x v="18"/>
    <x v="6"/>
    <x v="103"/>
    <x v="3"/>
    <x v="316"/>
    <x v="560"/>
    <x v="577"/>
    <x v="454"/>
    <x v="573"/>
    <x v="553"/>
    <x v="1"/>
    <x v="0"/>
    <x v="0"/>
    <x v="0"/>
    <x v="429"/>
    <x v="0"/>
  </r>
  <r>
    <x v="595"/>
    <x v="594"/>
    <x v="231"/>
    <x v="0"/>
    <x v="5"/>
    <x v="5"/>
    <x v="0"/>
    <x v="372"/>
    <x v="81"/>
    <x v="91"/>
    <x v="110"/>
    <x v="2"/>
    <x v="103"/>
    <x v="3"/>
    <x v="317"/>
    <x v="561"/>
    <x v="578"/>
    <x v="323"/>
    <x v="574"/>
    <x v="554"/>
    <x v="1"/>
    <x v="0"/>
    <x v="0"/>
    <x v="0"/>
    <x v="135"/>
    <x v="1"/>
  </r>
  <r>
    <x v="596"/>
    <x v="595"/>
    <x v="84"/>
    <x v="0"/>
    <x v="9"/>
    <x v="9"/>
    <x v="0"/>
    <x v="353"/>
    <x v="39"/>
    <x v="83"/>
    <x v="277"/>
    <x v="5"/>
    <x v="347"/>
    <x v="0"/>
    <x v="0"/>
    <x v="562"/>
    <x v="579"/>
    <x v="455"/>
    <x v="575"/>
    <x v="555"/>
    <x v="1"/>
    <x v="0"/>
    <x v="0"/>
    <x v="0"/>
    <x v="430"/>
    <x v="1"/>
  </r>
  <r>
    <x v="597"/>
    <x v="596"/>
    <x v="82"/>
    <x v="0"/>
    <x v="4"/>
    <x v="4"/>
    <x v="2"/>
    <x v="182"/>
    <x v="49"/>
    <x v="88"/>
    <x v="155"/>
    <x v="7"/>
    <x v="348"/>
    <x v="0"/>
    <x v="0"/>
    <x v="563"/>
    <x v="580"/>
    <x v="456"/>
    <x v="576"/>
    <x v="556"/>
    <x v="3"/>
    <x v="0"/>
    <x v="0"/>
    <x v="0"/>
    <x v="431"/>
    <x v="0"/>
  </r>
  <r>
    <x v="598"/>
    <x v="597"/>
    <x v="276"/>
    <x v="1"/>
    <x v="7"/>
    <x v="7"/>
    <x v="1"/>
    <x v="340"/>
    <x v="89"/>
    <x v="47"/>
    <x v="51"/>
    <x v="2"/>
    <x v="118"/>
    <x v="1"/>
    <x v="318"/>
    <x v="564"/>
    <x v="581"/>
    <x v="129"/>
    <x v="577"/>
    <x v="557"/>
    <x v="5"/>
    <x v="0"/>
    <x v="0"/>
    <x v="2"/>
    <x v="121"/>
    <x v="1"/>
  </r>
  <r>
    <x v="599"/>
    <x v="598"/>
    <x v="37"/>
    <x v="0"/>
    <x v="5"/>
    <x v="5"/>
    <x v="0"/>
    <x v="138"/>
    <x v="94"/>
    <x v="83"/>
    <x v="98"/>
    <x v="0"/>
    <x v="349"/>
    <x v="1"/>
    <x v="319"/>
    <x v="565"/>
    <x v="582"/>
    <x v="457"/>
    <x v="578"/>
    <x v="558"/>
    <x v="2"/>
    <x v="0"/>
    <x v="0"/>
    <x v="0"/>
    <x v="432"/>
    <x v="0"/>
  </r>
  <r>
    <x v="600"/>
    <x v="599"/>
    <x v="185"/>
    <x v="0"/>
    <x v="8"/>
    <x v="8"/>
    <x v="3"/>
    <x v="373"/>
    <x v="67"/>
    <x v="77"/>
    <x v="91"/>
    <x v="0"/>
    <x v="81"/>
    <x v="0"/>
    <x v="0"/>
    <x v="566"/>
    <x v="583"/>
    <x v="458"/>
    <x v="579"/>
    <x v="559"/>
    <x v="1"/>
    <x v="0"/>
    <x v="0"/>
    <x v="0"/>
    <x v="433"/>
    <x v="1"/>
  </r>
  <r>
    <x v="601"/>
    <x v="600"/>
    <x v="234"/>
    <x v="0"/>
    <x v="6"/>
    <x v="6"/>
    <x v="3"/>
    <x v="225"/>
    <x v="38"/>
    <x v="128"/>
    <x v="278"/>
    <x v="2"/>
    <x v="43"/>
    <x v="3"/>
    <x v="320"/>
    <x v="567"/>
    <x v="584"/>
    <x v="126"/>
    <x v="580"/>
    <x v="560"/>
    <x v="0"/>
    <x v="0"/>
    <x v="0"/>
    <x v="0"/>
    <x v="434"/>
    <x v="0"/>
  </r>
  <r>
    <x v="602"/>
    <x v="601"/>
    <x v="136"/>
    <x v="0"/>
    <x v="10"/>
    <x v="10"/>
    <x v="3"/>
    <x v="374"/>
    <x v="15"/>
    <x v="15"/>
    <x v="72"/>
    <x v="6"/>
    <x v="15"/>
    <x v="2"/>
    <x v="96"/>
    <x v="568"/>
    <x v="585"/>
    <x v="459"/>
    <x v="581"/>
    <x v="561"/>
    <x v="2"/>
    <x v="0"/>
    <x v="0"/>
    <x v="1"/>
    <x v="435"/>
    <x v="0"/>
  </r>
  <r>
    <x v="603"/>
    <x v="602"/>
    <x v="42"/>
    <x v="0"/>
    <x v="8"/>
    <x v="8"/>
    <x v="3"/>
    <x v="375"/>
    <x v="61"/>
    <x v="80"/>
    <x v="279"/>
    <x v="3"/>
    <x v="350"/>
    <x v="1"/>
    <x v="321"/>
    <x v="569"/>
    <x v="586"/>
    <x v="104"/>
    <x v="582"/>
    <x v="562"/>
    <x v="4"/>
    <x v="0"/>
    <x v="0"/>
    <x v="0"/>
    <x v="101"/>
    <x v="0"/>
  </r>
  <r>
    <x v="604"/>
    <x v="603"/>
    <x v="68"/>
    <x v="0"/>
    <x v="6"/>
    <x v="6"/>
    <x v="3"/>
    <x v="357"/>
    <x v="3"/>
    <x v="144"/>
    <x v="35"/>
    <x v="4"/>
    <x v="351"/>
    <x v="4"/>
    <x v="322"/>
    <x v="570"/>
    <x v="587"/>
    <x v="266"/>
    <x v="583"/>
    <x v="563"/>
    <x v="5"/>
    <x v="0"/>
    <x v="0"/>
    <x v="0"/>
    <x v="436"/>
    <x v="1"/>
  </r>
  <r>
    <x v="605"/>
    <x v="604"/>
    <x v="277"/>
    <x v="0"/>
    <x v="2"/>
    <x v="2"/>
    <x v="2"/>
    <x v="90"/>
    <x v="6"/>
    <x v="155"/>
    <x v="280"/>
    <x v="5"/>
    <x v="352"/>
    <x v="0"/>
    <x v="0"/>
    <x v="571"/>
    <x v="588"/>
    <x v="460"/>
    <x v="584"/>
    <x v="564"/>
    <x v="2"/>
    <x v="0"/>
    <x v="0"/>
    <x v="0"/>
    <x v="437"/>
    <x v="1"/>
  </r>
  <r>
    <x v="606"/>
    <x v="605"/>
    <x v="94"/>
    <x v="0"/>
    <x v="4"/>
    <x v="4"/>
    <x v="2"/>
    <x v="224"/>
    <x v="125"/>
    <x v="25"/>
    <x v="26"/>
    <x v="3"/>
    <x v="353"/>
    <x v="0"/>
    <x v="0"/>
    <x v="572"/>
    <x v="589"/>
    <x v="461"/>
    <x v="585"/>
    <x v="565"/>
    <x v="4"/>
    <x v="0"/>
    <x v="0"/>
    <x v="0"/>
    <x v="190"/>
    <x v="1"/>
  </r>
  <r>
    <x v="607"/>
    <x v="606"/>
    <x v="278"/>
    <x v="1"/>
    <x v="11"/>
    <x v="11"/>
    <x v="1"/>
    <x v="225"/>
    <x v="107"/>
    <x v="28"/>
    <x v="29"/>
    <x v="0"/>
    <x v="190"/>
    <x v="0"/>
    <x v="0"/>
    <x v="573"/>
    <x v="590"/>
    <x v="442"/>
    <x v="586"/>
    <x v="251"/>
    <x v="2"/>
    <x v="0"/>
    <x v="0"/>
    <x v="1"/>
    <x v="438"/>
    <x v="1"/>
  </r>
  <r>
    <x v="608"/>
    <x v="607"/>
    <x v="17"/>
    <x v="1"/>
    <x v="1"/>
    <x v="1"/>
    <x v="1"/>
    <x v="376"/>
    <x v="75"/>
    <x v="49"/>
    <x v="53"/>
    <x v="6"/>
    <x v="92"/>
    <x v="1"/>
    <x v="323"/>
    <x v="574"/>
    <x v="591"/>
    <x v="291"/>
    <x v="587"/>
    <x v="566"/>
    <x v="1"/>
    <x v="0"/>
    <x v="0"/>
    <x v="0"/>
    <x v="439"/>
    <x v="1"/>
  </r>
  <r>
    <x v="609"/>
    <x v="608"/>
    <x v="279"/>
    <x v="1"/>
    <x v="1"/>
    <x v="1"/>
    <x v="1"/>
    <x v="377"/>
    <x v="20"/>
    <x v="155"/>
    <x v="206"/>
    <x v="2"/>
    <x v="198"/>
    <x v="0"/>
    <x v="0"/>
    <x v="575"/>
    <x v="592"/>
    <x v="462"/>
    <x v="588"/>
    <x v="567"/>
    <x v="1"/>
    <x v="0"/>
    <x v="0"/>
    <x v="1"/>
    <x v="440"/>
    <x v="1"/>
  </r>
  <r>
    <x v="610"/>
    <x v="609"/>
    <x v="280"/>
    <x v="1"/>
    <x v="1"/>
    <x v="1"/>
    <x v="1"/>
    <x v="378"/>
    <x v="126"/>
    <x v="168"/>
    <x v="275"/>
    <x v="5"/>
    <x v="354"/>
    <x v="2"/>
    <x v="324"/>
    <x v="576"/>
    <x v="593"/>
    <x v="463"/>
    <x v="589"/>
    <x v="568"/>
    <x v="1"/>
    <x v="0"/>
    <x v="0"/>
    <x v="0"/>
    <x v="441"/>
    <x v="1"/>
  </r>
  <r>
    <x v="611"/>
    <x v="610"/>
    <x v="42"/>
    <x v="0"/>
    <x v="8"/>
    <x v="8"/>
    <x v="3"/>
    <x v="274"/>
    <x v="69"/>
    <x v="96"/>
    <x v="120"/>
    <x v="4"/>
    <x v="355"/>
    <x v="3"/>
    <x v="325"/>
    <x v="577"/>
    <x v="594"/>
    <x v="307"/>
    <x v="590"/>
    <x v="569"/>
    <x v="4"/>
    <x v="0"/>
    <x v="0"/>
    <x v="2"/>
    <x v="348"/>
    <x v="0"/>
  </r>
  <r>
    <x v="612"/>
    <x v="611"/>
    <x v="11"/>
    <x v="1"/>
    <x v="1"/>
    <x v="1"/>
    <x v="1"/>
    <x v="77"/>
    <x v="38"/>
    <x v="72"/>
    <x v="85"/>
    <x v="5"/>
    <x v="356"/>
    <x v="1"/>
    <x v="326"/>
    <x v="578"/>
    <x v="595"/>
    <x v="313"/>
    <x v="591"/>
    <x v="570"/>
    <x v="5"/>
    <x v="0"/>
    <x v="0"/>
    <x v="0"/>
    <x v="442"/>
    <x v="1"/>
  </r>
  <r>
    <x v="613"/>
    <x v="612"/>
    <x v="257"/>
    <x v="0"/>
    <x v="3"/>
    <x v="3"/>
    <x v="2"/>
    <x v="379"/>
    <x v="139"/>
    <x v="58"/>
    <x v="122"/>
    <x v="1"/>
    <x v="357"/>
    <x v="1"/>
    <x v="327"/>
    <x v="579"/>
    <x v="596"/>
    <x v="464"/>
    <x v="592"/>
    <x v="571"/>
    <x v="5"/>
    <x v="0"/>
    <x v="0"/>
    <x v="0"/>
    <x v="321"/>
    <x v="1"/>
  </r>
  <r>
    <x v="614"/>
    <x v="613"/>
    <x v="227"/>
    <x v="0"/>
    <x v="8"/>
    <x v="8"/>
    <x v="3"/>
    <x v="297"/>
    <x v="107"/>
    <x v="13"/>
    <x v="105"/>
    <x v="6"/>
    <x v="190"/>
    <x v="3"/>
    <x v="328"/>
    <x v="580"/>
    <x v="597"/>
    <x v="465"/>
    <x v="593"/>
    <x v="572"/>
    <x v="4"/>
    <x v="0"/>
    <x v="0"/>
    <x v="0"/>
    <x v="443"/>
    <x v="1"/>
  </r>
  <r>
    <x v="615"/>
    <x v="614"/>
    <x v="146"/>
    <x v="0"/>
    <x v="2"/>
    <x v="2"/>
    <x v="2"/>
    <x v="380"/>
    <x v="12"/>
    <x v="52"/>
    <x v="57"/>
    <x v="2"/>
    <x v="12"/>
    <x v="0"/>
    <x v="0"/>
    <x v="152"/>
    <x v="152"/>
    <x v="143"/>
    <x v="148"/>
    <x v="148"/>
    <x v="3"/>
    <x v="0"/>
    <x v="0"/>
    <x v="2"/>
    <x v="422"/>
    <x v="1"/>
  </r>
  <r>
    <x v="616"/>
    <x v="615"/>
    <x v="57"/>
    <x v="0"/>
    <x v="10"/>
    <x v="10"/>
    <x v="3"/>
    <x v="184"/>
    <x v="64"/>
    <x v="55"/>
    <x v="145"/>
    <x v="3"/>
    <x v="358"/>
    <x v="0"/>
    <x v="0"/>
    <x v="581"/>
    <x v="598"/>
    <x v="466"/>
    <x v="594"/>
    <x v="573"/>
    <x v="4"/>
    <x v="0"/>
    <x v="0"/>
    <x v="0"/>
    <x v="55"/>
    <x v="0"/>
  </r>
  <r>
    <x v="617"/>
    <x v="616"/>
    <x v="212"/>
    <x v="1"/>
    <x v="1"/>
    <x v="1"/>
    <x v="1"/>
    <x v="381"/>
    <x v="2"/>
    <x v="86"/>
    <x v="102"/>
    <x v="4"/>
    <x v="2"/>
    <x v="0"/>
    <x v="0"/>
    <x v="582"/>
    <x v="599"/>
    <x v="467"/>
    <x v="595"/>
    <x v="574"/>
    <x v="1"/>
    <x v="0"/>
    <x v="0"/>
    <x v="0"/>
    <x v="282"/>
    <x v="1"/>
  </r>
  <r>
    <x v="618"/>
    <x v="617"/>
    <x v="281"/>
    <x v="0"/>
    <x v="2"/>
    <x v="2"/>
    <x v="2"/>
    <x v="34"/>
    <x v="78"/>
    <x v="145"/>
    <x v="281"/>
    <x v="1"/>
    <x v="211"/>
    <x v="0"/>
    <x v="0"/>
    <x v="583"/>
    <x v="600"/>
    <x v="468"/>
    <x v="596"/>
    <x v="575"/>
    <x v="0"/>
    <x v="0"/>
    <x v="0"/>
    <x v="2"/>
    <x v="41"/>
    <x v="1"/>
  </r>
  <r>
    <x v="619"/>
    <x v="618"/>
    <x v="218"/>
    <x v="0"/>
    <x v="2"/>
    <x v="2"/>
    <x v="2"/>
    <x v="382"/>
    <x v="85"/>
    <x v="159"/>
    <x v="282"/>
    <x v="0"/>
    <x v="110"/>
    <x v="2"/>
    <x v="329"/>
    <x v="584"/>
    <x v="601"/>
    <x v="469"/>
    <x v="597"/>
    <x v="576"/>
    <x v="0"/>
    <x v="0"/>
    <x v="0"/>
    <x v="2"/>
    <x v="444"/>
    <x v="1"/>
  </r>
  <r>
    <x v="620"/>
    <x v="619"/>
    <x v="250"/>
    <x v="0"/>
    <x v="8"/>
    <x v="8"/>
    <x v="3"/>
    <x v="75"/>
    <x v="70"/>
    <x v="17"/>
    <x v="17"/>
    <x v="8"/>
    <x v="267"/>
    <x v="0"/>
    <x v="0"/>
    <x v="89"/>
    <x v="602"/>
    <x v="336"/>
    <x v="598"/>
    <x v="577"/>
    <x v="2"/>
    <x v="0"/>
    <x v="0"/>
    <x v="0"/>
    <x v="445"/>
    <x v="1"/>
  </r>
  <r>
    <x v="621"/>
    <x v="620"/>
    <x v="282"/>
    <x v="0"/>
    <x v="2"/>
    <x v="2"/>
    <x v="2"/>
    <x v="383"/>
    <x v="130"/>
    <x v="16"/>
    <x v="100"/>
    <x v="6"/>
    <x v="359"/>
    <x v="3"/>
    <x v="330"/>
    <x v="585"/>
    <x v="603"/>
    <x v="334"/>
    <x v="599"/>
    <x v="578"/>
    <x v="1"/>
    <x v="0"/>
    <x v="0"/>
    <x v="0"/>
    <x v="446"/>
    <x v="0"/>
  </r>
  <r>
    <x v="622"/>
    <x v="621"/>
    <x v="234"/>
    <x v="0"/>
    <x v="6"/>
    <x v="6"/>
    <x v="3"/>
    <x v="292"/>
    <x v="56"/>
    <x v="47"/>
    <x v="35"/>
    <x v="3"/>
    <x v="360"/>
    <x v="0"/>
    <x v="0"/>
    <x v="586"/>
    <x v="604"/>
    <x v="218"/>
    <x v="600"/>
    <x v="579"/>
    <x v="3"/>
    <x v="0"/>
    <x v="0"/>
    <x v="0"/>
    <x v="447"/>
    <x v="0"/>
  </r>
  <r>
    <x v="623"/>
    <x v="622"/>
    <x v="283"/>
    <x v="1"/>
    <x v="11"/>
    <x v="11"/>
    <x v="1"/>
    <x v="298"/>
    <x v="22"/>
    <x v="24"/>
    <x v="50"/>
    <x v="1"/>
    <x v="23"/>
    <x v="2"/>
    <x v="331"/>
    <x v="587"/>
    <x v="605"/>
    <x v="470"/>
    <x v="601"/>
    <x v="580"/>
    <x v="0"/>
    <x v="0"/>
    <x v="0"/>
    <x v="0"/>
    <x v="161"/>
    <x v="1"/>
  </r>
  <r>
    <x v="624"/>
    <x v="623"/>
    <x v="229"/>
    <x v="1"/>
    <x v="1"/>
    <x v="1"/>
    <x v="1"/>
    <x v="318"/>
    <x v="85"/>
    <x v="90"/>
    <x v="245"/>
    <x v="1"/>
    <x v="110"/>
    <x v="0"/>
    <x v="0"/>
    <x v="588"/>
    <x v="606"/>
    <x v="120"/>
    <x v="602"/>
    <x v="486"/>
    <x v="4"/>
    <x v="0"/>
    <x v="0"/>
    <x v="2"/>
    <x v="448"/>
    <x v="0"/>
  </r>
  <r>
    <x v="625"/>
    <x v="624"/>
    <x v="89"/>
    <x v="0"/>
    <x v="4"/>
    <x v="4"/>
    <x v="2"/>
    <x v="384"/>
    <x v="8"/>
    <x v="16"/>
    <x v="100"/>
    <x v="1"/>
    <x v="8"/>
    <x v="0"/>
    <x v="0"/>
    <x v="589"/>
    <x v="607"/>
    <x v="94"/>
    <x v="603"/>
    <x v="581"/>
    <x v="3"/>
    <x v="0"/>
    <x v="0"/>
    <x v="0"/>
    <x v="131"/>
    <x v="0"/>
  </r>
  <r>
    <x v="626"/>
    <x v="625"/>
    <x v="141"/>
    <x v="0"/>
    <x v="0"/>
    <x v="0"/>
    <x v="0"/>
    <x v="247"/>
    <x v="140"/>
    <x v="128"/>
    <x v="167"/>
    <x v="3"/>
    <x v="361"/>
    <x v="0"/>
    <x v="0"/>
    <x v="590"/>
    <x v="608"/>
    <x v="471"/>
    <x v="604"/>
    <x v="582"/>
    <x v="4"/>
    <x v="0"/>
    <x v="0"/>
    <x v="0"/>
    <x v="449"/>
    <x v="0"/>
  </r>
  <r>
    <x v="627"/>
    <x v="626"/>
    <x v="54"/>
    <x v="0"/>
    <x v="5"/>
    <x v="5"/>
    <x v="0"/>
    <x v="131"/>
    <x v="81"/>
    <x v="132"/>
    <x v="200"/>
    <x v="1"/>
    <x v="103"/>
    <x v="0"/>
    <x v="0"/>
    <x v="591"/>
    <x v="609"/>
    <x v="472"/>
    <x v="605"/>
    <x v="583"/>
    <x v="2"/>
    <x v="0"/>
    <x v="0"/>
    <x v="2"/>
    <x v="357"/>
    <x v="1"/>
  </r>
  <r>
    <x v="628"/>
    <x v="627"/>
    <x v="178"/>
    <x v="0"/>
    <x v="10"/>
    <x v="10"/>
    <x v="3"/>
    <x v="308"/>
    <x v="102"/>
    <x v="34"/>
    <x v="35"/>
    <x v="0"/>
    <x v="136"/>
    <x v="0"/>
    <x v="0"/>
    <x v="592"/>
    <x v="610"/>
    <x v="473"/>
    <x v="606"/>
    <x v="584"/>
    <x v="1"/>
    <x v="0"/>
    <x v="0"/>
    <x v="0"/>
    <x v="173"/>
    <x v="1"/>
  </r>
  <r>
    <x v="629"/>
    <x v="628"/>
    <x v="172"/>
    <x v="0"/>
    <x v="10"/>
    <x v="10"/>
    <x v="3"/>
    <x v="356"/>
    <x v="55"/>
    <x v="32"/>
    <x v="241"/>
    <x v="6"/>
    <x v="362"/>
    <x v="0"/>
    <x v="0"/>
    <x v="593"/>
    <x v="611"/>
    <x v="474"/>
    <x v="607"/>
    <x v="585"/>
    <x v="5"/>
    <x v="0"/>
    <x v="0"/>
    <x v="0"/>
    <x v="154"/>
    <x v="0"/>
  </r>
  <r>
    <x v="630"/>
    <x v="629"/>
    <x v="266"/>
    <x v="0"/>
    <x v="6"/>
    <x v="6"/>
    <x v="3"/>
    <x v="232"/>
    <x v="119"/>
    <x v="80"/>
    <x v="283"/>
    <x v="7"/>
    <x v="363"/>
    <x v="2"/>
    <x v="332"/>
    <x v="594"/>
    <x v="612"/>
    <x v="475"/>
    <x v="608"/>
    <x v="586"/>
    <x v="3"/>
    <x v="0"/>
    <x v="0"/>
    <x v="0"/>
    <x v="450"/>
    <x v="0"/>
  </r>
  <r>
    <x v="631"/>
    <x v="630"/>
    <x v="165"/>
    <x v="0"/>
    <x v="0"/>
    <x v="0"/>
    <x v="0"/>
    <x v="318"/>
    <x v="53"/>
    <x v="115"/>
    <x v="146"/>
    <x v="2"/>
    <x v="60"/>
    <x v="2"/>
    <x v="333"/>
    <x v="595"/>
    <x v="613"/>
    <x v="476"/>
    <x v="609"/>
    <x v="587"/>
    <x v="4"/>
    <x v="0"/>
    <x v="0"/>
    <x v="0"/>
    <x v="415"/>
    <x v="0"/>
  </r>
  <r>
    <x v="632"/>
    <x v="631"/>
    <x v="85"/>
    <x v="0"/>
    <x v="5"/>
    <x v="5"/>
    <x v="0"/>
    <x v="243"/>
    <x v="15"/>
    <x v="82"/>
    <x v="96"/>
    <x v="0"/>
    <x v="15"/>
    <x v="3"/>
    <x v="334"/>
    <x v="596"/>
    <x v="614"/>
    <x v="230"/>
    <x v="610"/>
    <x v="588"/>
    <x v="1"/>
    <x v="0"/>
    <x v="0"/>
    <x v="1"/>
    <x v="451"/>
    <x v="0"/>
  </r>
  <r>
    <x v="633"/>
    <x v="632"/>
    <x v="284"/>
    <x v="0"/>
    <x v="10"/>
    <x v="10"/>
    <x v="3"/>
    <x v="220"/>
    <x v="53"/>
    <x v="153"/>
    <x v="220"/>
    <x v="0"/>
    <x v="60"/>
    <x v="3"/>
    <x v="335"/>
    <x v="597"/>
    <x v="615"/>
    <x v="477"/>
    <x v="611"/>
    <x v="589"/>
    <x v="1"/>
    <x v="0"/>
    <x v="0"/>
    <x v="2"/>
    <x v="452"/>
    <x v="1"/>
  </r>
  <r>
    <x v="634"/>
    <x v="633"/>
    <x v="51"/>
    <x v="0"/>
    <x v="6"/>
    <x v="6"/>
    <x v="3"/>
    <x v="385"/>
    <x v="42"/>
    <x v="139"/>
    <x v="204"/>
    <x v="6"/>
    <x v="47"/>
    <x v="2"/>
    <x v="336"/>
    <x v="598"/>
    <x v="616"/>
    <x v="185"/>
    <x v="612"/>
    <x v="590"/>
    <x v="3"/>
    <x v="0"/>
    <x v="0"/>
    <x v="0"/>
    <x v="453"/>
    <x v="1"/>
  </r>
  <r>
    <x v="635"/>
    <x v="634"/>
    <x v="27"/>
    <x v="0"/>
    <x v="2"/>
    <x v="2"/>
    <x v="2"/>
    <x v="299"/>
    <x v="138"/>
    <x v="115"/>
    <x v="247"/>
    <x v="2"/>
    <x v="344"/>
    <x v="1"/>
    <x v="337"/>
    <x v="599"/>
    <x v="617"/>
    <x v="478"/>
    <x v="138"/>
    <x v="591"/>
    <x v="0"/>
    <x v="0"/>
    <x v="0"/>
    <x v="0"/>
    <x v="398"/>
    <x v="1"/>
  </r>
  <r>
    <x v="636"/>
    <x v="635"/>
    <x v="41"/>
    <x v="1"/>
    <x v="11"/>
    <x v="11"/>
    <x v="1"/>
    <x v="386"/>
    <x v="1"/>
    <x v="59"/>
    <x v="65"/>
    <x v="8"/>
    <x v="364"/>
    <x v="3"/>
    <x v="338"/>
    <x v="600"/>
    <x v="618"/>
    <x v="479"/>
    <x v="613"/>
    <x v="592"/>
    <x v="3"/>
    <x v="0"/>
    <x v="0"/>
    <x v="0"/>
    <x v="253"/>
    <x v="0"/>
  </r>
  <r>
    <x v="637"/>
    <x v="636"/>
    <x v="206"/>
    <x v="0"/>
    <x v="10"/>
    <x v="10"/>
    <x v="3"/>
    <x v="299"/>
    <x v="104"/>
    <x v="51"/>
    <x v="56"/>
    <x v="1"/>
    <x v="202"/>
    <x v="0"/>
    <x v="0"/>
    <x v="601"/>
    <x v="619"/>
    <x v="480"/>
    <x v="614"/>
    <x v="593"/>
    <x v="4"/>
    <x v="0"/>
    <x v="0"/>
    <x v="0"/>
    <x v="49"/>
    <x v="1"/>
  </r>
  <r>
    <x v="638"/>
    <x v="637"/>
    <x v="48"/>
    <x v="0"/>
    <x v="0"/>
    <x v="0"/>
    <x v="0"/>
    <x v="387"/>
    <x v="63"/>
    <x v="146"/>
    <x v="205"/>
    <x v="6"/>
    <x v="187"/>
    <x v="4"/>
    <x v="339"/>
    <x v="602"/>
    <x v="620"/>
    <x v="76"/>
    <x v="615"/>
    <x v="594"/>
    <x v="0"/>
    <x v="0"/>
    <x v="0"/>
    <x v="0"/>
    <x v="398"/>
    <x v="1"/>
  </r>
  <r>
    <x v="639"/>
    <x v="638"/>
    <x v="285"/>
    <x v="0"/>
    <x v="9"/>
    <x v="9"/>
    <x v="0"/>
    <x v="198"/>
    <x v="88"/>
    <x v="1"/>
    <x v="1"/>
    <x v="4"/>
    <x v="117"/>
    <x v="0"/>
    <x v="0"/>
    <x v="603"/>
    <x v="621"/>
    <x v="219"/>
    <x v="616"/>
    <x v="595"/>
    <x v="2"/>
    <x v="0"/>
    <x v="0"/>
    <x v="2"/>
    <x v="121"/>
    <x v="1"/>
  </r>
  <r>
    <x v="640"/>
    <x v="639"/>
    <x v="276"/>
    <x v="1"/>
    <x v="7"/>
    <x v="7"/>
    <x v="1"/>
    <x v="142"/>
    <x v="58"/>
    <x v="75"/>
    <x v="89"/>
    <x v="1"/>
    <x v="66"/>
    <x v="4"/>
    <x v="340"/>
    <x v="604"/>
    <x v="622"/>
    <x v="68"/>
    <x v="617"/>
    <x v="596"/>
    <x v="5"/>
    <x v="0"/>
    <x v="0"/>
    <x v="0"/>
    <x v="330"/>
    <x v="1"/>
  </r>
  <r>
    <x v="641"/>
    <x v="640"/>
    <x v="87"/>
    <x v="0"/>
    <x v="10"/>
    <x v="10"/>
    <x v="3"/>
    <x v="388"/>
    <x v="116"/>
    <x v="20"/>
    <x v="20"/>
    <x v="2"/>
    <x v="365"/>
    <x v="4"/>
    <x v="341"/>
    <x v="605"/>
    <x v="623"/>
    <x v="481"/>
    <x v="618"/>
    <x v="597"/>
    <x v="5"/>
    <x v="0"/>
    <x v="0"/>
    <x v="0"/>
    <x v="1"/>
    <x v="0"/>
  </r>
  <r>
    <x v="642"/>
    <x v="641"/>
    <x v="120"/>
    <x v="0"/>
    <x v="10"/>
    <x v="10"/>
    <x v="3"/>
    <x v="63"/>
    <x v="111"/>
    <x v="84"/>
    <x v="284"/>
    <x v="0"/>
    <x v="268"/>
    <x v="2"/>
    <x v="227"/>
    <x v="401"/>
    <x v="624"/>
    <x v="344"/>
    <x v="619"/>
    <x v="598"/>
    <x v="3"/>
    <x v="0"/>
    <x v="0"/>
    <x v="0"/>
    <x v="454"/>
    <x v="1"/>
  </r>
  <r>
    <x v="643"/>
    <x v="642"/>
    <x v="214"/>
    <x v="0"/>
    <x v="3"/>
    <x v="3"/>
    <x v="2"/>
    <x v="389"/>
    <x v="99"/>
    <x v="150"/>
    <x v="256"/>
    <x v="2"/>
    <x v="366"/>
    <x v="2"/>
    <x v="342"/>
    <x v="606"/>
    <x v="625"/>
    <x v="246"/>
    <x v="620"/>
    <x v="599"/>
    <x v="5"/>
    <x v="0"/>
    <x v="0"/>
    <x v="0"/>
    <x v="351"/>
    <x v="1"/>
  </r>
  <r>
    <x v="644"/>
    <x v="643"/>
    <x v="62"/>
    <x v="0"/>
    <x v="10"/>
    <x v="10"/>
    <x v="3"/>
    <x v="54"/>
    <x v="106"/>
    <x v="29"/>
    <x v="30"/>
    <x v="4"/>
    <x v="367"/>
    <x v="0"/>
    <x v="0"/>
    <x v="607"/>
    <x v="626"/>
    <x v="482"/>
    <x v="621"/>
    <x v="600"/>
    <x v="4"/>
    <x v="0"/>
    <x v="0"/>
    <x v="2"/>
    <x v="187"/>
    <x v="1"/>
  </r>
  <r>
    <x v="645"/>
    <x v="644"/>
    <x v="86"/>
    <x v="0"/>
    <x v="6"/>
    <x v="6"/>
    <x v="3"/>
    <x v="281"/>
    <x v="19"/>
    <x v="118"/>
    <x v="149"/>
    <x v="6"/>
    <x v="19"/>
    <x v="0"/>
    <x v="0"/>
    <x v="161"/>
    <x v="161"/>
    <x v="151"/>
    <x v="157"/>
    <x v="156"/>
    <x v="1"/>
    <x v="0"/>
    <x v="0"/>
    <x v="0"/>
    <x v="387"/>
    <x v="0"/>
  </r>
  <r>
    <x v="646"/>
    <x v="645"/>
    <x v="116"/>
    <x v="0"/>
    <x v="8"/>
    <x v="8"/>
    <x v="3"/>
    <x v="269"/>
    <x v="31"/>
    <x v="43"/>
    <x v="226"/>
    <x v="5"/>
    <x v="368"/>
    <x v="2"/>
    <x v="343"/>
    <x v="608"/>
    <x v="627"/>
    <x v="310"/>
    <x v="622"/>
    <x v="601"/>
    <x v="5"/>
    <x v="1"/>
    <x v="1"/>
    <x v="0"/>
    <x v="455"/>
    <x v="1"/>
  </r>
  <r>
    <x v="647"/>
    <x v="646"/>
    <x v="122"/>
    <x v="0"/>
    <x v="10"/>
    <x v="10"/>
    <x v="3"/>
    <x v="23"/>
    <x v="7"/>
    <x v="124"/>
    <x v="183"/>
    <x v="2"/>
    <x v="7"/>
    <x v="2"/>
    <x v="344"/>
    <x v="609"/>
    <x v="628"/>
    <x v="65"/>
    <x v="623"/>
    <x v="602"/>
    <x v="1"/>
    <x v="0"/>
    <x v="0"/>
    <x v="0"/>
    <x v="456"/>
    <x v="1"/>
  </r>
  <r>
    <x v="648"/>
    <x v="647"/>
    <x v="282"/>
    <x v="0"/>
    <x v="2"/>
    <x v="2"/>
    <x v="2"/>
    <x v="226"/>
    <x v="39"/>
    <x v="93"/>
    <x v="113"/>
    <x v="2"/>
    <x v="273"/>
    <x v="0"/>
    <x v="0"/>
    <x v="610"/>
    <x v="629"/>
    <x v="483"/>
    <x v="624"/>
    <x v="603"/>
    <x v="3"/>
    <x v="0"/>
    <x v="0"/>
    <x v="0"/>
    <x v="457"/>
    <x v="0"/>
  </r>
  <r>
    <x v="649"/>
    <x v="648"/>
    <x v="140"/>
    <x v="0"/>
    <x v="9"/>
    <x v="9"/>
    <x v="0"/>
    <x v="390"/>
    <x v="24"/>
    <x v="21"/>
    <x v="238"/>
    <x v="6"/>
    <x v="27"/>
    <x v="3"/>
    <x v="345"/>
    <x v="611"/>
    <x v="630"/>
    <x v="484"/>
    <x v="625"/>
    <x v="604"/>
    <x v="0"/>
    <x v="0"/>
    <x v="0"/>
    <x v="0"/>
    <x v="458"/>
    <x v="1"/>
  </r>
  <r>
    <x v="650"/>
    <x v="649"/>
    <x v="123"/>
    <x v="0"/>
    <x v="8"/>
    <x v="8"/>
    <x v="3"/>
    <x v="391"/>
    <x v="35"/>
    <x v="61"/>
    <x v="10"/>
    <x v="2"/>
    <x v="369"/>
    <x v="1"/>
    <x v="346"/>
    <x v="612"/>
    <x v="631"/>
    <x v="275"/>
    <x v="626"/>
    <x v="605"/>
    <x v="4"/>
    <x v="0"/>
    <x v="0"/>
    <x v="0"/>
    <x v="277"/>
    <x v="1"/>
  </r>
  <r>
    <x v="651"/>
    <x v="650"/>
    <x v="35"/>
    <x v="0"/>
    <x v="8"/>
    <x v="8"/>
    <x v="3"/>
    <x v="149"/>
    <x v="104"/>
    <x v="88"/>
    <x v="70"/>
    <x v="0"/>
    <x v="202"/>
    <x v="4"/>
    <x v="347"/>
    <x v="613"/>
    <x v="632"/>
    <x v="485"/>
    <x v="627"/>
    <x v="606"/>
    <x v="0"/>
    <x v="0"/>
    <x v="0"/>
    <x v="0"/>
    <x v="459"/>
    <x v="1"/>
  </r>
  <r>
    <x v="652"/>
    <x v="651"/>
    <x v="191"/>
    <x v="0"/>
    <x v="6"/>
    <x v="6"/>
    <x v="3"/>
    <x v="32"/>
    <x v="37"/>
    <x v="27"/>
    <x v="28"/>
    <x v="1"/>
    <x v="99"/>
    <x v="2"/>
    <x v="348"/>
    <x v="614"/>
    <x v="633"/>
    <x v="295"/>
    <x v="628"/>
    <x v="607"/>
    <x v="0"/>
    <x v="0"/>
    <x v="0"/>
    <x v="0"/>
    <x v="346"/>
    <x v="1"/>
  </r>
  <r>
    <x v="653"/>
    <x v="652"/>
    <x v="190"/>
    <x v="0"/>
    <x v="4"/>
    <x v="4"/>
    <x v="2"/>
    <x v="188"/>
    <x v="12"/>
    <x v="153"/>
    <x v="220"/>
    <x v="7"/>
    <x v="370"/>
    <x v="0"/>
    <x v="0"/>
    <x v="615"/>
    <x v="634"/>
    <x v="379"/>
    <x v="629"/>
    <x v="608"/>
    <x v="0"/>
    <x v="0"/>
    <x v="0"/>
    <x v="0"/>
    <x v="460"/>
    <x v="0"/>
  </r>
  <r>
    <x v="654"/>
    <x v="653"/>
    <x v="222"/>
    <x v="0"/>
    <x v="3"/>
    <x v="3"/>
    <x v="2"/>
    <x v="185"/>
    <x v="141"/>
    <x v="167"/>
    <x v="285"/>
    <x v="7"/>
    <x v="371"/>
    <x v="1"/>
    <x v="349"/>
    <x v="616"/>
    <x v="635"/>
    <x v="486"/>
    <x v="630"/>
    <x v="609"/>
    <x v="4"/>
    <x v="1"/>
    <x v="1"/>
    <x v="0"/>
    <x v="157"/>
    <x v="1"/>
  </r>
  <r>
    <x v="655"/>
    <x v="654"/>
    <x v="194"/>
    <x v="0"/>
    <x v="8"/>
    <x v="8"/>
    <x v="3"/>
    <x v="392"/>
    <x v="15"/>
    <x v="84"/>
    <x v="156"/>
    <x v="2"/>
    <x v="372"/>
    <x v="0"/>
    <x v="0"/>
    <x v="617"/>
    <x v="636"/>
    <x v="15"/>
    <x v="631"/>
    <x v="610"/>
    <x v="5"/>
    <x v="0"/>
    <x v="0"/>
    <x v="0"/>
    <x v="461"/>
    <x v="1"/>
  </r>
  <r>
    <x v="656"/>
    <x v="655"/>
    <x v="149"/>
    <x v="0"/>
    <x v="3"/>
    <x v="3"/>
    <x v="2"/>
    <x v="31"/>
    <x v="3"/>
    <x v="124"/>
    <x v="286"/>
    <x v="2"/>
    <x v="3"/>
    <x v="0"/>
    <x v="0"/>
    <x v="618"/>
    <x v="637"/>
    <x v="262"/>
    <x v="632"/>
    <x v="611"/>
    <x v="0"/>
    <x v="0"/>
    <x v="0"/>
    <x v="0"/>
    <x v="401"/>
    <x v="0"/>
  </r>
  <r>
    <x v="657"/>
    <x v="656"/>
    <x v="87"/>
    <x v="0"/>
    <x v="10"/>
    <x v="10"/>
    <x v="3"/>
    <x v="393"/>
    <x v="19"/>
    <x v="4"/>
    <x v="114"/>
    <x v="1"/>
    <x v="19"/>
    <x v="1"/>
    <x v="120"/>
    <x v="619"/>
    <x v="638"/>
    <x v="121"/>
    <x v="633"/>
    <x v="612"/>
    <x v="2"/>
    <x v="0"/>
    <x v="0"/>
    <x v="0"/>
    <x v="462"/>
    <x v="0"/>
  </r>
  <r>
    <x v="658"/>
    <x v="657"/>
    <x v="83"/>
    <x v="1"/>
    <x v="1"/>
    <x v="1"/>
    <x v="1"/>
    <x v="14"/>
    <x v="16"/>
    <x v="128"/>
    <x v="278"/>
    <x v="6"/>
    <x v="106"/>
    <x v="3"/>
    <x v="350"/>
    <x v="620"/>
    <x v="639"/>
    <x v="223"/>
    <x v="634"/>
    <x v="613"/>
    <x v="1"/>
    <x v="0"/>
    <x v="0"/>
    <x v="0"/>
    <x v="356"/>
    <x v="0"/>
  </r>
  <r>
    <x v="659"/>
    <x v="658"/>
    <x v="201"/>
    <x v="1"/>
    <x v="7"/>
    <x v="7"/>
    <x v="1"/>
    <x v="202"/>
    <x v="33"/>
    <x v="6"/>
    <x v="76"/>
    <x v="7"/>
    <x v="373"/>
    <x v="3"/>
    <x v="351"/>
    <x v="621"/>
    <x v="640"/>
    <x v="487"/>
    <x v="635"/>
    <x v="614"/>
    <x v="1"/>
    <x v="0"/>
    <x v="0"/>
    <x v="2"/>
    <x v="215"/>
    <x v="1"/>
  </r>
  <r>
    <x v="660"/>
    <x v="659"/>
    <x v="286"/>
    <x v="0"/>
    <x v="4"/>
    <x v="4"/>
    <x v="2"/>
    <x v="111"/>
    <x v="20"/>
    <x v="36"/>
    <x v="37"/>
    <x v="2"/>
    <x v="198"/>
    <x v="3"/>
    <x v="352"/>
    <x v="622"/>
    <x v="641"/>
    <x v="462"/>
    <x v="636"/>
    <x v="615"/>
    <x v="3"/>
    <x v="0"/>
    <x v="0"/>
    <x v="0"/>
    <x v="272"/>
    <x v="1"/>
  </r>
  <r>
    <x v="661"/>
    <x v="660"/>
    <x v="169"/>
    <x v="0"/>
    <x v="0"/>
    <x v="0"/>
    <x v="0"/>
    <x v="95"/>
    <x v="109"/>
    <x v="123"/>
    <x v="161"/>
    <x v="2"/>
    <x v="374"/>
    <x v="0"/>
    <x v="0"/>
    <x v="623"/>
    <x v="642"/>
    <x v="227"/>
    <x v="637"/>
    <x v="616"/>
    <x v="3"/>
    <x v="0"/>
    <x v="0"/>
    <x v="1"/>
    <x v="463"/>
    <x v="0"/>
  </r>
  <r>
    <x v="662"/>
    <x v="661"/>
    <x v="287"/>
    <x v="0"/>
    <x v="0"/>
    <x v="0"/>
    <x v="0"/>
    <x v="394"/>
    <x v="41"/>
    <x v="24"/>
    <x v="24"/>
    <x v="6"/>
    <x v="272"/>
    <x v="2"/>
    <x v="353"/>
    <x v="624"/>
    <x v="643"/>
    <x v="197"/>
    <x v="638"/>
    <x v="617"/>
    <x v="0"/>
    <x v="0"/>
    <x v="0"/>
    <x v="0"/>
    <x v="464"/>
    <x v="0"/>
  </r>
  <r>
    <x v="663"/>
    <x v="662"/>
    <x v="69"/>
    <x v="0"/>
    <x v="8"/>
    <x v="8"/>
    <x v="3"/>
    <x v="395"/>
    <x v="23"/>
    <x v="24"/>
    <x v="50"/>
    <x v="2"/>
    <x v="24"/>
    <x v="0"/>
    <x v="0"/>
    <x v="625"/>
    <x v="644"/>
    <x v="488"/>
    <x v="639"/>
    <x v="618"/>
    <x v="4"/>
    <x v="0"/>
    <x v="0"/>
    <x v="2"/>
    <x v="236"/>
    <x v="1"/>
  </r>
  <r>
    <x v="664"/>
    <x v="663"/>
    <x v="57"/>
    <x v="0"/>
    <x v="10"/>
    <x v="10"/>
    <x v="3"/>
    <x v="123"/>
    <x v="109"/>
    <x v="10"/>
    <x v="10"/>
    <x v="6"/>
    <x v="375"/>
    <x v="3"/>
    <x v="354"/>
    <x v="626"/>
    <x v="645"/>
    <x v="172"/>
    <x v="640"/>
    <x v="619"/>
    <x v="1"/>
    <x v="0"/>
    <x v="0"/>
    <x v="1"/>
    <x v="465"/>
    <x v="0"/>
  </r>
  <r>
    <x v="665"/>
    <x v="664"/>
    <x v="44"/>
    <x v="0"/>
    <x v="8"/>
    <x v="8"/>
    <x v="3"/>
    <x v="288"/>
    <x v="142"/>
    <x v="140"/>
    <x v="149"/>
    <x v="3"/>
    <x v="376"/>
    <x v="3"/>
    <x v="355"/>
    <x v="627"/>
    <x v="646"/>
    <x v="489"/>
    <x v="641"/>
    <x v="620"/>
    <x v="3"/>
    <x v="0"/>
    <x v="0"/>
    <x v="0"/>
    <x v="466"/>
    <x v="0"/>
  </r>
  <r>
    <x v="666"/>
    <x v="665"/>
    <x v="65"/>
    <x v="0"/>
    <x v="8"/>
    <x v="8"/>
    <x v="3"/>
    <x v="396"/>
    <x v="19"/>
    <x v="2"/>
    <x v="81"/>
    <x v="1"/>
    <x v="19"/>
    <x v="3"/>
    <x v="73"/>
    <x v="125"/>
    <x v="647"/>
    <x v="121"/>
    <x v="642"/>
    <x v="621"/>
    <x v="5"/>
    <x v="0"/>
    <x v="0"/>
    <x v="0"/>
    <x v="467"/>
    <x v="0"/>
  </r>
  <r>
    <x v="667"/>
    <x v="666"/>
    <x v="266"/>
    <x v="0"/>
    <x v="6"/>
    <x v="6"/>
    <x v="3"/>
    <x v="397"/>
    <x v="83"/>
    <x v="32"/>
    <x v="170"/>
    <x v="0"/>
    <x v="108"/>
    <x v="4"/>
    <x v="356"/>
    <x v="628"/>
    <x v="648"/>
    <x v="490"/>
    <x v="643"/>
    <x v="622"/>
    <x v="4"/>
    <x v="0"/>
    <x v="0"/>
    <x v="0"/>
    <x v="468"/>
    <x v="0"/>
  </r>
  <r>
    <x v="668"/>
    <x v="667"/>
    <x v="47"/>
    <x v="0"/>
    <x v="5"/>
    <x v="5"/>
    <x v="0"/>
    <x v="367"/>
    <x v="46"/>
    <x v="74"/>
    <x v="255"/>
    <x v="2"/>
    <x v="100"/>
    <x v="3"/>
    <x v="357"/>
    <x v="629"/>
    <x v="649"/>
    <x v="392"/>
    <x v="644"/>
    <x v="623"/>
    <x v="4"/>
    <x v="0"/>
    <x v="0"/>
    <x v="0"/>
    <x v="469"/>
    <x v="0"/>
  </r>
  <r>
    <x v="669"/>
    <x v="668"/>
    <x v="205"/>
    <x v="0"/>
    <x v="3"/>
    <x v="3"/>
    <x v="2"/>
    <x v="369"/>
    <x v="122"/>
    <x v="17"/>
    <x v="17"/>
    <x v="1"/>
    <x v="205"/>
    <x v="3"/>
    <x v="358"/>
    <x v="630"/>
    <x v="650"/>
    <x v="491"/>
    <x v="645"/>
    <x v="624"/>
    <x v="2"/>
    <x v="0"/>
    <x v="0"/>
    <x v="0"/>
    <x v="470"/>
    <x v="1"/>
  </r>
  <r>
    <x v="670"/>
    <x v="669"/>
    <x v="140"/>
    <x v="0"/>
    <x v="9"/>
    <x v="9"/>
    <x v="0"/>
    <x v="398"/>
    <x v="122"/>
    <x v="14"/>
    <x v="83"/>
    <x v="2"/>
    <x v="205"/>
    <x v="4"/>
    <x v="303"/>
    <x v="538"/>
    <x v="554"/>
    <x v="439"/>
    <x v="550"/>
    <x v="532"/>
    <x v="2"/>
    <x v="0"/>
    <x v="0"/>
    <x v="0"/>
    <x v="471"/>
    <x v="1"/>
  </r>
  <r>
    <x v="671"/>
    <x v="670"/>
    <x v="40"/>
    <x v="0"/>
    <x v="2"/>
    <x v="2"/>
    <x v="2"/>
    <x v="188"/>
    <x v="75"/>
    <x v="7"/>
    <x v="274"/>
    <x v="4"/>
    <x v="377"/>
    <x v="4"/>
    <x v="359"/>
    <x v="631"/>
    <x v="651"/>
    <x v="210"/>
    <x v="646"/>
    <x v="625"/>
    <x v="2"/>
    <x v="0"/>
    <x v="0"/>
    <x v="0"/>
    <x v="435"/>
    <x v="0"/>
  </r>
  <r>
    <x v="672"/>
    <x v="671"/>
    <x v="267"/>
    <x v="0"/>
    <x v="3"/>
    <x v="3"/>
    <x v="2"/>
    <x v="260"/>
    <x v="117"/>
    <x v="54"/>
    <x v="126"/>
    <x v="6"/>
    <x v="378"/>
    <x v="0"/>
    <x v="0"/>
    <x v="632"/>
    <x v="652"/>
    <x v="250"/>
    <x v="647"/>
    <x v="626"/>
    <x v="1"/>
    <x v="0"/>
    <x v="0"/>
    <x v="2"/>
    <x v="472"/>
    <x v="1"/>
  </r>
  <r>
    <x v="673"/>
    <x v="672"/>
    <x v="288"/>
    <x v="1"/>
    <x v="11"/>
    <x v="11"/>
    <x v="1"/>
    <x v="389"/>
    <x v="77"/>
    <x v="15"/>
    <x v="177"/>
    <x v="4"/>
    <x v="379"/>
    <x v="3"/>
    <x v="360"/>
    <x v="633"/>
    <x v="653"/>
    <x v="492"/>
    <x v="648"/>
    <x v="627"/>
    <x v="3"/>
    <x v="0"/>
    <x v="0"/>
    <x v="0"/>
    <x v="333"/>
    <x v="1"/>
  </r>
  <r>
    <x v="674"/>
    <x v="673"/>
    <x v="136"/>
    <x v="0"/>
    <x v="10"/>
    <x v="10"/>
    <x v="3"/>
    <x v="399"/>
    <x v="43"/>
    <x v="162"/>
    <x v="195"/>
    <x v="0"/>
    <x v="380"/>
    <x v="0"/>
    <x v="0"/>
    <x v="634"/>
    <x v="654"/>
    <x v="493"/>
    <x v="649"/>
    <x v="628"/>
    <x v="0"/>
    <x v="0"/>
    <x v="0"/>
    <x v="1"/>
    <x v="473"/>
    <x v="0"/>
  </r>
  <r>
    <x v="675"/>
    <x v="674"/>
    <x v="190"/>
    <x v="0"/>
    <x v="4"/>
    <x v="4"/>
    <x v="2"/>
    <x v="165"/>
    <x v="55"/>
    <x v="144"/>
    <x v="197"/>
    <x v="2"/>
    <x v="381"/>
    <x v="1"/>
    <x v="361"/>
    <x v="635"/>
    <x v="655"/>
    <x v="64"/>
    <x v="650"/>
    <x v="629"/>
    <x v="4"/>
    <x v="0"/>
    <x v="0"/>
    <x v="0"/>
    <x v="474"/>
    <x v="0"/>
  </r>
  <r>
    <x v="676"/>
    <x v="675"/>
    <x v="203"/>
    <x v="0"/>
    <x v="4"/>
    <x v="4"/>
    <x v="2"/>
    <x v="380"/>
    <x v="70"/>
    <x v="41"/>
    <x v="245"/>
    <x v="1"/>
    <x v="267"/>
    <x v="4"/>
    <x v="249"/>
    <x v="438"/>
    <x v="449"/>
    <x v="372"/>
    <x v="445"/>
    <x v="434"/>
    <x v="5"/>
    <x v="0"/>
    <x v="0"/>
    <x v="0"/>
    <x v="297"/>
    <x v="0"/>
  </r>
  <r>
    <x v="677"/>
    <x v="676"/>
    <x v="214"/>
    <x v="0"/>
    <x v="3"/>
    <x v="3"/>
    <x v="2"/>
    <x v="320"/>
    <x v="71"/>
    <x v="136"/>
    <x v="131"/>
    <x v="0"/>
    <x v="130"/>
    <x v="0"/>
    <x v="0"/>
    <x v="636"/>
    <x v="656"/>
    <x v="494"/>
    <x v="651"/>
    <x v="147"/>
    <x v="5"/>
    <x v="0"/>
    <x v="0"/>
    <x v="0"/>
    <x v="64"/>
    <x v="1"/>
  </r>
  <r>
    <x v="678"/>
    <x v="677"/>
    <x v="77"/>
    <x v="0"/>
    <x v="4"/>
    <x v="4"/>
    <x v="2"/>
    <x v="400"/>
    <x v="38"/>
    <x v="10"/>
    <x v="10"/>
    <x v="1"/>
    <x v="43"/>
    <x v="0"/>
    <x v="0"/>
    <x v="637"/>
    <x v="657"/>
    <x v="328"/>
    <x v="652"/>
    <x v="630"/>
    <x v="5"/>
    <x v="0"/>
    <x v="0"/>
    <x v="0"/>
    <x v="250"/>
    <x v="1"/>
  </r>
  <r>
    <x v="679"/>
    <x v="678"/>
    <x v="133"/>
    <x v="0"/>
    <x v="10"/>
    <x v="10"/>
    <x v="3"/>
    <x v="401"/>
    <x v="35"/>
    <x v="107"/>
    <x v="15"/>
    <x v="1"/>
    <x v="229"/>
    <x v="1"/>
    <x v="362"/>
    <x v="638"/>
    <x v="658"/>
    <x v="495"/>
    <x v="653"/>
    <x v="631"/>
    <x v="5"/>
    <x v="0"/>
    <x v="0"/>
    <x v="0"/>
    <x v="111"/>
    <x v="0"/>
  </r>
  <r>
    <x v="680"/>
    <x v="679"/>
    <x v="289"/>
    <x v="1"/>
    <x v="1"/>
    <x v="1"/>
    <x v="1"/>
    <x v="5"/>
    <x v="140"/>
    <x v="65"/>
    <x v="257"/>
    <x v="6"/>
    <x v="382"/>
    <x v="1"/>
    <x v="363"/>
    <x v="639"/>
    <x v="659"/>
    <x v="496"/>
    <x v="654"/>
    <x v="632"/>
    <x v="1"/>
    <x v="0"/>
    <x v="0"/>
    <x v="2"/>
    <x v="328"/>
    <x v="1"/>
  </r>
  <r>
    <x v="681"/>
    <x v="680"/>
    <x v="144"/>
    <x v="0"/>
    <x v="2"/>
    <x v="2"/>
    <x v="2"/>
    <x v="256"/>
    <x v="36"/>
    <x v="78"/>
    <x v="49"/>
    <x v="7"/>
    <x v="383"/>
    <x v="0"/>
    <x v="0"/>
    <x v="640"/>
    <x v="660"/>
    <x v="497"/>
    <x v="655"/>
    <x v="633"/>
    <x v="3"/>
    <x v="0"/>
    <x v="0"/>
    <x v="0"/>
    <x v="475"/>
    <x v="1"/>
  </r>
  <r>
    <x v="682"/>
    <x v="681"/>
    <x v="268"/>
    <x v="0"/>
    <x v="6"/>
    <x v="6"/>
    <x v="3"/>
    <x v="20"/>
    <x v="79"/>
    <x v="83"/>
    <x v="98"/>
    <x v="7"/>
    <x v="384"/>
    <x v="0"/>
    <x v="0"/>
    <x v="641"/>
    <x v="661"/>
    <x v="498"/>
    <x v="656"/>
    <x v="634"/>
    <x v="2"/>
    <x v="0"/>
    <x v="0"/>
    <x v="0"/>
    <x v="369"/>
    <x v="1"/>
  </r>
  <r>
    <x v="683"/>
    <x v="682"/>
    <x v="188"/>
    <x v="0"/>
    <x v="4"/>
    <x v="4"/>
    <x v="2"/>
    <x v="174"/>
    <x v="102"/>
    <x v="56"/>
    <x v="61"/>
    <x v="4"/>
    <x v="385"/>
    <x v="0"/>
    <x v="0"/>
    <x v="642"/>
    <x v="662"/>
    <x v="499"/>
    <x v="657"/>
    <x v="635"/>
    <x v="4"/>
    <x v="0"/>
    <x v="0"/>
    <x v="0"/>
    <x v="61"/>
    <x v="0"/>
  </r>
  <r>
    <x v="684"/>
    <x v="683"/>
    <x v="244"/>
    <x v="0"/>
    <x v="5"/>
    <x v="5"/>
    <x v="0"/>
    <x v="156"/>
    <x v="96"/>
    <x v="114"/>
    <x v="287"/>
    <x v="4"/>
    <x v="386"/>
    <x v="3"/>
    <x v="364"/>
    <x v="643"/>
    <x v="663"/>
    <x v="500"/>
    <x v="658"/>
    <x v="636"/>
    <x v="2"/>
    <x v="0"/>
    <x v="0"/>
    <x v="0"/>
    <x v="425"/>
    <x v="1"/>
  </r>
  <r>
    <x v="685"/>
    <x v="684"/>
    <x v="160"/>
    <x v="0"/>
    <x v="2"/>
    <x v="2"/>
    <x v="2"/>
    <x v="188"/>
    <x v="102"/>
    <x v="46"/>
    <x v="49"/>
    <x v="2"/>
    <x v="387"/>
    <x v="4"/>
    <x v="365"/>
    <x v="644"/>
    <x v="664"/>
    <x v="152"/>
    <x v="659"/>
    <x v="637"/>
    <x v="4"/>
    <x v="0"/>
    <x v="0"/>
    <x v="1"/>
    <x v="476"/>
    <x v="0"/>
  </r>
  <r>
    <x v="686"/>
    <x v="685"/>
    <x v="281"/>
    <x v="0"/>
    <x v="2"/>
    <x v="2"/>
    <x v="2"/>
    <x v="26"/>
    <x v="118"/>
    <x v="140"/>
    <x v="118"/>
    <x v="2"/>
    <x v="388"/>
    <x v="4"/>
    <x v="366"/>
    <x v="645"/>
    <x v="665"/>
    <x v="501"/>
    <x v="660"/>
    <x v="638"/>
    <x v="5"/>
    <x v="0"/>
    <x v="0"/>
    <x v="0"/>
    <x v="477"/>
    <x v="1"/>
  </r>
  <r>
    <x v="687"/>
    <x v="686"/>
    <x v="272"/>
    <x v="0"/>
    <x v="2"/>
    <x v="2"/>
    <x v="2"/>
    <x v="111"/>
    <x v="86"/>
    <x v="9"/>
    <x v="288"/>
    <x v="2"/>
    <x v="112"/>
    <x v="4"/>
    <x v="367"/>
    <x v="646"/>
    <x v="666"/>
    <x v="502"/>
    <x v="661"/>
    <x v="639"/>
    <x v="5"/>
    <x v="0"/>
    <x v="0"/>
    <x v="0"/>
    <x v="478"/>
    <x v="1"/>
  </r>
  <r>
    <x v="688"/>
    <x v="687"/>
    <x v="47"/>
    <x v="0"/>
    <x v="5"/>
    <x v="5"/>
    <x v="0"/>
    <x v="402"/>
    <x v="92"/>
    <x v="2"/>
    <x v="1"/>
    <x v="2"/>
    <x v="121"/>
    <x v="3"/>
    <x v="368"/>
    <x v="647"/>
    <x v="667"/>
    <x v="133"/>
    <x v="662"/>
    <x v="640"/>
    <x v="0"/>
    <x v="0"/>
    <x v="0"/>
    <x v="0"/>
    <x v="479"/>
    <x v="0"/>
  </r>
  <r>
    <x v="689"/>
    <x v="688"/>
    <x v="208"/>
    <x v="0"/>
    <x v="4"/>
    <x v="4"/>
    <x v="2"/>
    <x v="403"/>
    <x v="56"/>
    <x v="144"/>
    <x v="197"/>
    <x v="5"/>
    <x v="389"/>
    <x v="2"/>
    <x v="369"/>
    <x v="648"/>
    <x v="668"/>
    <x v="503"/>
    <x v="663"/>
    <x v="641"/>
    <x v="1"/>
    <x v="0"/>
    <x v="0"/>
    <x v="2"/>
    <x v="137"/>
    <x v="1"/>
  </r>
  <r>
    <x v="690"/>
    <x v="689"/>
    <x v="87"/>
    <x v="0"/>
    <x v="10"/>
    <x v="10"/>
    <x v="3"/>
    <x v="224"/>
    <x v="73"/>
    <x v="89"/>
    <x v="223"/>
    <x v="2"/>
    <x v="390"/>
    <x v="2"/>
    <x v="370"/>
    <x v="649"/>
    <x v="669"/>
    <x v="504"/>
    <x v="664"/>
    <x v="642"/>
    <x v="2"/>
    <x v="0"/>
    <x v="0"/>
    <x v="0"/>
    <x v="296"/>
    <x v="0"/>
  </r>
  <r>
    <x v="691"/>
    <x v="690"/>
    <x v="172"/>
    <x v="0"/>
    <x v="10"/>
    <x v="10"/>
    <x v="3"/>
    <x v="404"/>
    <x v="129"/>
    <x v="51"/>
    <x v="56"/>
    <x v="2"/>
    <x v="249"/>
    <x v="2"/>
    <x v="371"/>
    <x v="650"/>
    <x v="670"/>
    <x v="505"/>
    <x v="665"/>
    <x v="643"/>
    <x v="4"/>
    <x v="0"/>
    <x v="0"/>
    <x v="2"/>
    <x v="378"/>
    <x v="0"/>
  </r>
  <r>
    <x v="692"/>
    <x v="691"/>
    <x v="5"/>
    <x v="0"/>
    <x v="0"/>
    <x v="0"/>
    <x v="0"/>
    <x v="405"/>
    <x v="105"/>
    <x v="52"/>
    <x v="289"/>
    <x v="2"/>
    <x v="119"/>
    <x v="0"/>
    <x v="0"/>
    <x v="178"/>
    <x v="177"/>
    <x v="165"/>
    <x v="174"/>
    <x v="173"/>
    <x v="5"/>
    <x v="0"/>
    <x v="0"/>
    <x v="0"/>
    <x v="31"/>
    <x v="1"/>
  </r>
  <r>
    <x v="693"/>
    <x v="692"/>
    <x v="104"/>
    <x v="1"/>
    <x v="7"/>
    <x v="7"/>
    <x v="1"/>
    <x v="201"/>
    <x v="3"/>
    <x v="110"/>
    <x v="136"/>
    <x v="7"/>
    <x v="391"/>
    <x v="3"/>
    <x v="372"/>
    <x v="651"/>
    <x v="671"/>
    <x v="506"/>
    <x v="666"/>
    <x v="644"/>
    <x v="5"/>
    <x v="0"/>
    <x v="0"/>
    <x v="0"/>
    <x v="144"/>
    <x v="0"/>
  </r>
  <r>
    <x v="694"/>
    <x v="693"/>
    <x v="216"/>
    <x v="0"/>
    <x v="8"/>
    <x v="8"/>
    <x v="3"/>
    <x v="37"/>
    <x v="13"/>
    <x v="159"/>
    <x v="84"/>
    <x v="2"/>
    <x v="392"/>
    <x v="0"/>
    <x v="0"/>
    <x v="652"/>
    <x v="672"/>
    <x v="507"/>
    <x v="667"/>
    <x v="645"/>
    <x v="2"/>
    <x v="0"/>
    <x v="0"/>
    <x v="0"/>
    <x v="307"/>
    <x v="1"/>
  </r>
  <r>
    <x v="695"/>
    <x v="694"/>
    <x v="172"/>
    <x v="0"/>
    <x v="10"/>
    <x v="10"/>
    <x v="3"/>
    <x v="274"/>
    <x v="51"/>
    <x v="43"/>
    <x v="46"/>
    <x v="3"/>
    <x v="393"/>
    <x v="3"/>
    <x v="373"/>
    <x v="653"/>
    <x v="673"/>
    <x v="508"/>
    <x v="668"/>
    <x v="646"/>
    <x v="3"/>
    <x v="0"/>
    <x v="0"/>
    <x v="0"/>
    <x v="257"/>
    <x v="0"/>
  </r>
  <r>
    <x v="696"/>
    <x v="695"/>
    <x v="20"/>
    <x v="1"/>
    <x v="1"/>
    <x v="1"/>
    <x v="1"/>
    <x v="225"/>
    <x v="136"/>
    <x v="104"/>
    <x v="130"/>
    <x v="4"/>
    <x v="306"/>
    <x v="0"/>
    <x v="0"/>
    <x v="654"/>
    <x v="674"/>
    <x v="399"/>
    <x v="669"/>
    <x v="647"/>
    <x v="0"/>
    <x v="0"/>
    <x v="0"/>
    <x v="0"/>
    <x v="480"/>
    <x v="1"/>
  </r>
  <r>
    <x v="697"/>
    <x v="696"/>
    <x v="120"/>
    <x v="0"/>
    <x v="10"/>
    <x v="10"/>
    <x v="3"/>
    <x v="5"/>
    <x v="4"/>
    <x v="125"/>
    <x v="163"/>
    <x v="2"/>
    <x v="394"/>
    <x v="0"/>
    <x v="0"/>
    <x v="655"/>
    <x v="675"/>
    <x v="4"/>
    <x v="670"/>
    <x v="648"/>
    <x v="4"/>
    <x v="0"/>
    <x v="0"/>
    <x v="0"/>
    <x v="402"/>
    <x v="1"/>
  </r>
  <r>
    <x v="698"/>
    <x v="697"/>
    <x v="123"/>
    <x v="0"/>
    <x v="8"/>
    <x v="8"/>
    <x v="3"/>
    <x v="87"/>
    <x v="116"/>
    <x v="42"/>
    <x v="30"/>
    <x v="1"/>
    <x v="178"/>
    <x v="0"/>
    <x v="0"/>
    <x v="237"/>
    <x v="676"/>
    <x v="217"/>
    <x v="671"/>
    <x v="649"/>
    <x v="1"/>
    <x v="0"/>
    <x v="0"/>
    <x v="0"/>
    <x v="44"/>
    <x v="1"/>
  </r>
  <r>
    <x v="699"/>
    <x v="698"/>
    <x v="67"/>
    <x v="0"/>
    <x v="8"/>
    <x v="8"/>
    <x v="3"/>
    <x v="406"/>
    <x v="20"/>
    <x v="35"/>
    <x v="36"/>
    <x v="2"/>
    <x v="198"/>
    <x v="2"/>
    <x v="374"/>
    <x v="656"/>
    <x v="677"/>
    <x v="462"/>
    <x v="672"/>
    <x v="650"/>
    <x v="0"/>
    <x v="0"/>
    <x v="0"/>
    <x v="0"/>
    <x v="372"/>
    <x v="0"/>
  </r>
  <r>
    <x v="700"/>
    <x v="699"/>
    <x v="102"/>
    <x v="0"/>
    <x v="8"/>
    <x v="8"/>
    <x v="3"/>
    <x v="407"/>
    <x v="48"/>
    <x v="169"/>
    <x v="166"/>
    <x v="6"/>
    <x v="53"/>
    <x v="0"/>
    <x v="0"/>
    <x v="657"/>
    <x v="678"/>
    <x v="400"/>
    <x v="673"/>
    <x v="53"/>
    <x v="5"/>
    <x v="0"/>
    <x v="0"/>
    <x v="0"/>
    <x v="138"/>
    <x v="1"/>
  </r>
  <r>
    <x v="701"/>
    <x v="700"/>
    <x v="290"/>
    <x v="1"/>
    <x v="1"/>
    <x v="1"/>
    <x v="1"/>
    <x v="38"/>
    <x v="116"/>
    <x v="75"/>
    <x v="130"/>
    <x v="6"/>
    <x v="395"/>
    <x v="0"/>
    <x v="0"/>
    <x v="658"/>
    <x v="679"/>
    <x v="331"/>
    <x v="674"/>
    <x v="651"/>
    <x v="2"/>
    <x v="0"/>
    <x v="0"/>
    <x v="0"/>
    <x v="301"/>
    <x v="1"/>
  </r>
  <r>
    <x v="702"/>
    <x v="701"/>
    <x v="26"/>
    <x v="0"/>
    <x v="8"/>
    <x v="8"/>
    <x v="3"/>
    <x v="47"/>
    <x v="83"/>
    <x v="79"/>
    <x v="97"/>
    <x v="2"/>
    <x v="396"/>
    <x v="1"/>
    <x v="375"/>
    <x v="659"/>
    <x v="680"/>
    <x v="174"/>
    <x v="675"/>
    <x v="652"/>
    <x v="2"/>
    <x v="0"/>
    <x v="0"/>
    <x v="1"/>
    <x v="481"/>
    <x v="0"/>
  </r>
  <r>
    <x v="703"/>
    <x v="702"/>
    <x v="291"/>
    <x v="0"/>
    <x v="8"/>
    <x v="8"/>
    <x v="3"/>
    <x v="203"/>
    <x v="66"/>
    <x v="135"/>
    <x v="180"/>
    <x v="6"/>
    <x v="80"/>
    <x v="0"/>
    <x v="0"/>
    <x v="142"/>
    <x v="681"/>
    <x v="136"/>
    <x v="676"/>
    <x v="527"/>
    <x v="2"/>
    <x v="0"/>
    <x v="0"/>
    <x v="2"/>
    <x v="342"/>
    <x v="1"/>
  </r>
  <r>
    <x v="704"/>
    <x v="703"/>
    <x v="69"/>
    <x v="0"/>
    <x v="8"/>
    <x v="8"/>
    <x v="3"/>
    <x v="274"/>
    <x v="34"/>
    <x v="5"/>
    <x v="192"/>
    <x v="4"/>
    <x v="397"/>
    <x v="1"/>
    <x v="376"/>
    <x v="660"/>
    <x v="682"/>
    <x v="192"/>
    <x v="677"/>
    <x v="653"/>
    <x v="2"/>
    <x v="0"/>
    <x v="0"/>
    <x v="2"/>
    <x v="285"/>
    <x v="1"/>
  </r>
  <r>
    <x v="705"/>
    <x v="704"/>
    <x v="270"/>
    <x v="0"/>
    <x v="2"/>
    <x v="2"/>
    <x v="2"/>
    <x v="81"/>
    <x v="76"/>
    <x v="107"/>
    <x v="15"/>
    <x v="7"/>
    <x v="398"/>
    <x v="0"/>
    <x v="0"/>
    <x v="661"/>
    <x v="683"/>
    <x v="509"/>
    <x v="678"/>
    <x v="654"/>
    <x v="0"/>
    <x v="0"/>
    <x v="0"/>
    <x v="0"/>
    <x v="163"/>
    <x v="1"/>
  </r>
  <r>
    <x v="706"/>
    <x v="705"/>
    <x v="30"/>
    <x v="0"/>
    <x v="6"/>
    <x v="6"/>
    <x v="3"/>
    <x v="36"/>
    <x v="128"/>
    <x v="56"/>
    <x v="61"/>
    <x v="2"/>
    <x v="399"/>
    <x v="0"/>
    <x v="0"/>
    <x v="662"/>
    <x v="684"/>
    <x v="510"/>
    <x v="679"/>
    <x v="655"/>
    <x v="1"/>
    <x v="0"/>
    <x v="0"/>
    <x v="0"/>
    <x v="482"/>
    <x v="0"/>
  </r>
  <r>
    <x v="707"/>
    <x v="706"/>
    <x v="292"/>
    <x v="0"/>
    <x v="4"/>
    <x v="4"/>
    <x v="2"/>
    <x v="265"/>
    <x v="10"/>
    <x v="90"/>
    <x v="246"/>
    <x v="6"/>
    <x v="10"/>
    <x v="3"/>
    <x v="377"/>
    <x v="663"/>
    <x v="685"/>
    <x v="511"/>
    <x v="680"/>
    <x v="656"/>
    <x v="2"/>
    <x v="0"/>
    <x v="0"/>
    <x v="1"/>
    <x v="318"/>
    <x v="1"/>
  </r>
  <r>
    <x v="708"/>
    <x v="707"/>
    <x v="110"/>
    <x v="1"/>
    <x v="1"/>
    <x v="1"/>
    <x v="1"/>
    <x v="408"/>
    <x v="108"/>
    <x v="135"/>
    <x v="180"/>
    <x v="3"/>
    <x v="400"/>
    <x v="2"/>
    <x v="378"/>
    <x v="664"/>
    <x v="686"/>
    <x v="512"/>
    <x v="681"/>
    <x v="657"/>
    <x v="0"/>
    <x v="0"/>
    <x v="0"/>
    <x v="0"/>
    <x v="167"/>
    <x v="0"/>
  </r>
  <r>
    <x v="709"/>
    <x v="708"/>
    <x v="267"/>
    <x v="0"/>
    <x v="3"/>
    <x v="3"/>
    <x v="2"/>
    <x v="409"/>
    <x v="128"/>
    <x v="114"/>
    <x v="240"/>
    <x v="2"/>
    <x v="341"/>
    <x v="4"/>
    <x v="379"/>
    <x v="665"/>
    <x v="687"/>
    <x v="510"/>
    <x v="682"/>
    <x v="658"/>
    <x v="2"/>
    <x v="0"/>
    <x v="0"/>
    <x v="0"/>
    <x v="113"/>
    <x v="1"/>
  </r>
  <r>
    <x v="710"/>
    <x v="709"/>
    <x v="44"/>
    <x v="0"/>
    <x v="8"/>
    <x v="8"/>
    <x v="3"/>
    <x v="389"/>
    <x v="57"/>
    <x v="34"/>
    <x v="35"/>
    <x v="3"/>
    <x v="401"/>
    <x v="2"/>
    <x v="380"/>
    <x v="666"/>
    <x v="688"/>
    <x v="513"/>
    <x v="683"/>
    <x v="659"/>
    <x v="2"/>
    <x v="0"/>
    <x v="0"/>
    <x v="1"/>
    <x v="483"/>
    <x v="0"/>
  </r>
  <r>
    <x v="711"/>
    <x v="710"/>
    <x v="293"/>
    <x v="0"/>
    <x v="5"/>
    <x v="5"/>
    <x v="0"/>
    <x v="410"/>
    <x v="63"/>
    <x v="98"/>
    <x v="152"/>
    <x v="1"/>
    <x v="187"/>
    <x v="0"/>
    <x v="0"/>
    <x v="667"/>
    <x v="689"/>
    <x v="514"/>
    <x v="684"/>
    <x v="660"/>
    <x v="5"/>
    <x v="0"/>
    <x v="0"/>
    <x v="0"/>
    <x v="38"/>
    <x v="1"/>
  </r>
  <r>
    <x v="712"/>
    <x v="711"/>
    <x v="181"/>
    <x v="0"/>
    <x v="3"/>
    <x v="3"/>
    <x v="2"/>
    <x v="192"/>
    <x v="55"/>
    <x v="119"/>
    <x v="157"/>
    <x v="2"/>
    <x v="362"/>
    <x v="1"/>
    <x v="381"/>
    <x v="668"/>
    <x v="690"/>
    <x v="64"/>
    <x v="685"/>
    <x v="661"/>
    <x v="0"/>
    <x v="0"/>
    <x v="0"/>
    <x v="0"/>
    <x v="98"/>
    <x v="1"/>
  </r>
  <r>
    <x v="713"/>
    <x v="712"/>
    <x v="189"/>
    <x v="0"/>
    <x v="6"/>
    <x v="6"/>
    <x v="3"/>
    <x v="92"/>
    <x v="22"/>
    <x v="79"/>
    <x v="97"/>
    <x v="4"/>
    <x v="23"/>
    <x v="2"/>
    <x v="382"/>
    <x v="490"/>
    <x v="502"/>
    <x v="23"/>
    <x v="686"/>
    <x v="662"/>
    <x v="4"/>
    <x v="0"/>
    <x v="0"/>
    <x v="2"/>
    <x v="484"/>
    <x v="1"/>
  </r>
  <r>
    <x v="714"/>
    <x v="713"/>
    <x v="252"/>
    <x v="0"/>
    <x v="6"/>
    <x v="6"/>
    <x v="3"/>
    <x v="411"/>
    <x v="14"/>
    <x v="3"/>
    <x v="3"/>
    <x v="4"/>
    <x v="14"/>
    <x v="0"/>
    <x v="0"/>
    <x v="669"/>
    <x v="691"/>
    <x v="99"/>
    <x v="687"/>
    <x v="14"/>
    <x v="0"/>
    <x v="0"/>
    <x v="0"/>
    <x v="1"/>
    <x v="485"/>
    <x v="1"/>
  </r>
  <r>
    <x v="715"/>
    <x v="714"/>
    <x v="184"/>
    <x v="0"/>
    <x v="4"/>
    <x v="4"/>
    <x v="2"/>
    <x v="412"/>
    <x v="102"/>
    <x v="38"/>
    <x v="13"/>
    <x v="4"/>
    <x v="136"/>
    <x v="0"/>
    <x v="0"/>
    <x v="670"/>
    <x v="692"/>
    <x v="499"/>
    <x v="688"/>
    <x v="584"/>
    <x v="1"/>
    <x v="0"/>
    <x v="0"/>
    <x v="2"/>
    <x v="181"/>
    <x v="1"/>
  </r>
  <r>
    <x v="716"/>
    <x v="715"/>
    <x v="23"/>
    <x v="0"/>
    <x v="2"/>
    <x v="2"/>
    <x v="2"/>
    <x v="246"/>
    <x v="123"/>
    <x v="45"/>
    <x v="48"/>
    <x v="0"/>
    <x v="212"/>
    <x v="1"/>
    <x v="173"/>
    <x v="671"/>
    <x v="693"/>
    <x v="515"/>
    <x v="689"/>
    <x v="663"/>
    <x v="5"/>
    <x v="0"/>
    <x v="0"/>
    <x v="0"/>
    <x v="482"/>
    <x v="0"/>
  </r>
  <r>
    <x v="717"/>
    <x v="716"/>
    <x v="158"/>
    <x v="0"/>
    <x v="4"/>
    <x v="4"/>
    <x v="2"/>
    <x v="413"/>
    <x v="26"/>
    <x v="81"/>
    <x v="35"/>
    <x v="0"/>
    <x v="29"/>
    <x v="2"/>
    <x v="246"/>
    <x v="672"/>
    <x v="694"/>
    <x v="516"/>
    <x v="690"/>
    <x v="664"/>
    <x v="3"/>
    <x v="0"/>
    <x v="0"/>
    <x v="2"/>
    <x v="486"/>
    <x v="1"/>
  </r>
  <r>
    <x v="718"/>
    <x v="717"/>
    <x v="217"/>
    <x v="0"/>
    <x v="4"/>
    <x v="4"/>
    <x v="2"/>
    <x v="414"/>
    <x v="44"/>
    <x v="80"/>
    <x v="290"/>
    <x v="4"/>
    <x v="242"/>
    <x v="0"/>
    <x v="0"/>
    <x v="673"/>
    <x v="695"/>
    <x v="373"/>
    <x v="691"/>
    <x v="665"/>
    <x v="3"/>
    <x v="0"/>
    <x v="0"/>
    <x v="0"/>
    <x v="487"/>
    <x v="0"/>
  </r>
  <r>
    <x v="719"/>
    <x v="718"/>
    <x v="167"/>
    <x v="1"/>
    <x v="7"/>
    <x v="7"/>
    <x v="1"/>
    <x v="415"/>
    <x v="105"/>
    <x v="54"/>
    <x v="59"/>
    <x v="6"/>
    <x v="119"/>
    <x v="2"/>
    <x v="383"/>
    <x v="674"/>
    <x v="696"/>
    <x v="395"/>
    <x v="692"/>
    <x v="666"/>
    <x v="4"/>
    <x v="0"/>
    <x v="0"/>
    <x v="0"/>
    <x v="488"/>
    <x v="1"/>
  </r>
  <r>
    <x v="720"/>
    <x v="719"/>
    <x v="270"/>
    <x v="0"/>
    <x v="2"/>
    <x v="2"/>
    <x v="2"/>
    <x v="416"/>
    <x v="74"/>
    <x v="140"/>
    <x v="141"/>
    <x v="1"/>
    <x v="104"/>
    <x v="0"/>
    <x v="0"/>
    <x v="675"/>
    <x v="697"/>
    <x v="517"/>
    <x v="693"/>
    <x v="667"/>
    <x v="0"/>
    <x v="0"/>
    <x v="0"/>
    <x v="0"/>
    <x v="489"/>
    <x v="1"/>
  </r>
  <r>
    <x v="721"/>
    <x v="720"/>
    <x v="121"/>
    <x v="0"/>
    <x v="4"/>
    <x v="4"/>
    <x v="2"/>
    <x v="165"/>
    <x v="71"/>
    <x v="165"/>
    <x v="197"/>
    <x v="3"/>
    <x v="402"/>
    <x v="1"/>
    <x v="384"/>
    <x v="676"/>
    <x v="698"/>
    <x v="93"/>
    <x v="694"/>
    <x v="668"/>
    <x v="2"/>
    <x v="0"/>
    <x v="0"/>
    <x v="0"/>
    <x v="490"/>
    <x v="1"/>
  </r>
  <r>
    <x v="722"/>
    <x v="721"/>
    <x v="86"/>
    <x v="0"/>
    <x v="6"/>
    <x v="6"/>
    <x v="3"/>
    <x v="54"/>
    <x v="109"/>
    <x v="35"/>
    <x v="36"/>
    <x v="5"/>
    <x v="403"/>
    <x v="0"/>
    <x v="0"/>
    <x v="677"/>
    <x v="699"/>
    <x v="199"/>
    <x v="695"/>
    <x v="669"/>
    <x v="2"/>
    <x v="0"/>
    <x v="0"/>
    <x v="0"/>
    <x v="491"/>
    <x v="0"/>
  </r>
  <r>
    <x v="723"/>
    <x v="722"/>
    <x v="116"/>
    <x v="0"/>
    <x v="8"/>
    <x v="8"/>
    <x v="3"/>
    <x v="288"/>
    <x v="84"/>
    <x v="59"/>
    <x v="112"/>
    <x v="6"/>
    <x v="404"/>
    <x v="0"/>
    <x v="0"/>
    <x v="678"/>
    <x v="700"/>
    <x v="119"/>
    <x v="696"/>
    <x v="670"/>
    <x v="4"/>
    <x v="0"/>
    <x v="0"/>
    <x v="0"/>
    <x v="492"/>
    <x v="1"/>
  </r>
  <r>
    <x v="724"/>
    <x v="723"/>
    <x v="160"/>
    <x v="0"/>
    <x v="2"/>
    <x v="2"/>
    <x v="2"/>
    <x v="417"/>
    <x v="135"/>
    <x v="81"/>
    <x v="35"/>
    <x v="6"/>
    <x v="286"/>
    <x v="2"/>
    <x v="385"/>
    <x v="679"/>
    <x v="701"/>
    <x v="518"/>
    <x v="697"/>
    <x v="671"/>
    <x v="1"/>
    <x v="0"/>
    <x v="0"/>
    <x v="0"/>
    <x v="493"/>
    <x v="0"/>
  </r>
  <r>
    <x v="725"/>
    <x v="724"/>
    <x v="158"/>
    <x v="0"/>
    <x v="4"/>
    <x v="4"/>
    <x v="2"/>
    <x v="63"/>
    <x v="19"/>
    <x v="167"/>
    <x v="177"/>
    <x v="4"/>
    <x v="19"/>
    <x v="2"/>
    <x v="386"/>
    <x v="423"/>
    <x v="702"/>
    <x v="19"/>
    <x v="698"/>
    <x v="672"/>
    <x v="5"/>
    <x v="0"/>
    <x v="0"/>
    <x v="0"/>
    <x v="310"/>
    <x v="1"/>
  </r>
  <r>
    <x v="726"/>
    <x v="725"/>
    <x v="42"/>
    <x v="0"/>
    <x v="8"/>
    <x v="8"/>
    <x v="3"/>
    <x v="386"/>
    <x v="49"/>
    <x v="75"/>
    <x v="174"/>
    <x v="7"/>
    <x v="405"/>
    <x v="0"/>
    <x v="0"/>
    <x v="680"/>
    <x v="703"/>
    <x v="456"/>
    <x v="699"/>
    <x v="673"/>
    <x v="5"/>
    <x v="0"/>
    <x v="0"/>
    <x v="2"/>
    <x v="253"/>
    <x v="0"/>
  </r>
  <r>
    <x v="727"/>
    <x v="726"/>
    <x v="53"/>
    <x v="1"/>
    <x v="11"/>
    <x v="11"/>
    <x v="1"/>
    <x v="386"/>
    <x v="28"/>
    <x v="113"/>
    <x v="291"/>
    <x v="4"/>
    <x v="406"/>
    <x v="1"/>
    <x v="387"/>
    <x v="681"/>
    <x v="704"/>
    <x v="32"/>
    <x v="700"/>
    <x v="674"/>
    <x v="0"/>
    <x v="0"/>
    <x v="0"/>
    <x v="0"/>
    <x v="472"/>
    <x v="0"/>
  </r>
  <r>
    <x v="728"/>
    <x v="727"/>
    <x v="138"/>
    <x v="0"/>
    <x v="10"/>
    <x v="10"/>
    <x v="3"/>
    <x v="418"/>
    <x v="16"/>
    <x v="140"/>
    <x v="80"/>
    <x v="6"/>
    <x v="106"/>
    <x v="4"/>
    <x v="388"/>
    <x v="682"/>
    <x v="705"/>
    <x v="223"/>
    <x v="701"/>
    <x v="675"/>
    <x v="3"/>
    <x v="0"/>
    <x v="0"/>
    <x v="2"/>
    <x v="332"/>
    <x v="1"/>
  </r>
  <r>
    <x v="729"/>
    <x v="728"/>
    <x v="103"/>
    <x v="0"/>
    <x v="4"/>
    <x v="4"/>
    <x v="2"/>
    <x v="419"/>
    <x v="92"/>
    <x v="151"/>
    <x v="35"/>
    <x v="0"/>
    <x v="121"/>
    <x v="0"/>
    <x v="0"/>
    <x v="419"/>
    <x v="706"/>
    <x v="359"/>
    <x v="702"/>
    <x v="676"/>
    <x v="3"/>
    <x v="0"/>
    <x v="0"/>
    <x v="0"/>
    <x v="312"/>
    <x v="1"/>
  </r>
  <r>
    <x v="730"/>
    <x v="729"/>
    <x v="23"/>
    <x v="0"/>
    <x v="2"/>
    <x v="2"/>
    <x v="2"/>
    <x v="420"/>
    <x v="13"/>
    <x v="144"/>
    <x v="197"/>
    <x v="2"/>
    <x v="13"/>
    <x v="4"/>
    <x v="7"/>
    <x v="683"/>
    <x v="707"/>
    <x v="507"/>
    <x v="703"/>
    <x v="677"/>
    <x v="3"/>
    <x v="0"/>
    <x v="0"/>
    <x v="0"/>
    <x v="472"/>
    <x v="0"/>
  </r>
  <r>
    <x v="731"/>
    <x v="730"/>
    <x v="103"/>
    <x v="0"/>
    <x v="4"/>
    <x v="4"/>
    <x v="2"/>
    <x v="321"/>
    <x v="51"/>
    <x v="29"/>
    <x v="30"/>
    <x v="7"/>
    <x v="407"/>
    <x v="2"/>
    <x v="389"/>
    <x v="684"/>
    <x v="708"/>
    <x v="377"/>
    <x v="704"/>
    <x v="678"/>
    <x v="3"/>
    <x v="0"/>
    <x v="0"/>
    <x v="0"/>
    <x v="134"/>
    <x v="1"/>
  </r>
  <r>
    <x v="732"/>
    <x v="731"/>
    <x v="294"/>
    <x v="0"/>
    <x v="9"/>
    <x v="9"/>
    <x v="0"/>
    <x v="421"/>
    <x v="2"/>
    <x v="159"/>
    <x v="216"/>
    <x v="2"/>
    <x v="2"/>
    <x v="3"/>
    <x v="390"/>
    <x v="685"/>
    <x v="709"/>
    <x v="254"/>
    <x v="705"/>
    <x v="679"/>
    <x v="3"/>
    <x v="0"/>
    <x v="0"/>
    <x v="0"/>
    <x v="340"/>
    <x v="1"/>
  </r>
  <r>
    <x v="733"/>
    <x v="732"/>
    <x v="141"/>
    <x v="0"/>
    <x v="0"/>
    <x v="0"/>
    <x v="0"/>
    <x v="209"/>
    <x v="133"/>
    <x v="106"/>
    <x v="132"/>
    <x v="2"/>
    <x v="333"/>
    <x v="0"/>
    <x v="0"/>
    <x v="686"/>
    <x v="710"/>
    <x v="519"/>
    <x v="706"/>
    <x v="680"/>
    <x v="5"/>
    <x v="0"/>
    <x v="0"/>
    <x v="1"/>
    <x v="433"/>
    <x v="0"/>
  </r>
  <r>
    <x v="734"/>
    <x v="733"/>
    <x v="188"/>
    <x v="0"/>
    <x v="4"/>
    <x v="4"/>
    <x v="2"/>
    <x v="422"/>
    <x v="18"/>
    <x v="133"/>
    <x v="245"/>
    <x v="1"/>
    <x v="18"/>
    <x v="0"/>
    <x v="0"/>
    <x v="687"/>
    <x v="711"/>
    <x v="520"/>
    <x v="707"/>
    <x v="681"/>
    <x v="3"/>
    <x v="0"/>
    <x v="0"/>
    <x v="2"/>
    <x v="455"/>
    <x v="0"/>
  </r>
  <r>
    <x v="735"/>
    <x v="734"/>
    <x v="162"/>
    <x v="0"/>
    <x v="8"/>
    <x v="8"/>
    <x v="3"/>
    <x v="306"/>
    <x v="19"/>
    <x v="145"/>
    <x v="281"/>
    <x v="3"/>
    <x v="408"/>
    <x v="0"/>
    <x v="0"/>
    <x v="688"/>
    <x v="712"/>
    <x v="521"/>
    <x v="708"/>
    <x v="682"/>
    <x v="4"/>
    <x v="1"/>
    <x v="1"/>
    <x v="0"/>
    <x v="494"/>
    <x v="0"/>
  </r>
  <r>
    <x v="736"/>
    <x v="735"/>
    <x v="43"/>
    <x v="0"/>
    <x v="6"/>
    <x v="6"/>
    <x v="3"/>
    <x v="129"/>
    <x v="13"/>
    <x v="122"/>
    <x v="45"/>
    <x v="7"/>
    <x v="409"/>
    <x v="0"/>
    <x v="0"/>
    <x v="689"/>
    <x v="713"/>
    <x v="522"/>
    <x v="709"/>
    <x v="683"/>
    <x v="3"/>
    <x v="0"/>
    <x v="0"/>
    <x v="0"/>
    <x v="495"/>
    <x v="1"/>
  </r>
  <r>
    <x v="737"/>
    <x v="736"/>
    <x v="46"/>
    <x v="0"/>
    <x v="10"/>
    <x v="10"/>
    <x v="3"/>
    <x v="44"/>
    <x v="65"/>
    <x v="118"/>
    <x v="149"/>
    <x v="3"/>
    <x v="410"/>
    <x v="0"/>
    <x v="0"/>
    <x v="690"/>
    <x v="714"/>
    <x v="523"/>
    <x v="710"/>
    <x v="684"/>
    <x v="5"/>
    <x v="1"/>
    <x v="1"/>
    <x v="0"/>
    <x v="47"/>
    <x v="1"/>
  </r>
  <r>
    <x v="738"/>
    <x v="737"/>
    <x v="120"/>
    <x v="0"/>
    <x v="10"/>
    <x v="10"/>
    <x v="3"/>
    <x v="423"/>
    <x v="5"/>
    <x v="24"/>
    <x v="50"/>
    <x v="4"/>
    <x v="139"/>
    <x v="0"/>
    <x v="0"/>
    <x v="691"/>
    <x v="715"/>
    <x v="274"/>
    <x v="711"/>
    <x v="685"/>
    <x v="4"/>
    <x v="0"/>
    <x v="0"/>
    <x v="0"/>
    <x v="496"/>
    <x v="1"/>
  </r>
  <r>
    <x v="739"/>
    <x v="738"/>
    <x v="62"/>
    <x v="0"/>
    <x v="10"/>
    <x v="10"/>
    <x v="3"/>
    <x v="217"/>
    <x v="33"/>
    <x v="42"/>
    <x v="0"/>
    <x v="6"/>
    <x v="411"/>
    <x v="1"/>
    <x v="391"/>
    <x v="692"/>
    <x v="716"/>
    <x v="524"/>
    <x v="712"/>
    <x v="686"/>
    <x v="4"/>
    <x v="0"/>
    <x v="0"/>
    <x v="0"/>
    <x v="497"/>
    <x v="1"/>
  </r>
  <r>
    <x v="740"/>
    <x v="739"/>
    <x v="23"/>
    <x v="0"/>
    <x v="2"/>
    <x v="2"/>
    <x v="2"/>
    <x v="352"/>
    <x v="131"/>
    <x v="68"/>
    <x v="209"/>
    <x v="6"/>
    <x v="276"/>
    <x v="0"/>
    <x v="0"/>
    <x v="693"/>
    <x v="717"/>
    <x v="525"/>
    <x v="713"/>
    <x v="410"/>
    <x v="1"/>
    <x v="0"/>
    <x v="0"/>
    <x v="0"/>
    <x v="498"/>
    <x v="0"/>
  </r>
  <r>
    <x v="741"/>
    <x v="740"/>
    <x v="197"/>
    <x v="0"/>
    <x v="10"/>
    <x v="10"/>
    <x v="3"/>
    <x v="424"/>
    <x v="57"/>
    <x v="52"/>
    <x v="143"/>
    <x v="2"/>
    <x v="65"/>
    <x v="3"/>
    <x v="392"/>
    <x v="694"/>
    <x v="718"/>
    <x v="67"/>
    <x v="714"/>
    <x v="687"/>
    <x v="4"/>
    <x v="0"/>
    <x v="0"/>
    <x v="1"/>
    <x v="488"/>
    <x v="1"/>
  </r>
  <r>
    <x v="742"/>
    <x v="741"/>
    <x v="228"/>
    <x v="0"/>
    <x v="6"/>
    <x v="6"/>
    <x v="3"/>
    <x v="264"/>
    <x v="103"/>
    <x v="128"/>
    <x v="278"/>
    <x v="4"/>
    <x v="412"/>
    <x v="2"/>
    <x v="393"/>
    <x v="695"/>
    <x v="719"/>
    <x v="526"/>
    <x v="715"/>
    <x v="688"/>
    <x v="5"/>
    <x v="0"/>
    <x v="0"/>
    <x v="0"/>
    <x v="149"/>
    <x v="0"/>
  </r>
  <r>
    <x v="743"/>
    <x v="742"/>
    <x v="35"/>
    <x v="0"/>
    <x v="8"/>
    <x v="8"/>
    <x v="3"/>
    <x v="425"/>
    <x v="60"/>
    <x v="128"/>
    <x v="167"/>
    <x v="6"/>
    <x v="68"/>
    <x v="0"/>
    <x v="0"/>
    <x v="696"/>
    <x v="720"/>
    <x v="527"/>
    <x v="716"/>
    <x v="238"/>
    <x v="3"/>
    <x v="0"/>
    <x v="0"/>
    <x v="2"/>
    <x v="429"/>
    <x v="1"/>
  </r>
  <r>
    <x v="744"/>
    <x v="743"/>
    <x v="295"/>
    <x v="0"/>
    <x v="4"/>
    <x v="4"/>
    <x v="2"/>
    <x v="169"/>
    <x v="135"/>
    <x v="170"/>
    <x v="292"/>
    <x v="7"/>
    <x v="413"/>
    <x v="3"/>
    <x v="394"/>
    <x v="697"/>
    <x v="721"/>
    <x v="528"/>
    <x v="717"/>
    <x v="689"/>
    <x v="4"/>
    <x v="0"/>
    <x v="0"/>
    <x v="0"/>
    <x v="169"/>
    <x v="0"/>
  </r>
  <r>
    <x v="745"/>
    <x v="744"/>
    <x v="77"/>
    <x v="0"/>
    <x v="4"/>
    <x v="4"/>
    <x v="2"/>
    <x v="426"/>
    <x v="34"/>
    <x v="1"/>
    <x v="1"/>
    <x v="2"/>
    <x v="219"/>
    <x v="0"/>
    <x v="0"/>
    <x v="698"/>
    <x v="722"/>
    <x v="529"/>
    <x v="718"/>
    <x v="293"/>
    <x v="1"/>
    <x v="0"/>
    <x v="0"/>
    <x v="0"/>
    <x v="302"/>
    <x v="1"/>
  </r>
  <r>
    <x v="746"/>
    <x v="745"/>
    <x v="228"/>
    <x v="0"/>
    <x v="6"/>
    <x v="6"/>
    <x v="3"/>
    <x v="73"/>
    <x v="44"/>
    <x v="119"/>
    <x v="293"/>
    <x v="7"/>
    <x v="414"/>
    <x v="4"/>
    <x v="395"/>
    <x v="699"/>
    <x v="723"/>
    <x v="530"/>
    <x v="719"/>
    <x v="690"/>
    <x v="3"/>
    <x v="0"/>
    <x v="0"/>
    <x v="2"/>
    <x v="28"/>
    <x v="0"/>
  </r>
  <r>
    <x v="747"/>
    <x v="746"/>
    <x v="296"/>
    <x v="1"/>
    <x v="11"/>
    <x v="11"/>
    <x v="1"/>
    <x v="363"/>
    <x v="99"/>
    <x v="14"/>
    <x v="83"/>
    <x v="0"/>
    <x v="137"/>
    <x v="0"/>
    <x v="0"/>
    <x v="700"/>
    <x v="724"/>
    <x v="531"/>
    <x v="720"/>
    <x v="266"/>
    <x v="0"/>
    <x v="0"/>
    <x v="0"/>
    <x v="0"/>
    <x v="499"/>
    <x v="1"/>
  </r>
  <r>
    <x v="748"/>
    <x v="747"/>
    <x v="14"/>
    <x v="0"/>
    <x v="0"/>
    <x v="0"/>
    <x v="0"/>
    <x v="26"/>
    <x v="73"/>
    <x v="79"/>
    <x v="93"/>
    <x v="3"/>
    <x v="415"/>
    <x v="0"/>
    <x v="0"/>
    <x v="701"/>
    <x v="725"/>
    <x v="374"/>
    <x v="721"/>
    <x v="691"/>
    <x v="4"/>
    <x v="0"/>
    <x v="0"/>
    <x v="0"/>
    <x v="100"/>
    <x v="0"/>
  </r>
  <r>
    <x v="749"/>
    <x v="748"/>
    <x v="164"/>
    <x v="0"/>
    <x v="6"/>
    <x v="6"/>
    <x v="3"/>
    <x v="427"/>
    <x v="126"/>
    <x v="4"/>
    <x v="294"/>
    <x v="2"/>
    <x v="227"/>
    <x v="0"/>
    <x v="0"/>
    <x v="702"/>
    <x v="726"/>
    <x v="532"/>
    <x v="722"/>
    <x v="692"/>
    <x v="3"/>
    <x v="0"/>
    <x v="0"/>
    <x v="1"/>
    <x v="313"/>
    <x v="1"/>
  </r>
  <r>
    <x v="750"/>
    <x v="749"/>
    <x v="248"/>
    <x v="0"/>
    <x v="5"/>
    <x v="5"/>
    <x v="0"/>
    <x v="428"/>
    <x v="13"/>
    <x v="61"/>
    <x v="13"/>
    <x v="6"/>
    <x v="13"/>
    <x v="0"/>
    <x v="0"/>
    <x v="703"/>
    <x v="727"/>
    <x v="533"/>
    <x v="723"/>
    <x v="693"/>
    <x v="5"/>
    <x v="0"/>
    <x v="0"/>
    <x v="0"/>
    <x v="80"/>
    <x v="1"/>
  </r>
  <r>
    <x v="751"/>
    <x v="750"/>
    <x v="27"/>
    <x v="0"/>
    <x v="2"/>
    <x v="2"/>
    <x v="2"/>
    <x v="185"/>
    <x v="129"/>
    <x v="149"/>
    <x v="212"/>
    <x v="2"/>
    <x v="416"/>
    <x v="0"/>
    <x v="0"/>
    <x v="704"/>
    <x v="728"/>
    <x v="505"/>
    <x v="724"/>
    <x v="694"/>
    <x v="0"/>
    <x v="0"/>
    <x v="0"/>
    <x v="0"/>
    <x v="500"/>
    <x v="1"/>
  </r>
  <r>
    <x v="752"/>
    <x v="751"/>
    <x v="215"/>
    <x v="0"/>
    <x v="10"/>
    <x v="10"/>
    <x v="3"/>
    <x v="38"/>
    <x v="27"/>
    <x v="9"/>
    <x v="9"/>
    <x v="3"/>
    <x v="417"/>
    <x v="0"/>
    <x v="0"/>
    <x v="705"/>
    <x v="729"/>
    <x v="534"/>
    <x v="725"/>
    <x v="695"/>
    <x v="2"/>
    <x v="0"/>
    <x v="0"/>
    <x v="2"/>
    <x v="237"/>
    <x v="0"/>
  </r>
  <r>
    <x v="753"/>
    <x v="752"/>
    <x v="206"/>
    <x v="0"/>
    <x v="10"/>
    <x v="10"/>
    <x v="3"/>
    <x v="429"/>
    <x v="21"/>
    <x v="6"/>
    <x v="133"/>
    <x v="0"/>
    <x v="22"/>
    <x v="0"/>
    <x v="0"/>
    <x v="706"/>
    <x v="730"/>
    <x v="535"/>
    <x v="726"/>
    <x v="22"/>
    <x v="3"/>
    <x v="0"/>
    <x v="0"/>
    <x v="1"/>
    <x v="311"/>
    <x v="1"/>
  </r>
  <r>
    <x v="754"/>
    <x v="753"/>
    <x v="152"/>
    <x v="0"/>
    <x v="8"/>
    <x v="8"/>
    <x v="3"/>
    <x v="215"/>
    <x v="76"/>
    <x v="62"/>
    <x v="295"/>
    <x v="0"/>
    <x v="418"/>
    <x v="0"/>
    <x v="0"/>
    <x v="707"/>
    <x v="731"/>
    <x v="536"/>
    <x v="727"/>
    <x v="696"/>
    <x v="0"/>
    <x v="0"/>
    <x v="0"/>
    <x v="0"/>
    <x v="501"/>
    <x v="1"/>
  </r>
  <r>
    <x v="755"/>
    <x v="754"/>
    <x v="188"/>
    <x v="0"/>
    <x v="4"/>
    <x v="4"/>
    <x v="2"/>
    <x v="43"/>
    <x v="8"/>
    <x v="35"/>
    <x v="36"/>
    <x v="4"/>
    <x v="419"/>
    <x v="0"/>
    <x v="0"/>
    <x v="708"/>
    <x v="732"/>
    <x v="537"/>
    <x v="728"/>
    <x v="697"/>
    <x v="1"/>
    <x v="0"/>
    <x v="0"/>
    <x v="0"/>
    <x v="502"/>
    <x v="0"/>
  </r>
  <r>
    <x v="756"/>
    <x v="755"/>
    <x v="297"/>
    <x v="0"/>
    <x v="8"/>
    <x v="8"/>
    <x v="3"/>
    <x v="430"/>
    <x v="49"/>
    <x v="52"/>
    <x v="57"/>
    <x v="2"/>
    <x v="420"/>
    <x v="0"/>
    <x v="0"/>
    <x v="709"/>
    <x v="733"/>
    <x v="56"/>
    <x v="729"/>
    <x v="698"/>
    <x v="0"/>
    <x v="0"/>
    <x v="0"/>
    <x v="1"/>
    <x v="102"/>
    <x v="1"/>
  </r>
  <r>
    <x v="757"/>
    <x v="756"/>
    <x v="33"/>
    <x v="0"/>
    <x v="8"/>
    <x v="8"/>
    <x v="3"/>
    <x v="67"/>
    <x v="127"/>
    <x v="19"/>
    <x v="19"/>
    <x v="4"/>
    <x v="343"/>
    <x v="0"/>
    <x v="0"/>
    <x v="710"/>
    <x v="734"/>
    <x v="329"/>
    <x v="730"/>
    <x v="699"/>
    <x v="2"/>
    <x v="0"/>
    <x v="0"/>
    <x v="0"/>
    <x v="503"/>
    <x v="0"/>
  </r>
  <r>
    <x v="758"/>
    <x v="757"/>
    <x v="196"/>
    <x v="0"/>
    <x v="5"/>
    <x v="5"/>
    <x v="0"/>
    <x v="282"/>
    <x v="126"/>
    <x v="11"/>
    <x v="11"/>
    <x v="0"/>
    <x v="227"/>
    <x v="3"/>
    <x v="396"/>
    <x v="711"/>
    <x v="735"/>
    <x v="273"/>
    <x v="731"/>
    <x v="700"/>
    <x v="4"/>
    <x v="0"/>
    <x v="0"/>
    <x v="0"/>
    <x v="159"/>
    <x v="0"/>
  </r>
  <r>
    <x v="759"/>
    <x v="758"/>
    <x v="60"/>
    <x v="1"/>
    <x v="1"/>
    <x v="1"/>
    <x v="1"/>
    <x v="115"/>
    <x v="81"/>
    <x v="90"/>
    <x v="194"/>
    <x v="6"/>
    <x v="103"/>
    <x v="0"/>
    <x v="0"/>
    <x v="712"/>
    <x v="736"/>
    <x v="454"/>
    <x v="732"/>
    <x v="583"/>
    <x v="0"/>
    <x v="0"/>
    <x v="0"/>
    <x v="0"/>
    <x v="269"/>
    <x v="1"/>
  </r>
  <r>
    <x v="760"/>
    <x v="759"/>
    <x v="155"/>
    <x v="0"/>
    <x v="8"/>
    <x v="8"/>
    <x v="3"/>
    <x v="28"/>
    <x v="68"/>
    <x v="41"/>
    <x v="44"/>
    <x v="1"/>
    <x v="82"/>
    <x v="0"/>
    <x v="0"/>
    <x v="713"/>
    <x v="737"/>
    <x v="538"/>
    <x v="733"/>
    <x v="701"/>
    <x v="2"/>
    <x v="0"/>
    <x v="0"/>
    <x v="1"/>
    <x v="504"/>
    <x v="1"/>
  </r>
  <r>
    <x v="761"/>
    <x v="760"/>
    <x v="42"/>
    <x v="0"/>
    <x v="8"/>
    <x v="8"/>
    <x v="3"/>
    <x v="47"/>
    <x v="66"/>
    <x v="99"/>
    <x v="57"/>
    <x v="5"/>
    <x v="421"/>
    <x v="2"/>
    <x v="397"/>
    <x v="714"/>
    <x v="738"/>
    <x v="539"/>
    <x v="734"/>
    <x v="702"/>
    <x v="1"/>
    <x v="0"/>
    <x v="0"/>
    <x v="2"/>
    <x v="505"/>
    <x v="0"/>
  </r>
  <r>
    <x v="762"/>
    <x v="761"/>
    <x v="211"/>
    <x v="0"/>
    <x v="10"/>
    <x v="10"/>
    <x v="3"/>
    <x v="431"/>
    <x v="24"/>
    <x v="97"/>
    <x v="141"/>
    <x v="2"/>
    <x v="27"/>
    <x v="2"/>
    <x v="398"/>
    <x v="715"/>
    <x v="739"/>
    <x v="319"/>
    <x v="735"/>
    <x v="703"/>
    <x v="5"/>
    <x v="0"/>
    <x v="0"/>
    <x v="0"/>
    <x v="506"/>
    <x v="1"/>
  </r>
  <r>
    <x v="763"/>
    <x v="762"/>
    <x v="11"/>
    <x v="1"/>
    <x v="1"/>
    <x v="1"/>
    <x v="1"/>
    <x v="74"/>
    <x v="106"/>
    <x v="18"/>
    <x v="18"/>
    <x v="7"/>
    <x v="422"/>
    <x v="2"/>
    <x v="399"/>
    <x v="716"/>
    <x v="740"/>
    <x v="540"/>
    <x v="736"/>
    <x v="704"/>
    <x v="3"/>
    <x v="0"/>
    <x v="0"/>
    <x v="0"/>
    <x v="507"/>
    <x v="1"/>
  </r>
  <r>
    <x v="764"/>
    <x v="763"/>
    <x v="21"/>
    <x v="0"/>
    <x v="2"/>
    <x v="2"/>
    <x v="2"/>
    <x v="220"/>
    <x v="39"/>
    <x v="113"/>
    <x v="94"/>
    <x v="2"/>
    <x v="273"/>
    <x v="0"/>
    <x v="0"/>
    <x v="610"/>
    <x v="741"/>
    <x v="483"/>
    <x v="737"/>
    <x v="404"/>
    <x v="0"/>
    <x v="0"/>
    <x v="0"/>
    <x v="0"/>
    <x v="508"/>
    <x v="1"/>
  </r>
  <r>
    <x v="765"/>
    <x v="764"/>
    <x v="19"/>
    <x v="0"/>
    <x v="5"/>
    <x v="5"/>
    <x v="0"/>
    <x v="432"/>
    <x v="35"/>
    <x v="95"/>
    <x v="88"/>
    <x v="6"/>
    <x v="229"/>
    <x v="4"/>
    <x v="400"/>
    <x v="717"/>
    <x v="742"/>
    <x v="302"/>
    <x v="738"/>
    <x v="705"/>
    <x v="4"/>
    <x v="0"/>
    <x v="0"/>
    <x v="0"/>
    <x v="214"/>
    <x v="1"/>
  </r>
  <r>
    <x v="766"/>
    <x v="765"/>
    <x v="6"/>
    <x v="0"/>
    <x v="3"/>
    <x v="3"/>
    <x v="2"/>
    <x v="232"/>
    <x v="38"/>
    <x v="31"/>
    <x v="273"/>
    <x v="6"/>
    <x v="423"/>
    <x v="0"/>
    <x v="0"/>
    <x v="718"/>
    <x v="743"/>
    <x v="263"/>
    <x v="739"/>
    <x v="706"/>
    <x v="2"/>
    <x v="0"/>
    <x v="0"/>
    <x v="1"/>
    <x v="250"/>
    <x v="0"/>
  </r>
  <r>
    <x v="767"/>
    <x v="766"/>
    <x v="228"/>
    <x v="0"/>
    <x v="6"/>
    <x v="6"/>
    <x v="3"/>
    <x v="84"/>
    <x v="49"/>
    <x v="66"/>
    <x v="75"/>
    <x v="2"/>
    <x v="84"/>
    <x v="2"/>
    <x v="401"/>
    <x v="719"/>
    <x v="744"/>
    <x v="56"/>
    <x v="740"/>
    <x v="707"/>
    <x v="0"/>
    <x v="0"/>
    <x v="0"/>
    <x v="0"/>
    <x v="509"/>
    <x v="0"/>
  </r>
  <r>
    <x v="768"/>
    <x v="767"/>
    <x v="63"/>
    <x v="0"/>
    <x v="9"/>
    <x v="9"/>
    <x v="0"/>
    <x v="433"/>
    <x v="88"/>
    <x v="160"/>
    <x v="249"/>
    <x v="1"/>
    <x v="117"/>
    <x v="1"/>
    <x v="402"/>
    <x v="720"/>
    <x v="745"/>
    <x v="541"/>
    <x v="741"/>
    <x v="708"/>
    <x v="2"/>
    <x v="0"/>
    <x v="0"/>
    <x v="0"/>
    <x v="63"/>
    <x v="0"/>
  </r>
  <r>
    <x v="769"/>
    <x v="768"/>
    <x v="193"/>
    <x v="0"/>
    <x v="6"/>
    <x v="6"/>
    <x v="3"/>
    <x v="434"/>
    <x v="51"/>
    <x v="82"/>
    <x v="115"/>
    <x v="0"/>
    <x v="161"/>
    <x v="4"/>
    <x v="403"/>
    <x v="721"/>
    <x v="746"/>
    <x v="193"/>
    <x v="742"/>
    <x v="709"/>
    <x v="1"/>
    <x v="0"/>
    <x v="0"/>
    <x v="0"/>
    <x v="233"/>
    <x v="1"/>
  </r>
  <r>
    <x v="770"/>
    <x v="769"/>
    <x v="31"/>
    <x v="1"/>
    <x v="7"/>
    <x v="7"/>
    <x v="1"/>
    <x v="30"/>
    <x v="33"/>
    <x v="90"/>
    <x v="151"/>
    <x v="4"/>
    <x v="424"/>
    <x v="0"/>
    <x v="0"/>
    <x v="722"/>
    <x v="747"/>
    <x v="294"/>
    <x v="743"/>
    <x v="710"/>
    <x v="4"/>
    <x v="0"/>
    <x v="0"/>
    <x v="0"/>
    <x v="510"/>
    <x v="0"/>
  </r>
  <r>
    <x v="771"/>
    <x v="770"/>
    <x v="282"/>
    <x v="0"/>
    <x v="2"/>
    <x v="2"/>
    <x v="2"/>
    <x v="292"/>
    <x v="100"/>
    <x v="68"/>
    <x v="237"/>
    <x v="2"/>
    <x v="425"/>
    <x v="0"/>
    <x v="0"/>
    <x v="723"/>
    <x v="748"/>
    <x v="542"/>
    <x v="744"/>
    <x v="711"/>
    <x v="5"/>
    <x v="0"/>
    <x v="0"/>
    <x v="2"/>
    <x v="273"/>
    <x v="0"/>
  </r>
  <r>
    <x v="772"/>
    <x v="771"/>
    <x v="16"/>
    <x v="0"/>
    <x v="6"/>
    <x v="6"/>
    <x v="3"/>
    <x v="263"/>
    <x v="88"/>
    <x v="100"/>
    <x v="125"/>
    <x v="6"/>
    <x v="117"/>
    <x v="4"/>
    <x v="404"/>
    <x v="724"/>
    <x v="749"/>
    <x v="394"/>
    <x v="745"/>
    <x v="712"/>
    <x v="1"/>
    <x v="0"/>
    <x v="0"/>
    <x v="0"/>
    <x v="304"/>
    <x v="0"/>
  </r>
  <r>
    <x v="773"/>
    <x v="772"/>
    <x v="151"/>
    <x v="0"/>
    <x v="6"/>
    <x v="6"/>
    <x v="3"/>
    <x v="435"/>
    <x v="13"/>
    <x v="137"/>
    <x v="189"/>
    <x v="2"/>
    <x v="13"/>
    <x v="4"/>
    <x v="7"/>
    <x v="683"/>
    <x v="750"/>
    <x v="507"/>
    <x v="746"/>
    <x v="713"/>
    <x v="5"/>
    <x v="0"/>
    <x v="0"/>
    <x v="1"/>
    <x v="365"/>
    <x v="1"/>
  </r>
  <r>
    <x v="774"/>
    <x v="773"/>
    <x v="168"/>
    <x v="0"/>
    <x v="6"/>
    <x v="6"/>
    <x v="3"/>
    <x v="436"/>
    <x v="5"/>
    <x v="10"/>
    <x v="10"/>
    <x v="7"/>
    <x v="426"/>
    <x v="2"/>
    <x v="405"/>
    <x v="725"/>
    <x v="751"/>
    <x v="432"/>
    <x v="747"/>
    <x v="714"/>
    <x v="2"/>
    <x v="0"/>
    <x v="0"/>
    <x v="0"/>
    <x v="338"/>
    <x v="0"/>
  </r>
  <r>
    <x v="775"/>
    <x v="774"/>
    <x v="48"/>
    <x v="0"/>
    <x v="0"/>
    <x v="0"/>
    <x v="0"/>
    <x v="437"/>
    <x v="22"/>
    <x v="77"/>
    <x v="91"/>
    <x v="1"/>
    <x v="23"/>
    <x v="0"/>
    <x v="0"/>
    <x v="726"/>
    <x v="752"/>
    <x v="470"/>
    <x v="748"/>
    <x v="485"/>
    <x v="0"/>
    <x v="0"/>
    <x v="0"/>
    <x v="2"/>
    <x v="407"/>
    <x v="1"/>
  </r>
  <r>
    <x v="776"/>
    <x v="775"/>
    <x v="215"/>
    <x v="0"/>
    <x v="10"/>
    <x v="10"/>
    <x v="3"/>
    <x v="237"/>
    <x v="43"/>
    <x v="27"/>
    <x v="107"/>
    <x v="0"/>
    <x v="380"/>
    <x v="0"/>
    <x v="0"/>
    <x v="634"/>
    <x v="654"/>
    <x v="493"/>
    <x v="649"/>
    <x v="628"/>
    <x v="3"/>
    <x v="0"/>
    <x v="0"/>
    <x v="2"/>
    <x v="111"/>
    <x v="0"/>
  </r>
  <r>
    <x v="777"/>
    <x v="776"/>
    <x v="166"/>
    <x v="0"/>
    <x v="4"/>
    <x v="4"/>
    <x v="2"/>
    <x v="12"/>
    <x v="106"/>
    <x v="150"/>
    <x v="256"/>
    <x v="5"/>
    <x v="427"/>
    <x v="3"/>
    <x v="406"/>
    <x v="727"/>
    <x v="753"/>
    <x v="543"/>
    <x v="749"/>
    <x v="715"/>
    <x v="2"/>
    <x v="0"/>
    <x v="0"/>
    <x v="0"/>
    <x v="402"/>
    <x v="1"/>
  </r>
  <r>
    <x v="778"/>
    <x v="777"/>
    <x v="163"/>
    <x v="0"/>
    <x v="9"/>
    <x v="9"/>
    <x v="0"/>
    <x v="438"/>
    <x v="141"/>
    <x v="78"/>
    <x v="35"/>
    <x v="6"/>
    <x v="428"/>
    <x v="0"/>
    <x v="0"/>
    <x v="728"/>
    <x v="754"/>
    <x v="544"/>
    <x v="750"/>
    <x v="716"/>
    <x v="2"/>
    <x v="0"/>
    <x v="0"/>
    <x v="0"/>
    <x v="278"/>
    <x v="1"/>
  </r>
  <r>
    <x v="779"/>
    <x v="778"/>
    <x v="270"/>
    <x v="0"/>
    <x v="2"/>
    <x v="2"/>
    <x v="2"/>
    <x v="439"/>
    <x v="12"/>
    <x v="0"/>
    <x v="177"/>
    <x v="0"/>
    <x v="12"/>
    <x v="2"/>
    <x v="407"/>
    <x v="729"/>
    <x v="755"/>
    <x v="214"/>
    <x v="751"/>
    <x v="717"/>
    <x v="0"/>
    <x v="0"/>
    <x v="0"/>
    <x v="2"/>
    <x v="511"/>
    <x v="1"/>
  </r>
  <r>
    <x v="780"/>
    <x v="779"/>
    <x v="250"/>
    <x v="0"/>
    <x v="8"/>
    <x v="8"/>
    <x v="3"/>
    <x v="95"/>
    <x v="94"/>
    <x v="94"/>
    <x v="117"/>
    <x v="6"/>
    <x v="429"/>
    <x v="1"/>
    <x v="408"/>
    <x v="113"/>
    <x v="756"/>
    <x v="545"/>
    <x v="752"/>
    <x v="718"/>
    <x v="2"/>
    <x v="0"/>
    <x v="0"/>
    <x v="0"/>
    <x v="512"/>
    <x v="1"/>
  </r>
  <r>
    <x v="781"/>
    <x v="780"/>
    <x v="128"/>
    <x v="0"/>
    <x v="0"/>
    <x v="0"/>
    <x v="0"/>
    <x v="191"/>
    <x v="82"/>
    <x v="20"/>
    <x v="122"/>
    <x v="6"/>
    <x v="107"/>
    <x v="0"/>
    <x v="0"/>
    <x v="730"/>
    <x v="757"/>
    <x v="164"/>
    <x v="753"/>
    <x v="719"/>
    <x v="3"/>
    <x v="0"/>
    <x v="0"/>
    <x v="0"/>
    <x v="171"/>
    <x v="1"/>
  </r>
  <r>
    <x v="782"/>
    <x v="781"/>
    <x v="87"/>
    <x v="0"/>
    <x v="10"/>
    <x v="10"/>
    <x v="3"/>
    <x v="276"/>
    <x v="68"/>
    <x v="152"/>
    <x v="35"/>
    <x v="5"/>
    <x v="430"/>
    <x v="4"/>
    <x v="409"/>
    <x v="731"/>
    <x v="758"/>
    <x v="546"/>
    <x v="754"/>
    <x v="720"/>
    <x v="4"/>
    <x v="0"/>
    <x v="0"/>
    <x v="0"/>
    <x v="82"/>
    <x v="0"/>
  </r>
  <r>
    <x v="783"/>
    <x v="782"/>
    <x v="111"/>
    <x v="0"/>
    <x v="10"/>
    <x v="10"/>
    <x v="3"/>
    <x v="147"/>
    <x v="81"/>
    <x v="95"/>
    <x v="119"/>
    <x v="7"/>
    <x v="431"/>
    <x v="2"/>
    <x v="410"/>
    <x v="732"/>
    <x v="759"/>
    <x v="547"/>
    <x v="755"/>
    <x v="721"/>
    <x v="0"/>
    <x v="0"/>
    <x v="0"/>
    <x v="0"/>
    <x v="241"/>
    <x v="1"/>
  </r>
  <r>
    <x v="784"/>
    <x v="783"/>
    <x v="205"/>
    <x v="0"/>
    <x v="3"/>
    <x v="3"/>
    <x v="2"/>
    <x v="256"/>
    <x v="33"/>
    <x v="10"/>
    <x v="10"/>
    <x v="2"/>
    <x v="432"/>
    <x v="0"/>
    <x v="0"/>
    <x v="733"/>
    <x v="760"/>
    <x v="37"/>
    <x v="756"/>
    <x v="722"/>
    <x v="2"/>
    <x v="1"/>
    <x v="1"/>
    <x v="0"/>
    <x v="513"/>
    <x v="1"/>
  </r>
  <r>
    <x v="785"/>
    <x v="784"/>
    <x v="298"/>
    <x v="0"/>
    <x v="0"/>
    <x v="0"/>
    <x v="0"/>
    <x v="201"/>
    <x v="83"/>
    <x v="28"/>
    <x v="29"/>
    <x v="5"/>
    <x v="433"/>
    <x v="1"/>
    <x v="411"/>
    <x v="734"/>
    <x v="761"/>
    <x v="548"/>
    <x v="757"/>
    <x v="723"/>
    <x v="0"/>
    <x v="0"/>
    <x v="0"/>
    <x v="0"/>
    <x v="247"/>
    <x v="1"/>
  </r>
  <r>
    <x v="786"/>
    <x v="785"/>
    <x v="162"/>
    <x v="0"/>
    <x v="8"/>
    <x v="8"/>
    <x v="3"/>
    <x v="138"/>
    <x v="66"/>
    <x v="102"/>
    <x v="128"/>
    <x v="0"/>
    <x v="80"/>
    <x v="3"/>
    <x v="412"/>
    <x v="735"/>
    <x v="762"/>
    <x v="435"/>
    <x v="758"/>
    <x v="724"/>
    <x v="2"/>
    <x v="0"/>
    <x v="0"/>
    <x v="0"/>
    <x v="514"/>
    <x v="0"/>
  </r>
  <r>
    <x v="787"/>
    <x v="786"/>
    <x v="299"/>
    <x v="1"/>
    <x v="11"/>
    <x v="11"/>
    <x v="1"/>
    <x v="440"/>
    <x v="6"/>
    <x v="133"/>
    <x v="192"/>
    <x v="1"/>
    <x v="6"/>
    <x v="3"/>
    <x v="413"/>
    <x v="736"/>
    <x v="763"/>
    <x v="145"/>
    <x v="759"/>
    <x v="725"/>
    <x v="1"/>
    <x v="0"/>
    <x v="0"/>
    <x v="0"/>
    <x v="224"/>
    <x v="1"/>
  </r>
  <r>
    <x v="788"/>
    <x v="787"/>
    <x v="215"/>
    <x v="0"/>
    <x v="10"/>
    <x v="10"/>
    <x v="3"/>
    <x v="441"/>
    <x v="18"/>
    <x v="130"/>
    <x v="175"/>
    <x v="0"/>
    <x v="18"/>
    <x v="0"/>
    <x v="0"/>
    <x v="18"/>
    <x v="764"/>
    <x v="18"/>
    <x v="760"/>
    <x v="726"/>
    <x v="5"/>
    <x v="0"/>
    <x v="0"/>
    <x v="0"/>
    <x v="439"/>
    <x v="0"/>
  </r>
  <r>
    <x v="789"/>
    <x v="788"/>
    <x v="182"/>
    <x v="0"/>
    <x v="9"/>
    <x v="9"/>
    <x v="0"/>
    <x v="382"/>
    <x v="38"/>
    <x v="29"/>
    <x v="30"/>
    <x v="1"/>
    <x v="43"/>
    <x v="4"/>
    <x v="414"/>
    <x v="737"/>
    <x v="765"/>
    <x v="328"/>
    <x v="761"/>
    <x v="727"/>
    <x v="3"/>
    <x v="0"/>
    <x v="0"/>
    <x v="2"/>
    <x v="515"/>
    <x v="1"/>
  </r>
  <r>
    <x v="790"/>
    <x v="789"/>
    <x v="115"/>
    <x v="0"/>
    <x v="10"/>
    <x v="10"/>
    <x v="3"/>
    <x v="10"/>
    <x v="143"/>
    <x v="140"/>
    <x v="101"/>
    <x v="2"/>
    <x v="434"/>
    <x v="2"/>
    <x v="415"/>
    <x v="738"/>
    <x v="766"/>
    <x v="549"/>
    <x v="762"/>
    <x v="728"/>
    <x v="4"/>
    <x v="0"/>
    <x v="0"/>
    <x v="2"/>
    <x v="516"/>
    <x v="1"/>
  </r>
  <r>
    <x v="791"/>
    <x v="790"/>
    <x v="218"/>
    <x v="0"/>
    <x v="2"/>
    <x v="2"/>
    <x v="2"/>
    <x v="442"/>
    <x v="91"/>
    <x v="6"/>
    <x v="175"/>
    <x v="5"/>
    <x v="435"/>
    <x v="3"/>
    <x v="416"/>
    <x v="739"/>
    <x v="767"/>
    <x v="550"/>
    <x v="763"/>
    <x v="729"/>
    <x v="2"/>
    <x v="0"/>
    <x v="0"/>
    <x v="0"/>
    <x v="517"/>
    <x v="1"/>
  </r>
  <r>
    <x v="792"/>
    <x v="791"/>
    <x v="87"/>
    <x v="0"/>
    <x v="10"/>
    <x v="10"/>
    <x v="3"/>
    <x v="321"/>
    <x v="92"/>
    <x v="12"/>
    <x v="12"/>
    <x v="7"/>
    <x v="436"/>
    <x v="0"/>
    <x v="0"/>
    <x v="740"/>
    <x v="768"/>
    <x v="551"/>
    <x v="764"/>
    <x v="730"/>
    <x v="4"/>
    <x v="0"/>
    <x v="0"/>
    <x v="1"/>
    <x v="518"/>
    <x v="0"/>
  </r>
  <r>
    <x v="793"/>
    <x v="792"/>
    <x v="292"/>
    <x v="0"/>
    <x v="4"/>
    <x v="4"/>
    <x v="2"/>
    <x v="443"/>
    <x v="72"/>
    <x v="70"/>
    <x v="294"/>
    <x v="4"/>
    <x v="116"/>
    <x v="0"/>
    <x v="0"/>
    <x v="741"/>
    <x v="769"/>
    <x v="552"/>
    <x v="765"/>
    <x v="246"/>
    <x v="1"/>
    <x v="0"/>
    <x v="0"/>
    <x v="2"/>
    <x v="519"/>
    <x v="1"/>
  </r>
  <r>
    <x v="794"/>
    <x v="793"/>
    <x v="176"/>
    <x v="0"/>
    <x v="5"/>
    <x v="5"/>
    <x v="0"/>
    <x v="127"/>
    <x v="27"/>
    <x v="145"/>
    <x v="204"/>
    <x v="2"/>
    <x v="31"/>
    <x v="0"/>
    <x v="0"/>
    <x v="383"/>
    <x v="392"/>
    <x v="31"/>
    <x v="389"/>
    <x v="381"/>
    <x v="0"/>
    <x v="0"/>
    <x v="0"/>
    <x v="2"/>
    <x v="520"/>
    <x v="0"/>
  </r>
  <r>
    <x v="795"/>
    <x v="794"/>
    <x v="141"/>
    <x v="0"/>
    <x v="0"/>
    <x v="0"/>
    <x v="0"/>
    <x v="2"/>
    <x v="139"/>
    <x v="130"/>
    <x v="175"/>
    <x v="0"/>
    <x v="357"/>
    <x v="4"/>
    <x v="417"/>
    <x v="742"/>
    <x v="770"/>
    <x v="553"/>
    <x v="766"/>
    <x v="731"/>
    <x v="0"/>
    <x v="0"/>
    <x v="0"/>
    <x v="2"/>
    <x v="172"/>
    <x v="0"/>
  </r>
  <r>
    <x v="796"/>
    <x v="795"/>
    <x v="123"/>
    <x v="0"/>
    <x v="8"/>
    <x v="8"/>
    <x v="3"/>
    <x v="444"/>
    <x v="59"/>
    <x v="68"/>
    <x v="237"/>
    <x v="1"/>
    <x v="233"/>
    <x v="4"/>
    <x v="418"/>
    <x v="743"/>
    <x v="771"/>
    <x v="554"/>
    <x v="767"/>
    <x v="732"/>
    <x v="3"/>
    <x v="0"/>
    <x v="0"/>
    <x v="0"/>
    <x v="521"/>
    <x v="1"/>
  </r>
  <r>
    <x v="797"/>
    <x v="796"/>
    <x v="10"/>
    <x v="0"/>
    <x v="6"/>
    <x v="6"/>
    <x v="3"/>
    <x v="414"/>
    <x v="27"/>
    <x v="114"/>
    <x v="211"/>
    <x v="4"/>
    <x v="31"/>
    <x v="3"/>
    <x v="241"/>
    <x v="425"/>
    <x v="772"/>
    <x v="363"/>
    <x v="768"/>
    <x v="733"/>
    <x v="2"/>
    <x v="0"/>
    <x v="0"/>
    <x v="0"/>
    <x v="522"/>
    <x v="1"/>
  </r>
  <r>
    <x v="798"/>
    <x v="797"/>
    <x v="205"/>
    <x v="0"/>
    <x v="3"/>
    <x v="3"/>
    <x v="2"/>
    <x v="195"/>
    <x v="38"/>
    <x v="62"/>
    <x v="35"/>
    <x v="6"/>
    <x v="43"/>
    <x v="3"/>
    <x v="419"/>
    <x v="744"/>
    <x v="773"/>
    <x v="263"/>
    <x v="769"/>
    <x v="734"/>
    <x v="4"/>
    <x v="0"/>
    <x v="0"/>
    <x v="2"/>
    <x v="523"/>
    <x v="1"/>
  </r>
  <r>
    <x v="799"/>
    <x v="798"/>
    <x v="242"/>
    <x v="1"/>
    <x v="7"/>
    <x v="7"/>
    <x v="1"/>
    <x v="32"/>
    <x v="64"/>
    <x v="63"/>
    <x v="214"/>
    <x v="6"/>
    <x v="74"/>
    <x v="1"/>
    <x v="420"/>
    <x v="745"/>
    <x v="774"/>
    <x v="116"/>
    <x v="770"/>
    <x v="735"/>
    <x v="3"/>
    <x v="0"/>
    <x v="0"/>
    <x v="2"/>
    <x v="263"/>
    <x v="0"/>
  </r>
  <r>
    <x v="800"/>
    <x v="799"/>
    <x v="285"/>
    <x v="0"/>
    <x v="9"/>
    <x v="9"/>
    <x v="0"/>
    <x v="188"/>
    <x v="94"/>
    <x v="50"/>
    <x v="139"/>
    <x v="4"/>
    <x v="437"/>
    <x v="1"/>
    <x v="421"/>
    <x v="746"/>
    <x v="775"/>
    <x v="555"/>
    <x v="771"/>
    <x v="736"/>
    <x v="3"/>
    <x v="1"/>
    <x v="1"/>
    <x v="0"/>
    <x v="524"/>
    <x v="1"/>
  </r>
  <r>
    <x v="801"/>
    <x v="800"/>
    <x v="116"/>
    <x v="0"/>
    <x v="8"/>
    <x v="8"/>
    <x v="3"/>
    <x v="186"/>
    <x v="91"/>
    <x v="26"/>
    <x v="33"/>
    <x v="4"/>
    <x v="438"/>
    <x v="1"/>
    <x v="422"/>
    <x v="747"/>
    <x v="776"/>
    <x v="132"/>
    <x v="772"/>
    <x v="737"/>
    <x v="4"/>
    <x v="0"/>
    <x v="0"/>
    <x v="0"/>
    <x v="525"/>
    <x v="1"/>
  </r>
  <r>
    <x v="802"/>
    <x v="801"/>
    <x v="251"/>
    <x v="1"/>
    <x v="1"/>
    <x v="1"/>
    <x v="1"/>
    <x v="445"/>
    <x v="35"/>
    <x v="40"/>
    <x v="296"/>
    <x v="6"/>
    <x v="229"/>
    <x v="4"/>
    <x v="400"/>
    <x v="717"/>
    <x v="742"/>
    <x v="302"/>
    <x v="738"/>
    <x v="705"/>
    <x v="5"/>
    <x v="0"/>
    <x v="0"/>
    <x v="0"/>
    <x v="489"/>
    <x v="1"/>
  </r>
  <r>
    <x v="803"/>
    <x v="802"/>
    <x v="232"/>
    <x v="1"/>
    <x v="7"/>
    <x v="7"/>
    <x v="1"/>
    <x v="446"/>
    <x v="59"/>
    <x v="8"/>
    <x v="8"/>
    <x v="6"/>
    <x v="233"/>
    <x v="2"/>
    <x v="423"/>
    <x v="748"/>
    <x v="777"/>
    <x v="69"/>
    <x v="773"/>
    <x v="738"/>
    <x v="4"/>
    <x v="0"/>
    <x v="0"/>
    <x v="0"/>
    <x v="526"/>
    <x v="0"/>
  </r>
  <r>
    <x v="804"/>
    <x v="803"/>
    <x v="44"/>
    <x v="0"/>
    <x v="8"/>
    <x v="8"/>
    <x v="3"/>
    <x v="360"/>
    <x v="28"/>
    <x v="123"/>
    <x v="161"/>
    <x v="5"/>
    <x v="439"/>
    <x v="0"/>
    <x v="0"/>
    <x v="749"/>
    <x v="778"/>
    <x v="556"/>
    <x v="774"/>
    <x v="739"/>
    <x v="5"/>
    <x v="0"/>
    <x v="0"/>
    <x v="2"/>
    <x v="505"/>
    <x v="0"/>
  </r>
  <r>
    <x v="805"/>
    <x v="804"/>
    <x v="86"/>
    <x v="0"/>
    <x v="6"/>
    <x v="6"/>
    <x v="3"/>
    <x v="253"/>
    <x v="141"/>
    <x v="125"/>
    <x v="163"/>
    <x v="6"/>
    <x v="440"/>
    <x v="0"/>
    <x v="0"/>
    <x v="750"/>
    <x v="779"/>
    <x v="544"/>
    <x v="775"/>
    <x v="740"/>
    <x v="4"/>
    <x v="1"/>
    <x v="1"/>
    <x v="0"/>
    <x v="371"/>
    <x v="0"/>
  </r>
  <r>
    <x v="806"/>
    <x v="805"/>
    <x v="89"/>
    <x v="0"/>
    <x v="4"/>
    <x v="4"/>
    <x v="2"/>
    <x v="66"/>
    <x v="88"/>
    <x v="14"/>
    <x v="14"/>
    <x v="4"/>
    <x v="117"/>
    <x v="2"/>
    <x v="424"/>
    <x v="751"/>
    <x v="780"/>
    <x v="219"/>
    <x v="776"/>
    <x v="741"/>
    <x v="5"/>
    <x v="0"/>
    <x v="0"/>
    <x v="0"/>
    <x v="527"/>
    <x v="0"/>
  </r>
  <r>
    <x v="807"/>
    <x v="806"/>
    <x v="85"/>
    <x v="0"/>
    <x v="5"/>
    <x v="5"/>
    <x v="0"/>
    <x v="111"/>
    <x v="87"/>
    <x v="63"/>
    <x v="214"/>
    <x v="2"/>
    <x v="324"/>
    <x v="0"/>
    <x v="0"/>
    <x v="752"/>
    <x v="781"/>
    <x v="557"/>
    <x v="777"/>
    <x v="742"/>
    <x v="0"/>
    <x v="0"/>
    <x v="0"/>
    <x v="0"/>
    <x v="528"/>
    <x v="0"/>
  </r>
  <r>
    <x v="808"/>
    <x v="807"/>
    <x v="300"/>
    <x v="0"/>
    <x v="0"/>
    <x v="0"/>
    <x v="0"/>
    <x v="447"/>
    <x v="117"/>
    <x v="122"/>
    <x v="45"/>
    <x v="1"/>
    <x v="378"/>
    <x v="0"/>
    <x v="0"/>
    <x v="753"/>
    <x v="782"/>
    <x v="185"/>
    <x v="778"/>
    <x v="626"/>
    <x v="2"/>
    <x v="0"/>
    <x v="0"/>
    <x v="0"/>
    <x v="377"/>
    <x v="1"/>
  </r>
  <r>
    <x v="809"/>
    <x v="808"/>
    <x v="193"/>
    <x v="0"/>
    <x v="6"/>
    <x v="6"/>
    <x v="3"/>
    <x v="448"/>
    <x v="14"/>
    <x v="77"/>
    <x v="91"/>
    <x v="2"/>
    <x v="14"/>
    <x v="0"/>
    <x v="0"/>
    <x v="14"/>
    <x v="14"/>
    <x v="14"/>
    <x v="14"/>
    <x v="14"/>
    <x v="3"/>
    <x v="0"/>
    <x v="0"/>
    <x v="2"/>
    <x v="327"/>
    <x v="1"/>
  </r>
  <r>
    <x v="810"/>
    <x v="809"/>
    <x v="14"/>
    <x v="0"/>
    <x v="0"/>
    <x v="0"/>
    <x v="0"/>
    <x v="238"/>
    <x v="72"/>
    <x v="161"/>
    <x v="254"/>
    <x v="2"/>
    <x v="116"/>
    <x v="1"/>
    <x v="425"/>
    <x v="754"/>
    <x v="783"/>
    <x v="558"/>
    <x v="779"/>
    <x v="743"/>
    <x v="0"/>
    <x v="0"/>
    <x v="0"/>
    <x v="1"/>
    <x v="529"/>
    <x v="0"/>
  </r>
  <r>
    <x v="811"/>
    <x v="810"/>
    <x v="93"/>
    <x v="0"/>
    <x v="9"/>
    <x v="9"/>
    <x v="0"/>
    <x v="449"/>
    <x v="138"/>
    <x v="122"/>
    <x v="45"/>
    <x v="7"/>
    <x v="441"/>
    <x v="2"/>
    <x v="426"/>
    <x v="755"/>
    <x v="784"/>
    <x v="559"/>
    <x v="780"/>
    <x v="744"/>
    <x v="1"/>
    <x v="1"/>
    <x v="1"/>
    <x v="0"/>
    <x v="530"/>
    <x v="0"/>
  </r>
  <r>
    <x v="812"/>
    <x v="811"/>
    <x v="33"/>
    <x v="0"/>
    <x v="8"/>
    <x v="8"/>
    <x v="3"/>
    <x v="92"/>
    <x v="38"/>
    <x v="19"/>
    <x v="19"/>
    <x v="4"/>
    <x v="43"/>
    <x v="1"/>
    <x v="427"/>
    <x v="756"/>
    <x v="785"/>
    <x v="243"/>
    <x v="781"/>
    <x v="745"/>
    <x v="1"/>
    <x v="0"/>
    <x v="0"/>
    <x v="0"/>
    <x v="423"/>
    <x v="0"/>
  </r>
  <r>
    <x v="813"/>
    <x v="812"/>
    <x v="87"/>
    <x v="0"/>
    <x v="10"/>
    <x v="10"/>
    <x v="3"/>
    <x v="251"/>
    <x v="53"/>
    <x v="107"/>
    <x v="15"/>
    <x v="6"/>
    <x v="60"/>
    <x v="0"/>
    <x v="0"/>
    <x v="757"/>
    <x v="786"/>
    <x v="360"/>
    <x v="782"/>
    <x v="746"/>
    <x v="4"/>
    <x v="0"/>
    <x v="0"/>
    <x v="2"/>
    <x v="57"/>
    <x v="0"/>
  </r>
  <r>
    <x v="814"/>
    <x v="813"/>
    <x v="31"/>
    <x v="1"/>
    <x v="7"/>
    <x v="7"/>
    <x v="1"/>
    <x v="226"/>
    <x v="120"/>
    <x v="139"/>
    <x v="129"/>
    <x v="2"/>
    <x v="221"/>
    <x v="0"/>
    <x v="0"/>
    <x v="758"/>
    <x v="787"/>
    <x v="560"/>
    <x v="783"/>
    <x v="747"/>
    <x v="5"/>
    <x v="0"/>
    <x v="0"/>
    <x v="2"/>
    <x v="516"/>
    <x v="0"/>
  </r>
  <r>
    <x v="815"/>
    <x v="814"/>
    <x v="272"/>
    <x v="0"/>
    <x v="2"/>
    <x v="2"/>
    <x v="2"/>
    <x v="450"/>
    <x v="52"/>
    <x v="128"/>
    <x v="167"/>
    <x v="6"/>
    <x v="59"/>
    <x v="4"/>
    <x v="428"/>
    <x v="759"/>
    <x v="788"/>
    <x v="314"/>
    <x v="784"/>
    <x v="748"/>
    <x v="1"/>
    <x v="0"/>
    <x v="0"/>
    <x v="0"/>
    <x v="358"/>
    <x v="1"/>
  </r>
  <r>
    <x v="816"/>
    <x v="815"/>
    <x v="189"/>
    <x v="0"/>
    <x v="6"/>
    <x v="6"/>
    <x v="3"/>
    <x v="179"/>
    <x v="38"/>
    <x v="2"/>
    <x v="33"/>
    <x v="5"/>
    <x v="442"/>
    <x v="0"/>
    <x v="0"/>
    <x v="760"/>
    <x v="789"/>
    <x v="313"/>
    <x v="785"/>
    <x v="749"/>
    <x v="1"/>
    <x v="0"/>
    <x v="0"/>
    <x v="2"/>
    <x v="320"/>
    <x v="1"/>
  </r>
  <r>
    <x v="817"/>
    <x v="816"/>
    <x v="3"/>
    <x v="0"/>
    <x v="3"/>
    <x v="3"/>
    <x v="2"/>
    <x v="221"/>
    <x v="98"/>
    <x v="125"/>
    <x v="163"/>
    <x v="6"/>
    <x v="149"/>
    <x v="0"/>
    <x v="0"/>
    <x v="761"/>
    <x v="790"/>
    <x v="141"/>
    <x v="786"/>
    <x v="403"/>
    <x v="1"/>
    <x v="0"/>
    <x v="0"/>
    <x v="2"/>
    <x v="199"/>
    <x v="1"/>
  </r>
  <r>
    <x v="818"/>
    <x v="817"/>
    <x v="217"/>
    <x v="0"/>
    <x v="4"/>
    <x v="4"/>
    <x v="2"/>
    <x v="451"/>
    <x v="66"/>
    <x v="130"/>
    <x v="175"/>
    <x v="0"/>
    <x v="80"/>
    <x v="2"/>
    <x v="429"/>
    <x v="762"/>
    <x v="791"/>
    <x v="435"/>
    <x v="787"/>
    <x v="750"/>
    <x v="1"/>
    <x v="0"/>
    <x v="0"/>
    <x v="2"/>
    <x v="246"/>
    <x v="0"/>
  </r>
  <r>
    <x v="819"/>
    <x v="818"/>
    <x v="24"/>
    <x v="1"/>
    <x v="7"/>
    <x v="7"/>
    <x v="1"/>
    <x v="452"/>
    <x v="127"/>
    <x v="25"/>
    <x v="26"/>
    <x v="4"/>
    <x v="335"/>
    <x v="3"/>
    <x v="430"/>
    <x v="724"/>
    <x v="792"/>
    <x v="329"/>
    <x v="788"/>
    <x v="751"/>
    <x v="2"/>
    <x v="0"/>
    <x v="0"/>
    <x v="0"/>
    <x v="197"/>
    <x v="0"/>
  </r>
  <r>
    <x v="820"/>
    <x v="819"/>
    <x v="142"/>
    <x v="0"/>
    <x v="8"/>
    <x v="8"/>
    <x v="3"/>
    <x v="205"/>
    <x v="129"/>
    <x v="171"/>
    <x v="297"/>
    <x v="4"/>
    <x v="443"/>
    <x v="2"/>
    <x v="431"/>
    <x v="763"/>
    <x v="793"/>
    <x v="561"/>
    <x v="789"/>
    <x v="752"/>
    <x v="5"/>
    <x v="0"/>
    <x v="0"/>
    <x v="0"/>
    <x v="531"/>
    <x v="1"/>
  </r>
  <r>
    <x v="821"/>
    <x v="820"/>
    <x v="85"/>
    <x v="0"/>
    <x v="5"/>
    <x v="5"/>
    <x v="0"/>
    <x v="402"/>
    <x v="74"/>
    <x v="66"/>
    <x v="255"/>
    <x v="0"/>
    <x v="104"/>
    <x v="1"/>
    <x v="432"/>
    <x v="764"/>
    <x v="794"/>
    <x v="438"/>
    <x v="790"/>
    <x v="753"/>
    <x v="0"/>
    <x v="0"/>
    <x v="0"/>
    <x v="0"/>
    <x v="532"/>
    <x v="0"/>
  </r>
  <r>
    <x v="822"/>
    <x v="821"/>
    <x v="70"/>
    <x v="0"/>
    <x v="2"/>
    <x v="2"/>
    <x v="2"/>
    <x v="103"/>
    <x v="42"/>
    <x v="158"/>
    <x v="235"/>
    <x v="2"/>
    <x v="444"/>
    <x v="0"/>
    <x v="0"/>
    <x v="765"/>
    <x v="795"/>
    <x v="562"/>
    <x v="791"/>
    <x v="754"/>
    <x v="5"/>
    <x v="0"/>
    <x v="0"/>
    <x v="0"/>
    <x v="533"/>
    <x v="1"/>
  </r>
  <r>
    <x v="823"/>
    <x v="822"/>
    <x v="137"/>
    <x v="1"/>
    <x v="7"/>
    <x v="7"/>
    <x v="1"/>
    <x v="359"/>
    <x v="35"/>
    <x v="16"/>
    <x v="62"/>
    <x v="4"/>
    <x v="445"/>
    <x v="1"/>
    <x v="433"/>
    <x v="766"/>
    <x v="796"/>
    <x v="563"/>
    <x v="792"/>
    <x v="755"/>
    <x v="4"/>
    <x v="0"/>
    <x v="0"/>
    <x v="0"/>
    <x v="449"/>
    <x v="1"/>
  </r>
  <r>
    <x v="824"/>
    <x v="823"/>
    <x v="301"/>
    <x v="0"/>
    <x v="9"/>
    <x v="9"/>
    <x v="0"/>
    <x v="453"/>
    <x v="63"/>
    <x v="44"/>
    <x v="47"/>
    <x v="6"/>
    <x v="446"/>
    <x v="0"/>
    <x v="0"/>
    <x v="767"/>
    <x v="797"/>
    <x v="76"/>
    <x v="793"/>
    <x v="756"/>
    <x v="0"/>
    <x v="0"/>
    <x v="0"/>
    <x v="0"/>
    <x v="534"/>
    <x v="1"/>
  </r>
  <r>
    <x v="825"/>
    <x v="824"/>
    <x v="213"/>
    <x v="0"/>
    <x v="4"/>
    <x v="4"/>
    <x v="2"/>
    <x v="454"/>
    <x v="109"/>
    <x v="132"/>
    <x v="298"/>
    <x v="0"/>
    <x v="150"/>
    <x v="0"/>
    <x v="0"/>
    <x v="394"/>
    <x v="798"/>
    <x v="339"/>
    <x v="794"/>
    <x v="181"/>
    <x v="2"/>
    <x v="0"/>
    <x v="0"/>
    <x v="0"/>
    <x v="513"/>
    <x v="1"/>
  </r>
  <r>
    <x v="826"/>
    <x v="825"/>
    <x v="85"/>
    <x v="0"/>
    <x v="5"/>
    <x v="5"/>
    <x v="0"/>
    <x v="442"/>
    <x v="116"/>
    <x v="28"/>
    <x v="29"/>
    <x v="2"/>
    <x v="447"/>
    <x v="3"/>
    <x v="434"/>
    <x v="768"/>
    <x v="799"/>
    <x v="481"/>
    <x v="795"/>
    <x v="757"/>
    <x v="5"/>
    <x v="0"/>
    <x v="0"/>
    <x v="2"/>
    <x v="246"/>
    <x v="0"/>
  </r>
  <r>
    <x v="827"/>
    <x v="826"/>
    <x v="37"/>
    <x v="0"/>
    <x v="5"/>
    <x v="5"/>
    <x v="0"/>
    <x v="455"/>
    <x v="82"/>
    <x v="51"/>
    <x v="56"/>
    <x v="5"/>
    <x v="448"/>
    <x v="0"/>
    <x v="0"/>
    <x v="769"/>
    <x v="800"/>
    <x v="564"/>
    <x v="796"/>
    <x v="758"/>
    <x v="5"/>
    <x v="0"/>
    <x v="0"/>
    <x v="0"/>
    <x v="535"/>
    <x v="0"/>
  </r>
  <r>
    <x v="828"/>
    <x v="827"/>
    <x v="229"/>
    <x v="1"/>
    <x v="1"/>
    <x v="1"/>
    <x v="1"/>
    <x v="174"/>
    <x v="130"/>
    <x v="159"/>
    <x v="257"/>
    <x v="3"/>
    <x v="449"/>
    <x v="0"/>
    <x v="0"/>
    <x v="336"/>
    <x v="801"/>
    <x v="565"/>
    <x v="797"/>
    <x v="759"/>
    <x v="3"/>
    <x v="0"/>
    <x v="0"/>
    <x v="0"/>
    <x v="258"/>
    <x v="0"/>
  </r>
  <r>
    <x v="829"/>
    <x v="828"/>
    <x v="95"/>
    <x v="0"/>
    <x v="8"/>
    <x v="8"/>
    <x v="3"/>
    <x v="444"/>
    <x v="113"/>
    <x v="148"/>
    <x v="296"/>
    <x v="2"/>
    <x v="166"/>
    <x v="0"/>
    <x v="0"/>
    <x v="770"/>
    <x v="802"/>
    <x v="566"/>
    <x v="798"/>
    <x v="490"/>
    <x v="5"/>
    <x v="0"/>
    <x v="0"/>
    <x v="0"/>
    <x v="243"/>
    <x v="1"/>
  </r>
  <r>
    <x v="830"/>
    <x v="829"/>
    <x v="225"/>
    <x v="0"/>
    <x v="0"/>
    <x v="0"/>
    <x v="0"/>
    <x v="131"/>
    <x v="134"/>
    <x v="42"/>
    <x v="6"/>
    <x v="4"/>
    <x v="450"/>
    <x v="0"/>
    <x v="0"/>
    <x v="771"/>
    <x v="803"/>
    <x v="567"/>
    <x v="799"/>
    <x v="760"/>
    <x v="4"/>
    <x v="0"/>
    <x v="0"/>
    <x v="0"/>
    <x v="474"/>
    <x v="1"/>
  </r>
  <r>
    <x v="831"/>
    <x v="830"/>
    <x v="300"/>
    <x v="0"/>
    <x v="0"/>
    <x v="0"/>
    <x v="0"/>
    <x v="164"/>
    <x v="49"/>
    <x v="19"/>
    <x v="54"/>
    <x v="6"/>
    <x v="84"/>
    <x v="0"/>
    <x v="0"/>
    <x v="772"/>
    <x v="804"/>
    <x v="89"/>
    <x v="800"/>
    <x v="347"/>
    <x v="2"/>
    <x v="0"/>
    <x v="0"/>
    <x v="0"/>
    <x v="459"/>
    <x v="1"/>
  </r>
  <r>
    <x v="832"/>
    <x v="831"/>
    <x v="36"/>
    <x v="1"/>
    <x v="7"/>
    <x v="7"/>
    <x v="1"/>
    <x v="165"/>
    <x v="2"/>
    <x v="130"/>
    <x v="175"/>
    <x v="2"/>
    <x v="451"/>
    <x v="0"/>
    <x v="0"/>
    <x v="773"/>
    <x v="805"/>
    <x v="254"/>
    <x v="801"/>
    <x v="761"/>
    <x v="4"/>
    <x v="0"/>
    <x v="0"/>
    <x v="2"/>
    <x v="344"/>
    <x v="1"/>
  </r>
  <r>
    <x v="833"/>
    <x v="832"/>
    <x v="196"/>
    <x v="0"/>
    <x v="5"/>
    <x v="5"/>
    <x v="0"/>
    <x v="375"/>
    <x v="123"/>
    <x v="137"/>
    <x v="73"/>
    <x v="5"/>
    <x v="452"/>
    <x v="1"/>
    <x v="435"/>
    <x v="774"/>
    <x v="806"/>
    <x v="568"/>
    <x v="802"/>
    <x v="762"/>
    <x v="3"/>
    <x v="0"/>
    <x v="0"/>
    <x v="0"/>
    <x v="252"/>
    <x v="0"/>
  </r>
  <r>
    <x v="834"/>
    <x v="833"/>
    <x v="166"/>
    <x v="0"/>
    <x v="4"/>
    <x v="4"/>
    <x v="2"/>
    <x v="8"/>
    <x v="142"/>
    <x v="66"/>
    <x v="75"/>
    <x v="2"/>
    <x v="453"/>
    <x v="0"/>
    <x v="0"/>
    <x v="775"/>
    <x v="807"/>
    <x v="569"/>
    <x v="803"/>
    <x v="763"/>
    <x v="4"/>
    <x v="1"/>
    <x v="1"/>
    <x v="0"/>
    <x v="416"/>
    <x v="1"/>
  </r>
  <r>
    <x v="835"/>
    <x v="834"/>
    <x v="194"/>
    <x v="0"/>
    <x v="8"/>
    <x v="8"/>
    <x v="3"/>
    <x v="456"/>
    <x v="135"/>
    <x v="31"/>
    <x v="96"/>
    <x v="0"/>
    <x v="286"/>
    <x v="2"/>
    <x v="436"/>
    <x v="776"/>
    <x v="808"/>
    <x v="570"/>
    <x v="804"/>
    <x v="764"/>
    <x v="5"/>
    <x v="0"/>
    <x v="0"/>
    <x v="0"/>
    <x v="302"/>
    <x v="1"/>
  </r>
  <r>
    <x v="836"/>
    <x v="835"/>
    <x v="14"/>
    <x v="0"/>
    <x v="0"/>
    <x v="0"/>
    <x v="0"/>
    <x v="26"/>
    <x v="34"/>
    <x v="60"/>
    <x v="66"/>
    <x v="3"/>
    <x v="454"/>
    <x v="1"/>
    <x v="437"/>
    <x v="777"/>
    <x v="809"/>
    <x v="571"/>
    <x v="805"/>
    <x v="765"/>
    <x v="3"/>
    <x v="0"/>
    <x v="0"/>
    <x v="0"/>
    <x v="128"/>
    <x v="0"/>
  </r>
  <r>
    <x v="837"/>
    <x v="836"/>
    <x v="279"/>
    <x v="1"/>
    <x v="1"/>
    <x v="1"/>
    <x v="1"/>
    <x v="177"/>
    <x v="105"/>
    <x v="172"/>
    <x v="262"/>
    <x v="4"/>
    <x v="455"/>
    <x v="0"/>
    <x v="0"/>
    <x v="778"/>
    <x v="810"/>
    <x v="330"/>
    <x v="806"/>
    <x v="766"/>
    <x v="3"/>
    <x v="1"/>
    <x v="1"/>
    <x v="2"/>
    <x v="536"/>
    <x v="1"/>
  </r>
  <r>
    <x v="838"/>
    <x v="837"/>
    <x v="135"/>
    <x v="1"/>
    <x v="7"/>
    <x v="7"/>
    <x v="1"/>
    <x v="457"/>
    <x v="110"/>
    <x v="25"/>
    <x v="26"/>
    <x v="4"/>
    <x v="152"/>
    <x v="0"/>
    <x v="0"/>
    <x v="779"/>
    <x v="811"/>
    <x v="283"/>
    <x v="807"/>
    <x v="767"/>
    <x v="5"/>
    <x v="0"/>
    <x v="0"/>
    <x v="0"/>
    <x v="11"/>
    <x v="0"/>
  </r>
  <r>
    <x v="839"/>
    <x v="838"/>
    <x v="258"/>
    <x v="0"/>
    <x v="10"/>
    <x v="10"/>
    <x v="3"/>
    <x v="256"/>
    <x v="59"/>
    <x v="142"/>
    <x v="276"/>
    <x v="3"/>
    <x v="456"/>
    <x v="1"/>
    <x v="438"/>
    <x v="780"/>
    <x v="812"/>
    <x v="326"/>
    <x v="808"/>
    <x v="768"/>
    <x v="3"/>
    <x v="0"/>
    <x v="0"/>
    <x v="2"/>
    <x v="383"/>
    <x v="1"/>
  </r>
  <r>
    <x v="840"/>
    <x v="839"/>
    <x v="122"/>
    <x v="0"/>
    <x v="10"/>
    <x v="10"/>
    <x v="3"/>
    <x v="45"/>
    <x v="109"/>
    <x v="75"/>
    <x v="174"/>
    <x v="6"/>
    <x v="457"/>
    <x v="0"/>
    <x v="0"/>
    <x v="781"/>
    <x v="813"/>
    <x v="172"/>
    <x v="809"/>
    <x v="769"/>
    <x v="3"/>
    <x v="0"/>
    <x v="0"/>
    <x v="0"/>
    <x v="369"/>
    <x v="1"/>
  </r>
  <r>
    <x v="841"/>
    <x v="840"/>
    <x v="266"/>
    <x v="0"/>
    <x v="6"/>
    <x v="6"/>
    <x v="3"/>
    <x v="47"/>
    <x v="86"/>
    <x v="20"/>
    <x v="25"/>
    <x v="5"/>
    <x v="458"/>
    <x v="1"/>
    <x v="439"/>
    <x v="782"/>
    <x v="814"/>
    <x v="572"/>
    <x v="810"/>
    <x v="770"/>
    <x v="5"/>
    <x v="0"/>
    <x v="0"/>
    <x v="2"/>
    <x v="537"/>
    <x v="0"/>
  </r>
  <r>
    <x v="842"/>
    <x v="841"/>
    <x v="266"/>
    <x v="0"/>
    <x v="6"/>
    <x v="6"/>
    <x v="3"/>
    <x v="308"/>
    <x v="142"/>
    <x v="113"/>
    <x v="212"/>
    <x v="1"/>
    <x v="453"/>
    <x v="0"/>
    <x v="0"/>
    <x v="783"/>
    <x v="815"/>
    <x v="573"/>
    <x v="811"/>
    <x v="771"/>
    <x v="2"/>
    <x v="0"/>
    <x v="0"/>
    <x v="0"/>
    <x v="538"/>
    <x v="0"/>
  </r>
  <r>
    <x v="843"/>
    <x v="842"/>
    <x v="159"/>
    <x v="0"/>
    <x v="10"/>
    <x v="10"/>
    <x v="3"/>
    <x v="19"/>
    <x v="91"/>
    <x v="173"/>
    <x v="299"/>
    <x v="0"/>
    <x v="438"/>
    <x v="0"/>
    <x v="0"/>
    <x v="784"/>
    <x v="816"/>
    <x v="574"/>
    <x v="812"/>
    <x v="772"/>
    <x v="0"/>
    <x v="0"/>
    <x v="0"/>
    <x v="2"/>
    <x v="14"/>
    <x v="1"/>
  </r>
  <r>
    <x v="844"/>
    <x v="843"/>
    <x v="85"/>
    <x v="0"/>
    <x v="5"/>
    <x v="5"/>
    <x v="0"/>
    <x v="241"/>
    <x v="65"/>
    <x v="122"/>
    <x v="45"/>
    <x v="6"/>
    <x v="307"/>
    <x v="2"/>
    <x v="440"/>
    <x v="785"/>
    <x v="817"/>
    <x v="575"/>
    <x v="813"/>
    <x v="773"/>
    <x v="4"/>
    <x v="0"/>
    <x v="0"/>
    <x v="0"/>
    <x v="539"/>
    <x v="0"/>
  </r>
  <r>
    <x v="845"/>
    <x v="844"/>
    <x v="268"/>
    <x v="0"/>
    <x v="6"/>
    <x v="6"/>
    <x v="3"/>
    <x v="414"/>
    <x v="67"/>
    <x v="4"/>
    <x v="157"/>
    <x v="2"/>
    <x v="81"/>
    <x v="0"/>
    <x v="0"/>
    <x v="786"/>
    <x v="818"/>
    <x v="86"/>
    <x v="814"/>
    <x v="559"/>
    <x v="3"/>
    <x v="0"/>
    <x v="0"/>
    <x v="0"/>
    <x v="101"/>
    <x v="1"/>
  </r>
  <r>
    <x v="846"/>
    <x v="845"/>
    <x v="152"/>
    <x v="0"/>
    <x v="8"/>
    <x v="8"/>
    <x v="3"/>
    <x v="330"/>
    <x v="23"/>
    <x v="94"/>
    <x v="117"/>
    <x v="0"/>
    <x v="24"/>
    <x v="3"/>
    <x v="134"/>
    <x v="787"/>
    <x v="819"/>
    <x v="576"/>
    <x v="815"/>
    <x v="774"/>
    <x v="2"/>
    <x v="0"/>
    <x v="0"/>
    <x v="1"/>
    <x v="540"/>
    <x v="1"/>
  </r>
  <r>
    <x v="847"/>
    <x v="846"/>
    <x v="71"/>
    <x v="1"/>
    <x v="11"/>
    <x v="11"/>
    <x v="1"/>
    <x v="458"/>
    <x v="143"/>
    <x v="151"/>
    <x v="215"/>
    <x v="2"/>
    <x v="459"/>
    <x v="4"/>
    <x v="441"/>
    <x v="788"/>
    <x v="820"/>
    <x v="549"/>
    <x v="816"/>
    <x v="775"/>
    <x v="1"/>
    <x v="0"/>
    <x v="0"/>
    <x v="0"/>
    <x v="131"/>
    <x v="0"/>
  </r>
  <r>
    <x v="848"/>
    <x v="847"/>
    <x v="35"/>
    <x v="0"/>
    <x v="8"/>
    <x v="8"/>
    <x v="3"/>
    <x v="144"/>
    <x v="127"/>
    <x v="61"/>
    <x v="76"/>
    <x v="0"/>
    <x v="335"/>
    <x v="1"/>
    <x v="442"/>
    <x v="789"/>
    <x v="821"/>
    <x v="577"/>
    <x v="817"/>
    <x v="776"/>
    <x v="0"/>
    <x v="0"/>
    <x v="0"/>
    <x v="1"/>
    <x v="163"/>
    <x v="1"/>
  </r>
  <r>
    <x v="849"/>
    <x v="848"/>
    <x v="69"/>
    <x v="0"/>
    <x v="8"/>
    <x v="8"/>
    <x v="3"/>
    <x v="201"/>
    <x v="30"/>
    <x v="137"/>
    <x v="189"/>
    <x v="6"/>
    <x v="460"/>
    <x v="3"/>
    <x v="443"/>
    <x v="790"/>
    <x v="822"/>
    <x v="34"/>
    <x v="818"/>
    <x v="777"/>
    <x v="3"/>
    <x v="0"/>
    <x v="0"/>
    <x v="0"/>
    <x v="527"/>
    <x v="1"/>
  </r>
  <r>
    <x v="850"/>
    <x v="849"/>
    <x v="223"/>
    <x v="1"/>
    <x v="11"/>
    <x v="11"/>
    <x v="1"/>
    <x v="11"/>
    <x v="51"/>
    <x v="54"/>
    <x v="59"/>
    <x v="0"/>
    <x v="161"/>
    <x v="0"/>
    <x v="0"/>
    <x v="208"/>
    <x v="209"/>
    <x v="193"/>
    <x v="206"/>
    <x v="204"/>
    <x v="0"/>
    <x v="0"/>
    <x v="0"/>
    <x v="0"/>
    <x v="250"/>
    <x v="1"/>
  </r>
  <r>
    <x v="851"/>
    <x v="850"/>
    <x v="16"/>
    <x v="0"/>
    <x v="6"/>
    <x v="6"/>
    <x v="3"/>
    <x v="459"/>
    <x v="94"/>
    <x v="131"/>
    <x v="245"/>
    <x v="4"/>
    <x v="349"/>
    <x v="4"/>
    <x v="444"/>
    <x v="791"/>
    <x v="823"/>
    <x v="555"/>
    <x v="819"/>
    <x v="778"/>
    <x v="3"/>
    <x v="0"/>
    <x v="0"/>
    <x v="0"/>
    <x v="541"/>
    <x v="0"/>
  </r>
  <r>
    <x v="852"/>
    <x v="851"/>
    <x v="295"/>
    <x v="0"/>
    <x v="4"/>
    <x v="4"/>
    <x v="2"/>
    <x v="21"/>
    <x v="5"/>
    <x v="30"/>
    <x v="31"/>
    <x v="5"/>
    <x v="461"/>
    <x v="0"/>
    <x v="0"/>
    <x v="792"/>
    <x v="824"/>
    <x v="578"/>
    <x v="820"/>
    <x v="779"/>
    <x v="3"/>
    <x v="0"/>
    <x v="0"/>
    <x v="2"/>
    <x v="344"/>
    <x v="0"/>
  </r>
  <r>
    <x v="853"/>
    <x v="852"/>
    <x v="155"/>
    <x v="0"/>
    <x v="8"/>
    <x v="8"/>
    <x v="3"/>
    <x v="23"/>
    <x v="116"/>
    <x v="43"/>
    <x v="68"/>
    <x v="6"/>
    <x v="178"/>
    <x v="1"/>
    <x v="445"/>
    <x v="793"/>
    <x v="825"/>
    <x v="331"/>
    <x v="821"/>
    <x v="780"/>
    <x v="0"/>
    <x v="0"/>
    <x v="0"/>
    <x v="0"/>
    <x v="266"/>
    <x v="1"/>
  </r>
  <r>
    <x v="854"/>
    <x v="853"/>
    <x v="302"/>
    <x v="0"/>
    <x v="2"/>
    <x v="2"/>
    <x v="2"/>
    <x v="460"/>
    <x v="94"/>
    <x v="99"/>
    <x v="48"/>
    <x v="7"/>
    <x v="462"/>
    <x v="1"/>
    <x v="446"/>
    <x v="794"/>
    <x v="826"/>
    <x v="579"/>
    <x v="822"/>
    <x v="781"/>
    <x v="1"/>
    <x v="0"/>
    <x v="0"/>
    <x v="2"/>
    <x v="322"/>
    <x v="1"/>
  </r>
  <r>
    <x v="855"/>
    <x v="854"/>
    <x v="303"/>
    <x v="0"/>
    <x v="2"/>
    <x v="2"/>
    <x v="2"/>
    <x v="74"/>
    <x v="44"/>
    <x v="128"/>
    <x v="167"/>
    <x v="5"/>
    <x v="463"/>
    <x v="1"/>
    <x v="447"/>
    <x v="795"/>
    <x v="827"/>
    <x v="448"/>
    <x v="823"/>
    <x v="782"/>
    <x v="4"/>
    <x v="0"/>
    <x v="0"/>
    <x v="0"/>
    <x v="116"/>
    <x v="1"/>
  </r>
  <r>
    <x v="856"/>
    <x v="855"/>
    <x v="40"/>
    <x v="0"/>
    <x v="2"/>
    <x v="2"/>
    <x v="2"/>
    <x v="460"/>
    <x v="32"/>
    <x v="118"/>
    <x v="149"/>
    <x v="4"/>
    <x v="464"/>
    <x v="4"/>
    <x v="448"/>
    <x v="796"/>
    <x v="828"/>
    <x v="580"/>
    <x v="824"/>
    <x v="783"/>
    <x v="1"/>
    <x v="0"/>
    <x v="0"/>
    <x v="0"/>
    <x v="335"/>
    <x v="0"/>
  </r>
  <r>
    <x v="857"/>
    <x v="856"/>
    <x v="151"/>
    <x v="0"/>
    <x v="6"/>
    <x v="6"/>
    <x v="3"/>
    <x v="461"/>
    <x v="14"/>
    <x v="92"/>
    <x v="300"/>
    <x v="2"/>
    <x v="14"/>
    <x v="0"/>
    <x v="0"/>
    <x v="14"/>
    <x v="14"/>
    <x v="14"/>
    <x v="14"/>
    <x v="14"/>
    <x v="2"/>
    <x v="0"/>
    <x v="0"/>
    <x v="0"/>
    <x v="442"/>
    <x v="1"/>
  </r>
  <r>
    <x v="858"/>
    <x v="857"/>
    <x v="304"/>
    <x v="0"/>
    <x v="5"/>
    <x v="5"/>
    <x v="0"/>
    <x v="165"/>
    <x v="81"/>
    <x v="58"/>
    <x v="122"/>
    <x v="2"/>
    <x v="465"/>
    <x v="1"/>
    <x v="449"/>
    <x v="797"/>
    <x v="829"/>
    <x v="323"/>
    <x v="825"/>
    <x v="784"/>
    <x v="1"/>
    <x v="0"/>
    <x v="0"/>
    <x v="0"/>
    <x v="211"/>
    <x v="1"/>
  </r>
  <r>
    <x v="859"/>
    <x v="858"/>
    <x v="54"/>
    <x v="0"/>
    <x v="5"/>
    <x v="5"/>
    <x v="0"/>
    <x v="462"/>
    <x v="68"/>
    <x v="161"/>
    <x v="254"/>
    <x v="3"/>
    <x v="466"/>
    <x v="3"/>
    <x v="450"/>
    <x v="798"/>
    <x v="830"/>
    <x v="581"/>
    <x v="826"/>
    <x v="785"/>
    <x v="5"/>
    <x v="0"/>
    <x v="0"/>
    <x v="0"/>
    <x v="542"/>
    <x v="1"/>
  </r>
  <r>
    <x v="860"/>
    <x v="859"/>
    <x v="293"/>
    <x v="0"/>
    <x v="5"/>
    <x v="5"/>
    <x v="0"/>
    <x v="107"/>
    <x v="25"/>
    <x v="28"/>
    <x v="247"/>
    <x v="6"/>
    <x v="28"/>
    <x v="0"/>
    <x v="0"/>
    <x v="28"/>
    <x v="28"/>
    <x v="28"/>
    <x v="27"/>
    <x v="28"/>
    <x v="0"/>
    <x v="0"/>
    <x v="0"/>
    <x v="0"/>
    <x v="543"/>
    <x v="1"/>
  </r>
  <r>
    <x v="861"/>
    <x v="860"/>
    <x v="72"/>
    <x v="1"/>
    <x v="1"/>
    <x v="1"/>
    <x v="1"/>
    <x v="463"/>
    <x v="113"/>
    <x v="146"/>
    <x v="205"/>
    <x v="6"/>
    <x v="166"/>
    <x v="2"/>
    <x v="451"/>
    <x v="799"/>
    <x v="831"/>
    <x v="376"/>
    <x v="827"/>
    <x v="786"/>
    <x v="3"/>
    <x v="0"/>
    <x v="0"/>
    <x v="0"/>
    <x v="544"/>
    <x v="1"/>
  </r>
  <r>
    <x v="862"/>
    <x v="861"/>
    <x v="100"/>
    <x v="0"/>
    <x v="4"/>
    <x v="4"/>
    <x v="2"/>
    <x v="49"/>
    <x v="84"/>
    <x v="83"/>
    <x v="122"/>
    <x v="6"/>
    <x v="467"/>
    <x v="3"/>
    <x v="452"/>
    <x v="800"/>
    <x v="832"/>
    <x v="119"/>
    <x v="828"/>
    <x v="787"/>
    <x v="0"/>
    <x v="0"/>
    <x v="0"/>
    <x v="0"/>
    <x v="330"/>
    <x v="0"/>
  </r>
  <r>
    <x v="863"/>
    <x v="862"/>
    <x v="27"/>
    <x v="0"/>
    <x v="2"/>
    <x v="2"/>
    <x v="2"/>
    <x v="36"/>
    <x v="72"/>
    <x v="76"/>
    <x v="151"/>
    <x v="7"/>
    <x v="468"/>
    <x v="4"/>
    <x v="453"/>
    <x v="801"/>
    <x v="833"/>
    <x v="582"/>
    <x v="829"/>
    <x v="788"/>
    <x v="2"/>
    <x v="0"/>
    <x v="0"/>
    <x v="0"/>
    <x v="545"/>
    <x v="1"/>
  </r>
  <r>
    <x v="864"/>
    <x v="863"/>
    <x v="256"/>
    <x v="0"/>
    <x v="3"/>
    <x v="3"/>
    <x v="2"/>
    <x v="414"/>
    <x v="73"/>
    <x v="57"/>
    <x v="140"/>
    <x v="6"/>
    <x v="469"/>
    <x v="2"/>
    <x v="454"/>
    <x v="802"/>
    <x v="834"/>
    <x v="583"/>
    <x v="830"/>
    <x v="789"/>
    <x v="2"/>
    <x v="0"/>
    <x v="0"/>
    <x v="2"/>
    <x v="61"/>
    <x v="0"/>
  </r>
  <r>
    <x v="865"/>
    <x v="864"/>
    <x v="140"/>
    <x v="0"/>
    <x v="9"/>
    <x v="9"/>
    <x v="0"/>
    <x v="348"/>
    <x v="19"/>
    <x v="17"/>
    <x v="17"/>
    <x v="2"/>
    <x v="19"/>
    <x v="1"/>
    <x v="455"/>
    <x v="803"/>
    <x v="835"/>
    <x v="183"/>
    <x v="831"/>
    <x v="790"/>
    <x v="5"/>
    <x v="1"/>
    <x v="1"/>
    <x v="0"/>
    <x v="409"/>
    <x v="1"/>
  </r>
  <r>
    <x v="866"/>
    <x v="865"/>
    <x v="140"/>
    <x v="0"/>
    <x v="9"/>
    <x v="9"/>
    <x v="0"/>
    <x v="285"/>
    <x v="109"/>
    <x v="42"/>
    <x v="120"/>
    <x v="2"/>
    <x v="470"/>
    <x v="0"/>
    <x v="0"/>
    <x v="804"/>
    <x v="836"/>
    <x v="227"/>
    <x v="832"/>
    <x v="791"/>
    <x v="2"/>
    <x v="0"/>
    <x v="0"/>
    <x v="0"/>
    <x v="546"/>
    <x v="1"/>
  </r>
  <r>
    <x v="867"/>
    <x v="866"/>
    <x v="21"/>
    <x v="0"/>
    <x v="2"/>
    <x v="2"/>
    <x v="2"/>
    <x v="38"/>
    <x v="60"/>
    <x v="2"/>
    <x v="145"/>
    <x v="5"/>
    <x v="471"/>
    <x v="1"/>
    <x v="456"/>
    <x v="805"/>
    <x v="837"/>
    <x v="584"/>
    <x v="833"/>
    <x v="792"/>
    <x v="4"/>
    <x v="0"/>
    <x v="0"/>
    <x v="0"/>
    <x v="524"/>
    <x v="1"/>
  </r>
  <r>
    <x v="868"/>
    <x v="867"/>
    <x v="26"/>
    <x v="0"/>
    <x v="8"/>
    <x v="8"/>
    <x v="3"/>
    <x v="9"/>
    <x v="49"/>
    <x v="23"/>
    <x v="104"/>
    <x v="6"/>
    <x v="84"/>
    <x v="3"/>
    <x v="49"/>
    <x v="90"/>
    <x v="90"/>
    <x v="89"/>
    <x v="88"/>
    <x v="87"/>
    <x v="4"/>
    <x v="0"/>
    <x v="0"/>
    <x v="1"/>
    <x v="547"/>
    <x v="0"/>
  </r>
  <r>
    <x v="869"/>
    <x v="868"/>
    <x v="240"/>
    <x v="0"/>
    <x v="9"/>
    <x v="9"/>
    <x v="0"/>
    <x v="26"/>
    <x v="79"/>
    <x v="100"/>
    <x v="232"/>
    <x v="2"/>
    <x v="472"/>
    <x v="0"/>
    <x v="0"/>
    <x v="806"/>
    <x v="838"/>
    <x v="327"/>
    <x v="834"/>
    <x v="793"/>
    <x v="2"/>
    <x v="0"/>
    <x v="0"/>
    <x v="0"/>
    <x v="89"/>
    <x v="0"/>
  </r>
  <r>
    <x v="870"/>
    <x v="869"/>
    <x v="44"/>
    <x v="0"/>
    <x v="8"/>
    <x v="8"/>
    <x v="3"/>
    <x v="100"/>
    <x v="58"/>
    <x v="167"/>
    <x v="285"/>
    <x v="0"/>
    <x v="66"/>
    <x v="0"/>
    <x v="0"/>
    <x v="807"/>
    <x v="839"/>
    <x v="585"/>
    <x v="835"/>
    <x v="463"/>
    <x v="0"/>
    <x v="0"/>
    <x v="0"/>
    <x v="0"/>
    <x v="548"/>
    <x v="0"/>
  </r>
  <r>
    <x v="871"/>
    <x v="870"/>
    <x v="7"/>
    <x v="1"/>
    <x v="1"/>
    <x v="1"/>
    <x v="1"/>
    <x v="65"/>
    <x v="14"/>
    <x v="127"/>
    <x v="165"/>
    <x v="1"/>
    <x v="14"/>
    <x v="4"/>
    <x v="457"/>
    <x v="808"/>
    <x v="840"/>
    <x v="54"/>
    <x v="836"/>
    <x v="794"/>
    <x v="3"/>
    <x v="1"/>
    <x v="1"/>
    <x v="0"/>
    <x v="549"/>
    <x v="0"/>
  </r>
  <r>
    <x v="872"/>
    <x v="871"/>
    <x v="75"/>
    <x v="0"/>
    <x v="3"/>
    <x v="3"/>
    <x v="2"/>
    <x v="202"/>
    <x v="19"/>
    <x v="20"/>
    <x v="25"/>
    <x v="3"/>
    <x v="473"/>
    <x v="2"/>
    <x v="458"/>
    <x v="809"/>
    <x v="841"/>
    <x v="521"/>
    <x v="837"/>
    <x v="795"/>
    <x v="5"/>
    <x v="0"/>
    <x v="0"/>
    <x v="0"/>
    <x v="388"/>
    <x v="1"/>
  </r>
  <r>
    <x v="873"/>
    <x v="872"/>
    <x v="138"/>
    <x v="0"/>
    <x v="10"/>
    <x v="10"/>
    <x v="3"/>
    <x v="370"/>
    <x v="92"/>
    <x v="26"/>
    <x v="301"/>
    <x v="0"/>
    <x v="121"/>
    <x v="4"/>
    <x v="276"/>
    <x v="810"/>
    <x v="842"/>
    <x v="359"/>
    <x v="838"/>
    <x v="796"/>
    <x v="1"/>
    <x v="0"/>
    <x v="0"/>
    <x v="0"/>
    <x v="550"/>
    <x v="1"/>
  </r>
  <r>
    <x v="874"/>
    <x v="873"/>
    <x v="305"/>
    <x v="0"/>
    <x v="0"/>
    <x v="0"/>
    <x v="0"/>
    <x v="464"/>
    <x v="13"/>
    <x v="6"/>
    <x v="40"/>
    <x v="5"/>
    <x v="474"/>
    <x v="2"/>
    <x v="459"/>
    <x v="811"/>
    <x v="843"/>
    <x v="586"/>
    <x v="839"/>
    <x v="797"/>
    <x v="0"/>
    <x v="0"/>
    <x v="0"/>
    <x v="0"/>
    <x v="551"/>
    <x v="1"/>
  </r>
  <r>
    <x v="875"/>
    <x v="874"/>
    <x v="45"/>
    <x v="1"/>
    <x v="11"/>
    <x v="11"/>
    <x v="1"/>
    <x v="247"/>
    <x v="89"/>
    <x v="125"/>
    <x v="163"/>
    <x v="5"/>
    <x v="475"/>
    <x v="4"/>
    <x v="460"/>
    <x v="812"/>
    <x v="844"/>
    <x v="186"/>
    <x v="840"/>
    <x v="798"/>
    <x v="5"/>
    <x v="1"/>
    <x v="1"/>
    <x v="2"/>
    <x v="343"/>
    <x v="0"/>
  </r>
  <r>
    <x v="876"/>
    <x v="875"/>
    <x v="0"/>
    <x v="0"/>
    <x v="0"/>
    <x v="0"/>
    <x v="0"/>
    <x v="51"/>
    <x v="144"/>
    <x v="45"/>
    <x v="48"/>
    <x v="4"/>
    <x v="476"/>
    <x v="0"/>
    <x v="0"/>
    <x v="813"/>
    <x v="845"/>
    <x v="587"/>
    <x v="841"/>
    <x v="799"/>
    <x v="1"/>
    <x v="0"/>
    <x v="0"/>
    <x v="0"/>
    <x v="14"/>
    <x v="0"/>
  </r>
  <r>
    <x v="877"/>
    <x v="876"/>
    <x v="40"/>
    <x v="0"/>
    <x v="2"/>
    <x v="2"/>
    <x v="2"/>
    <x v="323"/>
    <x v="58"/>
    <x v="68"/>
    <x v="237"/>
    <x v="1"/>
    <x v="66"/>
    <x v="2"/>
    <x v="36"/>
    <x v="68"/>
    <x v="846"/>
    <x v="68"/>
    <x v="842"/>
    <x v="800"/>
    <x v="2"/>
    <x v="0"/>
    <x v="0"/>
    <x v="1"/>
    <x v="543"/>
    <x v="0"/>
  </r>
  <r>
    <x v="878"/>
    <x v="877"/>
    <x v="176"/>
    <x v="0"/>
    <x v="5"/>
    <x v="5"/>
    <x v="0"/>
    <x v="359"/>
    <x v="108"/>
    <x v="76"/>
    <x v="294"/>
    <x v="2"/>
    <x v="477"/>
    <x v="1"/>
    <x v="461"/>
    <x v="814"/>
    <x v="847"/>
    <x v="588"/>
    <x v="843"/>
    <x v="801"/>
    <x v="3"/>
    <x v="0"/>
    <x v="0"/>
    <x v="0"/>
    <x v="407"/>
    <x v="0"/>
  </r>
  <r>
    <x v="879"/>
    <x v="878"/>
    <x v="292"/>
    <x v="0"/>
    <x v="4"/>
    <x v="4"/>
    <x v="2"/>
    <x v="43"/>
    <x v="0"/>
    <x v="139"/>
    <x v="95"/>
    <x v="7"/>
    <x v="478"/>
    <x v="3"/>
    <x v="462"/>
    <x v="815"/>
    <x v="848"/>
    <x v="589"/>
    <x v="844"/>
    <x v="802"/>
    <x v="2"/>
    <x v="0"/>
    <x v="0"/>
    <x v="0"/>
    <x v="179"/>
    <x v="1"/>
  </r>
  <r>
    <x v="880"/>
    <x v="879"/>
    <x v="140"/>
    <x v="0"/>
    <x v="9"/>
    <x v="9"/>
    <x v="0"/>
    <x v="332"/>
    <x v="51"/>
    <x v="128"/>
    <x v="35"/>
    <x v="2"/>
    <x v="161"/>
    <x v="0"/>
    <x v="0"/>
    <x v="221"/>
    <x v="849"/>
    <x v="59"/>
    <x v="845"/>
    <x v="204"/>
    <x v="5"/>
    <x v="0"/>
    <x v="0"/>
    <x v="1"/>
    <x v="126"/>
    <x v="1"/>
  </r>
  <r>
    <x v="881"/>
    <x v="880"/>
    <x v="165"/>
    <x v="0"/>
    <x v="0"/>
    <x v="0"/>
    <x v="0"/>
    <x v="89"/>
    <x v="43"/>
    <x v="49"/>
    <x v="35"/>
    <x v="6"/>
    <x v="479"/>
    <x v="2"/>
    <x v="463"/>
    <x v="816"/>
    <x v="850"/>
    <x v="389"/>
    <x v="846"/>
    <x v="803"/>
    <x v="1"/>
    <x v="0"/>
    <x v="0"/>
    <x v="2"/>
    <x v="264"/>
    <x v="0"/>
  </r>
  <r>
    <x v="882"/>
    <x v="881"/>
    <x v="272"/>
    <x v="0"/>
    <x v="2"/>
    <x v="2"/>
    <x v="2"/>
    <x v="379"/>
    <x v="145"/>
    <x v="77"/>
    <x v="91"/>
    <x v="2"/>
    <x v="480"/>
    <x v="3"/>
    <x v="464"/>
    <x v="817"/>
    <x v="851"/>
    <x v="590"/>
    <x v="847"/>
    <x v="804"/>
    <x v="0"/>
    <x v="0"/>
    <x v="0"/>
    <x v="0"/>
    <x v="525"/>
    <x v="1"/>
  </r>
  <r>
    <x v="883"/>
    <x v="882"/>
    <x v="0"/>
    <x v="0"/>
    <x v="0"/>
    <x v="0"/>
    <x v="0"/>
    <x v="133"/>
    <x v="4"/>
    <x v="159"/>
    <x v="277"/>
    <x v="5"/>
    <x v="481"/>
    <x v="0"/>
    <x v="0"/>
    <x v="818"/>
    <x v="852"/>
    <x v="591"/>
    <x v="848"/>
    <x v="805"/>
    <x v="4"/>
    <x v="0"/>
    <x v="0"/>
    <x v="0"/>
    <x v="46"/>
    <x v="0"/>
  </r>
  <r>
    <x v="884"/>
    <x v="883"/>
    <x v="306"/>
    <x v="0"/>
    <x v="2"/>
    <x v="2"/>
    <x v="2"/>
    <x v="465"/>
    <x v="43"/>
    <x v="0"/>
    <x v="302"/>
    <x v="0"/>
    <x v="380"/>
    <x v="3"/>
    <x v="465"/>
    <x v="819"/>
    <x v="853"/>
    <x v="493"/>
    <x v="849"/>
    <x v="806"/>
    <x v="2"/>
    <x v="0"/>
    <x v="0"/>
    <x v="0"/>
    <x v="250"/>
    <x v="1"/>
  </r>
  <r>
    <x v="885"/>
    <x v="884"/>
    <x v="179"/>
    <x v="0"/>
    <x v="10"/>
    <x v="10"/>
    <x v="3"/>
    <x v="156"/>
    <x v="72"/>
    <x v="141"/>
    <x v="231"/>
    <x v="4"/>
    <x v="482"/>
    <x v="0"/>
    <x v="0"/>
    <x v="820"/>
    <x v="854"/>
    <x v="552"/>
    <x v="850"/>
    <x v="807"/>
    <x v="2"/>
    <x v="0"/>
    <x v="0"/>
    <x v="2"/>
    <x v="552"/>
    <x v="1"/>
  </r>
  <r>
    <x v="886"/>
    <x v="885"/>
    <x v="16"/>
    <x v="0"/>
    <x v="6"/>
    <x v="6"/>
    <x v="3"/>
    <x v="28"/>
    <x v="61"/>
    <x v="113"/>
    <x v="86"/>
    <x v="2"/>
    <x v="69"/>
    <x v="0"/>
    <x v="0"/>
    <x v="821"/>
    <x v="855"/>
    <x v="71"/>
    <x v="851"/>
    <x v="808"/>
    <x v="4"/>
    <x v="0"/>
    <x v="0"/>
    <x v="0"/>
    <x v="553"/>
    <x v="0"/>
  </r>
  <r>
    <x v="887"/>
    <x v="886"/>
    <x v="59"/>
    <x v="1"/>
    <x v="11"/>
    <x v="11"/>
    <x v="1"/>
    <x v="54"/>
    <x v="35"/>
    <x v="172"/>
    <x v="261"/>
    <x v="6"/>
    <x v="483"/>
    <x v="0"/>
    <x v="0"/>
    <x v="822"/>
    <x v="856"/>
    <x v="302"/>
    <x v="852"/>
    <x v="809"/>
    <x v="0"/>
    <x v="0"/>
    <x v="0"/>
    <x v="2"/>
    <x v="506"/>
    <x v="0"/>
  </r>
  <r>
    <x v="888"/>
    <x v="887"/>
    <x v="256"/>
    <x v="0"/>
    <x v="3"/>
    <x v="3"/>
    <x v="2"/>
    <x v="57"/>
    <x v="6"/>
    <x v="10"/>
    <x v="10"/>
    <x v="6"/>
    <x v="6"/>
    <x v="0"/>
    <x v="0"/>
    <x v="823"/>
    <x v="857"/>
    <x v="592"/>
    <x v="853"/>
    <x v="810"/>
    <x v="2"/>
    <x v="0"/>
    <x v="0"/>
    <x v="0"/>
    <x v="366"/>
    <x v="0"/>
  </r>
  <r>
    <x v="889"/>
    <x v="888"/>
    <x v="85"/>
    <x v="0"/>
    <x v="5"/>
    <x v="5"/>
    <x v="0"/>
    <x v="371"/>
    <x v="90"/>
    <x v="140"/>
    <x v="223"/>
    <x v="1"/>
    <x v="81"/>
    <x v="4"/>
    <x v="466"/>
    <x v="824"/>
    <x v="858"/>
    <x v="593"/>
    <x v="854"/>
    <x v="811"/>
    <x v="2"/>
    <x v="0"/>
    <x v="0"/>
    <x v="0"/>
    <x v="124"/>
    <x v="0"/>
  </r>
  <r>
    <x v="890"/>
    <x v="889"/>
    <x v="307"/>
    <x v="1"/>
    <x v="7"/>
    <x v="7"/>
    <x v="1"/>
    <x v="466"/>
    <x v="88"/>
    <x v="49"/>
    <x v="53"/>
    <x v="0"/>
    <x v="117"/>
    <x v="0"/>
    <x v="0"/>
    <x v="825"/>
    <x v="859"/>
    <x v="594"/>
    <x v="855"/>
    <x v="812"/>
    <x v="1"/>
    <x v="0"/>
    <x v="0"/>
    <x v="0"/>
    <x v="64"/>
    <x v="0"/>
  </r>
  <r>
    <x v="891"/>
    <x v="890"/>
    <x v="257"/>
    <x v="0"/>
    <x v="3"/>
    <x v="3"/>
    <x v="2"/>
    <x v="284"/>
    <x v="25"/>
    <x v="18"/>
    <x v="18"/>
    <x v="0"/>
    <x v="28"/>
    <x v="3"/>
    <x v="467"/>
    <x v="826"/>
    <x v="860"/>
    <x v="595"/>
    <x v="856"/>
    <x v="813"/>
    <x v="2"/>
    <x v="0"/>
    <x v="0"/>
    <x v="1"/>
    <x v="151"/>
    <x v="1"/>
  </r>
  <r>
    <x v="892"/>
    <x v="891"/>
    <x v="153"/>
    <x v="0"/>
    <x v="10"/>
    <x v="10"/>
    <x v="3"/>
    <x v="217"/>
    <x v="93"/>
    <x v="40"/>
    <x v="188"/>
    <x v="6"/>
    <x v="484"/>
    <x v="0"/>
    <x v="0"/>
    <x v="827"/>
    <x v="861"/>
    <x v="422"/>
    <x v="857"/>
    <x v="814"/>
    <x v="2"/>
    <x v="0"/>
    <x v="0"/>
    <x v="0"/>
    <x v="164"/>
    <x v="1"/>
  </r>
  <r>
    <x v="893"/>
    <x v="892"/>
    <x v="170"/>
    <x v="0"/>
    <x v="3"/>
    <x v="3"/>
    <x v="2"/>
    <x v="96"/>
    <x v="52"/>
    <x v="9"/>
    <x v="41"/>
    <x v="1"/>
    <x v="59"/>
    <x v="0"/>
    <x v="0"/>
    <x v="60"/>
    <x v="60"/>
    <x v="60"/>
    <x v="58"/>
    <x v="59"/>
    <x v="2"/>
    <x v="0"/>
    <x v="0"/>
    <x v="1"/>
    <x v="554"/>
    <x v="1"/>
  </r>
  <r>
    <x v="894"/>
    <x v="893"/>
    <x v="78"/>
    <x v="0"/>
    <x v="8"/>
    <x v="8"/>
    <x v="3"/>
    <x v="62"/>
    <x v="146"/>
    <x v="95"/>
    <x v="88"/>
    <x v="4"/>
    <x v="485"/>
    <x v="3"/>
    <x v="468"/>
    <x v="828"/>
    <x v="862"/>
    <x v="596"/>
    <x v="858"/>
    <x v="815"/>
    <x v="4"/>
    <x v="0"/>
    <x v="0"/>
    <x v="0"/>
    <x v="555"/>
    <x v="1"/>
  </r>
  <r>
    <x v="895"/>
    <x v="894"/>
    <x v="124"/>
    <x v="0"/>
    <x v="5"/>
    <x v="5"/>
    <x v="0"/>
    <x v="467"/>
    <x v="12"/>
    <x v="48"/>
    <x v="191"/>
    <x v="1"/>
    <x v="12"/>
    <x v="0"/>
    <x v="0"/>
    <x v="198"/>
    <x v="199"/>
    <x v="184"/>
    <x v="196"/>
    <x v="148"/>
    <x v="4"/>
    <x v="0"/>
    <x v="0"/>
    <x v="0"/>
    <x v="141"/>
    <x v="1"/>
  </r>
  <r>
    <x v="896"/>
    <x v="895"/>
    <x v="273"/>
    <x v="0"/>
    <x v="0"/>
    <x v="0"/>
    <x v="0"/>
    <x v="468"/>
    <x v="119"/>
    <x v="45"/>
    <x v="48"/>
    <x v="1"/>
    <x v="189"/>
    <x v="3"/>
    <x v="153"/>
    <x v="829"/>
    <x v="863"/>
    <x v="597"/>
    <x v="859"/>
    <x v="816"/>
    <x v="5"/>
    <x v="0"/>
    <x v="0"/>
    <x v="0"/>
    <x v="207"/>
    <x v="1"/>
  </r>
  <r>
    <x v="897"/>
    <x v="896"/>
    <x v="115"/>
    <x v="0"/>
    <x v="10"/>
    <x v="10"/>
    <x v="3"/>
    <x v="469"/>
    <x v="57"/>
    <x v="1"/>
    <x v="1"/>
    <x v="1"/>
    <x v="65"/>
    <x v="2"/>
    <x v="469"/>
    <x v="830"/>
    <x v="864"/>
    <x v="598"/>
    <x v="860"/>
    <x v="817"/>
    <x v="4"/>
    <x v="0"/>
    <x v="0"/>
    <x v="0"/>
    <x v="77"/>
    <x v="1"/>
  </r>
  <r>
    <x v="898"/>
    <x v="897"/>
    <x v="284"/>
    <x v="0"/>
    <x v="10"/>
    <x v="10"/>
    <x v="3"/>
    <x v="54"/>
    <x v="73"/>
    <x v="125"/>
    <x v="163"/>
    <x v="3"/>
    <x v="486"/>
    <x v="0"/>
    <x v="0"/>
    <x v="831"/>
    <x v="865"/>
    <x v="374"/>
    <x v="861"/>
    <x v="818"/>
    <x v="2"/>
    <x v="0"/>
    <x v="0"/>
    <x v="0"/>
    <x v="556"/>
    <x v="1"/>
  </r>
  <r>
    <x v="899"/>
    <x v="898"/>
    <x v="271"/>
    <x v="1"/>
    <x v="7"/>
    <x v="7"/>
    <x v="1"/>
    <x v="470"/>
    <x v="21"/>
    <x v="26"/>
    <x v="33"/>
    <x v="4"/>
    <x v="487"/>
    <x v="0"/>
    <x v="0"/>
    <x v="832"/>
    <x v="866"/>
    <x v="599"/>
    <x v="862"/>
    <x v="819"/>
    <x v="4"/>
    <x v="0"/>
    <x v="0"/>
    <x v="0"/>
    <x v="557"/>
    <x v="1"/>
  </r>
  <r>
    <x v="900"/>
    <x v="899"/>
    <x v="308"/>
    <x v="0"/>
    <x v="9"/>
    <x v="9"/>
    <x v="0"/>
    <x v="218"/>
    <x v="133"/>
    <x v="30"/>
    <x v="31"/>
    <x v="6"/>
    <x v="488"/>
    <x v="0"/>
    <x v="0"/>
    <x v="833"/>
    <x v="867"/>
    <x v="600"/>
    <x v="863"/>
    <x v="820"/>
    <x v="3"/>
    <x v="0"/>
    <x v="0"/>
    <x v="1"/>
    <x v="274"/>
    <x v="1"/>
  </r>
  <r>
    <x v="901"/>
    <x v="900"/>
    <x v="266"/>
    <x v="0"/>
    <x v="6"/>
    <x v="6"/>
    <x v="3"/>
    <x v="120"/>
    <x v="23"/>
    <x v="48"/>
    <x v="191"/>
    <x v="4"/>
    <x v="489"/>
    <x v="3"/>
    <x v="470"/>
    <x v="834"/>
    <x v="868"/>
    <x v="601"/>
    <x v="864"/>
    <x v="821"/>
    <x v="4"/>
    <x v="0"/>
    <x v="0"/>
    <x v="1"/>
    <x v="292"/>
    <x v="0"/>
  </r>
  <r>
    <x v="902"/>
    <x v="901"/>
    <x v="15"/>
    <x v="0"/>
    <x v="6"/>
    <x v="6"/>
    <x v="3"/>
    <x v="114"/>
    <x v="52"/>
    <x v="28"/>
    <x v="29"/>
    <x v="4"/>
    <x v="59"/>
    <x v="2"/>
    <x v="471"/>
    <x v="835"/>
    <x v="869"/>
    <x v="602"/>
    <x v="865"/>
    <x v="822"/>
    <x v="2"/>
    <x v="1"/>
    <x v="1"/>
    <x v="0"/>
    <x v="244"/>
    <x v="1"/>
  </r>
  <r>
    <x v="903"/>
    <x v="902"/>
    <x v="169"/>
    <x v="0"/>
    <x v="0"/>
    <x v="0"/>
    <x v="0"/>
    <x v="393"/>
    <x v="21"/>
    <x v="122"/>
    <x v="45"/>
    <x v="4"/>
    <x v="22"/>
    <x v="4"/>
    <x v="472"/>
    <x v="836"/>
    <x v="870"/>
    <x v="599"/>
    <x v="866"/>
    <x v="823"/>
    <x v="2"/>
    <x v="0"/>
    <x v="0"/>
    <x v="0"/>
    <x v="558"/>
    <x v="0"/>
  </r>
  <r>
    <x v="904"/>
    <x v="903"/>
    <x v="18"/>
    <x v="0"/>
    <x v="2"/>
    <x v="2"/>
    <x v="2"/>
    <x v="437"/>
    <x v="139"/>
    <x v="54"/>
    <x v="59"/>
    <x v="6"/>
    <x v="357"/>
    <x v="1"/>
    <x v="473"/>
    <x v="837"/>
    <x v="871"/>
    <x v="603"/>
    <x v="867"/>
    <x v="571"/>
    <x v="3"/>
    <x v="0"/>
    <x v="0"/>
    <x v="2"/>
    <x v="559"/>
    <x v="1"/>
  </r>
  <r>
    <x v="905"/>
    <x v="904"/>
    <x v="29"/>
    <x v="0"/>
    <x v="10"/>
    <x v="10"/>
    <x v="3"/>
    <x v="93"/>
    <x v="64"/>
    <x v="128"/>
    <x v="278"/>
    <x v="4"/>
    <x v="490"/>
    <x v="0"/>
    <x v="0"/>
    <x v="838"/>
    <x v="872"/>
    <x v="77"/>
    <x v="633"/>
    <x v="824"/>
    <x v="5"/>
    <x v="0"/>
    <x v="0"/>
    <x v="2"/>
    <x v="357"/>
    <x v="0"/>
  </r>
  <r>
    <x v="906"/>
    <x v="905"/>
    <x v="116"/>
    <x v="0"/>
    <x v="8"/>
    <x v="8"/>
    <x v="3"/>
    <x v="64"/>
    <x v="3"/>
    <x v="60"/>
    <x v="66"/>
    <x v="1"/>
    <x v="3"/>
    <x v="0"/>
    <x v="0"/>
    <x v="534"/>
    <x v="873"/>
    <x v="3"/>
    <x v="868"/>
    <x v="825"/>
    <x v="1"/>
    <x v="0"/>
    <x v="0"/>
    <x v="0"/>
    <x v="41"/>
    <x v="1"/>
  </r>
  <r>
    <x v="907"/>
    <x v="906"/>
    <x v="74"/>
    <x v="0"/>
    <x v="8"/>
    <x v="8"/>
    <x v="3"/>
    <x v="111"/>
    <x v="7"/>
    <x v="174"/>
    <x v="35"/>
    <x v="2"/>
    <x v="7"/>
    <x v="0"/>
    <x v="0"/>
    <x v="839"/>
    <x v="874"/>
    <x v="65"/>
    <x v="869"/>
    <x v="826"/>
    <x v="1"/>
    <x v="0"/>
    <x v="0"/>
    <x v="0"/>
    <x v="560"/>
    <x v="1"/>
  </r>
  <r>
    <x v="908"/>
    <x v="907"/>
    <x v="47"/>
    <x v="0"/>
    <x v="5"/>
    <x v="5"/>
    <x v="0"/>
    <x v="201"/>
    <x v="5"/>
    <x v="158"/>
    <x v="235"/>
    <x v="6"/>
    <x v="491"/>
    <x v="0"/>
    <x v="0"/>
    <x v="840"/>
    <x v="875"/>
    <x v="604"/>
    <x v="870"/>
    <x v="827"/>
    <x v="1"/>
    <x v="0"/>
    <x v="0"/>
    <x v="1"/>
    <x v="343"/>
    <x v="0"/>
  </r>
  <r>
    <x v="909"/>
    <x v="908"/>
    <x v="229"/>
    <x v="1"/>
    <x v="1"/>
    <x v="1"/>
    <x v="1"/>
    <x v="174"/>
    <x v="78"/>
    <x v="58"/>
    <x v="122"/>
    <x v="3"/>
    <x v="492"/>
    <x v="0"/>
    <x v="0"/>
    <x v="841"/>
    <x v="876"/>
    <x v="605"/>
    <x v="871"/>
    <x v="828"/>
    <x v="0"/>
    <x v="0"/>
    <x v="0"/>
    <x v="0"/>
    <x v="265"/>
    <x v="0"/>
  </r>
  <r>
    <x v="910"/>
    <x v="909"/>
    <x v="196"/>
    <x v="0"/>
    <x v="5"/>
    <x v="5"/>
    <x v="0"/>
    <x v="269"/>
    <x v="111"/>
    <x v="96"/>
    <x v="150"/>
    <x v="5"/>
    <x v="493"/>
    <x v="1"/>
    <x v="474"/>
    <x v="842"/>
    <x v="877"/>
    <x v="182"/>
    <x v="872"/>
    <x v="829"/>
    <x v="0"/>
    <x v="0"/>
    <x v="0"/>
    <x v="1"/>
    <x v="343"/>
    <x v="0"/>
  </r>
  <r>
    <x v="911"/>
    <x v="910"/>
    <x v="309"/>
    <x v="0"/>
    <x v="3"/>
    <x v="3"/>
    <x v="2"/>
    <x v="471"/>
    <x v="82"/>
    <x v="163"/>
    <x v="303"/>
    <x v="2"/>
    <x v="494"/>
    <x v="0"/>
    <x v="0"/>
    <x v="843"/>
    <x v="878"/>
    <x v="299"/>
    <x v="873"/>
    <x v="830"/>
    <x v="4"/>
    <x v="0"/>
    <x v="0"/>
    <x v="0"/>
    <x v="173"/>
    <x v="1"/>
  </r>
  <r>
    <x v="912"/>
    <x v="911"/>
    <x v="60"/>
    <x v="1"/>
    <x v="1"/>
    <x v="1"/>
    <x v="1"/>
    <x v="44"/>
    <x v="118"/>
    <x v="164"/>
    <x v="304"/>
    <x v="3"/>
    <x v="495"/>
    <x v="0"/>
    <x v="0"/>
    <x v="844"/>
    <x v="879"/>
    <x v="606"/>
    <x v="874"/>
    <x v="831"/>
    <x v="4"/>
    <x v="0"/>
    <x v="0"/>
    <x v="0"/>
    <x v="459"/>
    <x v="1"/>
  </r>
  <r>
    <x v="913"/>
    <x v="912"/>
    <x v="233"/>
    <x v="0"/>
    <x v="4"/>
    <x v="4"/>
    <x v="2"/>
    <x v="55"/>
    <x v="147"/>
    <x v="119"/>
    <x v="157"/>
    <x v="3"/>
    <x v="496"/>
    <x v="2"/>
    <x v="475"/>
    <x v="845"/>
    <x v="880"/>
    <x v="607"/>
    <x v="875"/>
    <x v="832"/>
    <x v="3"/>
    <x v="0"/>
    <x v="0"/>
    <x v="0"/>
    <x v="540"/>
    <x v="1"/>
  </r>
  <r>
    <x v="914"/>
    <x v="913"/>
    <x v="281"/>
    <x v="0"/>
    <x v="2"/>
    <x v="2"/>
    <x v="2"/>
    <x v="205"/>
    <x v="66"/>
    <x v="18"/>
    <x v="69"/>
    <x v="7"/>
    <x v="497"/>
    <x v="0"/>
    <x v="0"/>
    <x v="846"/>
    <x v="881"/>
    <x v="608"/>
    <x v="876"/>
    <x v="833"/>
    <x v="1"/>
    <x v="0"/>
    <x v="0"/>
    <x v="0"/>
    <x v="39"/>
    <x v="1"/>
  </r>
  <r>
    <x v="915"/>
    <x v="914"/>
    <x v="168"/>
    <x v="0"/>
    <x v="6"/>
    <x v="6"/>
    <x v="3"/>
    <x v="455"/>
    <x v="62"/>
    <x v="154"/>
    <x v="287"/>
    <x v="5"/>
    <x v="498"/>
    <x v="0"/>
    <x v="0"/>
    <x v="847"/>
    <x v="882"/>
    <x v="609"/>
    <x v="877"/>
    <x v="834"/>
    <x v="0"/>
    <x v="0"/>
    <x v="0"/>
    <x v="2"/>
    <x v="393"/>
    <x v="0"/>
  </r>
  <r>
    <x v="916"/>
    <x v="915"/>
    <x v="286"/>
    <x v="0"/>
    <x v="4"/>
    <x v="4"/>
    <x v="2"/>
    <x v="472"/>
    <x v="81"/>
    <x v="37"/>
    <x v="78"/>
    <x v="0"/>
    <x v="103"/>
    <x v="4"/>
    <x v="476"/>
    <x v="848"/>
    <x v="883"/>
    <x v="111"/>
    <x v="878"/>
    <x v="835"/>
    <x v="3"/>
    <x v="1"/>
    <x v="1"/>
    <x v="1"/>
    <x v="169"/>
    <x v="1"/>
  </r>
  <r>
    <x v="917"/>
    <x v="916"/>
    <x v="152"/>
    <x v="0"/>
    <x v="8"/>
    <x v="8"/>
    <x v="3"/>
    <x v="434"/>
    <x v="52"/>
    <x v="175"/>
    <x v="305"/>
    <x v="0"/>
    <x v="59"/>
    <x v="4"/>
    <x v="477"/>
    <x v="849"/>
    <x v="884"/>
    <x v="446"/>
    <x v="879"/>
    <x v="836"/>
    <x v="4"/>
    <x v="0"/>
    <x v="0"/>
    <x v="0"/>
    <x v="71"/>
    <x v="1"/>
  </r>
  <r>
    <x v="918"/>
    <x v="917"/>
    <x v="179"/>
    <x v="0"/>
    <x v="10"/>
    <x v="10"/>
    <x v="3"/>
    <x v="473"/>
    <x v="6"/>
    <x v="145"/>
    <x v="204"/>
    <x v="1"/>
    <x v="6"/>
    <x v="0"/>
    <x v="0"/>
    <x v="154"/>
    <x v="885"/>
    <x v="145"/>
    <x v="880"/>
    <x v="837"/>
    <x v="5"/>
    <x v="0"/>
    <x v="0"/>
    <x v="0"/>
    <x v="561"/>
    <x v="1"/>
  </r>
  <r>
    <x v="919"/>
    <x v="346"/>
    <x v="28"/>
    <x v="0"/>
    <x v="9"/>
    <x v="9"/>
    <x v="0"/>
    <x v="26"/>
    <x v="79"/>
    <x v="62"/>
    <x v="295"/>
    <x v="2"/>
    <x v="499"/>
    <x v="0"/>
    <x v="0"/>
    <x v="431"/>
    <x v="886"/>
    <x v="327"/>
    <x v="881"/>
    <x v="838"/>
    <x v="0"/>
    <x v="0"/>
    <x v="0"/>
    <x v="0"/>
    <x v="309"/>
    <x v="1"/>
  </r>
  <r>
    <x v="920"/>
    <x v="918"/>
    <x v="310"/>
    <x v="0"/>
    <x v="0"/>
    <x v="0"/>
    <x v="0"/>
    <x v="285"/>
    <x v="57"/>
    <x v="21"/>
    <x v="110"/>
    <x v="2"/>
    <x v="500"/>
    <x v="0"/>
    <x v="0"/>
    <x v="850"/>
    <x v="887"/>
    <x v="67"/>
    <x v="882"/>
    <x v="839"/>
    <x v="3"/>
    <x v="0"/>
    <x v="0"/>
    <x v="0"/>
    <x v="21"/>
    <x v="1"/>
  </r>
  <r>
    <x v="921"/>
    <x v="919"/>
    <x v="37"/>
    <x v="0"/>
    <x v="5"/>
    <x v="5"/>
    <x v="0"/>
    <x v="474"/>
    <x v="109"/>
    <x v="146"/>
    <x v="205"/>
    <x v="6"/>
    <x v="150"/>
    <x v="0"/>
    <x v="0"/>
    <x v="186"/>
    <x v="450"/>
    <x v="172"/>
    <x v="446"/>
    <x v="435"/>
    <x v="4"/>
    <x v="0"/>
    <x v="0"/>
    <x v="0"/>
    <x v="562"/>
    <x v="0"/>
  </r>
  <r>
    <x v="922"/>
    <x v="920"/>
    <x v="179"/>
    <x v="0"/>
    <x v="10"/>
    <x v="10"/>
    <x v="3"/>
    <x v="475"/>
    <x v="78"/>
    <x v="98"/>
    <x v="152"/>
    <x v="1"/>
    <x v="211"/>
    <x v="3"/>
    <x v="478"/>
    <x v="851"/>
    <x v="888"/>
    <x v="468"/>
    <x v="236"/>
    <x v="840"/>
    <x v="3"/>
    <x v="0"/>
    <x v="0"/>
    <x v="0"/>
    <x v="563"/>
    <x v="1"/>
  </r>
  <r>
    <x v="923"/>
    <x v="921"/>
    <x v="219"/>
    <x v="0"/>
    <x v="3"/>
    <x v="3"/>
    <x v="2"/>
    <x v="442"/>
    <x v="31"/>
    <x v="152"/>
    <x v="35"/>
    <x v="7"/>
    <x v="501"/>
    <x v="2"/>
    <x v="479"/>
    <x v="852"/>
    <x v="889"/>
    <x v="311"/>
    <x v="883"/>
    <x v="841"/>
    <x v="2"/>
    <x v="0"/>
    <x v="0"/>
    <x v="2"/>
    <x v="243"/>
    <x v="1"/>
  </r>
  <r>
    <x v="924"/>
    <x v="922"/>
    <x v="80"/>
    <x v="0"/>
    <x v="8"/>
    <x v="8"/>
    <x v="3"/>
    <x v="421"/>
    <x v="102"/>
    <x v="118"/>
    <x v="149"/>
    <x v="6"/>
    <x v="136"/>
    <x v="0"/>
    <x v="0"/>
    <x v="853"/>
    <x v="890"/>
    <x v="610"/>
    <x v="884"/>
    <x v="842"/>
    <x v="0"/>
    <x v="0"/>
    <x v="0"/>
    <x v="2"/>
    <x v="467"/>
    <x v="0"/>
  </r>
  <r>
    <x v="925"/>
    <x v="923"/>
    <x v="11"/>
    <x v="1"/>
    <x v="1"/>
    <x v="1"/>
    <x v="1"/>
    <x v="476"/>
    <x v="18"/>
    <x v="6"/>
    <x v="214"/>
    <x v="1"/>
    <x v="18"/>
    <x v="0"/>
    <x v="0"/>
    <x v="687"/>
    <x v="891"/>
    <x v="520"/>
    <x v="885"/>
    <x v="18"/>
    <x v="3"/>
    <x v="0"/>
    <x v="0"/>
    <x v="0"/>
    <x v="275"/>
    <x v="1"/>
  </r>
  <r>
    <x v="926"/>
    <x v="924"/>
    <x v="127"/>
    <x v="0"/>
    <x v="5"/>
    <x v="5"/>
    <x v="0"/>
    <x v="477"/>
    <x v="4"/>
    <x v="146"/>
    <x v="306"/>
    <x v="2"/>
    <x v="213"/>
    <x v="0"/>
    <x v="0"/>
    <x v="290"/>
    <x v="892"/>
    <x v="4"/>
    <x v="886"/>
    <x v="519"/>
    <x v="2"/>
    <x v="0"/>
    <x v="0"/>
    <x v="0"/>
    <x v="8"/>
    <x v="0"/>
  </r>
  <r>
    <x v="927"/>
    <x v="925"/>
    <x v="177"/>
    <x v="0"/>
    <x v="10"/>
    <x v="10"/>
    <x v="3"/>
    <x v="73"/>
    <x v="130"/>
    <x v="165"/>
    <x v="197"/>
    <x v="4"/>
    <x v="502"/>
    <x v="0"/>
    <x v="0"/>
    <x v="854"/>
    <x v="893"/>
    <x v="611"/>
    <x v="887"/>
    <x v="843"/>
    <x v="1"/>
    <x v="0"/>
    <x v="0"/>
    <x v="0"/>
    <x v="324"/>
    <x v="1"/>
  </r>
  <r>
    <x v="928"/>
    <x v="926"/>
    <x v="91"/>
    <x v="1"/>
    <x v="1"/>
    <x v="1"/>
    <x v="1"/>
    <x v="478"/>
    <x v="78"/>
    <x v="65"/>
    <x v="257"/>
    <x v="2"/>
    <x v="503"/>
    <x v="3"/>
    <x v="480"/>
    <x v="855"/>
    <x v="894"/>
    <x v="103"/>
    <x v="888"/>
    <x v="844"/>
    <x v="1"/>
    <x v="0"/>
    <x v="0"/>
    <x v="0"/>
    <x v="242"/>
    <x v="1"/>
  </r>
  <r>
    <x v="929"/>
    <x v="927"/>
    <x v="26"/>
    <x v="0"/>
    <x v="8"/>
    <x v="8"/>
    <x v="3"/>
    <x v="363"/>
    <x v="0"/>
    <x v="18"/>
    <x v="69"/>
    <x v="2"/>
    <x v="0"/>
    <x v="3"/>
    <x v="481"/>
    <x v="856"/>
    <x v="895"/>
    <x v="157"/>
    <x v="889"/>
    <x v="845"/>
    <x v="2"/>
    <x v="0"/>
    <x v="0"/>
    <x v="0"/>
    <x v="263"/>
    <x v="0"/>
  </r>
  <r>
    <x v="930"/>
    <x v="928"/>
    <x v="159"/>
    <x v="0"/>
    <x v="10"/>
    <x v="10"/>
    <x v="3"/>
    <x v="185"/>
    <x v="130"/>
    <x v="76"/>
    <x v="294"/>
    <x v="2"/>
    <x v="504"/>
    <x v="2"/>
    <x v="482"/>
    <x v="857"/>
    <x v="896"/>
    <x v="612"/>
    <x v="890"/>
    <x v="846"/>
    <x v="5"/>
    <x v="0"/>
    <x v="0"/>
    <x v="0"/>
    <x v="541"/>
    <x v="1"/>
  </r>
  <r>
    <x v="931"/>
    <x v="929"/>
    <x v="81"/>
    <x v="0"/>
    <x v="10"/>
    <x v="10"/>
    <x v="3"/>
    <x v="276"/>
    <x v="76"/>
    <x v="144"/>
    <x v="197"/>
    <x v="3"/>
    <x v="505"/>
    <x v="0"/>
    <x v="0"/>
    <x v="5"/>
    <x v="897"/>
    <x v="452"/>
    <x v="891"/>
    <x v="847"/>
    <x v="2"/>
    <x v="0"/>
    <x v="0"/>
    <x v="1"/>
    <x v="564"/>
    <x v="0"/>
  </r>
  <r>
    <x v="932"/>
    <x v="930"/>
    <x v="238"/>
    <x v="0"/>
    <x v="3"/>
    <x v="3"/>
    <x v="2"/>
    <x v="165"/>
    <x v="74"/>
    <x v="83"/>
    <x v="259"/>
    <x v="7"/>
    <x v="506"/>
    <x v="2"/>
    <x v="483"/>
    <x v="858"/>
    <x v="898"/>
    <x v="613"/>
    <x v="892"/>
    <x v="848"/>
    <x v="4"/>
    <x v="0"/>
    <x v="0"/>
    <x v="0"/>
    <x v="565"/>
    <x v="1"/>
  </r>
  <r>
    <x v="933"/>
    <x v="931"/>
    <x v="138"/>
    <x v="0"/>
    <x v="10"/>
    <x v="10"/>
    <x v="3"/>
    <x v="33"/>
    <x v="116"/>
    <x v="36"/>
    <x v="37"/>
    <x v="1"/>
    <x v="178"/>
    <x v="0"/>
    <x v="0"/>
    <x v="237"/>
    <x v="676"/>
    <x v="217"/>
    <x v="671"/>
    <x v="649"/>
    <x v="0"/>
    <x v="0"/>
    <x v="0"/>
    <x v="0"/>
    <x v="410"/>
    <x v="1"/>
  </r>
  <r>
    <x v="934"/>
    <x v="932"/>
    <x v="75"/>
    <x v="0"/>
    <x v="3"/>
    <x v="3"/>
    <x v="2"/>
    <x v="479"/>
    <x v="138"/>
    <x v="176"/>
    <x v="307"/>
    <x v="6"/>
    <x v="344"/>
    <x v="1"/>
    <x v="484"/>
    <x v="859"/>
    <x v="899"/>
    <x v="614"/>
    <x v="893"/>
    <x v="591"/>
    <x v="4"/>
    <x v="0"/>
    <x v="0"/>
    <x v="0"/>
    <x v="97"/>
    <x v="1"/>
  </r>
  <r>
    <x v="935"/>
    <x v="933"/>
    <x v="136"/>
    <x v="0"/>
    <x v="10"/>
    <x v="10"/>
    <x v="3"/>
    <x v="108"/>
    <x v="46"/>
    <x v="177"/>
    <x v="121"/>
    <x v="7"/>
    <x v="507"/>
    <x v="0"/>
    <x v="0"/>
    <x v="860"/>
    <x v="900"/>
    <x v="615"/>
    <x v="894"/>
    <x v="849"/>
    <x v="5"/>
    <x v="0"/>
    <x v="0"/>
    <x v="0"/>
    <x v="566"/>
    <x v="0"/>
  </r>
  <r>
    <x v="936"/>
    <x v="934"/>
    <x v="33"/>
    <x v="0"/>
    <x v="8"/>
    <x v="8"/>
    <x v="3"/>
    <x v="100"/>
    <x v="63"/>
    <x v="142"/>
    <x v="276"/>
    <x v="1"/>
    <x v="187"/>
    <x v="4"/>
    <x v="485"/>
    <x v="861"/>
    <x v="901"/>
    <x v="514"/>
    <x v="895"/>
    <x v="850"/>
    <x v="2"/>
    <x v="0"/>
    <x v="0"/>
    <x v="2"/>
    <x v="558"/>
    <x v="0"/>
  </r>
  <r>
    <x v="937"/>
    <x v="935"/>
    <x v="286"/>
    <x v="0"/>
    <x v="4"/>
    <x v="4"/>
    <x v="2"/>
    <x v="108"/>
    <x v="108"/>
    <x v="27"/>
    <x v="107"/>
    <x v="2"/>
    <x v="508"/>
    <x v="0"/>
    <x v="0"/>
    <x v="862"/>
    <x v="902"/>
    <x v="588"/>
    <x v="896"/>
    <x v="851"/>
    <x v="1"/>
    <x v="0"/>
    <x v="0"/>
    <x v="2"/>
    <x v="567"/>
    <x v="1"/>
  </r>
  <r>
    <x v="938"/>
    <x v="936"/>
    <x v="311"/>
    <x v="0"/>
    <x v="0"/>
    <x v="0"/>
    <x v="0"/>
    <x v="480"/>
    <x v="23"/>
    <x v="136"/>
    <x v="142"/>
    <x v="1"/>
    <x v="24"/>
    <x v="0"/>
    <x v="0"/>
    <x v="24"/>
    <x v="24"/>
    <x v="24"/>
    <x v="23"/>
    <x v="24"/>
    <x v="5"/>
    <x v="0"/>
    <x v="0"/>
    <x v="2"/>
    <x v="497"/>
    <x v="0"/>
  </r>
  <r>
    <x v="939"/>
    <x v="937"/>
    <x v="69"/>
    <x v="0"/>
    <x v="8"/>
    <x v="8"/>
    <x v="3"/>
    <x v="412"/>
    <x v="57"/>
    <x v="95"/>
    <x v="119"/>
    <x v="0"/>
    <x v="65"/>
    <x v="2"/>
    <x v="486"/>
    <x v="863"/>
    <x v="903"/>
    <x v="616"/>
    <x v="897"/>
    <x v="817"/>
    <x v="4"/>
    <x v="0"/>
    <x v="0"/>
    <x v="0"/>
    <x v="68"/>
    <x v="1"/>
  </r>
  <r>
    <x v="940"/>
    <x v="938"/>
    <x v="8"/>
    <x v="0"/>
    <x v="4"/>
    <x v="4"/>
    <x v="2"/>
    <x v="408"/>
    <x v="44"/>
    <x v="134"/>
    <x v="308"/>
    <x v="7"/>
    <x v="509"/>
    <x v="1"/>
    <x v="487"/>
    <x v="864"/>
    <x v="904"/>
    <x v="530"/>
    <x v="898"/>
    <x v="852"/>
    <x v="3"/>
    <x v="1"/>
    <x v="1"/>
    <x v="1"/>
    <x v="435"/>
    <x v="0"/>
  </r>
  <r>
    <x v="941"/>
    <x v="939"/>
    <x v="293"/>
    <x v="0"/>
    <x v="5"/>
    <x v="5"/>
    <x v="0"/>
    <x v="481"/>
    <x v="14"/>
    <x v="58"/>
    <x v="64"/>
    <x v="0"/>
    <x v="14"/>
    <x v="2"/>
    <x v="196"/>
    <x v="865"/>
    <x v="905"/>
    <x v="380"/>
    <x v="899"/>
    <x v="853"/>
    <x v="1"/>
    <x v="0"/>
    <x v="0"/>
    <x v="2"/>
    <x v="568"/>
    <x v="1"/>
  </r>
  <r>
    <x v="942"/>
    <x v="940"/>
    <x v="147"/>
    <x v="0"/>
    <x v="2"/>
    <x v="2"/>
    <x v="2"/>
    <x v="482"/>
    <x v="11"/>
    <x v="24"/>
    <x v="24"/>
    <x v="0"/>
    <x v="87"/>
    <x v="0"/>
    <x v="0"/>
    <x v="866"/>
    <x v="906"/>
    <x v="92"/>
    <x v="900"/>
    <x v="854"/>
    <x v="0"/>
    <x v="1"/>
    <x v="1"/>
    <x v="0"/>
    <x v="569"/>
    <x v="1"/>
  </r>
  <r>
    <x v="943"/>
    <x v="941"/>
    <x v="89"/>
    <x v="0"/>
    <x v="4"/>
    <x v="4"/>
    <x v="2"/>
    <x v="483"/>
    <x v="111"/>
    <x v="63"/>
    <x v="70"/>
    <x v="4"/>
    <x v="510"/>
    <x v="0"/>
    <x v="0"/>
    <x v="867"/>
    <x v="907"/>
    <x v="398"/>
    <x v="901"/>
    <x v="855"/>
    <x v="1"/>
    <x v="0"/>
    <x v="0"/>
    <x v="0"/>
    <x v="570"/>
    <x v="0"/>
  </r>
  <r>
    <x v="944"/>
    <x v="942"/>
    <x v="66"/>
    <x v="0"/>
    <x v="9"/>
    <x v="9"/>
    <x v="0"/>
    <x v="189"/>
    <x v="6"/>
    <x v="28"/>
    <x v="29"/>
    <x v="0"/>
    <x v="6"/>
    <x v="3"/>
    <x v="488"/>
    <x v="868"/>
    <x v="908"/>
    <x v="617"/>
    <x v="902"/>
    <x v="856"/>
    <x v="4"/>
    <x v="0"/>
    <x v="0"/>
    <x v="0"/>
    <x v="463"/>
    <x v="0"/>
  </r>
  <r>
    <x v="945"/>
    <x v="943"/>
    <x v="150"/>
    <x v="0"/>
    <x v="2"/>
    <x v="2"/>
    <x v="2"/>
    <x v="484"/>
    <x v="100"/>
    <x v="117"/>
    <x v="181"/>
    <x v="1"/>
    <x v="132"/>
    <x v="4"/>
    <x v="489"/>
    <x v="869"/>
    <x v="909"/>
    <x v="618"/>
    <x v="903"/>
    <x v="857"/>
    <x v="0"/>
    <x v="0"/>
    <x v="0"/>
    <x v="2"/>
    <x v="467"/>
    <x v="1"/>
  </r>
  <r>
    <x v="946"/>
    <x v="944"/>
    <x v="149"/>
    <x v="0"/>
    <x v="3"/>
    <x v="3"/>
    <x v="2"/>
    <x v="161"/>
    <x v="139"/>
    <x v="139"/>
    <x v="295"/>
    <x v="2"/>
    <x v="357"/>
    <x v="0"/>
    <x v="0"/>
    <x v="870"/>
    <x v="910"/>
    <x v="619"/>
    <x v="904"/>
    <x v="858"/>
    <x v="5"/>
    <x v="0"/>
    <x v="0"/>
    <x v="0"/>
    <x v="571"/>
    <x v="0"/>
  </r>
  <r>
    <x v="947"/>
    <x v="945"/>
    <x v="312"/>
    <x v="1"/>
    <x v="11"/>
    <x v="11"/>
    <x v="1"/>
    <x v="296"/>
    <x v="148"/>
    <x v="89"/>
    <x v="223"/>
    <x v="2"/>
    <x v="511"/>
    <x v="3"/>
    <x v="490"/>
    <x v="871"/>
    <x v="911"/>
    <x v="620"/>
    <x v="905"/>
    <x v="859"/>
    <x v="5"/>
    <x v="0"/>
    <x v="0"/>
    <x v="0"/>
    <x v="226"/>
    <x v="1"/>
  </r>
  <r>
    <x v="948"/>
    <x v="946"/>
    <x v="251"/>
    <x v="1"/>
    <x v="1"/>
    <x v="1"/>
    <x v="1"/>
    <x v="485"/>
    <x v="68"/>
    <x v="130"/>
    <x v="175"/>
    <x v="3"/>
    <x v="512"/>
    <x v="0"/>
    <x v="0"/>
    <x v="872"/>
    <x v="912"/>
    <x v="581"/>
    <x v="906"/>
    <x v="860"/>
    <x v="4"/>
    <x v="0"/>
    <x v="0"/>
    <x v="0"/>
    <x v="572"/>
    <x v="1"/>
  </r>
  <r>
    <x v="949"/>
    <x v="947"/>
    <x v="212"/>
    <x v="1"/>
    <x v="1"/>
    <x v="1"/>
    <x v="1"/>
    <x v="89"/>
    <x v="140"/>
    <x v="41"/>
    <x v="44"/>
    <x v="6"/>
    <x v="513"/>
    <x v="1"/>
    <x v="491"/>
    <x v="873"/>
    <x v="913"/>
    <x v="496"/>
    <x v="907"/>
    <x v="861"/>
    <x v="1"/>
    <x v="0"/>
    <x v="0"/>
    <x v="1"/>
    <x v="573"/>
    <x v="1"/>
  </r>
  <r>
    <x v="950"/>
    <x v="948"/>
    <x v="286"/>
    <x v="0"/>
    <x v="4"/>
    <x v="4"/>
    <x v="2"/>
    <x v="486"/>
    <x v="44"/>
    <x v="140"/>
    <x v="148"/>
    <x v="4"/>
    <x v="514"/>
    <x v="0"/>
    <x v="0"/>
    <x v="874"/>
    <x v="914"/>
    <x v="373"/>
    <x v="908"/>
    <x v="862"/>
    <x v="2"/>
    <x v="0"/>
    <x v="0"/>
    <x v="0"/>
    <x v="574"/>
    <x v="1"/>
  </r>
  <r>
    <x v="951"/>
    <x v="949"/>
    <x v="121"/>
    <x v="0"/>
    <x v="4"/>
    <x v="4"/>
    <x v="2"/>
    <x v="360"/>
    <x v="11"/>
    <x v="145"/>
    <x v="204"/>
    <x v="2"/>
    <x v="515"/>
    <x v="0"/>
    <x v="0"/>
    <x v="875"/>
    <x v="915"/>
    <x v="413"/>
    <x v="909"/>
    <x v="863"/>
    <x v="2"/>
    <x v="0"/>
    <x v="0"/>
    <x v="0"/>
    <x v="475"/>
    <x v="1"/>
  </r>
  <r>
    <x v="952"/>
    <x v="950"/>
    <x v="37"/>
    <x v="0"/>
    <x v="5"/>
    <x v="5"/>
    <x v="0"/>
    <x v="487"/>
    <x v="42"/>
    <x v="73"/>
    <x v="218"/>
    <x v="1"/>
    <x v="47"/>
    <x v="0"/>
    <x v="0"/>
    <x v="876"/>
    <x v="916"/>
    <x v="47"/>
    <x v="910"/>
    <x v="864"/>
    <x v="5"/>
    <x v="0"/>
    <x v="0"/>
    <x v="2"/>
    <x v="503"/>
    <x v="0"/>
  </r>
  <r>
    <x v="953"/>
    <x v="951"/>
    <x v="185"/>
    <x v="0"/>
    <x v="8"/>
    <x v="8"/>
    <x v="3"/>
    <x v="119"/>
    <x v="121"/>
    <x v="81"/>
    <x v="144"/>
    <x v="1"/>
    <x v="196"/>
    <x v="2"/>
    <x v="492"/>
    <x v="877"/>
    <x v="917"/>
    <x v="621"/>
    <x v="911"/>
    <x v="458"/>
    <x v="2"/>
    <x v="0"/>
    <x v="0"/>
    <x v="0"/>
    <x v="526"/>
    <x v="1"/>
  </r>
  <r>
    <x v="954"/>
    <x v="952"/>
    <x v="52"/>
    <x v="0"/>
    <x v="9"/>
    <x v="9"/>
    <x v="0"/>
    <x v="394"/>
    <x v="99"/>
    <x v="11"/>
    <x v="11"/>
    <x v="4"/>
    <x v="137"/>
    <x v="3"/>
    <x v="493"/>
    <x v="878"/>
    <x v="918"/>
    <x v="622"/>
    <x v="912"/>
    <x v="865"/>
    <x v="0"/>
    <x v="0"/>
    <x v="0"/>
    <x v="0"/>
    <x v="575"/>
    <x v="0"/>
  </r>
  <r>
    <x v="955"/>
    <x v="953"/>
    <x v="305"/>
    <x v="0"/>
    <x v="0"/>
    <x v="0"/>
    <x v="0"/>
    <x v="488"/>
    <x v="39"/>
    <x v="130"/>
    <x v="175"/>
    <x v="0"/>
    <x v="273"/>
    <x v="4"/>
    <x v="494"/>
    <x v="879"/>
    <x v="919"/>
    <x v="348"/>
    <x v="913"/>
    <x v="866"/>
    <x v="5"/>
    <x v="0"/>
    <x v="0"/>
    <x v="0"/>
    <x v="528"/>
    <x v="1"/>
  </r>
  <r>
    <x v="956"/>
    <x v="954"/>
    <x v="37"/>
    <x v="0"/>
    <x v="5"/>
    <x v="5"/>
    <x v="0"/>
    <x v="16"/>
    <x v="68"/>
    <x v="42"/>
    <x v="189"/>
    <x v="2"/>
    <x v="516"/>
    <x v="4"/>
    <x v="495"/>
    <x v="880"/>
    <x v="920"/>
    <x v="87"/>
    <x v="914"/>
    <x v="867"/>
    <x v="4"/>
    <x v="0"/>
    <x v="0"/>
    <x v="0"/>
    <x v="576"/>
    <x v="0"/>
  </r>
  <r>
    <x v="957"/>
    <x v="955"/>
    <x v="127"/>
    <x v="0"/>
    <x v="5"/>
    <x v="5"/>
    <x v="0"/>
    <x v="439"/>
    <x v="34"/>
    <x v="131"/>
    <x v="72"/>
    <x v="6"/>
    <x v="219"/>
    <x v="3"/>
    <x v="496"/>
    <x v="881"/>
    <x v="921"/>
    <x v="39"/>
    <x v="915"/>
    <x v="868"/>
    <x v="1"/>
    <x v="0"/>
    <x v="0"/>
    <x v="1"/>
    <x v="304"/>
    <x v="0"/>
  </r>
  <r>
    <x v="958"/>
    <x v="956"/>
    <x v="158"/>
    <x v="0"/>
    <x v="4"/>
    <x v="4"/>
    <x v="2"/>
    <x v="489"/>
    <x v="111"/>
    <x v="154"/>
    <x v="290"/>
    <x v="1"/>
    <x v="268"/>
    <x v="0"/>
    <x v="0"/>
    <x v="882"/>
    <x v="922"/>
    <x v="337"/>
    <x v="916"/>
    <x v="869"/>
    <x v="4"/>
    <x v="0"/>
    <x v="0"/>
    <x v="2"/>
    <x v="534"/>
    <x v="1"/>
  </r>
  <r>
    <x v="959"/>
    <x v="957"/>
    <x v="257"/>
    <x v="0"/>
    <x v="3"/>
    <x v="3"/>
    <x v="2"/>
    <x v="53"/>
    <x v="8"/>
    <x v="115"/>
    <x v="146"/>
    <x v="2"/>
    <x v="8"/>
    <x v="0"/>
    <x v="0"/>
    <x v="883"/>
    <x v="923"/>
    <x v="8"/>
    <x v="917"/>
    <x v="352"/>
    <x v="4"/>
    <x v="0"/>
    <x v="0"/>
    <x v="1"/>
    <x v="520"/>
    <x v="1"/>
  </r>
  <r>
    <x v="960"/>
    <x v="958"/>
    <x v="313"/>
    <x v="0"/>
    <x v="2"/>
    <x v="2"/>
    <x v="2"/>
    <x v="224"/>
    <x v="135"/>
    <x v="59"/>
    <x v="112"/>
    <x v="3"/>
    <x v="517"/>
    <x v="1"/>
    <x v="497"/>
    <x v="884"/>
    <x v="924"/>
    <x v="623"/>
    <x v="918"/>
    <x v="870"/>
    <x v="5"/>
    <x v="0"/>
    <x v="0"/>
    <x v="0"/>
    <x v="206"/>
    <x v="0"/>
  </r>
  <r>
    <x v="961"/>
    <x v="959"/>
    <x v="160"/>
    <x v="0"/>
    <x v="2"/>
    <x v="2"/>
    <x v="2"/>
    <x v="490"/>
    <x v="94"/>
    <x v="83"/>
    <x v="259"/>
    <x v="6"/>
    <x v="349"/>
    <x v="0"/>
    <x v="0"/>
    <x v="885"/>
    <x v="925"/>
    <x v="545"/>
    <x v="621"/>
    <x v="871"/>
    <x v="1"/>
    <x v="0"/>
    <x v="0"/>
    <x v="0"/>
    <x v="506"/>
    <x v="0"/>
  </r>
  <r>
    <x v="962"/>
    <x v="960"/>
    <x v="0"/>
    <x v="0"/>
    <x v="0"/>
    <x v="0"/>
    <x v="0"/>
    <x v="197"/>
    <x v="30"/>
    <x v="90"/>
    <x v="236"/>
    <x v="7"/>
    <x v="518"/>
    <x v="1"/>
    <x v="498"/>
    <x v="886"/>
    <x v="926"/>
    <x v="624"/>
    <x v="919"/>
    <x v="872"/>
    <x v="4"/>
    <x v="0"/>
    <x v="0"/>
    <x v="0"/>
    <x v="345"/>
    <x v="0"/>
  </r>
  <r>
    <x v="963"/>
    <x v="961"/>
    <x v="80"/>
    <x v="0"/>
    <x v="8"/>
    <x v="8"/>
    <x v="3"/>
    <x v="295"/>
    <x v="24"/>
    <x v="4"/>
    <x v="196"/>
    <x v="2"/>
    <x v="519"/>
    <x v="0"/>
    <x v="0"/>
    <x v="887"/>
    <x v="927"/>
    <x v="319"/>
    <x v="920"/>
    <x v="873"/>
    <x v="0"/>
    <x v="0"/>
    <x v="0"/>
    <x v="0"/>
    <x v="525"/>
    <x v="0"/>
  </r>
  <r>
    <x v="964"/>
    <x v="962"/>
    <x v="145"/>
    <x v="0"/>
    <x v="9"/>
    <x v="9"/>
    <x v="0"/>
    <x v="353"/>
    <x v="70"/>
    <x v="110"/>
    <x v="136"/>
    <x v="7"/>
    <x v="520"/>
    <x v="4"/>
    <x v="499"/>
    <x v="888"/>
    <x v="928"/>
    <x v="90"/>
    <x v="921"/>
    <x v="874"/>
    <x v="4"/>
    <x v="0"/>
    <x v="0"/>
    <x v="2"/>
    <x v="284"/>
    <x v="1"/>
  </r>
  <r>
    <x v="965"/>
    <x v="963"/>
    <x v="314"/>
    <x v="1"/>
    <x v="11"/>
    <x v="11"/>
    <x v="1"/>
    <x v="119"/>
    <x v="131"/>
    <x v="51"/>
    <x v="56"/>
    <x v="0"/>
    <x v="276"/>
    <x v="0"/>
    <x v="0"/>
    <x v="411"/>
    <x v="422"/>
    <x v="351"/>
    <x v="419"/>
    <x v="410"/>
    <x v="5"/>
    <x v="0"/>
    <x v="0"/>
    <x v="0"/>
    <x v="336"/>
    <x v="0"/>
  </r>
  <r>
    <x v="966"/>
    <x v="964"/>
    <x v="164"/>
    <x v="0"/>
    <x v="6"/>
    <x v="6"/>
    <x v="3"/>
    <x v="166"/>
    <x v="42"/>
    <x v="133"/>
    <x v="305"/>
    <x v="6"/>
    <x v="47"/>
    <x v="3"/>
    <x v="500"/>
    <x v="889"/>
    <x v="929"/>
    <x v="185"/>
    <x v="733"/>
    <x v="875"/>
    <x v="3"/>
    <x v="0"/>
    <x v="0"/>
    <x v="2"/>
    <x v="262"/>
    <x v="1"/>
  </r>
  <r>
    <x v="967"/>
    <x v="965"/>
    <x v="72"/>
    <x v="1"/>
    <x v="1"/>
    <x v="1"/>
    <x v="1"/>
    <x v="491"/>
    <x v="58"/>
    <x v="151"/>
    <x v="164"/>
    <x v="1"/>
    <x v="66"/>
    <x v="0"/>
    <x v="0"/>
    <x v="890"/>
    <x v="930"/>
    <x v="68"/>
    <x v="922"/>
    <x v="876"/>
    <x v="0"/>
    <x v="0"/>
    <x v="0"/>
    <x v="0"/>
    <x v="505"/>
    <x v="1"/>
  </r>
  <r>
    <x v="968"/>
    <x v="966"/>
    <x v="160"/>
    <x v="0"/>
    <x v="2"/>
    <x v="2"/>
    <x v="2"/>
    <x v="291"/>
    <x v="93"/>
    <x v="30"/>
    <x v="31"/>
    <x v="6"/>
    <x v="323"/>
    <x v="3"/>
    <x v="289"/>
    <x v="511"/>
    <x v="931"/>
    <x v="422"/>
    <x v="923"/>
    <x v="877"/>
    <x v="5"/>
    <x v="0"/>
    <x v="0"/>
    <x v="0"/>
    <x v="226"/>
    <x v="0"/>
  </r>
  <r>
    <x v="969"/>
    <x v="967"/>
    <x v="93"/>
    <x v="0"/>
    <x v="9"/>
    <x v="9"/>
    <x v="0"/>
    <x v="386"/>
    <x v="5"/>
    <x v="58"/>
    <x v="122"/>
    <x v="4"/>
    <x v="521"/>
    <x v="3"/>
    <x v="501"/>
    <x v="891"/>
    <x v="932"/>
    <x v="274"/>
    <x v="924"/>
    <x v="878"/>
    <x v="0"/>
    <x v="0"/>
    <x v="0"/>
    <x v="2"/>
    <x v="539"/>
    <x v="0"/>
  </r>
  <r>
    <x v="970"/>
    <x v="968"/>
    <x v="208"/>
    <x v="0"/>
    <x v="4"/>
    <x v="4"/>
    <x v="2"/>
    <x v="382"/>
    <x v="58"/>
    <x v="33"/>
    <x v="200"/>
    <x v="1"/>
    <x v="66"/>
    <x v="3"/>
    <x v="213"/>
    <x v="892"/>
    <x v="933"/>
    <x v="68"/>
    <x v="925"/>
    <x v="879"/>
    <x v="1"/>
    <x v="0"/>
    <x v="0"/>
    <x v="1"/>
    <x v="309"/>
    <x v="1"/>
  </r>
  <r>
    <x v="971"/>
    <x v="969"/>
    <x v="203"/>
    <x v="0"/>
    <x v="4"/>
    <x v="4"/>
    <x v="2"/>
    <x v="483"/>
    <x v="35"/>
    <x v="155"/>
    <x v="280"/>
    <x v="3"/>
    <x v="522"/>
    <x v="0"/>
    <x v="0"/>
    <x v="893"/>
    <x v="934"/>
    <x v="625"/>
    <x v="926"/>
    <x v="880"/>
    <x v="0"/>
    <x v="0"/>
    <x v="0"/>
    <x v="0"/>
    <x v="577"/>
    <x v="0"/>
  </r>
  <r>
    <x v="972"/>
    <x v="970"/>
    <x v="221"/>
    <x v="0"/>
    <x v="5"/>
    <x v="5"/>
    <x v="0"/>
    <x v="135"/>
    <x v="143"/>
    <x v="127"/>
    <x v="165"/>
    <x v="5"/>
    <x v="523"/>
    <x v="0"/>
    <x v="0"/>
    <x v="894"/>
    <x v="935"/>
    <x v="626"/>
    <x v="927"/>
    <x v="881"/>
    <x v="2"/>
    <x v="0"/>
    <x v="0"/>
    <x v="2"/>
    <x v="578"/>
    <x v="0"/>
  </r>
  <r>
    <x v="973"/>
    <x v="971"/>
    <x v="196"/>
    <x v="0"/>
    <x v="5"/>
    <x v="5"/>
    <x v="0"/>
    <x v="492"/>
    <x v="24"/>
    <x v="12"/>
    <x v="12"/>
    <x v="0"/>
    <x v="27"/>
    <x v="1"/>
    <x v="502"/>
    <x v="895"/>
    <x v="936"/>
    <x v="178"/>
    <x v="928"/>
    <x v="882"/>
    <x v="2"/>
    <x v="0"/>
    <x v="0"/>
    <x v="2"/>
    <x v="498"/>
    <x v="0"/>
  </r>
  <r>
    <x v="974"/>
    <x v="972"/>
    <x v="232"/>
    <x v="1"/>
    <x v="7"/>
    <x v="7"/>
    <x v="1"/>
    <x v="133"/>
    <x v="15"/>
    <x v="86"/>
    <x v="102"/>
    <x v="7"/>
    <x v="524"/>
    <x v="3"/>
    <x v="503"/>
    <x v="896"/>
    <x v="937"/>
    <x v="627"/>
    <x v="929"/>
    <x v="883"/>
    <x v="1"/>
    <x v="0"/>
    <x v="0"/>
    <x v="0"/>
    <x v="305"/>
    <x v="0"/>
  </r>
  <r>
    <x v="975"/>
    <x v="973"/>
    <x v="120"/>
    <x v="0"/>
    <x v="10"/>
    <x v="10"/>
    <x v="3"/>
    <x v="405"/>
    <x v="86"/>
    <x v="170"/>
    <x v="292"/>
    <x v="2"/>
    <x v="112"/>
    <x v="2"/>
    <x v="504"/>
    <x v="897"/>
    <x v="938"/>
    <x v="502"/>
    <x v="930"/>
    <x v="884"/>
    <x v="1"/>
    <x v="0"/>
    <x v="0"/>
    <x v="0"/>
    <x v="390"/>
    <x v="1"/>
  </r>
  <r>
    <x v="976"/>
    <x v="974"/>
    <x v="234"/>
    <x v="0"/>
    <x v="6"/>
    <x v="6"/>
    <x v="3"/>
    <x v="493"/>
    <x v="88"/>
    <x v="89"/>
    <x v="35"/>
    <x v="2"/>
    <x v="117"/>
    <x v="0"/>
    <x v="0"/>
    <x v="751"/>
    <x v="780"/>
    <x v="128"/>
    <x v="931"/>
    <x v="885"/>
    <x v="2"/>
    <x v="0"/>
    <x v="0"/>
    <x v="0"/>
    <x v="579"/>
    <x v="0"/>
  </r>
  <r>
    <x v="977"/>
    <x v="975"/>
    <x v="14"/>
    <x v="0"/>
    <x v="0"/>
    <x v="0"/>
    <x v="0"/>
    <x v="20"/>
    <x v="31"/>
    <x v="15"/>
    <x v="233"/>
    <x v="2"/>
    <x v="525"/>
    <x v="0"/>
    <x v="0"/>
    <x v="898"/>
    <x v="939"/>
    <x v="356"/>
    <x v="932"/>
    <x v="886"/>
    <x v="1"/>
    <x v="0"/>
    <x v="0"/>
    <x v="2"/>
    <x v="553"/>
    <x v="0"/>
  </r>
  <r>
    <x v="978"/>
    <x v="976"/>
    <x v="282"/>
    <x v="0"/>
    <x v="2"/>
    <x v="2"/>
    <x v="2"/>
    <x v="362"/>
    <x v="56"/>
    <x v="3"/>
    <x v="3"/>
    <x v="6"/>
    <x v="64"/>
    <x v="0"/>
    <x v="0"/>
    <x v="899"/>
    <x v="940"/>
    <x v="628"/>
    <x v="933"/>
    <x v="887"/>
    <x v="0"/>
    <x v="0"/>
    <x v="0"/>
    <x v="0"/>
    <x v="381"/>
    <x v="0"/>
  </r>
  <r>
    <x v="979"/>
    <x v="977"/>
    <x v="315"/>
    <x v="1"/>
    <x v="11"/>
    <x v="11"/>
    <x v="1"/>
    <x v="376"/>
    <x v="0"/>
    <x v="130"/>
    <x v="175"/>
    <x v="0"/>
    <x v="0"/>
    <x v="4"/>
    <x v="505"/>
    <x v="900"/>
    <x v="941"/>
    <x v="0"/>
    <x v="934"/>
    <x v="888"/>
    <x v="0"/>
    <x v="0"/>
    <x v="0"/>
    <x v="0"/>
    <x v="435"/>
    <x v="1"/>
  </r>
  <r>
    <x v="980"/>
    <x v="978"/>
    <x v="38"/>
    <x v="1"/>
    <x v="11"/>
    <x v="11"/>
    <x v="1"/>
    <x v="264"/>
    <x v="126"/>
    <x v="144"/>
    <x v="197"/>
    <x v="4"/>
    <x v="526"/>
    <x v="1"/>
    <x v="506"/>
    <x v="901"/>
    <x v="942"/>
    <x v="629"/>
    <x v="935"/>
    <x v="889"/>
    <x v="4"/>
    <x v="1"/>
    <x v="1"/>
    <x v="0"/>
    <x v="580"/>
    <x v="0"/>
  </r>
  <r>
    <x v="981"/>
    <x v="979"/>
    <x v="188"/>
    <x v="0"/>
    <x v="4"/>
    <x v="4"/>
    <x v="2"/>
    <x v="287"/>
    <x v="46"/>
    <x v="76"/>
    <x v="90"/>
    <x v="1"/>
    <x v="100"/>
    <x v="0"/>
    <x v="0"/>
    <x v="902"/>
    <x v="943"/>
    <x v="107"/>
    <x v="936"/>
    <x v="890"/>
    <x v="3"/>
    <x v="0"/>
    <x v="0"/>
    <x v="0"/>
    <x v="321"/>
    <x v="0"/>
  </r>
  <r>
    <x v="982"/>
    <x v="980"/>
    <x v="67"/>
    <x v="0"/>
    <x v="8"/>
    <x v="8"/>
    <x v="3"/>
    <x v="133"/>
    <x v="29"/>
    <x v="9"/>
    <x v="43"/>
    <x v="7"/>
    <x v="527"/>
    <x v="2"/>
    <x v="507"/>
    <x v="903"/>
    <x v="944"/>
    <x v="441"/>
    <x v="937"/>
    <x v="891"/>
    <x v="2"/>
    <x v="0"/>
    <x v="0"/>
    <x v="0"/>
    <x v="539"/>
    <x v="0"/>
  </r>
  <r>
    <x v="983"/>
    <x v="981"/>
    <x v="44"/>
    <x v="0"/>
    <x v="8"/>
    <x v="8"/>
    <x v="3"/>
    <x v="83"/>
    <x v="123"/>
    <x v="160"/>
    <x v="249"/>
    <x v="6"/>
    <x v="212"/>
    <x v="3"/>
    <x v="508"/>
    <x v="904"/>
    <x v="945"/>
    <x v="630"/>
    <x v="938"/>
    <x v="892"/>
    <x v="2"/>
    <x v="0"/>
    <x v="0"/>
    <x v="2"/>
    <x v="69"/>
    <x v="0"/>
  </r>
  <r>
    <x v="984"/>
    <x v="982"/>
    <x v="292"/>
    <x v="0"/>
    <x v="4"/>
    <x v="4"/>
    <x v="2"/>
    <x v="494"/>
    <x v="102"/>
    <x v="76"/>
    <x v="294"/>
    <x v="6"/>
    <x v="136"/>
    <x v="0"/>
    <x v="0"/>
    <x v="853"/>
    <x v="946"/>
    <x v="610"/>
    <x v="939"/>
    <x v="584"/>
    <x v="0"/>
    <x v="1"/>
    <x v="1"/>
    <x v="1"/>
    <x v="401"/>
    <x v="1"/>
  </r>
  <r>
    <x v="985"/>
    <x v="983"/>
    <x v="99"/>
    <x v="0"/>
    <x v="6"/>
    <x v="6"/>
    <x v="3"/>
    <x v="25"/>
    <x v="55"/>
    <x v="75"/>
    <x v="174"/>
    <x v="3"/>
    <x v="528"/>
    <x v="0"/>
    <x v="0"/>
    <x v="905"/>
    <x v="947"/>
    <x v="631"/>
    <x v="940"/>
    <x v="893"/>
    <x v="1"/>
    <x v="0"/>
    <x v="0"/>
    <x v="0"/>
    <x v="26"/>
    <x v="0"/>
  </r>
  <r>
    <x v="986"/>
    <x v="984"/>
    <x v="66"/>
    <x v="0"/>
    <x v="9"/>
    <x v="9"/>
    <x v="0"/>
    <x v="113"/>
    <x v="86"/>
    <x v="100"/>
    <x v="232"/>
    <x v="1"/>
    <x v="112"/>
    <x v="4"/>
    <x v="509"/>
    <x v="906"/>
    <x v="948"/>
    <x v="632"/>
    <x v="941"/>
    <x v="894"/>
    <x v="3"/>
    <x v="0"/>
    <x v="0"/>
    <x v="0"/>
    <x v="273"/>
    <x v="0"/>
  </r>
  <r>
    <x v="987"/>
    <x v="985"/>
    <x v="123"/>
    <x v="0"/>
    <x v="8"/>
    <x v="8"/>
    <x v="3"/>
    <x v="331"/>
    <x v="24"/>
    <x v="50"/>
    <x v="171"/>
    <x v="5"/>
    <x v="529"/>
    <x v="0"/>
    <x v="0"/>
    <x v="907"/>
    <x v="949"/>
    <x v="391"/>
    <x v="942"/>
    <x v="895"/>
    <x v="4"/>
    <x v="0"/>
    <x v="0"/>
    <x v="2"/>
    <x v="581"/>
    <x v="1"/>
  </r>
  <r>
    <x v="988"/>
    <x v="986"/>
    <x v="86"/>
    <x v="0"/>
    <x v="6"/>
    <x v="6"/>
    <x v="3"/>
    <x v="315"/>
    <x v="101"/>
    <x v="79"/>
    <x v="194"/>
    <x v="2"/>
    <x v="134"/>
    <x v="0"/>
    <x v="0"/>
    <x v="908"/>
    <x v="950"/>
    <x v="633"/>
    <x v="943"/>
    <x v="896"/>
    <x v="4"/>
    <x v="0"/>
    <x v="0"/>
    <x v="0"/>
    <x v="204"/>
    <x v="0"/>
  </r>
  <r>
    <x v="989"/>
    <x v="987"/>
    <x v="95"/>
    <x v="0"/>
    <x v="8"/>
    <x v="8"/>
    <x v="3"/>
    <x v="13"/>
    <x v="96"/>
    <x v="136"/>
    <x v="142"/>
    <x v="4"/>
    <x v="126"/>
    <x v="0"/>
    <x v="0"/>
    <x v="909"/>
    <x v="951"/>
    <x v="500"/>
    <x v="944"/>
    <x v="143"/>
    <x v="3"/>
    <x v="0"/>
    <x v="0"/>
    <x v="0"/>
    <x v="499"/>
    <x v="1"/>
  </r>
  <r>
    <x v="990"/>
    <x v="988"/>
    <x v="165"/>
    <x v="0"/>
    <x v="0"/>
    <x v="0"/>
    <x v="0"/>
    <x v="471"/>
    <x v="56"/>
    <x v="106"/>
    <x v="153"/>
    <x v="5"/>
    <x v="530"/>
    <x v="0"/>
    <x v="0"/>
    <x v="667"/>
    <x v="952"/>
    <x v="503"/>
    <x v="945"/>
    <x v="897"/>
    <x v="0"/>
    <x v="0"/>
    <x v="0"/>
    <x v="2"/>
    <x v="582"/>
    <x v="0"/>
  </r>
  <r>
    <x v="991"/>
    <x v="989"/>
    <x v="316"/>
    <x v="1"/>
    <x v="11"/>
    <x v="11"/>
    <x v="1"/>
    <x v="31"/>
    <x v="141"/>
    <x v="143"/>
    <x v="200"/>
    <x v="0"/>
    <x v="428"/>
    <x v="0"/>
    <x v="0"/>
    <x v="910"/>
    <x v="953"/>
    <x v="634"/>
    <x v="946"/>
    <x v="716"/>
    <x v="0"/>
    <x v="0"/>
    <x v="0"/>
    <x v="0"/>
    <x v="583"/>
    <x v="1"/>
  </r>
  <r>
    <x v="992"/>
    <x v="990"/>
    <x v="83"/>
    <x v="1"/>
    <x v="1"/>
    <x v="1"/>
    <x v="1"/>
    <x v="10"/>
    <x v="57"/>
    <x v="167"/>
    <x v="177"/>
    <x v="7"/>
    <x v="531"/>
    <x v="0"/>
    <x v="0"/>
    <x v="911"/>
    <x v="954"/>
    <x v="635"/>
    <x v="947"/>
    <x v="898"/>
    <x v="4"/>
    <x v="0"/>
    <x v="0"/>
    <x v="2"/>
    <x v="391"/>
    <x v="0"/>
  </r>
  <r>
    <x v="993"/>
    <x v="991"/>
    <x v="103"/>
    <x v="0"/>
    <x v="4"/>
    <x v="4"/>
    <x v="2"/>
    <x v="495"/>
    <x v="76"/>
    <x v="97"/>
    <x v="56"/>
    <x v="2"/>
    <x v="418"/>
    <x v="1"/>
    <x v="510"/>
    <x v="912"/>
    <x v="955"/>
    <x v="100"/>
    <x v="948"/>
    <x v="899"/>
    <x v="0"/>
    <x v="0"/>
    <x v="0"/>
    <x v="0"/>
    <x v="584"/>
    <x v="1"/>
  </r>
  <r>
    <x v="994"/>
    <x v="992"/>
    <x v="38"/>
    <x v="1"/>
    <x v="11"/>
    <x v="11"/>
    <x v="1"/>
    <x v="496"/>
    <x v="22"/>
    <x v="68"/>
    <x v="237"/>
    <x v="1"/>
    <x v="23"/>
    <x v="1"/>
    <x v="511"/>
    <x v="913"/>
    <x v="956"/>
    <x v="470"/>
    <x v="949"/>
    <x v="900"/>
    <x v="5"/>
    <x v="0"/>
    <x v="0"/>
    <x v="2"/>
    <x v="378"/>
    <x v="0"/>
  </r>
  <r>
    <x v="995"/>
    <x v="993"/>
    <x v="27"/>
    <x v="0"/>
    <x v="2"/>
    <x v="2"/>
    <x v="2"/>
    <x v="360"/>
    <x v="43"/>
    <x v="155"/>
    <x v="309"/>
    <x v="2"/>
    <x v="532"/>
    <x v="3"/>
    <x v="512"/>
    <x v="914"/>
    <x v="957"/>
    <x v="636"/>
    <x v="950"/>
    <x v="901"/>
    <x v="3"/>
    <x v="0"/>
    <x v="0"/>
    <x v="0"/>
    <x v="276"/>
    <x v="1"/>
  </r>
  <r>
    <x v="996"/>
    <x v="994"/>
    <x v="105"/>
    <x v="0"/>
    <x v="6"/>
    <x v="6"/>
    <x v="3"/>
    <x v="497"/>
    <x v="2"/>
    <x v="138"/>
    <x v="310"/>
    <x v="6"/>
    <x v="2"/>
    <x v="1"/>
    <x v="513"/>
    <x v="915"/>
    <x v="958"/>
    <x v="162"/>
    <x v="951"/>
    <x v="2"/>
    <x v="2"/>
    <x v="0"/>
    <x v="0"/>
    <x v="0"/>
    <x v="585"/>
    <x v="0"/>
  </r>
  <r>
    <x v="997"/>
    <x v="995"/>
    <x v="247"/>
    <x v="0"/>
    <x v="5"/>
    <x v="5"/>
    <x v="0"/>
    <x v="163"/>
    <x v="53"/>
    <x v="70"/>
    <x v="80"/>
    <x v="2"/>
    <x v="60"/>
    <x v="3"/>
    <x v="514"/>
    <x v="916"/>
    <x v="959"/>
    <x v="476"/>
    <x v="952"/>
    <x v="902"/>
    <x v="0"/>
    <x v="0"/>
    <x v="0"/>
    <x v="0"/>
    <x v="114"/>
    <x v="0"/>
  </r>
  <r>
    <x v="998"/>
    <x v="996"/>
    <x v="208"/>
    <x v="0"/>
    <x v="4"/>
    <x v="4"/>
    <x v="2"/>
    <x v="407"/>
    <x v="2"/>
    <x v="72"/>
    <x v="85"/>
    <x v="0"/>
    <x v="2"/>
    <x v="4"/>
    <x v="515"/>
    <x v="917"/>
    <x v="960"/>
    <x v="2"/>
    <x v="953"/>
    <x v="903"/>
    <x v="2"/>
    <x v="0"/>
    <x v="0"/>
    <x v="0"/>
    <x v="586"/>
    <x v="1"/>
  </r>
  <r>
    <x v="999"/>
    <x v="997"/>
    <x v="92"/>
    <x v="0"/>
    <x v="4"/>
    <x v="4"/>
    <x v="2"/>
    <x v="418"/>
    <x v="6"/>
    <x v="12"/>
    <x v="12"/>
    <x v="0"/>
    <x v="6"/>
    <x v="1"/>
    <x v="516"/>
    <x v="918"/>
    <x v="961"/>
    <x v="617"/>
    <x v="954"/>
    <x v="904"/>
    <x v="2"/>
    <x v="0"/>
    <x v="0"/>
    <x v="0"/>
    <x v="160"/>
    <x v="0"/>
  </r>
  <r>
    <x v="1000"/>
    <x v="998"/>
    <x v="171"/>
    <x v="1"/>
    <x v="7"/>
    <x v="7"/>
    <x v="1"/>
    <x v="401"/>
    <x v="116"/>
    <x v="175"/>
    <x v="305"/>
    <x v="0"/>
    <x v="178"/>
    <x v="1"/>
    <x v="517"/>
    <x v="919"/>
    <x v="962"/>
    <x v="637"/>
    <x v="955"/>
    <x v="780"/>
    <x v="4"/>
    <x v="0"/>
    <x v="0"/>
    <x v="0"/>
    <x v="419"/>
    <x v="1"/>
  </r>
  <r>
    <x v="1001"/>
    <x v="999"/>
    <x v="270"/>
    <x v="0"/>
    <x v="2"/>
    <x v="2"/>
    <x v="2"/>
    <x v="283"/>
    <x v="115"/>
    <x v="25"/>
    <x v="26"/>
    <x v="5"/>
    <x v="533"/>
    <x v="3"/>
    <x v="518"/>
    <x v="920"/>
    <x v="963"/>
    <x v="216"/>
    <x v="956"/>
    <x v="905"/>
    <x v="2"/>
    <x v="0"/>
    <x v="0"/>
    <x v="0"/>
    <x v="106"/>
    <x v="1"/>
  </r>
  <r>
    <x v="1002"/>
    <x v="1000"/>
    <x v="66"/>
    <x v="0"/>
    <x v="9"/>
    <x v="9"/>
    <x v="0"/>
    <x v="231"/>
    <x v="57"/>
    <x v="92"/>
    <x v="266"/>
    <x v="5"/>
    <x v="534"/>
    <x v="4"/>
    <x v="519"/>
    <x v="921"/>
    <x v="964"/>
    <x v="638"/>
    <x v="957"/>
    <x v="906"/>
    <x v="1"/>
    <x v="0"/>
    <x v="0"/>
    <x v="0"/>
    <x v="587"/>
    <x v="0"/>
  </r>
  <r>
    <x v="1003"/>
    <x v="1001"/>
    <x v="242"/>
    <x v="1"/>
    <x v="7"/>
    <x v="7"/>
    <x v="1"/>
    <x v="498"/>
    <x v="132"/>
    <x v="2"/>
    <x v="71"/>
    <x v="0"/>
    <x v="278"/>
    <x v="0"/>
    <x v="0"/>
    <x v="922"/>
    <x v="965"/>
    <x v="354"/>
    <x v="958"/>
    <x v="907"/>
    <x v="5"/>
    <x v="0"/>
    <x v="0"/>
    <x v="0"/>
    <x v="242"/>
    <x v="0"/>
  </r>
  <r>
    <x v="1004"/>
    <x v="1002"/>
    <x v="42"/>
    <x v="0"/>
    <x v="8"/>
    <x v="8"/>
    <x v="3"/>
    <x v="290"/>
    <x v="68"/>
    <x v="12"/>
    <x v="12"/>
    <x v="0"/>
    <x v="82"/>
    <x v="3"/>
    <x v="520"/>
    <x v="923"/>
    <x v="966"/>
    <x v="279"/>
    <x v="959"/>
    <x v="908"/>
    <x v="2"/>
    <x v="0"/>
    <x v="0"/>
    <x v="0"/>
    <x v="150"/>
    <x v="0"/>
  </r>
  <r>
    <x v="1005"/>
    <x v="1003"/>
    <x v="79"/>
    <x v="1"/>
    <x v="1"/>
    <x v="1"/>
    <x v="1"/>
    <x v="460"/>
    <x v="55"/>
    <x v="124"/>
    <x v="183"/>
    <x v="6"/>
    <x v="535"/>
    <x v="4"/>
    <x v="521"/>
    <x v="924"/>
    <x v="967"/>
    <x v="474"/>
    <x v="960"/>
    <x v="909"/>
    <x v="0"/>
    <x v="0"/>
    <x v="0"/>
    <x v="0"/>
    <x v="91"/>
    <x v="0"/>
  </r>
  <r>
    <x v="1006"/>
    <x v="1004"/>
    <x v="37"/>
    <x v="0"/>
    <x v="5"/>
    <x v="5"/>
    <x v="0"/>
    <x v="184"/>
    <x v="7"/>
    <x v="83"/>
    <x v="277"/>
    <x v="7"/>
    <x v="536"/>
    <x v="0"/>
    <x v="0"/>
    <x v="925"/>
    <x v="968"/>
    <x v="639"/>
    <x v="961"/>
    <x v="910"/>
    <x v="3"/>
    <x v="0"/>
    <x v="0"/>
    <x v="0"/>
    <x v="421"/>
    <x v="0"/>
  </r>
  <r>
    <x v="1007"/>
    <x v="1005"/>
    <x v="147"/>
    <x v="0"/>
    <x v="2"/>
    <x v="2"/>
    <x v="2"/>
    <x v="403"/>
    <x v="84"/>
    <x v="6"/>
    <x v="23"/>
    <x v="6"/>
    <x v="537"/>
    <x v="1"/>
    <x v="522"/>
    <x v="926"/>
    <x v="969"/>
    <x v="119"/>
    <x v="962"/>
    <x v="911"/>
    <x v="2"/>
    <x v="0"/>
    <x v="0"/>
    <x v="0"/>
    <x v="375"/>
    <x v="1"/>
  </r>
  <r>
    <x v="1008"/>
    <x v="1006"/>
    <x v="317"/>
    <x v="0"/>
    <x v="9"/>
    <x v="9"/>
    <x v="0"/>
    <x v="228"/>
    <x v="95"/>
    <x v="2"/>
    <x v="307"/>
    <x v="6"/>
    <x v="363"/>
    <x v="4"/>
    <x v="523"/>
    <x v="927"/>
    <x v="970"/>
    <x v="640"/>
    <x v="963"/>
    <x v="912"/>
    <x v="2"/>
    <x v="0"/>
    <x v="0"/>
    <x v="0"/>
    <x v="69"/>
    <x v="1"/>
  </r>
  <r>
    <x v="1009"/>
    <x v="1007"/>
    <x v="98"/>
    <x v="0"/>
    <x v="6"/>
    <x v="6"/>
    <x v="3"/>
    <x v="51"/>
    <x v="108"/>
    <x v="27"/>
    <x v="28"/>
    <x v="0"/>
    <x v="147"/>
    <x v="4"/>
    <x v="288"/>
    <x v="265"/>
    <x v="523"/>
    <x v="420"/>
    <x v="519"/>
    <x v="504"/>
    <x v="2"/>
    <x v="0"/>
    <x v="0"/>
    <x v="0"/>
    <x v="151"/>
    <x v="1"/>
  </r>
  <r>
    <x v="1010"/>
    <x v="1008"/>
    <x v="243"/>
    <x v="0"/>
    <x v="0"/>
    <x v="0"/>
    <x v="0"/>
    <x v="123"/>
    <x v="37"/>
    <x v="18"/>
    <x v="18"/>
    <x v="6"/>
    <x v="538"/>
    <x v="1"/>
    <x v="524"/>
    <x v="928"/>
    <x v="971"/>
    <x v="158"/>
    <x v="964"/>
    <x v="913"/>
    <x v="0"/>
    <x v="0"/>
    <x v="0"/>
    <x v="0"/>
    <x v="189"/>
    <x v="1"/>
  </r>
  <r>
    <x v="1011"/>
    <x v="1009"/>
    <x v="214"/>
    <x v="0"/>
    <x v="3"/>
    <x v="3"/>
    <x v="2"/>
    <x v="442"/>
    <x v="19"/>
    <x v="80"/>
    <x v="279"/>
    <x v="5"/>
    <x v="539"/>
    <x v="0"/>
    <x v="0"/>
    <x v="929"/>
    <x v="190"/>
    <x v="20"/>
    <x v="965"/>
    <x v="186"/>
    <x v="2"/>
    <x v="0"/>
    <x v="0"/>
    <x v="0"/>
    <x v="87"/>
    <x v="1"/>
  </r>
  <r>
    <x v="1012"/>
    <x v="1010"/>
    <x v="318"/>
    <x v="1"/>
    <x v="11"/>
    <x v="11"/>
    <x v="1"/>
    <x v="289"/>
    <x v="149"/>
    <x v="6"/>
    <x v="284"/>
    <x v="6"/>
    <x v="540"/>
    <x v="0"/>
    <x v="0"/>
    <x v="930"/>
    <x v="972"/>
    <x v="641"/>
    <x v="348"/>
    <x v="914"/>
    <x v="5"/>
    <x v="0"/>
    <x v="0"/>
    <x v="2"/>
    <x v="588"/>
    <x v="1"/>
  </r>
  <r>
    <x v="1013"/>
    <x v="1011"/>
    <x v="7"/>
    <x v="1"/>
    <x v="1"/>
    <x v="1"/>
    <x v="1"/>
    <x v="499"/>
    <x v="9"/>
    <x v="30"/>
    <x v="31"/>
    <x v="0"/>
    <x v="171"/>
    <x v="0"/>
    <x v="0"/>
    <x v="222"/>
    <x v="973"/>
    <x v="205"/>
    <x v="966"/>
    <x v="915"/>
    <x v="2"/>
    <x v="1"/>
    <x v="1"/>
    <x v="2"/>
    <x v="19"/>
    <x v="0"/>
  </r>
  <r>
    <x v="1014"/>
    <x v="1012"/>
    <x v="113"/>
    <x v="0"/>
    <x v="4"/>
    <x v="4"/>
    <x v="2"/>
    <x v="241"/>
    <x v="119"/>
    <x v="78"/>
    <x v="265"/>
    <x v="1"/>
    <x v="189"/>
    <x v="4"/>
    <x v="525"/>
    <x v="931"/>
    <x v="974"/>
    <x v="597"/>
    <x v="967"/>
    <x v="916"/>
    <x v="3"/>
    <x v="1"/>
    <x v="1"/>
    <x v="0"/>
    <x v="293"/>
    <x v="1"/>
  </r>
  <r>
    <x v="1015"/>
    <x v="1013"/>
    <x v="162"/>
    <x v="0"/>
    <x v="8"/>
    <x v="8"/>
    <x v="3"/>
    <x v="168"/>
    <x v="37"/>
    <x v="68"/>
    <x v="35"/>
    <x v="2"/>
    <x v="99"/>
    <x v="4"/>
    <x v="526"/>
    <x v="355"/>
    <x v="975"/>
    <x v="106"/>
    <x v="968"/>
    <x v="917"/>
    <x v="0"/>
    <x v="0"/>
    <x v="0"/>
    <x v="0"/>
    <x v="87"/>
    <x v="0"/>
  </r>
  <r>
    <x v="1016"/>
    <x v="1014"/>
    <x v="123"/>
    <x v="0"/>
    <x v="8"/>
    <x v="8"/>
    <x v="3"/>
    <x v="224"/>
    <x v="52"/>
    <x v="158"/>
    <x v="235"/>
    <x v="2"/>
    <x v="541"/>
    <x v="3"/>
    <x v="527"/>
    <x v="932"/>
    <x v="976"/>
    <x v="309"/>
    <x v="969"/>
    <x v="918"/>
    <x v="5"/>
    <x v="0"/>
    <x v="0"/>
    <x v="0"/>
    <x v="203"/>
    <x v="1"/>
  </r>
  <r>
    <x v="1017"/>
    <x v="1015"/>
    <x v="319"/>
    <x v="1"/>
    <x v="7"/>
    <x v="7"/>
    <x v="1"/>
    <x v="284"/>
    <x v="52"/>
    <x v="123"/>
    <x v="161"/>
    <x v="6"/>
    <x v="59"/>
    <x v="3"/>
    <x v="528"/>
    <x v="933"/>
    <x v="977"/>
    <x v="314"/>
    <x v="970"/>
    <x v="919"/>
    <x v="1"/>
    <x v="0"/>
    <x v="0"/>
    <x v="2"/>
    <x v="244"/>
    <x v="1"/>
  </r>
  <r>
    <x v="1018"/>
    <x v="1016"/>
    <x v="320"/>
    <x v="0"/>
    <x v="3"/>
    <x v="3"/>
    <x v="2"/>
    <x v="500"/>
    <x v="10"/>
    <x v="140"/>
    <x v="38"/>
    <x v="2"/>
    <x v="10"/>
    <x v="4"/>
    <x v="529"/>
    <x v="934"/>
    <x v="978"/>
    <x v="642"/>
    <x v="971"/>
    <x v="920"/>
    <x v="2"/>
    <x v="0"/>
    <x v="0"/>
    <x v="0"/>
    <x v="212"/>
    <x v="0"/>
  </r>
  <r>
    <x v="1019"/>
    <x v="1017"/>
    <x v="23"/>
    <x v="0"/>
    <x v="2"/>
    <x v="2"/>
    <x v="2"/>
    <x v="296"/>
    <x v="31"/>
    <x v="119"/>
    <x v="253"/>
    <x v="0"/>
    <x v="35"/>
    <x v="4"/>
    <x v="530"/>
    <x v="935"/>
    <x v="979"/>
    <x v="643"/>
    <x v="972"/>
    <x v="921"/>
    <x v="4"/>
    <x v="0"/>
    <x v="0"/>
    <x v="0"/>
    <x v="416"/>
    <x v="0"/>
  </r>
  <r>
    <x v="1020"/>
    <x v="1018"/>
    <x v="10"/>
    <x v="0"/>
    <x v="6"/>
    <x v="6"/>
    <x v="3"/>
    <x v="391"/>
    <x v="89"/>
    <x v="128"/>
    <x v="167"/>
    <x v="3"/>
    <x v="542"/>
    <x v="0"/>
    <x v="0"/>
    <x v="936"/>
    <x v="980"/>
    <x v="644"/>
    <x v="973"/>
    <x v="922"/>
    <x v="0"/>
    <x v="0"/>
    <x v="0"/>
    <x v="0"/>
    <x v="416"/>
    <x v="1"/>
  </r>
  <r>
    <x v="1021"/>
    <x v="1019"/>
    <x v="214"/>
    <x v="0"/>
    <x v="3"/>
    <x v="3"/>
    <x v="2"/>
    <x v="501"/>
    <x v="64"/>
    <x v="25"/>
    <x v="26"/>
    <x v="2"/>
    <x v="74"/>
    <x v="0"/>
    <x v="0"/>
    <x v="937"/>
    <x v="981"/>
    <x v="114"/>
    <x v="974"/>
    <x v="473"/>
    <x v="4"/>
    <x v="0"/>
    <x v="0"/>
    <x v="0"/>
    <x v="108"/>
    <x v="1"/>
  </r>
  <r>
    <x v="1022"/>
    <x v="1020"/>
    <x v="208"/>
    <x v="0"/>
    <x v="4"/>
    <x v="4"/>
    <x v="2"/>
    <x v="401"/>
    <x v="77"/>
    <x v="48"/>
    <x v="191"/>
    <x v="1"/>
    <x v="96"/>
    <x v="0"/>
    <x v="0"/>
    <x v="938"/>
    <x v="982"/>
    <x v="324"/>
    <x v="975"/>
    <x v="923"/>
    <x v="5"/>
    <x v="0"/>
    <x v="0"/>
    <x v="2"/>
    <x v="69"/>
    <x v="1"/>
  </r>
  <r>
    <x v="1023"/>
    <x v="1021"/>
    <x v="121"/>
    <x v="0"/>
    <x v="4"/>
    <x v="4"/>
    <x v="2"/>
    <x v="46"/>
    <x v="79"/>
    <x v="175"/>
    <x v="305"/>
    <x v="2"/>
    <x v="258"/>
    <x v="0"/>
    <x v="0"/>
    <x v="939"/>
    <x v="983"/>
    <x v="327"/>
    <x v="976"/>
    <x v="363"/>
    <x v="5"/>
    <x v="0"/>
    <x v="0"/>
    <x v="0"/>
    <x v="348"/>
    <x v="1"/>
  </r>
  <r>
    <x v="1024"/>
    <x v="1022"/>
    <x v="65"/>
    <x v="0"/>
    <x v="8"/>
    <x v="8"/>
    <x v="3"/>
    <x v="391"/>
    <x v="19"/>
    <x v="26"/>
    <x v="301"/>
    <x v="4"/>
    <x v="543"/>
    <x v="1"/>
    <x v="531"/>
    <x v="940"/>
    <x v="984"/>
    <x v="19"/>
    <x v="977"/>
    <x v="924"/>
    <x v="0"/>
    <x v="0"/>
    <x v="0"/>
    <x v="2"/>
    <x v="589"/>
    <x v="0"/>
  </r>
  <r>
    <x v="1025"/>
    <x v="1023"/>
    <x v="321"/>
    <x v="0"/>
    <x v="9"/>
    <x v="9"/>
    <x v="0"/>
    <x v="502"/>
    <x v="96"/>
    <x v="105"/>
    <x v="35"/>
    <x v="2"/>
    <x v="126"/>
    <x v="4"/>
    <x v="532"/>
    <x v="941"/>
    <x v="985"/>
    <x v="645"/>
    <x v="978"/>
    <x v="925"/>
    <x v="2"/>
    <x v="0"/>
    <x v="0"/>
    <x v="2"/>
    <x v="430"/>
    <x v="1"/>
  </r>
  <r>
    <x v="1026"/>
    <x v="1024"/>
    <x v="102"/>
    <x v="0"/>
    <x v="8"/>
    <x v="8"/>
    <x v="3"/>
    <x v="324"/>
    <x v="82"/>
    <x v="107"/>
    <x v="15"/>
    <x v="0"/>
    <x v="107"/>
    <x v="0"/>
    <x v="0"/>
    <x v="120"/>
    <x v="986"/>
    <x v="117"/>
    <x v="979"/>
    <x v="719"/>
    <x v="5"/>
    <x v="0"/>
    <x v="0"/>
    <x v="0"/>
    <x v="571"/>
    <x v="1"/>
  </r>
  <r>
    <x v="1027"/>
    <x v="1025"/>
    <x v="161"/>
    <x v="1"/>
    <x v="1"/>
    <x v="1"/>
    <x v="1"/>
    <x v="503"/>
    <x v="134"/>
    <x v="172"/>
    <x v="262"/>
    <x v="6"/>
    <x v="450"/>
    <x v="2"/>
    <x v="533"/>
    <x v="942"/>
    <x v="987"/>
    <x v="646"/>
    <x v="980"/>
    <x v="926"/>
    <x v="0"/>
    <x v="0"/>
    <x v="0"/>
    <x v="0"/>
    <x v="19"/>
    <x v="0"/>
  </r>
  <r>
    <x v="1028"/>
    <x v="1026"/>
    <x v="269"/>
    <x v="0"/>
    <x v="9"/>
    <x v="9"/>
    <x v="0"/>
    <x v="504"/>
    <x v="84"/>
    <x v="87"/>
    <x v="104"/>
    <x v="1"/>
    <x v="109"/>
    <x v="0"/>
    <x v="0"/>
    <x v="943"/>
    <x v="988"/>
    <x v="647"/>
    <x v="981"/>
    <x v="364"/>
    <x v="3"/>
    <x v="0"/>
    <x v="0"/>
    <x v="0"/>
    <x v="21"/>
    <x v="1"/>
  </r>
  <r>
    <x v="1029"/>
    <x v="1027"/>
    <x v="322"/>
    <x v="1"/>
    <x v="11"/>
    <x v="11"/>
    <x v="1"/>
    <x v="176"/>
    <x v="99"/>
    <x v="48"/>
    <x v="191"/>
    <x v="6"/>
    <x v="544"/>
    <x v="0"/>
    <x v="0"/>
    <x v="944"/>
    <x v="989"/>
    <x v="153"/>
    <x v="982"/>
    <x v="927"/>
    <x v="3"/>
    <x v="0"/>
    <x v="0"/>
    <x v="0"/>
    <x v="46"/>
    <x v="1"/>
  </r>
  <r>
    <x v="1030"/>
    <x v="1028"/>
    <x v="29"/>
    <x v="0"/>
    <x v="10"/>
    <x v="10"/>
    <x v="3"/>
    <x v="105"/>
    <x v="142"/>
    <x v="8"/>
    <x v="8"/>
    <x v="4"/>
    <x v="453"/>
    <x v="0"/>
    <x v="0"/>
    <x v="945"/>
    <x v="990"/>
    <x v="648"/>
    <x v="983"/>
    <x v="928"/>
    <x v="1"/>
    <x v="0"/>
    <x v="0"/>
    <x v="0"/>
    <x v="125"/>
    <x v="0"/>
  </r>
  <r>
    <x v="1031"/>
    <x v="1029"/>
    <x v="153"/>
    <x v="0"/>
    <x v="10"/>
    <x v="10"/>
    <x v="3"/>
    <x v="231"/>
    <x v="15"/>
    <x v="167"/>
    <x v="285"/>
    <x v="7"/>
    <x v="545"/>
    <x v="4"/>
    <x v="534"/>
    <x v="946"/>
    <x v="991"/>
    <x v="627"/>
    <x v="984"/>
    <x v="929"/>
    <x v="2"/>
    <x v="0"/>
    <x v="0"/>
    <x v="0"/>
    <x v="590"/>
    <x v="1"/>
  </r>
  <r>
    <x v="1032"/>
    <x v="1030"/>
    <x v="145"/>
    <x v="0"/>
    <x v="9"/>
    <x v="9"/>
    <x v="0"/>
    <x v="505"/>
    <x v="11"/>
    <x v="177"/>
    <x v="311"/>
    <x v="1"/>
    <x v="87"/>
    <x v="0"/>
    <x v="0"/>
    <x v="947"/>
    <x v="992"/>
    <x v="202"/>
    <x v="985"/>
    <x v="854"/>
    <x v="2"/>
    <x v="0"/>
    <x v="0"/>
    <x v="0"/>
    <x v="381"/>
    <x v="1"/>
  </r>
  <r>
    <x v="1033"/>
    <x v="1031"/>
    <x v="215"/>
    <x v="0"/>
    <x v="10"/>
    <x v="10"/>
    <x v="3"/>
    <x v="506"/>
    <x v="89"/>
    <x v="6"/>
    <x v="312"/>
    <x v="1"/>
    <x v="118"/>
    <x v="0"/>
    <x v="0"/>
    <x v="948"/>
    <x v="993"/>
    <x v="649"/>
    <x v="986"/>
    <x v="516"/>
    <x v="4"/>
    <x v="0"/>
    <x v="0"/>
    <x v="0"/>
    <x v="124"/>
    <x v="0"/>
  </r>
  <r>
    <x v="1034"/>
    <x v="1032"/>
    <x v="205"/>
    <x v="0"/>
    <x v="3"/>
    <x v="3"/>
    <x v="2"/>
    <x v="14"/>
    <x v="27"/>
    <x v="169"/>
    <x v="273"/>
    <x v="0"/>
    <x v="31"/>
    <x v="1"/>
    <x v="229"/>
    <x v="949"/>
    <x v="994"/>
    <x v="207"/>
    <x v="987"/>
    <x v="930"/>
    <x v="2"/>
    <x v="0"/>
    <x v="0"/>
    <x v="0"/>
    <x v="66"/>
    <x v="1"/>
  </r>
  <r>
    <x v="1035"/>
    <x v="1033"/>
    <x v="100"/>
    <x v="0"/>
    <x v="4"/>
    <x v="4"/>
    <x v="2"/>
    <x v="308"/>
    <x v="63"/>
    <x v="6"/>
    <x v="294"/>
    <x v="6"/>
    <x v="187"/>
    <x v="2"/>
    <x v="535"/>
    <x v="950"/>
    <x v="995"/>
    <x v="76"/>
    <x v="988"/>
    <x v="931"/>
    <x v="4"/>
    <x v="0"/>
    <x v="0"/>
    <x v="0"/>
    <x v="321"/>
    <x v="0"/>
  </r>
  <r>
    <x v="1036"/>
    <x v="1034"/>
    <x v="38"/>
    <x v="1"/>
    <x v="11"/>
    <x v="11"/>
    <x v="1"/>
    <x v="507"/>
    <x v="107"/>
    <x v="84"/>
    <x v="203"/>
    <x v="0"/>
    <x v="190"/>
    <x v="0"/>
    <x v="0"/>
    <x v="573"/>
    <x v="996"/>
    <x v="442"/>
    <x v="989"/>
    <x v="932"/>
    <x v="0"/>
    <x v="0"/>
    <x v="0"/>
    <x v="0"/>
    <x v="424"/>
    <x v="0"/>
  </r>
  <r>
    <x v="1037"/>
    <x v="1035"/>
    <x v="182"/>
    <x v="0"/>
    <x v="9"/>
    <x v="9"/>
    <x v="0"/>
    <x v="52"/>
    <x v="26"/>
    <x v="52"/>
    <x v="57"/>
    <x v="6"/>
    <x v="29"/>
    <x v="0"/>
    <x v="0"/>
    <x v="951"/>
    <x v="997"/>
    <x v="650"/>
    <x v="173"/>
    <x v="933"/>
    <x v="4"/>
    <x v="0"/>
    <x v="0"/>
    <x v="1"/>
    <x v="591"/>
    <x v="1"/>
  </r>
  <r>
    <x v="1038"/>
    <x v="1036"/>
    <x v="131"/>
    <x v="0"/>
    <x v="6"/>
    <x v="6"/>
    <x v="3"/>
    <x v="508"/>
    <x v="129"/>
    <x v="115"/>
    <x v="146"/>
    <x v="0"/>
    <x v="249"/>
    <x v="1"/>
    <x v="536"/>
    <x v="952"/>
    <x v="998"/>
    <x v="651"/>
    <x v="990"/>
    <x v="934"/>
    <x v="1"/>
    <x v="0"/>
    <x v="0"/>
    <x v="0"/>
    <x v="254"/>
    <x v="0"/>
  </r>
  <r>
    <x v="1039"/>
    <x v="1037"/>
    <x v="273"/>
    <x v="0"/>
    <x v="0"/>
    <x v="0"/>
    <x v="0"/>
    <x v="368"/>
    <x v="78"/>
    <x v="95"/>
    <x v="119"/>
    <x v="7"/>
    <x v="546"/>
    <x v="3"/>
    <x v="537"/>
    <x v="953"/>
    <x v="999"/>
    <x v="194"/>
    <x v="991"/>
    <x v="935"/>
    <x v="3"/>
    <x v="0"/>
    <x v="0"/>
    <x v="0"/>
    <x v="169"/>
    <x v="1"/>
  </r>
  <r>
    <x v="1040"/>
    <x v="1038"/>
    <x v="304"/>
    <x v="0"/>
    <x v="5"/>
    <x v="5"/>
    <x v="0"/>
    <x v="26"/>
    <x v="78"/>
    <x v="74"/>
    <x v="88"/>
    <x v="7"/>
    <x v="547"/>
    <x v="0"/>
    <x v="0"/>
    <x v="954"/>
    <x v="1000"/>
    <x v="194"/>
    <x v="992"/>
    <x v="936"/>
    <x v="1"/>
    <x v="0"/>
    <x v="0"/>
    <x v="2"/>
    <x v="592"/>
    <x v="1"/>
  </r>
  <r>
    <x v="1041"/>
    <x v="1039"/>
    <x v="51"/>
    <x v="0"/>
    <x v="6"/>
    <x v="6"/>
    <x v="3"/>
    <x v="215"/>
    <x v="55"/>
    <x v="159"/>
    <x v="268"/>
    <x v="0"/>
    <x v="362"/>
    <x v="2"/>
    <x v="538"/>
    <x v="955"/>
    <x v="1001"/>
    <x v="652"/>
    <x v="993"/>
    <x v="937"/>
    <x v="2"/>
    <x v="0"/>
    <x v="0"/>
    <x v="2"/>
    <x v="305"/>
    <x v="1"/>
  </r>
  <r>
    <x v="1042"/>
    <x v="1040"/>
    <x v="29"/>
    <x v="0"/>
    <x v="10"/>
    <x v="10"/>
    <x v="3"/>
    <x v="327"/>
    <x v="31"/>
    <x v="175"/>
    <x v="305"/>
    <x v="2"/>
    <x v="548"/>
    <x v="3"/>
    <x v="539"/>
    <x v="956"/>
    <x v="1002"/>
    <x v="356"/>
    <x v="994"/>
    <x v="938"/>
    <x v="0"/>
    <x v="1"/>
    <x v="1"/>
    <x v="0"/>
    <x v="400"/>
    <x v="0"/>
  </r>
  <r>
    <x v="1043"/>
    <x v="1041"/>
    <x v="200"/>
    <x v="0"/>
    <x v="9"/>
    <x v="9"/>
    <x v="0"/>
    <x v="436"/>
    <x v="86"/>
    <x v="167"/>
    <x v="285"/>
    <x v="5"/>
    <x v="549"/>
    <x v="4"/>
    <x v="540"/>
    <x v="957"/>
    <x v="1003"/>
    <x v="572"/>
    <x v="995"/>
    <x v="939"/>
    <x v="5"/>
    <x v="0"/>
    <x v="0"/>
    <x v="0"/>
    <x v="538"/>
    <x v="1"/>
  </r>
  <r>
    <x v="1044"/>
    <x v="1042"/>
    <x v="160"/>
    <x v="0"/>
    <x v="2"/>
    <x v="2"/>
    <x v="2"/>
    <x v="8"/>
    <x v="118"/>
    <x v="160"/>
    <x v="249"/>
    <x v="1"/>
    <x v="188"/>
    <x v="3"/>
    <x v="152"/>
    <x v="958"/>
    <x v="1004"/>
    <x v="653"/>
    <x v="996"/>
    <x v="940"/>
    <x v="2"/>
    <x v="0"/>
    <x v="0"/>
    <x v="0"/>
    <x v="593"/>
    <x v="0"/>
  </r>
  <r>
    <x v="1045"/>
    <x v="1043"/>
    <x v="35"/>
    <x v="0"/>
    <x v="8"/>
    <x v="8"/>
    <x v="3"/>
    <x v="241"/>
    <x v="60"/>
    <x v="82"/>
    <x v="96"/>
    <x v="0"/>
    <x v="68"/>
    <x v="2"/>
    <x v="541"/>
    <x v="959"/>
    <x v="1005"/>
    <x v="221"/>
    <x v="997"/>
    <x v="941"/>
    <x v="4"/>
    <x v="0"/>
    <x v="0"/>
    <x v="0"/>
    <x v="84"/>
    <x v="1"/>
  </r>
  <r>
    <x v="1046"/>
    <x v="1044"/>
    <x v="204"/>
    <x v="0"/>
    <x v="5"/>
    <x v="5"/>
    <x v="0"/>
    <x v="133"/>
    <x v="94"/>
    <x v="30"/>
    <x v="31"/>
    <x v="5"/>
    <x v="550"/>
    <x v="0"/>
    <x v="0"/>
    <x v="960"/>
    <x v="1006"/>
    <x v="137"/>
    <x v="998"/>
    <x v="942"/>
    <x v="3"/>
    <x v="0"/>
    <x v="0"/>
    <x v="2"/>
    <x v="567"/>
    <x v="1"/>
  </r>
  <r>
    <x v="1047"/>
    <x v="1045"/>
    <x v="263"/>
    <x v="0"/>
    <x v="2"/>
    <x v="2"/>
    <x v="2"/>
    <x v="37"/>
    <x v="99"/>
    <x v="117"/>
    <x v="123"/>
    <x v="2"/>
    <x v="551"/>
    <x v="4"/>
    <x v="542"/>
    <x v="961"/>
    <x v="1007"/>
    <x v="246"/>
    <x v="999"/>
    <x v="943"/>
    <x v="1"/>
    <x v="0"/>
    <x v="0"/>
    <x v="0"/>
    <x v="426"/>
    <x v="1"/>
  </r>
  <r>
    <x v="1048"/>
    <x v="1046"/>
    <x v="213"/>
    <x v="0"/>
    <x v="4"/>
    <x v="4"/>
    <x v="2"/>
    <x v="61"/>
    <x v="47"/>
    <x v="74"/>
    <x v="10"/>
    <x v="2"/>
    <x v="552"/>
    <x v="0"/>
    <x v="0"/>
    <x v="962"/>
    <x v="1008"/>
    <x v="654"/>
    <x v="1000"/>
    <x v="944"/>
    <x v="3"/>
    <x v="0"/>
    <x v="0"/>
    <x v="0"/>
    <x v="594"/>
    <x v="1"/>
  </r>
  <r>
    <x v="1049"/>
    <x v="1047"/>
    <x v="234"/>
    <x v="0"/>
    <x v="6"/>
    <x v="6"/>
    <x v="3"/>
    <x v="326"/>
    <x v="92"/>
    <x v="46"/>
    <x v="49"/>
    <x v="5"/>
    <x v="553"/>
    <x v="3"/>
    <x v="543"/>
    <x v="963"/>
    <x v="1009"/>
    <x v="655"/>
    <x v="1001"/>
    <x v="945"/>
    <x v="1"/>
    <x v="0"/>
    <x v="0"/>
    <x v="1"/>
    <x v="412"/>
    <x v="0"/>
  </r>
  <r>
    <x v="1050"/>
    <x v="1048"/>
    <x v="323"/>
    <x v="0"/>
    <x v="5"/>
    <x v="5"/>
    <x v="0"/>
    <x v="160"/>
    <x v="78"/>
    <x v="35"/>
    <x v="36"/>
    <x v="3"/>
    <x v="554"/>
    <x v="3"/>
    <x v="544"/>
    <x v="964"/>
    <x v="1010"/>
    <x v="605"/>
    <x v="1002"/>
    <x v="946"/>
    <x v="2"/>
    <x v="0"/>
    <x v="0"/>
    <x v="2"/>
    <x v="479"/>
    <x v="1"/>
  </r>
  <r>
    <x v="1051"/>
    <x v="1049"/>
    <x v="131"/>
    <x v="0"/>
    <x v="6"/>
    <x v="6"/>
    <x v="3"/>
    <x v="69"/>
    <x v="76"/>
    <x v="133"/>
    <x v="165"/>
    <x v="2"/>
    <x v="418"/>
    <x v="2"/>
    <x v="545"/>
    <x v="965"/>
    <x v="1011"/>
    <x v="100"/>
    <x v="1003"/>
    <x v="947"/>
    <x v="4"/>
    <x v="0"/>
    <x v="0"/>
    <x v="1"/>
    <x v="591"/>
    <x v="0"/>
  </r>
  <r>
    <x v="1052"/>
    <x v="1050"/>
    <x v="29"/>
    <x v="0"/>
    <x v="10"/>
    <x v="10"/>
    <x v="3"/>
    <x v="509"/>
    <x v="122"/>
    <x v="162"/>
    <x v="195"/>
    <x v="0"/>
    <x v="205"/>
    <x v="3"/>
    <x v="546"/>
    <x v="966"/>
    <x v="1012"/>
    <x v="342"/>
    <x v="1004"/>
    <x v="948"/>
    <x v="3"/>
    <x v="0"/>
    <x v="0"/>
    <x v="0"/>
    <x v="343"/>
    <x v="0"/>
  </r>
  <r>
    <x v="1053"/>
    <x v="1051"/>
    <x v="253"/>
    <x v="0"/>
    <x v="10"/>
    <x v="10"/>
    <x v="3"/>
    <x v="293"/>
    <x v="76"/>
    <x v="122"/>
    <x v="35"/>
    <x v="6"/>
    <x v="418"/>
    <x v="2"/>
    <x v="547"/>
    <x v="967"/>
    <x v="1013"/>
    <x v="656"/>
    <x v="1005"/>
    <x v="949"/>
    <x v="1"/>
    <x v="0"/>
    <x v="0"/>
    <x v="0"/>
    <x v="491"/>
    <x v="1"/>
  </r>
  <r>
    <x v="1054"/>
    <x v="1052"/>
    <x v="220"/>
    <x v="0"/>
    <x v="3"/>
    <x v="3"/>
    <x v="2"/>
    <x v="136"/>
    <x v="145"/>
    <x v="128"/>
    <x v="167"/>
    <x v="0"/>
    <x v="480"/>
    <x v="3"/>
    <x v="548"/>
    <x v="968"/>
    <x v="1014"/>
    <x v="657"/>
    <x v="1006"/>
    <x v="804"/>
    <x v="0"/>
    <x v="0"/>
    <x v="0"/>
    <x v="2"/>
    <x v="478"/>
    <x v="1"/>
  </r>
  <r>
    <x v="1055"/>
    <x v="1053"/>
    <x v="196"/>
    <x v="0"/>
    <x v="5"/>
    <x v="5"/>
    <x v="0"/>
    <x v="430"/>
    <x v="110"/>
    <x v="45"/>
    <x v="48"/>
    <x v="2"/>
    <x v="555"/>
    <x v="0"/>
    <x v="0"/>
    <x v="969"/>
    <x v="1015"/>
    <x v="176"/>
    <x v="1007"/>
    <x v="950"/>
    <x v="5"/>
    <x v="0"/>
    <x v="0"/>
    <x v="0"/>
    <x v="595"/>
    <x v="0"/>
  </r>
  <r>
    <x v="1056"/>
    <x v="1054"/>
    <x v="280"/>
    <x v="1"/>
    <x v="1"/>
    <x v="1"/>
    <x v="1"/>
    <x v="274"/>
    <x v="30"/>
    <x v="151"/>
    <x v="216"/>
    <x v="2"/>
    <x v="556"/>
    <x v="1"/>
    <x v="549"/>
    <x v="970"/>
    <x v="1016"/>
    <x v="102"/>
    <x v="1008"/>
    <x v="951"/>
    <x v="0"/>
    <x v="0"/>
    <x v="0"/>
    <x v="1"/>
    <x v="164"/>
    <x v="1"/>
  </r>
  <r>
    <x v="1057"/>
    <x v="1055"/>
    <x v="157"/>
    <x v="1"/>
    <x v="7"/>
    <x v="7"/>
    <x v="1"/>
    <x v="66"/>
    <x v="56"/>
    <x v="144"/>
    <x v="197"/>
    <x v="2"/>
    <x v="64"/>
    <x v="0"/>
    <x v="0"/>
    <x v="308"/>
    <x v="312"/>
    <x v="203"/>
    <x v="308"/>
    <x v="304"/>
    <x v="0"/>
    <x v="0"/>
    <x v="0"/>
    <x v="2"/>
    <x v="350"/>
    <x v="1"/>
  </r>
  <r>
    <x v="1058"/>
    <x v="1056"/>
    <x v="26"/>
    <x v="0"/>
    <x v="8"/>
    <x v="8"/>
    <x v="3"/>
    <x v="510"/>
    <x v="15"/>
    <x v="83"/>
    <x v="259"/>
    <x v="1"/>
    <x v="15"/>
    <x v="1"/>
    <x v="550"/>
    <x v="971"/>
    <x v="1017"/>
    <x v="658"/>
    <x v="1009"/>
    <x v="952"/>
    <x v="1"/>
    <x v="0"/>
    <x v="0"/>
    <x v="0"/>
    <x v="128"/>
    <x v="0"/>
  </r>
  <r>
    <x v="1059"/>
    <x v="1057"/>
    <x v="86"/>
    <x v="0"/>
    <x v="6"/>
    <x v="6"/>
    <x v="3"/>
    <x v="12"/>
    <x v="69"/>
    <x v="172"/>
    <x v="198"/>
    <x v="4"/>
    <x v="557"/>
    <x v="4"/>
    <x v="551"/>
    <x v="972"/>
    <x v="1018"/>
    <x v="307"/>
    <x v="1010"/>
    <x v="953"/>
    <x v="4"/>
    <x v="0"/>
    <x v="0"/>
    <x v="0"/>
    <x v="596"/>
    <x v="0"/>
  </r>
  <r>
    <x v="1060"/>
    <x v="1058"/>
    <x v="60"/>
    <x v="1"/>
    <x v="1"/>
    <x v="1"/>
    <x v="1"/>
    <x v="304"/>
    <x v="6"/>
    <x v="31"/>
    <x v="54"/>
    <x v="6"/>
    <x v="6"/>
    <x v="3"/>
    <x v="552"/>
    <x v="973"/>
    <x v="1019"/>
    <x v="592"/>
    <x v="1011"/>
    <x v="954"/>
    <x v="4"/>
    <x v="0"/>
    <x v="0"/>
    <x v="0"/>
    <x v="145"/>
    <x v="1"/>
  </r>
  <r>
    <x v="1061"/>
    <x v="1059"/>
    <x v="43"/>
    <x v="0"/>
    <x v="6"/>
    <x v="6"/>
    <x v="3"/>
    <x v="453"/>
    <x v="39"/>
    <x v="32"/>
    <x v="34"/>
    <x v="7"/>
    <x v="558"/>
    <x v="4"/>
    <x v="553"/>
    <x v="974"/>
    <x v="1020"/>
    <x v="659"/>
    <x v="1012"/>
    <x v="955"/>
    <x v="0"/>
    <x v="0"/>
    <x v="0"/>
    <x v="0"/>
    <x v="49"/>
    <x v="1"/>
  </r>
  <r>
    <x v="1062"/>
    <x v="1060"/>
    <x v="183"/>
    <x v="0"/>
    <x v="5"/>
    <x v="5"/>
    <x v="0"/>
    <x v="19"/>
    <x v="68"/>
    <x v="20"/>
    <x v="25"/>
    <x v="0"/>
    <x v="82"/>
    <x v="0"/>
    <x v="0"/>
    <x v="319"/>
    <x v="1021"/>
    <x v="279"/>
    <x v="1013"/>
    <x v="701"/>
    <x v="5"/>
    <x v="0"/>
    <x v="0"/>
    <x v="0"/>
    <x v="597"/>
    <x v="1"/>
  </r>
  <r>
    <x v="1063"/>
    <x v="1061"/>
    <x v="273"/>
    <x v="0"/>
    <x v="0"/>
    <x v="0"/>
    <x v="0"/>
    <x v="511"/>
    <x v="5"/>
    <x v="93"/>
    <x v="113"/>
    <x v="6"/>
    <x v="139"/>
    <x v="1"/>
    <x v="554"/>
    <x v="975"/>
    <x v="1022"/>
    <x v="604"/>
    <x v="1014"/>
    <x v="956"/>
    <x v="4"/>
    <x v="0"/>
    <x v="0"/>
    <x v="0"/>
    <x v="389"/>
    <x v="1"/>
  </r>
  <r>
    <x v="1064"/>
    <x v="1062"/>
    <x v="324"/>
    <x v="0"/>
    <x v="6"/>
    <x v="6"/>
    <x v="3"/>
    <x v="243"/>
    <x v="24"/>
    <x v="111"/>
    <x v="313"/>
    <x v="6"/>
    <x v="27"/>
    <x v="0"/>
    <x v="0"/>
    <x v="976"/>
    <x v="1023"/>
    <x v="484"/>
    <x v="1015"/>
    <x v="27"/>
    <x v="0"/>
    <x v="0"/>
    <x v="0"/>
    <x v="0"/>
    <x v="99"/>
    <x v="1"/>
  </r>
  <r>
    <x v="1065"/>
    <x v="1063"/>
    <x v="228"/>
    <x v="0"/>
    <x v="6"/>
    <x v="6"/>
    <x v="3"/>
    <x v="512"/>
    <x v="16"/>
    <x v="90"/>
    <x v="81"/>
    <x v="2"/>
    <x v="106"/>
    <x v="1"/>
    <x v="555"/>
    <x v="977"/>
    <x v="1024"/>
    <x v="16"/>
    <x v="1016"/>
    <x v="957"/>
    <x v="1"/>
    <x v="0"/>
    <x v="0"/>
    <x v="0"/>
    <x v="598"/>
    <x v="0"/>
  </r>
  <r>
    <x v="1066"/>
    <x v="1064"/>
    <x v="133"/>
    <x v="0"/>
    <x v="10"/>
    <x v="10"/>
    <x v="3"/>
    <x v="513"/>
    <x v="88"/>
    <x v="80"/>
    <x v="272"/>
    <x v="6"/>
    <x v="117"/>
    <x v="2"/>
    <x v="556"/>
    <x v="978"/>
    <x v="1025"/>
    <x v="394"/>
    <x v="1017"/>
    <x v="958"/>
    <x v="0"/>
    <x v="0"/>
    <x v="0"/>
    <x v="0"/>
    <x v="379"/>
    <x v="0"/>
  </r>
  <r>
    <x v="1067"/>
    <x v="1065"/>
    <x v="218"/>
    <x v="0"/>
    <x v="2"/>
    <x v="2"/>
    <x v="2"/>
    <x v="306"/>
    <x v="134"/>
    <x v="90"/>
    <x v="274"/>
    <x v="5"/>
    <x v="559"/>
    <x v="3"/>
    <x v="557"/>
    <x v="979"/>
    <x v="1026"/>
    <x v="660"/>
    <x v="1018"/>
    <x v="959"/>
    <x v="0"/>
    <x v="0"/>
    <x v="0"/>
    <x v="0"/>
    <x v="453"/>
    <x v="1"/>
  </r>
  <r>
    <x v="1068"/>
    <x v="1066"/>
    <x v="102"/>
    <x v="0"/>
    <x v="8"/>
    <x v="8"/>
    <x v="3"/>
    <x v="306"/>
    <x v="120"/>
    <x v="175"/>
    <x v="305"/>
    <x v="7"/>
    <x v="560"/>
    <x v="0"/>
    <x v="0"/>
    <x v="980"/>
    <x v="1027"/>
    <x v="385"/>
    <x v="1019"/>
    <x v="960"/>
    <x v="3"/>
    <x v="0"/>
    <x v="0"/>
    <x v="2"/>
    <x v="184"/>
    <x v="1"/>
  </r>
  <r>
    <x v="1069"/>
    <x v="1067"/>
    <x v="133"/>
    <x v="0"/>
    <x v="10"/>
    <x v="10"/>
    <x v="3"/>
    <x v="194"/>
    <x v="76"/>
    <x v="96"/>
    <x v="120"/>
    <x v="2"/>
    <x v="418"/>
    <x v="0"/>
    <x v="0"/>
    <x v="981"/>
    <x v="1028"/>
    <x v="100"/>
    <x v="1020"/>
    <x v="961"/>
    <x v="2"/>
    <x v="0"/>
    <x v="0"/>
    <x v="2"/>
    <x v="396"/>
    <x v="0"/>
  </r>
  <r>
    <x v="1070"/>
    <x v="1068"/>
    <x v="238"/>
    <x v="0"/>
    <x v="3"/>
    <x v="3"/>
    <x v="2"/>
    <x v="497"/>
    <x v="91"/>
    <x v="34"/>
    <x v="32"/>
    <x v="2"/>
    <x v="438"/>
    <x v="0"/>
    <x v="0"/>
    <x v="982"/>
    <x v="1029"/>
    <x v="661"/>
    <x v="1021"/>
    <x v="772"/>
    <x v="5"/>
    <x v="1"/>
    <x v="1"/>
    <x v="2"/>
    <x v="599"/>
    <x v="1"/>
  </r>
  <r>
    <x v="1071"/>
    <x v="1069"/>
    <x v="180"/>
    <x v="1"/>
    <x v="7"/>
    <x v="7"/>
    <x v="1"/>
    <x v="117"/>
    <x v="44"/>
    <x v="75"/>
    <x v="89"/>
    <x v="4"/>
    <x v="242"/>
    <x v="3"/>
    <x v="558"/>
    <x v="983"/>
    <x v="1030"/>
    <x v="373"/>
    <x v="1022"/>
    <x v="962"/>
    <x v="2"/>
    <x v="0"/>
    <x v="0"/>
    <x v="0"/>
    <x v="209"/>
    <x v="1"/>
  </r>
  <r>
    <x v="1072"/>
    <x v="1070"/>
    <x v="234"/>
    <x v="0"/>
    <x v="6"/>
    <x v="6"/>
    <x v="3"/>
    <x v="314"/>
    <x v="58"/>
    <x v="114"/>
    <x v="304"/>
    <x v="3"/>
    <x v="561"/>
    <x v="1"/>
    <x v="559"/>
    <x v="984"/>
    <x v="1031"/>
    <x v="662"/>
    <x v="1023"/>
    <x v="963"/>
    <x v="1"/>
    <x v="0"/>
    <x v="0"/>
    <x v="1"/>
    <x v="162"/>
    <x v="0"/>
  </r>
  <r>
    <x v="1073"/>
    <x v="1071"/>
    <x v="295"/>
    <x v="0"/>
    <x v="4"/>
    <x v="4"/>
    <x v="2"/>
    <x v="108"/>
    <x v="39"/>
    <x v="143"/>
    <x v="200"/>
    <x v="4"/>
    <x v="562"/>
    <x v="0"/>
    <x v="0"/>
    <x v="985"/>
    <x v="1032"/>
    <x v="44"/>
    <x v="1024"/>
    <x v="964"/>
    <x v="5"/>
    <x v="0"/>
    <x v="0"/>
    <x v="0"/>
    <x v="416"/>
    <x v="0"/>
  </r>
  <r>
    <x v="1074"/>
    <x v="1072"/>
    <x v="11"/>
    <x v="1"/>
    <x v="1"/>
    <x v="1"/>
    <x v="1"/>
    <x v="476"/>
    <x v="65"/>
    <x v="56"/>
    <x v="61"/>
    <x v="0"/>
    <x v="307"/>
    <x v="0"/>
    <x v="0"/>
    <x v="986"/>
    <x v="1033"/>
    <x v="663"/>
    <x v="1025"/>
    <x v="965"/>
    <x v="5"/>
    <x v="0"/>
    <x v="0"/>
    <x v="0"/>
    <x v="62"/>
    <x v="1"/>
  </r>
  <r>
    <x v="1075"/>
    <x v="1073"/>
    <x v="125"/>
    <x v="0"/>
    <x v="5"/>
    <x v="5"/>
    <x v="0"/>
    <x v="373"/>
    <x v="44"/>
    <x v="62"/>
    <x v="314"/>
    <x v="1"/>
    <x v="242"/>
    <x v="0"/>
    <x v="0"/>
    <x v="339"/>
    <x v="1034"/>
    <x v="296"/>
    <x v="1026"/>
    <x v="966"/>
    <x v="1"/>
    <x v="1"/>
    <x v="1"/>
    <x v="2"/>
    <x v="600"/>
    <x v="1"/>
  </r>
  <r>
    <x v="1076"/>
    <x v="1074"/>
    <x v="286"/>
    <x v="0"/>
    <x v="4"/>
    <x v="4"/>
    <x v="2"/>
    <x v="82"/>
    <x v="90"/>
    <x v="31"/>
    <x v="303"/>
    <x v="2"/>
    <x v="229"/>
    <x v="3"/>
    <x v="203"/>
    <x v="987"/>
    <x v="1035"/>
    <x v="275"/>
    <x v="1027"/>
    <x v="967"/>
    <x v="0"/>
    <x v="0"/>
    <x v="0"/>
    <x v="1"/>
    <x v="501"/>
    <x v="1"/>
  </r>
  <r>
    <x v="1077"/>
    <x v="1075"/>
    <x v="244"/>
    <x v="0"/>
    <x v="5"/>
    <x v="5"/>
    <x v="0"/>
    <x v="269"/>
    <x v="78"/>
    <x v="10"/>
    <x v="10"/>
    <x v="5"/>
    <x v="563"/>
    <x v="0"/>
    <x v="0"/>
    <x v="988"/>
    <x v="1036"/>
    <x v="664"/>
    <x v="1028"/>
    <x v="968"/>
    <x v="4"/>
    <x v="0"/>
    <x v="0"/>
    <x v="0"/>
    <x v="205"/>
    <x v="1"/>
  </r>
  <r>
    <x v="1078"/>
    <x v="1076"/>
    <x v="136"/>
    <x v="0"/>
    <x v="10"/>
    <x v="10"/>
    <x v="3"/>
    <x v="41"/>
    <x v="44"/>
    <x v="19"/>
    <x v="35"/>
    <x v="4"/>
    <x v="564"/>
    <x v="1"/>
    <x v="560"/>
    <x v="989"/>
    <x v="1037"/>
    <x v="373"/>
    <x v="1029"/>
    <x v="969"/>
    <x v="5"/>
    <x v="0"/>
    <x v="0"/>
    <x v="0"/>
    <x v="115"/>
    <x v="0"/>
  </r>
  <r>
    <x v="1079"/>
    <x v="1077"/>
    <x v="102"/>
    <x v="0"/>
    <x v="8"/>
    <x v="8"/>
    <x v="3"/>
    <x v="155"/>
    <x v="107"/>
    <x v="163"/>
    <x v="303"/>
    <x v="3"/>
    <x v="565"/>
    <x v="4"/>
    <x v="561"/>
    <x v="990"/>
    <x v="1038"/>
    <x v="167"/>
    <x v="1030"/>
    <x v="970"/>
    <x v="5"/>
    <x v="0"/>
    <x v="0"/>
    <x v="0"/>
    <x v="12"/>
    <x v="1"/>
  </r>
  <r>
    <x v="1080"/>
    <x v="1078"/>
    <x v="288"/>
    <x v="1"/>
    <x v="11"/>
    <x v="11"/>
    <x v="1"/>
    <x v="92"/>
    <x v="27"/>
    <x v="141"/>
    <x v="315"/>
    <x v="1"/>
    <x v="31"/>
    <x v="2"/>
    <x v="223"/>
    <x v="387"/>
    <x v="1039"/>
    <x v="333"/>
    <x v="1031"/>
    <x v="971"/>
    <x v="3"/>
    <x v="0"/>
    <x v="0"/>
    <x v="0"/>
    <x v="287"/>
    <x v="1"/>
  </r>
  <r>
    <x v="1081"/>
    <x v="1079"/>
    <x v="118"/>
    <x v="0"/>
    <x v="5"/>
    <x v="5"/>
    <x v="0"/>
    <x v="514"/>
    <x v="101"/>
    <x v="75"/>
    <x v="174"/>
    <x v="2"/>
    <x v="134"/>
    <x v="0"/>
    <x v="0"/>
    <x v="908"/>
    <x v="950"/>
    <x v="633"/>
    <x v="943"/>
    <x v="896"/>
    <x v="5"/>
    <x v="0"/>
    <x v="0"/>
    <x v="0"/>
    <x v="356"/>
    <x v="0"/>
  </r>
  <r>
    <x v="1082"/>
    <x v="1080"/>
    <x v="325"/>
    <x v="1"/>
    <x v="1"/>
    <x v="1"/>
    <x v="1"/>
    <x v="404"/>
    <x v="30"/>
    <x v="43"/>
    <x v="46"/>
    <x v="6"/>
    <x v="34"/>
    <x v="2"/>
    <x v="58"/>
    <x v="991"/>
    <x v="1040"/>
    <x v="34"/>
    <x v="1032"/>
    <x v="972"/>
    <x v="3"/>
    <x v="0"/>
    <x v="0"/>
    <x v="0"/>
    <x v="459"/>
    <x v="1"/>
  </r>
  <r>
    <x v="1083"/>
    <x v="1081"/>
    <x v="63"/>
    <x v="0"/>
    <x v="9"/>
    <x v="9"/>
    <x v="0"/>
    <x v="427"/>
    <x v="75"/>
    <x v="35"/>
    <x v="36"/>
    <x v="1"/>
    <x v="92"/>
    <x v="0"/>
    <x v="0"/>
    <x v="99"/>
    <x v="99"/>
    <x v="98"/>
    <x v="97"/>
    <x v="96"/>
    <x v="4"/>
    <x v="0"/>
    <x v="0"/>
    <x v="0"/>
    <x v="409"/>
    <x v="0"/>
  </r>
  <r>
    <x v="1084"/>
    <x v="1082"/>
    <x v="95"/>
    <x v="0"/>
    <x v="8"/>
    <x v="8"/>
    <x v="3"/>
    <x v="62"/>
    <x v="12"/>
    <x v="161"/>
    <x v="254"/>
    <x v="2"/>
    <x v="566"/>
    <x v="3"/>
    <x v="562"/>
    <x v="992"/>
    <x v="1041"/>
    <x v="143"/>
    <x v="1033"/>
    <x v="973"/>
    <x v="3"/>
    <x v="0"/>
    <x v="0"/>
    <x v="1"/>
    <x v="13"/>
    <x v="1"/>
  </r>
  <r>
    <x v="1085"/>
    <x v="1083"/>
    <x v="273"/>
    <x v="0"/>
    <x v="0"/>
    <x v="0"/>
    <x v="0"/>
    <x v="224"/>
    <x v="59"/>
    <x v="21"/>
    <x v="316"/>
    <x v="5"/>
    <x v="567"/>
    <x v="0"/>
    <x v="0"/>
    <x v="993"/>
    <x v="1042"/>
    <x v="665"/>
    <x v="1034"/>
    <x v="974"/>
    <x v="5"/>
    <x v="1"/>
    <x v="1"/>
    <x v="0"/>
    <x v="601"/>
    <x v="1"/>
  </r>
  <r>
    <x v="1086"/>
    <x v="1084"/>
    <x v="282"/>
    <x v="0"/>
    <x v="2"/>
    <x v="2"/>
    <x v="2"/>
    <x v="515"/>
    <x v="34"/>
    <x v="158"/>
    <x v="235"/>
    <x v="6"/>
    <x v="219"/>
    <x v="4"/>
    <x v="259"/>
    <x v="994"/>
    <x v="1043"/>
    <x v="39"/>
    <x v="1035"/>
    <x v="975"/>
    <x v="5"/>
    <x v="0"/>
    <x v="0"/>
    <x v="2"/>
    <x v="602"/>
    <x v="0"/>
  </r>
  <r>
    <x v="1087"/>
    <x v="1085"/>
    <x v="171"/>
    <x v="1"/>
    <x v="7"/>
    <x v="7"/>
    <x v="1"/>
    <x v="114"/>
    <x v="37"/>
    <x v="90"/>
    <x v="71"/>
    <x v="2"/>
    <x v="99"/>
    <x v="0"/>
    <x v="0"/>
    <x v="108"/>
    <x v="108"/>
    <x v="106"/>
    <x v="106"/>
    <x v="105"/>
    <x v="3"/>
    <x v="0"/>
    <x v="0"/>
    <x v="0"/>
    <x v="241"/>
    <x v="1"/>
  </r>
  <r>
    <x v="1088"/>
    <x v="1086"/>
    <x v="116"/>
    <x v="0"/>
    <x v="8"/>
    <x v="8"/>
    <x v="3"/>
    <x v="103"/>
    <x v="94"/>
    <x v="93"/>
    <x v="113"/>
    <x v="6"/>
    <x v="568"/>
    <x v="0"/>
    <x v="0"/>
    <x v="995"/>
    <x v="1044"/>
    <x v="545"/>
    <x v="1036"/>
    <x v="976"/>
    <x v="0"/>
    <x v="0"/>
    <x v="0"/>
    <x v="2"/>
    <x v="484"/>
    <x v="1"/>
  </r>
  <r>
    <x v="1089"/>
    <x v="1087"/>
    <x v="26"/>
    <x v="0"/>
    <x v="8"/>
    <x v="8"/>
    <x v="3"/>
    <x v="247"/>
    <x v="54"/>
    <x v="29"/>
    <x v="30"/>
    <x v="5"/>
    <x v="569"/>
    <x v="4"/>
    <x v="563"/>
    <x v="996"/>
    <x v="1045"/>
    <x v="666"/>
    <x v="1037"/>
    <x v="977"/>
    <x v="3"/>
    <x v="0"/>
    <x v="0"/>
    <x v="2"/>
    <x v="477"/>
    <x v="0"/>
  </r>
  <r>
    <x v="1090"/>
    <x v="1088"/>
    <x v="84"/>
    <x v="0"/>
    <x v="9"/>
    <x v="9"/>
    <x v="0"/>
    <x v="256"/>
    <x v="57"/>
    <x v="41"/>
    <x v="245"/>
    <x v="7"/>
    <x v="570"/>
    <x v="4"/>
    <x v="564"/>
    <x v="997"/>
    <x v="1046"/>
    <x v="635"/>
    <x v="1038"/>
    <x v="978"/>
    <x v="1"/>
    <x v="0"/>
    <x v="0"/>
    <x v="0"/>
    <x v="556"/>
    <x v="1"/>
  </r>
  <r>
    <x v="1091"/>
    <x v="1089"/>
    <x v="320"/>
    <x v="0"/>
    <x v="3"/>
    <x v="3"/>
    <x v="2"/>
    <x v="516"/>
    <x v="120"/>
    <x v="102"/>
    <x v="128"/>
    <x v="6"/>
    <x v="221"/>
    <x v="3"/>
    <x v="565"/>
    <x v="998"/>
    <x v="1047"/>
    <x v="667"/>
    <x v="1039"/>
    <x v="979"/>
    <x v="4"/>
    <x v="0"/>
    <x v="0"/>
    <x v="0"/>
    <x v="415"/>
    <x v="0"/>
  </r>
  <r>
    <x v="1092"/>
    <x v="1090"/>
    <x v="50"/>
    <x v="0"/>
    <x v="10"/>
    <x v="10"/>
    <x v="3"/>
    <x v="517"/>
    <x v="127"/>
    <x v="165"/>
    <x v="78"/>
    <x v="6"/>
    <x v="335"/>
    <x v="4"/>
    <x v="302"/>
    <x v="531"/>
    <x v="1048"/>
    <x v="282"/>
    <x v="1040"/>
    <x v="980"/>
    <x v="5"/>
    <x v="0"/>
    <x v="0"/>
    <x v="1"/>
    <x v="291"/>
    <x v="1"/>
  </r>
  <r>
    <x v="1093"/>
    <x v="1091"/>
    <x v="253"/>
    <x v="0"/>
    <x v="10"/>
    <x v="10"/>
    <x v="3"/>
    <x v="4"/>
    <x v="105"/>
    <x v="93"/>
    <x v="35"/>
    <x v="5"/>
    <x v="571"/>
    <x v="4"/>
    <x v="566"/>
    <x v="999"/>
    <x v="1049"/>
    <x v="668"/>
    <x v="1041"/>
    <x v="981"/>
    <x v="3"/>
    <x v="0"/>
    <x v="0"/>
    <x v="0"/>
    <x v="254"/>
    <x v="1"/>
  </r>
  <r>
    <x v="1094"/>
    <x v="1092"/>
    <x v="86"/>
    <x v="0"/>
    <x v="6"/>
    <x v="6"/>
    <x v="3"/>
    <x v="266"/>
    <x v="128"/>
    <x v="65"/>
    <x v="257"/>
    <x v="4"/>
    <x v="572"/>
    <x v="0"/>
    <x v="0"/>
    <x v="1000"/>
    <x v="1050"/>
    <x v="669"/>
    <x v="1042"/>
    <x v="982"/>
    <x v="1"/>
    <x v="0"/>
    <x v="0"/>
    <x v="0"/>
    <x v="218"/>
    <x v="0"/>
  </r>
  <r>
    <x v="1095"/>
    <x v="1093"/>
    <x v="130"/>
    <x v="0"/>
    <x v="2"/>
    <x v="2"/>
    <x v="2"/>
    <x v="36"/>
    <x v="88"/>
    <x v="119"/>
    <x v="253"/>
    <x v="5"/>
    <x v="573"/>
    <x v="1"/>
    <x v="567"/>
    <x v="1001"/>
    <x v="1051"/>
    <x v="670"/>
    <x v="1043"/>
    <x v="983"/>
    <x v="4"/>
    <x v="1"/>
    <x v="1"/>
    <x v="2"/>
    <x v="245"/>
    <x v="0"/>
  </r>
  <r>
    <x v="1096"/>
    <x v="1094"/>
    <x v="307"/>
    <x v="1"/>
    <x v="7"/>
    <x v="7"/>
    <x v="1"/>
    <x v="289"/>
    <x v="134"/>
    <x v="170"/>
    <x v="213"/>
    <x v="1"/>
    <x v="450"/>
    <x v="4"/>
    <x v="568"/>
    <x v="1002"/>
    <x v="1052"/>
    <x v="671"/>
    <x v="1044"/>
    <x v="984"/>
    <x v="2"/>
    <x v="0"/>
    <x v="0"/>
    <x v="0"/>
    <x v="118"/>
    <x v="0"/>
  </r>
  <r>
    <x v="1097"/>
    <x v="1095"/>
    <x v="211"/>
    <x v="0"/>
    <x v="10"/>
    <x v="10"/>
    <x v="3"/>
    <x v="251"/>
    <x v="88"/>
    <x v="51"/>
    <x v="56"/>
    <x v="1"/>
    <x v="117"/>
    <x v="0"/>
    <x v="0"/>
    <x v="1003"/>
    <x v="1053"/>
    <x v="541"/>
    <x v="1045"/>
    <x v="595"/>
    <x v="3"/>
    <x v="0"/>
    <x v="0"/>
    <x v="0"/>
    <x v="603"/>
    <x v="1"/>
  </r>
  <r>
    <x v="1098"/>
    <x v="1096"/>
    <x v="326"/>
    <x v="1"/>
    <x v="11"/>
    <x v="11"/>
    <x v="1"/>
    <x v="462"/>
    <x v="122"/>
    <x v="155"/>
    <x v="206"/>
    <x v="5"/>
    <x v="574"/>
    <x v="0"/>
    <x v="0"/>
    <x v="1004"/>
    <x v="1054"/>
    <x v="672"/>
    <x v="1046"/>
    <x v="985"/>
    <x v="5"/>
    <x v="0"/>
    <x v="0"/>
    <x v="0"/>
    <x v="604"/>
    <x v="1"/>
  </r>
  <r>
    <x v="1099"/>
    <x v="1097"/>
    <x v="145"/>
    <x v="0"/>
    <x v="9"/>
    <x v="9"/>
    <x v="0"/>
    <x v="36"/>
    <x v="97"/>
    <x v="119"/>
    <x v="293"/>
    <x v="6"/>
    <x v="575"/>
    <x v="0"/>
    <x v="0"/>
    <x v="1005"/>
    <x v="1055"/>
    <x v="673"/>
    <x v="1047"/>
    <x v="986"/>
    <x v="4"/>
    <x v="0"/>
    <x v="0"/>
    <x v="0"/>
    <x v="605"/>
    <x v="1"/>
  </r>
  <r>
    <x v="1100"/>
    <x v="1098"/>
    <x v="282"/>
    <x v="0"/>
    <x v="2"/>
    <x v="2"/>
    <x v="2"/>
    <x v="518"/>
    <x v="104"/>
    <x v="6"/>
    <x v="13"/>
    <x v="0"/>
    <x v="202"/>
    <x v="0"/>
    <x v="0"/>
    <x v="1006"/>
    <x v="1056"/>
    <x v="485"/>
    <x v="1048"/>
    <x v="987"/>
    <x v="0"/>
    <x v="0"/>
    <x v="0"/>
    <x v="0"/>
    <x v="606"/>
    <x v="0"/>
  </r>
  <r>
    <x v="1101"/>
    <x v="1099"/>
    <x v="47"/>
    <x v="0"/>
    <x v="5"/>
    <x v="5"/>
    <x v="0"/>
    <x v="130"/>
    <x v="35"/>
    <x v="39"/>
    <x v="282"/>
    <x v="6"/>
    <x v="229"/>
    <x v="1"/>
    <x v="569"/>
    <x v="1000"/>
    <x v="1057"/>
    <x v="302"/>
    <x v="1049"/>
    <x v="988"/>
    <x v="3"/>
    <x v="0"/>
    <x v="0"/>
    <x v="0"/>
    <x v="231"/>
    <x v="0"/>
  </r>
  <r>
    <x v="1102"/>
    <x v="1100"/>
    <x v="240"/>
    <x v="0"/>
    <x v="9"/>
    <x v="9"/>
    <x v="0"/>
    <x v="133"/>
    <x v="94"/>
    <x v="0"/>
    <x v="143"/>
    <x v="6"/>
    <x v="576"/>
    <x v="1"/>
    <x v="570"/>
    <x v="1007"/>
    <x v="1058"/>
    <x v="545"/>
    <x v="1050"/>
    <x v="989"/>
    <x v="0"/>
    <x v="0"/>
    <x v="0"/>
    <x v="0"/>
    <x v="543"/>
    <x v="0"/>
  </r>
  <r>
    <x v="1103"/>
    <x v="1101"/>
    <x v="327"/>
    <x v="0"/>
    <x v="10"/>
    <x v="10"/>
    <x v="3"/>
    <x v="274"/>
    <x v="63"/>
    <x v="159"/>
    <x v="218"/>
    <x v="3"/>
    <x v="577"/>
    <x v="1"/>
    <x v="571"/>
    <x v="1008"/>
    <x v="1059"/>
    <x v="674"/>
    <x v="1051"/>
    <x v="990"/>
    <x v="4"/>
    <x v="0"/>
    <x v="0"/>
    <x v="1"/>
    <x v="44"/>
    <x v="1"/>
  </r>
  <r>
    <x v="1104"/>
    <x v="1102"/>
    <x v="149"/>
    <x v="0"/>
    <x v="3"/>
    <x v="3"/>
    <x v="2"/>
    <x v="519"/>
    <x v="57"/>
    <x v="3"/>
    <x v="35"/>
    <x v="6"/>
    <x v="65"/>
    <x v="2"/>
    <x v="392"/>
    <x v="327"/>
    <x v="1060"/>
    <x v="675"/>
    <x v="1052"/>
    <x v="991"/>
    <x v="0"/>
    <x v="0"/>
    <x v="0"/>
    <x v="0"/>
    <x v="13"/>
    <x v="0"/>
  </r>
  <r>
    <x v="1105"/>
    <x v="1103"/>
    <x v="71"/>
    <x v="1"/>
    <x v="11"/>
    <x v="11"/>
    <x v="1"/>
    <x v="220"/>
    <x v="127"/>
    <x v="15"/>
    <x v="61"/>
    <x v="1"/>
    <x v="335"/>
    <x v="0"/>
    <x v="0"/>
    <x v="1009"/>
    <x v="1061"/>
    <x v="676"/>
    <x v="1053"/>
    <x v="992"/>
    <x v="4"/>
    <x v="1"/>
    <x v="1"/>
    <x v="0"/>
    <x v="514"/>
    <x v="0"/>
  </r>
  <r>
    <x v="1106"/>
    <x v="1104"/>
    <x v="288"/>
    <x v="1"/>
    <x v="11"/>
    <x v="11"/>
    <x v="1"/>
    <x v="520"/>
    <x v="21"/>
    <x v="118"/>
    <x v="149"/>
    <x v="4"/>
    <x v="22"/>
    <x v="0"/>
    <x v="0"/>
    <x v="1010"/>
    <x v="1062"/>
    <x v="599"/>
    <x v="1054"/>
    <x v="22"/>
    <x v="1"/>
    <x v="0"/>
    <x v="0"/>
    <x v="0"/>
    <x v="335"/>
    <x v="1"/>
  </r>
  <r>
    <x v="1107"/>
    <x v="1105"/>
    <x v="263"/>
    <x v="0"/>
    <x v="2"/>
    <x v="2"/>
    <x v="2"/>
    <x v="378"/>
    <x v="23"/>
    <x v="83"/>
    <x v="259"/>
    <x v="3"/>
    <x v="578"/>
    <x v="0"/>
    <x v="0"/>
    <x v="1011"/>
    <x v="1063"/>
    <x v="677"/>
    <x v="1055"/>
    <x v="993"/>
    <x v="3"/>
    <x v="0"/>
    <x v="0"/>
    <x v="2"/>
    <x v="509"/>
    <x v="1"/>
  </r>
  <r>
    <x v="1108"/>
    <x v="1106"/>
    <x v="219"/>
    <x v="0"/>
    <x v="3"/>
    <x v="3"/>
    <x v="2"/>
    <x v="36"/>
    <x v="87"/>
    <x v="154"/>
    <x v="236"/>
    <x v="4"/>
    <x v="579"/>
    <x v="1"/>
    <x v="572"/>
    <x v="1012"/>
    <x v="1064"/>
    <x v="678"/>
    <x v="1056"/>
    <x v="994"/>
    <x v="5"/>
    <x v="0"/>
    <x v="0"/>
    <x v="0"/>
    <x v="96"/>
    <x v="1"/>
  </r>
  <r>
    <x v="1109"/>
    <x v="1107"/>
    <x v="24"/>
    <x v="1"/>
    <x v="7"/>
    <x v="7"/>
    <x v="1"/>
    <x v="420"/>
    <x v="66"/>
    <x v="30"/>
    <x v="31"/>
    <x v="2"/>
    <x v="80"/>
    <x v="0"/>
    <x v="0"/>
    <x v="1013"/>
    <x v="1065"/>
    <x v="85"/>
    <x v="1057"/>
    <x v="995"/>
    <x v="4"/>
    <x v="0"/>
    <x v="0"/>
    <x v="1"/>
    <x v="499"/>
    <x v="0"/>
  </r>
  <r>
    <x v="1110"/>
    <x v="1108"/>
    <x v="293"/>
    <x v="0"/>
    <x v="5"/>
    <x v="5"/>
    <x v="0"/>
    <x v="79"/>
    <x v="60"/>
    <x v="82"/>
    <x v="169"/>
    <x v="2"/>
    <x v="68"/>
    <x v="0"/>
    <x v="0"/>
    <x v="203"/>
    <x v="1066"/>
    <x v="188"/>
    <x v="1058"/>
    <x v="238"/>
    <x v="5"/>
    <x v="0"/>
    <x v="0"/>
    <x v="2"/>
    <x v="490"/>
    <x v="1"/>
  </r>
  <r>
    <x v="1111"/>
    <x v="1109"/>
    <x v="36"/>
    <x v="1"/>
    <x v="7"/>
    <x v="7"/>
    <x v="1"/>
    <x v="123"/>
    <x v="25"/>
    <x v="18"/>
    <x v="18"/>
    <x v="4"/>
    <x v="580"/>
    <x v="2"/>
    <x v="573"/>
    <x v="1014"/>
    <x v="1067"/>
    <x v="135"/>
    <x v="1059"/>
    <x v="996"/>
    <x v="4"/>
    <x v="0"/>
    <x v="0"/>
    <x v="0"/>
    <x v="157"/>
    <x v="1"/>
  </r>
  <r>
    <x v="1112"/>
    <x v="1110"/>
    <x v="147"/>
    <x v="0"/>
    <x v="2"/>
    <x v="2"/>
    <x v="2"/>
    <x v="391"/>
    <x v="46"/>
    <x v="44"/>
    <x v="47"/>
    <x v="4"/>
    <x v="581"/>
    <x v="0"/>
    <x v="0"/>
    <x v="1015"/>
    <x v="1068"/>
    <x v="679"/>
    <x v="1060"/>
    <x v="997"/>
    <x v="4"/>
    <x v="0"/>
    <x v="0"/>
    <x v="0"/>
    <x v="542"/>
    <x v="1"/>
  </r>
  <r>
    <x v="1113"/>
    <x v="1111"/>
    <x v="87"/>
    <x v="0"/>
    <x v="10"/>
    <x v="10"/>
    <x v="3"/>
    <x v="521"/>
    <x v="25"/>
    <x v="140"/>
    <x v="38"/>
    <x v="2"/>
    <x v="28"/>
    <x v="2"/>
    <x v="574"/>
    <x v="1016"/>
    <x v="1069"/>
    <x v="680"/>
    <x v="1061"/>
    <x v="998"/>
    <x v="3"/>
    <x v="0"/>
    <x v="0"/>
    <x v="0"/>
    <x v="168"/>
    <x v="0"/>
  </r>
  <r>
    <x v="1114"/>
    <x v="1112"/>
    <x v="200"/>
    <x v="0"/>
    <x v="9"/>
    <x v="9"/>
    <x v="0"/>
    <x v="103"/>
    <x v="1"/>
    <x v="35"/>
    <x v="36"/>
    <x v="6"/>
    <x v="582"/>
    <x v="1"/>
    <x v="575"/>
    <x v="1017"/>
    <x v="1070"/>
    <x v="681"/>
    <x v="1062"/>
    <x v="999"/>
    <x v="4"/>
    <x v="0"/>
    <x v="0"/>
    <x v="0"/>
    <x v="299"/>
    <x v="1"/>
  </r>
  <r>
    <x v="1115"/>
    <x v="1113"/>
    <x v="86"/>
    <x v="0"/>
    <x v="6"/>
    <x v="6"/>
    <x v="3"/>
    <x v="203"/>
    <x v="19"/>
    <x v="138"/>
    <x v="199"/>
    <x v="4"/>
    <x v="19"/>
    <x v="0"/>
    <x v="0"/>
    <x v="1018"/>
    <x v="1071"/>
    <x v="19"/>
    <x v="1063"/>
    <x v="156"/>
    <x v="2"/>
    <x v="0"/>
    <x v="0"/>
    <x v="0"/>
    <x v="559"/>
    <x v="0"/>
  </r>
  <r>
    <x v="1116"/>
    <x v="1114"/>
    <x v="149"/>
    <x v="0"/>
    <x v="3"/>
    <x v="3"/>
    <x v="2"/>
    <x v="368"/>
    <x v="44"/>
    <x v="26"/>
    <x v="317"/>
    <x v="6"/>
    <x v="583"/>
    <x v="4"/>
    <x v="576"/>
    <x v="1019"/>
    <x v="1072"/>
    <x v="335"/>
    <x v="1064"/>
    <x v="1000"/>
    <x v="1"/>
    <x v="0"/>
    <x v="0"/>
    <x v="0"/>
    <x v="607"/>
    <x v="0"/>
  </r>
  <r>
    <x v="1117"/>
    <x v="1115"/>
    <x v="328"/>
    <x v="0"/>
    <x v="3"/>
    <x v="3"/>
    <x v="2"/>
    <x v="522"/>
    <x v="13"/>
    <x v="133"/>
    <x v="168"/>
    <x v="1"/>
    <x v="13"/>
    <x v="0"/>
    <x v="0"/>
    <x v="1020"/>
    <x v="1073"/>
    <x v="682"/>
    <x v="1065"/>
    <x v="693"/>
    <x v="4"/>
    <x v="0"/>
    <x v="0"/>
    <x v="0"/>
    <x v="398"/>
    <x v="1"/>
  </r>
  <r>
    <x v="1118"/>
    <x v="1116"/>
    <x v="329"/>
    <x v="1"/>
    <x v="7"/>
    <x v="7"/>
    <x v="1"/>
    <x v="80"/>
    <x v="31"/>
    <x v="36"/>
    <x v="37"/>
    <x v="6"/>
    <x v="35"/>
    <x v="1"/>
    <x v="577"/>
    <x v="1021"/>
    <x v="1074"/>
    <x v="35"/>
    <x v="1066"/>
    <x v="1001"/>
    <x v="4"/>
    <x v="0"/>
    <x v="0"/>
    <x v="0"/>
    <x v="346"/>
    <x v="0"/>
  </r>
  <r>
    <x v="1119"/>
    <x v="1117"/>
    <x v="296"/>
    <x v="1"/>
    <x v="11"/>
    <x v="11"/>
    <x v="1"/>
    <x v="59"/>
    <x v="72"/>
    <x v="106"/>
    <x v="132"/>
    <x v="1"/>
    <x v="116"/>
    <x v="0"/>
    <x v="0"/>
    <x v="1022"/>
    <x v="1075"/>
    <x v="683"/>
    <x v="1067"/>
    <x v="246"/>
    <x v="5"/>
    <x v="0"/>
    <x v="0"/>
    <x v="0"/>
    <x v="608"/>
    <x v="1"/>
  </r>
  <r>
    <x v="1120"/>
    <x v="1118"/>
    <x v="199"/>
    <x v="0"/>
    <x v="2"/>
    <x v="2"/>
    <x v="2"/>
    <x v="56"/>
    <x v="19"/>
    <x v="71"/>
    <x v="81"/>
    <x v="4"/>
    <x v="584"/>
    <x v="3"/>
    <x v="578"/>
    <x v="1023"/>
    <x v="1076"/>
    <x v="19"/>
    <x v="1068"/>
    <x v="1002"/>
    <x v="5"/>
    <x v="0"/>
    <x v="0"/>
    <x v="1"/>
    <x v="609"/>
    <x v="1"/>
  </r>
  <r>
    <x v="1121"/>
    <x v="1119"/>
    <x v="282"/>
    <x v="0"/>
    <x v="2"/>
    <x v="2"/>
    <x v="2"/>
    <x v="32"/>
    <x v="16"/>
    <x v="144"/>
    <x v="197"/>
    <x v="6"/>
    <x v="106"/>
    <x v="0"/>
    <x v="0"/>
    <x v="1024"/>
    <x v="1077"/>
    <x v="223"/>
    <x v="1069"/>
    <x v="1003"/>
    <x v="1"/>
    <x v="0"/>
    <x v="0"/>
    <x v="1"/>
    <x v="7"/>
    <x v="0"/>
  </r>
  <r>
    <x v="1122"/>
    <x v="1120"/>
    <x v="86"/>
    <x v="0"/>
    <x v="6"/>
    <x v="6"/>
    <x v="3"/>
    <x v="486"/>
    <x v="19"/>
    <x v="39"/>
    <x v="282"/>
    <x v="7"/>
    <x v="585"/>
    <x v="3"/>
    <x v="579"/>
    <x v="1025"/>
    <x v="1078"/>
    <x v="684"/>
    <x v="1070"/>
    <x v="1004"/>
    <x v="0"/>
    <x v="0"/>
    <x v="0"/>
    <x v="0"/>
    <x v="610"/>
    <x v="0"/>
  </r>
  <r>
    <x v="1123"/>
    <x v="1121"/>
    <x v="137"/>
    <x v="1"/>
    <x v="7"/>
    <x v="7"/>
    <x v="1"/>
    <x v="523"/>
    <x v="35"/>
    <x v="75"/>
    <x v="89"/>
    <x v="2"/>
    <x v="229"/>
    <x v="2"/>
    <x v="580"/>
    <x v="1026"/>
    <x v="1079"/>
    <x v="275"/>
    <x v="337"/>
    <x v="1005"/>
    <x v="3"/>
    <x v="0"/>
    <x v="0"/>
    <x v="2"/>
    <x v="611"/>
    <x v="1"/>
  </r>
  <r>
    <x v="1124"/>
    <x v="1122"/>
    <x v="323"/>
    <x v="0"/>
    <x v="5"/>
    <x v="5"/>
    <x v="0"/>
    <x v="204"/>
    <x v="61"/>
    <x v="144"/>
    <x v="197"/>
    <x v="2"/>
    <x v="586"/>
    <x v="0"/>
    <x v="0"/>
    <x v="1027"/>
    <x v="1080"/>
    <x v="71"/>
    <x v="1071"/>
    <x v="1006"/>
    <x v="0"/>
    <x v="0"/>
    <x v="0"/>
    <x v="0"/>
    <x v="349"/>
    <x v="1"/>
  </r>
  <r>
    <x v="1125"/>
    <x v="1123"/>
    <x v="291"/>
    <x v="0"/>
    <x v="8"/>
    <x v="8"/>
    <x v="3"/>
    <x v="524"/>
    <x v="46"/>
    <x v="154"/>
    <x v="222"/>
    <x v="1"/>
    <x v="100"/>
    <x v="2"/>
    <x v="265"/>
    <x v="1028"/>
    <x v="1081"/>
    <x v="107"/>
    <x v="1072"/>
    <x v="1007"/>
    <x v="4"/>
    <x v="0"/>
    <x v="0"/>
    <x v="0"/>
    <x v="612"/>
    <x v="1"/>
  </r>
  <r>
    <x v="1126"/>
    <x v="1124"/>
    <x v="256"/>
    <x v="0"/>
    <x v="3"/>
    <x v="3"/>
    <x v="2"/>
    <x v="299"/>
    <x v="101"/>
    <x v="56"/>
    <x v="186"/>
    <x v="6"/>
    <x v="134"/>
    <x v="4"/>
    <x v="581"/>
    <x v="1029"/>
    <x v="1082"/>
    <x v="149"/>
    <x v="1073"/>
    <x v="1008"/>
    <x v="2"/>
    <x v="0"/>
    <x v="0"/>
    <x v="0"/>
    <x v="277"/>
    <x v="0"/>
  </r>
  <r>
    <x v="1127"/>
    <x v="1125"/>
    <x v="212"/>
    <x v="1"/>
    <x v="1"/>
    <x v="1"/>
    <x v="1"/>
    <x v="234"/>
    <x v="28"/>
    <x v="6"/>
    <x v="45"/>
    <x v="1"/>
    <x v="32"/>
    <x v="1"/>
    <x v="120"/>
    <x v="619"/>
    <x v="1083"/>
    <x v="685"/>
    <x v="1074"/>
    <x v="1009"/>
    <x v="0"/>
    <x v="0"/>
    <x v="0"/>
    <x v="0"/>
    <x v="356"/>
    <x v="1"/>
  </r>
  <r>
    <x v="1128"/>
    <x v="1126"/>
    <x v="6"/>
    <x v="0"/>
    <x v="3"/>
    <x v="3"/>
    <x v="2"/>
    <x v="525"/>
    <x v="129"/>
    <x v="14"/>
    <x v="14"/>
    <x v="0"/>
    <x v="249"/>
    <x v="0"/>
    <x v="0"/>
    <x v="1030"/>
    <x v="1084"/>
    <x v="651"/>
    <x v="1075"/>
    <x v="1010"/>
    <x v="3"/>
    <x v="0"/>
    <x v="0"/>
    <x v="2"/>
    <x v="18"/>
    <x v="0"/>
  </r>
  <r>
    <x v="1129"/>
    <x v="1127"/>
    <x v="116"/>
    <x v="0"/>
    <x v="8"/>
    <x v="8"/>
    <x v="3"/>
    <x v="169"/>
    <x v="42"/>
    <x v="29"/>
    <x v="30"/>
    <x v="3"/>
    <x v="587"/>
    <x v="1"/>
    <x v="582"/>
    <x v="1031"/>
    <x v="1085"/>
    <x v="686"/>
    <x v="1076"/>
    <x v="1011"/>
    <x v="5"/>
    <x v="0"/>
    <x v="0"/>
    <x v="0"/>
    <x v="157"/>
    <x v="1"/>
  </r>
  <r>
    <x v="1130"/>
    <x v="1128"/>
    <x v="242"/>
    <x v="1"/>
    <x v="7"/>
    <x v="7"/>
    <x v="1"/>
    <x v="448"/>
    <x v="117"/>
    <x v="39"/>
    <x v="42"/>
    <x v="6"/>
    <x v="378"/>
    <x v="0"/>
    <x v="0"/>
    <x v="632"/>
    <x v="1086"/>
    <x v="250"/>
    <x v="1077"/>
    <x v="1012"/>
    <x v="4"/>
    <x v="0"/>
    <x v="0"/>
    <x v="2"/>
    <x v="108"/>
    <x v="0"/>
  </r>
  <r>
    <x v="1131"/>
    <x v="1129"/>
    <x v="30"/>
    <x v="0"/>
    <x v="6"/>
    <x v="6"/>
    <x v="3"/>
    <x v="365"/>
    <x v="117"/>
    <x v="59"/>
    <x v="112"/>
    <x v="3"/>
    <x v="588"/>
    <x v="3"/>
    <x v="583"/>
    <x v="1032"/>
    <x v="1087"/>
    <x v="687"/>
    <x v="1078"/>
    <x v="1013"/>
    <x v="3"/>
    <x v="0"/>
    <x v="0"/>
    <x v="0"/>
    <x v="427"/>
    <x v="0"/>
  </r>
  <r>
    <x v="1132"/>
    <x v="1130"/>
    <x v="176"/>
    <x v="0"/>
    <x v="5"/>
    <x v="5"/>
    <x v="0"/>
    <x v="322"/>
    <x v="85"/>
    <x v="104"/>
    <x v="130"/>
    <x v="0"/>
    <x v="110"/>
    <x v="4"/>
    <x v="584"/>
    <x v="1033"/>
    <x v="1088"/>
    <x v="469"/>
    <x v="1079"/>
    <x v="1014"/>
    <x v="3"/>
    <x v="0"/>
    <x v="0"/>
    <x v="0"/>
    <x v="290"/>
    <x v="0"/>
  </r>
  <r>
    <x v="1133"/>
    <x v="1131"/>
    <x v="155"/>
    <x v="0"/>
    <x v="8"/>
    <x v="8"/>
    <x v="3"/>
    <x v="388"/>
    <x v="122"/>
    <x v="130"/>
    <x v="318"/>
    <x v="3"/>
    <x v="589"/>
    <x v="2"/>
    <x v="585"/>
    <x v="1034"/>
    <x v="1089"/>
    <x v="688"/>
    <x v="1080"/>
    <x v="1015"/>
    <x v="3"/>
    <x v="0"/>
    <x v="0"/>
    <x v="0"/>
    <x v="56"/>
    <x v="1"/>
  </r>
  <r>
    <x v="1134"/>
    <x v="1132"/>
    <x v="330"/>
    <x v="0"/>
    <x v="3"/>
    <x v="3"/>
    <x v="2"/>
    <x v="506"/>
    <x v="24"/>
    <x v="109"/>
    <x v="135"/>
    <x v="1"/>
    <x v="27"/>
    <x v="0"/>
    <x v="0"/>
    <x v="27"/>
    <x v="27"/>
    <x v="27"/>
    <x v="26"/>
    <x v="27"/>
    <x v="1"/>
    <x v="0"/>
    <x v="0"/>
    <x v="0"/>
    <x v="325"/>
    <x v="1"/>
  </r>
  <r>
    <x v="1135"/>
    <x v="1133"/>
    <x v="179"/>
    <x v="0"/>
    <x v="10"/>
    <x v="10"/>
    <x v="3"/>
    <x v="365"/>
    <x v="36"/>
    <x v="118"/>
    <x v="149"/>
    <x v="6"/>
    <x v="590"/>
    <x v="0"/>
    <x v="0"/>
    <x v="1035"/>
    <x v="1090"/>
    <x v="689"/>
    <x v="1081"/>
    <x v="1016"/>
    <x v="4"/>
    <x v="0"/>
    <x v="0"/>
    <x v="0"/>
    <x v="153"/>
    <x v="1"/>
  </r>
  <r>
    <x v="1136"/>
    <x v="1134"/>
    <x v="85"/>
    <x v="0"/>
    <x v="5"/>
    <x v="5"/>
    <x v="0"/>
    <x v="188"/>
    <x v="42"/>
    <x v="52"/>
    <x v="289"/>
    <x v="3"/>
    <x v="591"/>
    <x v="0"/>
    <x v="0"/>
    <x v="1036"/>
    <x v="1091"/>
    <x v="686"/>
    <x v="1082"/>
    <x v="1017"/>
    <x v="5"/>
    <x v="0"/>
    <x v="0"/>
    <x v="1"/>
    <x v="613"/>
    <x v="0"/>
  </r>
  <r>
    <x v="1137"/>
    <x v="1135"/>
    <x v="13"/>
    <x v="0"/>
    <x v="2"/>
    <x v="2"/>
    <x v="2"/>
    <x v="89"/>
    <x v="3"/>
    <x v="72"/>
    <x v="85"/>
    <x v="5"/>
    <x v="592"/>
    <x v="0"/>
    <x v="0"/>
    <x v="1037"/>
    <x v="1092"/>
    <x v="690"/>
    <x v="1083"/>
    <x v="1018"/>
    <x v="0"/>
    <x v="0"/>
    <x v="0"/>
    <x v="0"/>
    <x v="614"/>
    <x v="1"/>
  </r>
  <r>
    <x v="1138"/>
    <x v="1136"/>
    <x v="209"/>
    <x v="0"/>
    <x v="9"/>
    <x v="9"/>
    <x v="0"/>
    <x v="207"/>
    <x v="150"/>
    <x v="153"/>
    <x v="220"/>
    <x v="7"/>
    <x v="593"/>
    <x v="0"/>
    <x v="0"/>
    <x v="1038"/>
    <x v="1093"/>
    <x v="691"/>
    <x v="1084"/>
    <x v="1019"/>
    <x v="2"/>
    <x v="0"/>
    <x v="0"/>
    <x v="0"/>
    <x v="117"/>
    <x v="1"/>
  </r>
  <r>
    <x v="1139"/>
    <x v="1137"/>
    <x v="190"/>
    <x v="0"/>
    <x v="4"/>
    <x v="4"/>
    <x v="2"/>
    <x v="101"/>
    <x v="44"/>
    <x v="140"/>
    <x v="305"/>
    <x v="2"/>
    <x v="242"/>
    <x v="0"/>
    <x v="0"/>
    <x v="492"/>
    <x v="1094"/>
    <x v="49"/>
    <x v="1085"/>
    <x v="1020"/>
    <x v="4"/>
    <x v="0"/>
    <x v="0"/>
    <x v="0"/>
    <x v="364"/>
    <x v="0"/>
  </r>
  <r>
    <x v="1140"/>
    <x v="1138"/>
    <x v="300"/>
    <x v="0"/>
    <x v="0"/>
    <x v="0"/>
    <x v="0"/>
    <x v="526"/>
    <x v="74"/>
    <x v="151"/>
    <x v="216"/>
    <x v="2"/>
    <x v="104"/>
    <x v="2"/>
    <x v="586"/>
    <x v="1039"/>
    <x v="1095"/>
    <x v="112"/>
    <x v="1086"/>
    <x v="1021"/>
    <x v="2"/>
    <x v="0"/>
    <x v="0"/>
    <x v="0"/>
    <x v="243"/>
    <x v="1"/>
  </r>
  <r>
    <x v="1141"/>
    <x v="1139"/>
    <x v="189"/>
    <x v="0"/>
    <x v="6"/>
    <x v="6"/>
    <x v="3"/>
    <x v="335"/>
    <x v="120"/>
    <x v="47"/>
    <x v="51"/>
    <x v="1"/>
    <x v="221"/>
    <x v="3"/>
    <x v="587"/>
    <x v="1040"/>
    <x v="1096"/>
    <x v="268"/>
    <x v="1087"/>
    <x v="1022"/>
    <x v="2"/>
    <x v="0"/>
    <x v="0"/>
    <x v="0"/>
    <x v="65"/>
    <x v="1"/>
  </r>
  <r>
    <x v="1142"/>
    <x v="1140"/>
    <x v="16"/>
    <x v="0"/>
    <x v="6"/>
    <x v="6"/>
    <x v="3"/>
    <x v="336"/>
    <x v="74"/>
    <x v="136"/>
    <x v="142"/>
    <x v="2"/>
    <x v="594"/>
    <x v="0"/>
    <x v="0"/>
    <x v="1041"/>
    <x v="1097"/>
    <x v="112"/>
    <x v="1088"/>
    <x v="1023"/>
    <x v="5"/>
    <x v="0"/>
    <x v="0"/>
    <x v="2"/>
    <x v="474"/>
    <x v="0"/>
  </r>
  <r>
    <x v="1143"/>
    <x v="1141"/>
    <x v="95"/>
    <x v="0"/>
    <x v="8"/>
    <x v="8"/>
    <x v="3"/>
    <x v="267"/>
    <x v="99"/>
    <x v="84"/>
    <x v="284"/>
    <x v="7"/>
    <x v="595"/>
    <x v="1"/>
    <x v="588"/>
    <x v="1042"/>
    <x v="1098"/>
    <x v="150"/>
    <x v="1089"/>
    <x v="1024"/>
    <x v="3"/>
    <x v="0"/>
    <x v="0"/>
    <x v="0"/>
    <x v="302"/>
    <x v="1"/>
  </r>
  <r>
    <x v="1144"/>
    <x v="1142"/>
    <x v="120"/>
    <x v="0"/>
    <x v="10"/>
    <x v="10"/>
    <x v="3"/>
    <x v="23"/>
    <x v="76"/>
    <x v="89"/>
    <x v="223"/>
    <x v="0"/>
    <x v="418"/>
    <x v="0"/>
    <x v="0"/>
    <x v="707"/>
    <x v="731"/>
    <x v="536"/>
    <x v="727"/>
    <x v="696"/>
    <x v="0"/>
    <x v="0"/>
    <x v="0"/>
    <x v="0"/>
    <x v="615"/>
    <x v="1"/>
  </r>
  <r>
    <x v="1145"/>
    <x v="1143"/>
    <x v="271"/>
    <x v="1"/>
    <x v="7"/>
    <x v="7"/>
    <x v="1"/>
    <x v="391"/>
    <x v="44"/>
    <x v="19"/>
    <x v="19"/>
    <x v="5"/>
    <x v="596"/>
    <x v="0"/>
    <x v="0"/>
    <x v="1043"/>
    <x v="1099"/>
    <x v="448"/>
    <x v="1090"/>
    <x v="1025"/>
    <x v="1"/>
    <x v="0"/>
    <x v="0"/>
    <x v="0"/>
    <x v="176"/>
    <x v="1"/>
  </r>
  <r>
    <x v="1146"/>
    <x v="1144"/>
    <x v="83"/>
    <x v="1"/>
    <x v="1"/>
    <x v="1"/>
    <x v="1"/>
    <x v="286"/>
    <x v="32"/>
    <x v="121"/>
    <x v="159"/>
    <x v="2"/>
    <x v="36"/>
    <x v="4"/>
    <x v="202"/>
    <x v="1044"/>
    <x v="1100"/>
    <x v="233"/>
    <x v="1091"/>
    <x v="1026"/>
    <x v="1"/>
    <x v="0"/>
    <x v="0"/>
    <x v="0"/>
    <x v="13"/>
    <x v="0"/>
  </r>
  <r>
    <x v="1147"/>
    <x v="1145"/>
    <x v="110"/>
    <x v="1"/>
    <x v="1"/>
    <x v="1"/>
    <x v="1"/>
    <x v="363"/>
    <x v="4"/>
    <x v="98"/>
    <x v="123"/>
    <x v="4"/>
    <x v="213"/>
    <x v="0"/>
    <x v="0"/>
    <x v="524"/>
    <x v="540"/>
    <x v="430"/>
    <x v="536"/>
    <x v="519"/>
    <x v="5"/>
    <x v="0"/>
    <x v="0"/>
    <x v="0"/>
    <x v="530"/>
    <x v="0"/>
  </r>
  <r>
    <x v="1148"/>
    <x v="1146"/>
    <x v="101"/>
    <x v="0"/>
    <x v="0"/>
    <x v="0"/>
    <x v="0"/>
    <x v="36"/>
    <x v="70"/>
    <x v="168"/>
    <x v="87"/>
    <x v="6"/>
    <x v="597"/>
    <x v="3"/>
    <x v="589"/>
    <x v="1045"/>
    <x v="1101"/>
    <x v="692"/>
    <x v="1092"/>
    <x v="1027"/>
    <x v="4"/>
    <x v="0"/>
    <x v="0"/>
    <x v="0"/>
    <x v="364"/>
    <x v="0"/>
  </r>
  <r>
    <x v="1149"/>
    <x v="1147"/>
    <x v="57"/>
    <x v="0"/>
    <x v="10"/>
    <x v="10"/>
    <x v="3"/>
    <x v="219"/>
    <x v="8"/>
    <x v="76"/>
    <x v="294"/>
    <x v="5"/>
    <x v="598"/>
    <x v="0"/>
    <x v="0"/>
    <x v="1046"/>
    <x v="1102"/>
    <x v="55"/>
    <x v="1093"/>
    <x v="1028"/>
    <x v="2"/>
    <x v="0"/>
    <x v="0"/>
    <x v="2"/>
    <x v="374"/>
    <x v="0"/>
  </r>
  <r>
    <x v="1150"/>
    <x v="1148"/>
    <x v="142"/>
    <x v="0"/>
    <x v="8"/>
    <x v="8"/>
    <x v="3"/>
    <x v="54"/>
    <x v="91"/>
    <x v="8"/>
    <x v="8"/>
    <x v="2"/>
    <x v="599"/>
    <x v="0"/>
    <x v="0"/>
    <x v="1047"/>
    <x v="1103"/>
    <x v="661"/>
    <x v="1094"/>
    <x v="1029"/>
    <x v="1"/>
    <x v="0"/>
    <x v="0"/>
    <x v="0"/>
    <x v="572"/>
    <x v="1"/>
  </r>
  <r>
    <x v="1151"/>
    <x v="1149"/>
    <x v="30"/>
    <x v="0"/>
    <x v="6"/>
    <x v="6"/>
    <x v="3"/>
    <x v="323"/>
    <x v="82"/>
    <x v="0"/>
    <x v="286"/>
    <x v="0"/>
    <x v="107"/>
    <x v="3"/>
    <x v="590"/>
    <x v="1048"/>
    <x v="1104"/>
    <x v="117"/>
    <x v="1095"/>
    <x v="1030"/>
    <x v="5"/>
    <x v="0"/>
    <x v="0"/>
    <x v="0"/>
    <x v="616"/>
    <x v="0"/>
  </r>
  <r>
    <x v="1152"/>
    <x v="1150"/>
    <x v="55"/>
    <x v="0"/>
    <x v="9"/>
    <x v="9"/>
    <x v="0"/>
    <x v="83"/>
    <x v="59"/>
    <x v="43"/>
    <x v="226"/>
    <x v="2"/>
    <x v="233"/>
    <x v="4"/>
    <x v="591"/>
    <x v="1049"/>
    <x v="1105"/>
    <x v="281"/>
    <x v="1096"/>
    <x v="1031"/>
    <x v="1"/>
    <x v="0"/>
    <x v="0"/>
    <x v="0"/>
    <x v="239"/>
    <x v="0"/>
  </r>
  <r>
    <x v="1153"/>
    <x v="1151"/>
    <x v="133"/>
    <x v="0"/>
    <x v="10"/>
    <x v="10"/>
    <x v="3"/>
    <x v="1"/>
    <x v="19"/>
    <x v="49"/>
    <x v="35"/>
    <x v="1"/>
    <x v="19"/>
    <x v="0"/>
    <x v="0"/>
    <x v="1050"/>
    <x v="1106"/>
    <x v="121"/>
    <x v="1097"/>
    <x v="156"/>
    <x v="0"/>
    <x v="0"/>
    <x v="0"/>
    <x v="0"/>
    <x v="439"/>
    <x v="0"/>
  </r>
  <r>
    <x v="1154"/>
    <x v="1152"/>
    <x v="4"/>
    <x v="0"/>
    <x v="3"/>
    <x v="3"/>
    <x v="2"/>
    <x v="497"/>
    <x v="126"/>
    <x v="27"/>
    <x v="28"/>
    <x v="1"/>
    <x v="227"/>
    <x v="0"/>
    <x v="0"/>
    <x v="1051"/>
    <x v="1107"/>
    <x v="693"/>
    <x v="1098"/>
    <x v="1032"/>
    <x v="5"/>
    <x v="0"/>
    <x v="0"/>
    <x v="0"/>
    <x v="25"/>
    <x v="0"/>
  </r>
  <r>
    <x v="1155"/>
    <x v="1153"/>
    <x v="14"/>
    <x v="0"/>
    <x v="0"/>
    <x v="0"/>
    <x v="0"/>
    <x v="169"/>
    <x v="102"/>
    <x v="68"/>
    <x v="209"/>
    <x v="2"/>
    <x v="600"/>
    <x v="0"/>
    <x v="0"/>
    <x v="1052"/>
    <x v="1108"/>
    <x v="152"/>
    <x v="1099"/>
    <x v="1033"/>
    <x v="2"/>
    <x v="0"/>
    <x v="0"/>
    <x v="0"/>
    <x v="582"/>
    <x v="0"/>
  </r>
  <r>
    <x v="1156"/>
    <x v="1154"/>
    <x v="97"/>
    <x v="0"/>
    <x v="4"/>
    <x v="4"/>
    <x v="2"/>
    <x v="457"/>
    <x v="56"/>
    <x v="167"/>
    <x v="177"/>
    <x v="6"/>
    <x v="64"/>
    <x v="0"/>
    <x v="0"/>
    <x v="899"/>
    <x v="1109"/>
    <x v="628"/>
    <x v="1100"/>
    <x v="304"/>
    <x v="4"/>
    <x v="0"/>
    <x v="0"/>
    <x v="0"/>
    <x v="617"/>
    <x v="1"/>
  </r>
  <r>
    <x v="1157"/>
    <x v="1155"/>
    <x v="107"/>
    <x v="0"/>
    <x v="8"/>
    <x v="8"/>
    <x v="3"/>
    <x v="527"/>
    <x v="106"/>
    <x v="154"/>
    <x v="222"/>
    <x v="6"/>
    <x v="601"/>
    <x v="1"/>
    <x v="592"/>
    <x v="1053"/>
    <x v="1110"/>
    <x v="694"/>
    <x v="1101"/>
    <x v="1034"/>
    <x v="3"/>
    <x v="0"/>
    <x v="0"/>
    <x v="0"/>
    <x v="165"/>
    <x v="1"/>
  </r>
  <r>
    <x v="1158"/>
    <x v="1156"/>
    <x v="297"/>
    <x v="0"/>
    <x v="8"/>
    <x v="8"/>
    <x v="3"/>
    <x v="478"/>
    <x v="20"/>
    <x v="167"/>
    <x v="258"/>
    <x v="3"/>
    <x v="602"/>
    <x v="3"/>
    <x v="593"/>
    <x v="1054"/>
    <x v="1111"/>
    <x v="695"/>
    <x v="1102"/>
    <x v="1035"/>
    <x v="2"/>
    <x v="0"/>
    <x v="0"/>
    <x v="0"/>
    <x v="490"/>
    <x v="1"/>
  </r>
  <r>
    <x v="1159"/>
    <x v="1157"/>
    <x v="245"/>
    <x v="0"/>
    <x v="6"/>
    <x v="6"/>
    <x v="3"/>
    <x v="452"/>
    <x v="127"/>
    <x v="102"/>
    <x v="128"/>
    <x v="0"/>
    <x v="335"/>
    <x v="0"/>
    <x v="0"/>
    <x v="1055"/>
    <x v="1112"/>
    <x v="577"/>
    <x v="1103"/>
    <x v="1036"/>
    <x v="0"/>
    <x v="0"/>
    <x v="0"/>
    <x v="0"/>
    <x v="618"/>
    <x v="1"/>
  </r>
  <r>
    <x v="1160"/>
    <x v="1158"/>
    <x v="81"/>
    <x v="0"/>
    <x v="10"/>
    <x v="10"/>
    <x v="3"/>
    <x v="47"/>
    <x v="115"/>
    <x v="107"/>
    <x v="15"/>
    <x v="3"/>
    <x v="603"/>
    <x v="1"/>
    <x v="594"/>
    <x v="1056"/>
    <x v="1113"/>
    <x v="696"/>
    <x v="1104"/>
    <x v="1037"/>
    <x v="4"/>
    <x v="0"/>
    <x v="0"/>
    <x v="0"/>
    <x v="436"/>
    <x v="0"/>
  </r>
  <r>
    <x v="1161"/>
    <x v="1159"/>
    <x v="87"/>
    <x v="0"/>
    <x v="10"/>
    <x v="10"/>
    <x v="3"/>
    <x v="276"/>
    <x v="99"/>
    <x v="117"/>
    <x v="289"/>
    <x v="4"/>
    <x v="604"/>
    <x v="2"/>
    <x v="595"/>
    <x v="1057"/>
    <x v="1114"/>
    <x v="622"/>
    <x v="1105"/>
    <x v="1038"/>
    <x v="5"/>
    <x v="0"/>
    <x v="0"/>
    <x v="0"/>
    <x v="146"/>
    <x v="0"/>
  </r>
  <r>
    <x v="1162"/>
    <x v="1160"/>
    <x v="159"/>
    <x v="0"/>
    <x v="10"/>
    <x v="10"/>
    <x v="3"/>
    <x v="245"/>
    <x v="43"/>
    <x v="20"/>
    <x v="25"/>
    <x v="4"/>
    <x v="380"/>
    <x v="1"/>
    <x v="596"/>
    <x v="1058"/>
    <x v="1115"/>
    <x v="697"/>
    <x v="1106"/>
    <x v="1039"/>
    <x v="5"/>
    <x v="0"/>
    <x v="0"/>
    <x v="0"/>
    <x v="191"/>
    <x v="1"/>
  </r>
  <r>
    <x v="1163"/>
    <x v="1161"/>
    <x v="4"/>
    <x v="0"/>
    <x v="3"/>
    <x v="3"/>
    <x v="2"/>
    <x v="215"/>
    <x v="89"/>
    <x v="133"/>
    <x v="144"/>
    <x v="2"/>
    <x v="118"/>
    <x v="2"/>
    <x v="597"/>
    <x v="1059"/>
    <x v="1116"/>
    <x v="129"/>
    <x v="1107"/>
    <x v="1040"/>
    <x v="0"/>
    <x v="0"/>
    <x v="0"/>
    <x v="0"/>
    <x v="224"/>
    <x v="0"/>
  </r>
  <r>
    <x v="1164"/>
    <x v="1162"/>
    <x v="23"/>
    <x v="0"/>
    <x v="2"/>
    <x v="2"/>
    <x v="2"/>
    <x v="313"/>
    <x v="128"/>
    <x v="172"/>
    <x v="262"/>
    <x v="1"/>
    <x v="341"/>
    <x v="3"/>
    <x v="598"/>
    <x v="1060"/>
    <x v="1117"/>
    <x v="444"/>
    <x v="1108"/>
    <x v="1041"/>
    <x v="3"/>
    <x v="1"/>
    <x v="1"/>
    <x v="2"/>
    <x v="255"/>
    <x v="0"/>
  </r>
  <r>
    <x v="1165"/>
    <x v="1163"/>
    <x v="331"/>
    <x v="1"/>
    <x v="1"/>
    <x v="1"/>
    <x v="1"/>
    <x v="387"/>
    <x v="2"/>
    <x v="113"/>
    <x v="17"/>
    <x v="4"/>
    <x v="2"/>
    <x v="1"/>
    <x v="599"/>
    <x v="1061"/>
    <x v="1118"/>
    <x v="467"/>
    <x v="1109"/>
    <x v="1042"/>
    <x v="3"/>
    <x v="0"/>
    <x v="0"/>
    <x v="0"/>
    <x v="619"/>
    <x v="1"/>
  </r>
  <r>
    <x v="1166"/>
    <x v="1164"/>
    <x v="270"/>
    <x v="0"/>
    <x v="2"/>
    <x v="2"/>
    <x v="2"/>
    <x v="284"/>
    <x v="67"/>
    <x v="18"/>
    <x v="69"/>
    <x v="0"/>
    <x v="81"/>
    <x v="0"/>
    <x v="0"/>
    <x v="566"/>
    <x v="583"/>
    <x v="458"/>
    <x v="579"/>
    <x v="559"/>
    <x v="1"/>
    <x v="0"/>
    <x v="0"/>
    <x v="0"/>
    <x v="398"/>
    <x v="1"/>
  </r>
  <r>
    <x v="1167"/>
    <x v="1165"/>
    <x v="34"/>
    <x v="0"/>
    <x v="9"/>
    <x v="9"/>
    <x v="0"/>
    <x v="88"/>
    <x v="104"/>
    <x v="118"/>
    <x v="149"/>
    <x v="2"/>
    <x v="202"/>
    <x v="2"/>
    <x v="600"/>
    <x v="1062"/>
    <x v="1119"/>
    <x v="248"/>
    <x v="1110"/>
    <x v="1043"/>
    <x v="4"/>
    <x v="0"/>
    <x v="0"/>
    <x v="1"/>
    <x v="194"/>
    <x v="0"/>
  </r>
  <r>
    <x v="1168"/>
    <x v="1166"/>
    <x v="40"/>
    <x v="0"/>
    <x v="2"/>
    <x v="2"/>
    <x v="2"/>
    <x v="291"/>
    <x v="74"/>
    <x v="91"/>
    <x v="110"/>
    <x v="1"/>
    <x v="104"/>
    <x v="1"/>
    <x v="153"/>
    <x v="1063"/>
    <x v="1120"/>
    <x v="517"/>
    <x v="1111"/>
    <x v="753"/>
    <x v="5"/>
    <x v="0"/>
    <x v="0"/>
    <x v="0"/>
    <x v="599"/>
    <x v="0"/>
  </r>
  <r>
    <x v="1169"/>
    <x v="1167"/>
    <x v="158"/>
    <x v="0"/>
    <x v="4"/>
    <x v="4"/>
    <x v="2"/>
    <x v="26"/>
    <x v="143"/>
    <x v="108"/>
    <x v="134"/>
    <x v="4"/>
    <x v="605"/>
    <x v="4"/>
    <x v="601"/>
    <x v="1064"/>
    <x v="1121"/>
    <x v="698"/>
    <x v="1112"/>
    <x v="1044"/>
    <x v="2"/>
    <x v="0"/>
    <x v="0"/>
    <x v="0"/>
    <x v="509"/>
    <x v="1"/>
  </r>
  <r>
    <x v="1170"/>
    <x v="1168"/>
    <x v="172"/>
    <x v="0"/>
    <x v="10"/>
    <x v="10"/>
    <x v="3"/>
    <x v="93"/>
    <x v="122"/>
    <x v="124"/>
    <x v="35"/>
    <x v="5"/>
    <x v="606"/>
    <x v="2"/>
    <x v="602"/>
    <x v="1065"/>
    <x v="1122"/>
    <x v="672"/>
    <x v="1113"/>
    <x v="1045"/>
    <x v="0"/>
    <x v="0"/>
    <x v="0"/>
    <x v="0"/>
    <x v="620"/>
    <x v="0"/>
  </r>
  <r>
    <x v="1171"/>
    <x v="1169"/>
    <x v="88"/>
    <x v="1"/>
    <x v="7"/>
    <x v="7"/>
    <x v="1"/>
    <x v="383"/>
    <x v="135"/>
    <x v="38"/>
    <x v="13"/>
    <x v="2"/>
    <x v="286"/>
    <x v="3"/>
    <x v="385"/>
    <x v="1066"/>
    <x v="1123"/>
    <x v="699"/>
    <x v="1114"/>
    <x v="1046"/>
    <x v="1"/>
    <x v="0"/>
    <x v="0"/>
    <x v="2"/>
    <x v="284"/>
    <x v="1"/>
  </r>
  <r>
    <x v="1172"/>
    <x v="1170"/>
    <x v="153"/>
    <x v="0"/>
    <x v="10"/>
    <x v="10"/>
    <x v="3"/>
    <x v="115"/>
    <x v="141"/>
    <x v="56"/>
    <x v="61"/>
    <x v="2"/>
    <x v="428"/>
    <x v="2"/>
    <x v="603"/>
    <x v="1067"/>
    <x v="1124"/>
    <x v="700"/>
    <x v="1115"/>
    <x v="1047"/>
    <x v="0"/>
    <x v="0"/>
    <x v="0"/>
    <x v="0"/>
    <x v="111"/>
    <x v="1"/>
  </r>
  <r>
    <x v="1173"/>
    <x v="1171"/>
    <x v="14"/>
    <x v="0"/>
    <x v="0"/>
    <x v="0"/>
    <x v="0"/>
    <x v="424"/>
    <x v="44"/>
    <x v="113"/>
    <x v="242"/>
    <x v="1"/>
    <x v="242"/>
    <x v="0"/>
    <x v="0"/>
    <x v="339"/>
    <x v="346"/>
    <x v="296"/>
    <x v="342"/>
    <x v="338"/>
    <x v="5"/>
    <x v="0"/>
    <x v="0"/>
    <x v="0"/>
    <x v="621"/>
    <x v="0"/>
  </r>
  <r>
    <x v="1174"/>
    <x v="1172"/>
    <x v="282"/>
    <x v="0"/>
    <x v="2"/>
    <x v="2"/>
    <x v="2"/>
    <x v="323"/>
    <x v="11"/>
    <x v="74"/>
    <x v="161"/>
    <x v="6"/>
    <x v="87"/>
    <x v="0"/>
    <x v="0"/>
    <x v="987"/>
    <x v="1125"/>
    <x v="84"/>
    <x v="1116"/>
    <x v="1048"/>
    <x v="0"/>
    <x v="0"/>
    <x v="0"/>
    <x v="0"/>
    <x v="622"/>
    <x v="0"/>
  </r>
  <r>
    <x v="1175"/>
    <x v="1173"/>
    <x v="248"/>
    <x v="0"/>
    <x v="5"/>
    <x v="5"/>
    <x v="0"/>
    <x v="488"/>
    <x v="40"/>
    <x v="21"/>
    <x v="85"/>
    <x v="0"/>
    <x v="70"/>
    <x v="0"/>
    <x v="0"/>
    <x v="1068"/>
    <x v="1126"/>
    <x v="701"/>
    <x v="1117"/>
    <x v="1049"/>
    <x v="4"/>
    <x v="1"/>
    <x v="1"/>
    <x v="0"/>
    <x v="623"/>
    <x v="1"/>
  </r>
  <r>
    <x v="1176"/>
    <x v="1174"/>
    <x v="323"/>
    <x v="0"/>
    <x v="5"/>
    <x v="5"/>
    <x v="0"/>
    <x v="47"/>
    <x v="76"/>
    <x v="155"/>
    <x v="206"/>
    <x v="2"/>
    <x v="607"/>
    <x v="0"/>
    <x v="0"/>
    <x v="1069"/>
    <x v="1127"/>
    <x v="100"/>
    <x v="1118"/>
    <x v="1050"/>
    <x v="2"/>
    <x v="0"/>
    <x v="0"/>
    <x v="2"/>
    <x v="189"/>
    <x v="1"/>
  </r>
  <r>
    <x v="1177"/>
    <x v="1175"/>
    <x v="332"/>
    <x v="0"/>
    <x v="9"/>
    <x v="9"/>
    <x v="0"/>
    <x v="45"/>
    <x v="24"/>
    <x v="70"/>
    <x v="80"/>
    <x v="5"/>
    <x v="608"/>
    <x v="0"/>
    <x v="0"/>
    <x v="1070"/>
    <x v="1128"/>
    <x v="391"/>
    <x v="1119"/>
    <x v="1051"/>
    <x v="5"/>
    <x v="0"/>
    <x v="0"/>
    <x v="1"/>
    <x v="223"/>
    <x v="1"/>
  </r>
  <r>
    <x v="1178"/>
    <x v="1176"/>
    <x v="324"/>
    <x v="0"/>
    <x v="6"/>
    <x v="6"/>
    <x v="3"/>
    <x v="528"/>
    <x v="109"/>
    <x v="33"/>
    <x v="35"/>
    <x v="2"/>
    <x v="609"/>
    <x v="0"/>
    <x v="0"/>
    <x v="1071"/>
    <x v="1129"/>
    <x v="227"/>
    <x v="1120"/>
    <x v="1052"/>
    <x v="5"/>
    <x v="0"/>
    <x v="0"/>
    <x v="0"/>
    <x v="310"/>
    <x v="1"/>
  </r>
  <r>
    <x v="1179"/>
    <x v="1177"/>
    <x v="14"/>
    <x v="0"/>
    <x v="0"/>
    <x v="0"/>
    <x v="0"/>
    <x v="26"/>
    <x v="91"/>
    <x v="20"/>
    <x v="20"/>
    <x v="5"/>
    <x v="610"/>
    <x v="0"/>
    <x v="0"/>
    <x v="1072"/>
    <x v="1130"/>
    <x v="550"/>
    <x v="1121"/>
    <x v="1053"/>
    <x v="5"/>
    <x v="0"/>
    <x v="0"/>
    <x v="0"/>
    <x v="476"/>
    <x v="0"/>
  </r>
  <r>
    <x v="1180"/>
    <x v="1178"/>
    <x v="238"/>
    <x v="0"/>
    <x v="3"/>
    <x v="3"/>
    <x v="2"/>
    <x v="455"/>
    <x v="86"/>
    <x v="113"/>
    <x v="295"/>
    <x v="3"/>
    <x v="611"/>
    <x v="3"/>
    <x v="604"/>
    <x v="1073"/>
    <x v="1131"/>
    <x v="702"/>
    <x v="1122"/>
    <x v="1054"/>
    <x v="5"/>
    <x v="0"/>
    <x v="0"/>
    <x v="2"/>
    <x v="624"/>
    <x v="1"/>
  </r>
  <r>
    <x v="1181"/>
    <x v="1179"/>
    <x v="101"/>
    <x v="0"/>
    <x v="0"/>
    <x v="0"/>
    <x v="0"/>
    <x v="195"/>
    <x v="2"/>
    <x v="50"/>
    <x v="55"/>
    <x v="6"/>
    <x v="2"/>
    <x v="0"/>
    <x v="0"/>
    <x v="175"/>
    <x v="174"/>
    <x v="162"/>
    <x v="171"/>
    <x v="170"/>
    <x v="2"/>
    <x v="0"/>
    <x v="0"/>
    <x v="1"/>
    <x v="424"/>
    <x v="0"/>
  </r>
  <r>
    <x v="1182"/>
    <x v="1180"/>
    <x v="79"/>
    <x v="1"/>
    <x v="1"/>
    <x v="1"/>
    <x v="1"/>
    <x v="529"/>
    <x v="127"/>
    <x v="56"/>
    <x v="61"/>
    <x v="4"/>
    <x v="335"/>
    <x v="0"/>
    <x v="0"/>
    <x v="1074"/>
    <x v="1132"/>
    <x v="329"/>
    <x v="1123"/>
    <x v="1055"/>
    <x v="4"/>
    <x v="0"/>
    <x v="0"/>
    <x v="2"/>
    <x v="139"/>
    <x v="0"/>
  </r>
  <r>
    <x v="1183"/>
    <x v="1181"/>
    <x v="17"/>
    <x v="1"/>
    <x v="1"/>
    <x v="1"/>
    <x v="1"/>
    <x v="57"/>
    <x v="86"/>
    <x v="136"/>
    <x v="142"/>
    <x v="0"/>
    <x v="112"/>
    <x v="3"/>
    <x v="605"/>
    <x v="1075"/>
    <x v="1133"/>
    <x v="703"/>
    <x v="1124"/>
    <x v="1056"/>
    <x v="4"/>
    <x v="0"/>
    <x v="0"/>
    <x v="0"/>
    <x v="419"/>
    <x v="1"/>
  </r>
  <r>
    <x v="1184"/>
    <x v="1182"/>
    <x v="26"/>
    <x v="0"/>
    <x v="8"/>
    <x v="8"/>
    <x v="3"/>
    <x v="48"/>
    <x v="29"/>
    <x v="130"/>
    <x v="175"/>
    <x v="2"/>
    <x v="612"/>
    <x v="4"/>
    <x v="606"/>
    <x v="1076"/>
    <x v="1134"/>
    <x v="704"/>
    <x v="1125"/>
    <x v="1057"/>
    <x v="3"/>
    <x v="0"/>
    <x v="0"/>
    <x v="1"/>
    <x v="398"/>
    <x v="0"/>
  </r>
  <r>
    <x v="1185"/>
    <x v="1183"/>
    <x v="15"/>
    <x v="0"/>
    <x v="6"/>
    <x v="6"/>
    <x v="3"/>
    <x v="369"/>
    <x v="19"/>
    <x v="25"/>
    <x v="26"/>
    <x v="1"/>
    <x v="19"/>
    <x v="2"/>
    <x v="455"/>
    <x v="1077"/>
    <x v="1135"/>
    <x v="121"/>
    <x v="1126"/>
    <x v="1058"/>
    <x v="0"/>
    <x v="0"/>
    <x v="0"/>
    <x v="0"/>
    <x v="518"/>
    <x v="1"/>
  </r>
  <r>
    <x v="1186"/>
    <x v="749"/>
    <x v="9"/>
    <x v="0"/>
    <x v="5"/>
    <x v="5"/>
    <x v="0"/>
    <x v="366"/>
    <x v="102"/>
    <x v="56"/>
    <x v="186"/>
    <x v="6"/>
    <x v="136"/>
    <x v="1"/>
    <x v="607"/>
    <x v="1078"/>
    <x v="1136"/>
    <x v="610"/>
    <x v="1127"/>
    <x v="1059"/>
    <x v="3"/>
    <x v="0"/>
    <x v="0"/>
    <x v="0"/>
    <x v="20"/>
    <x v="1"/>
  </r>
  <r>
    <x v="1187"/>
    <x v="1184"/>
    <x v="52"/>
    <x v="0"/>
    <x v="9"/>
    <x v="9"/>
    <x v="0"/>
    <x v="399"/>
    <x v="93"/>
    <x v="104"/>
    <x v="130"/>
    <x v="0"/>
    <x v="323"/>
    <x v="1"/>
    <x v="608"/>
    <x v="1079"/>
    <x v="1137"/>
    <x v="440"/>
    <x v="1128"/>
    <x v="1060"/>
    <x v="0"/>
    <x v="0"/>
    <x v="0"/>
    <x v="0"/>
    <x v="625"/>
    <x v="0"/>
  </r>
  <r>
    <x v="1188"/>
    <x v="1185"/>
    <x v="64"/>
    <x v="0"/>
    <x v="2"/>
    <x v="2"/>
    <x v="2"/>
    <x v="530"/>
    <x v="63"/>
    <x v="159"/>
    <x v="174"/>
    <x v="6"/>
    <x v="187"/>
    <x v="0"/>
    <x v="0"/>
    <x v="1080"/>
    <x v="1138"/>
    <x v="76"/>
    <x v="1129"/>
    <x v="660"/>
    <x v="2"/>
    <x v="0"/>
    <x v="0"/>
    <x v="2"/>
    <x v="524"/>
    <x v="1"/>
  </r>
  <r>
    <x v="1189"/>
    <x v="1186"/>
    <x v="29"/>
    <x v="0"/>
    <x v="10"/>
    <x v="10"/>
    <x v="3"/>
    <x v="25"/>
    <x v="21"/>
    <x v="46"/>
    <x v="49"/>
    <x v="4"/>
    <x v="613"/>
    <x v="4"/>
    <x v="609"/>
    <x v="1081"/>
    <x v="1139"/>
    <x v="599"/>
    <x v="1130"/>
    <x v="1061"/>
    <x v="1"/>
    <x v="0"/>
    <x v="0"/>
    <x v="0"/>
    <x v="626"/>
    <x v="0"/>
  </r>
  <r>
    <x v="1190"/>
    <x v="1187"/>
    <x v="302"/>
    <x v="0"/>
    <x v="2"/>
    <x v="2"/>
    <x v="2"/>
    <x v="531"/>
    <x v="131"/>
    <x v="26"/>
    <x v="301"/>
    <x v="2"/>
    <x v="276"/>
    <x v="1"/>
    <x v="610"/>
    <x v="1082"/>
    <x v="1140"/>
    <x v="705"/>
    <x v="1131"/>
    <x v="1062"/>
    <x v="0"/>
    <x v="0"/>
    <x v="0"/>
    <x v="0"/>
    <x v="389"/>
    <x v="1"/>
  </r>
  <r>
    <x v="1191"/>
    <x v="1188"/>
    <x v="287"/>
    <x v="0"/>
    <x v="0"/>
    <x v="0"/>
    <x v="0"/>
    <x v="121"/>
    <x v="25"/>
    <x v="67"/>
    <x v="76"/>
    <x v="0"/>
    <x v="28"/>
    <x v="0"/>
    <x v="0"/>
    <x v="1083"/>
    <x v="1141"/>
    <x v="595"/>
    <x v="1132"/>
    <x v="1063"/>
    <x v="0"/>
    <x v="0"/>
    <x v="0"/>
    <x v="0"/>
    <x v="371"/>
    <x v="0"/>
  </r>
  <r>
    <x v="1192"/>
    <x v="1189"/>
    <x v="165"/>
    <x v="0"/>
    <x v="0"/>
    <x v="0"/>
    <x v="0"/>
    <x v="532"/>
    <x v="127"/>
    <x v="18"/>
    <x v="18"/>
    <x v="2"/>
    <x v="335"/>
    <x v="4"/>
    <x v="611"/>
    <x v="1084"/>
    <x v="1142"/>
    <x v="366"/>
    <x v="1133"/>
    <x v="1064"/>
    <x v="2"/>
    <x v="0"/>
    <x v="0"/>
    <x v="2"/>
    <x v="619"/>
    <x v="0"/>
  </r>
  <r>
    <x v="1193"/>
    <x v="1190"/>
    <x v="4"/>
    <x v="0"/>
    <x v="3"/>
    <x v="3"/>
    <x v="2"/>
    <x v="152"/>
    <x v="127"/>
    <x v="45"/>
    <x v="48"/>
    <x v="4"/>
    <x v="335"/>
    <x v="0"/>
    <x v="0"/>
    <x v="1074"/>
    <x v="1132"/>
    <x v="329"/>
    <x v="1123"/>
    <x v="1055"/>
    <x v="5"/>
    <x v="1"/>
    <x v="1"/>
    <x v="0"/>
    <x v="158"/>
    <x v="0"/>
  </r>
  <r>
    <x v="1194"/>
    <x v="1191"/>
    <x v="44"/>
    <x v="0"/>
    <x v="8"/>
    <x v="8"/>
    <x v="3"/>
    <x v="533"/>
    <x v="36"/>
    <x v="20"/>
    <x v="20"/>
    <x v="4"/>
    <x v="41"/>
    <x v="0"/>
    <x v="0"/>
    <x v="1085"/>
    <x v="1143"/>
    <x v="706"/>
    <x v="1134"/>
    <x v="1065"/>
    <x v="4"/>
    <x v="0"/>
    <x v="0"/>
    <x v="0"/>
    <x v="627"/>
    <x v="0"/>
  </r>
  <r>
    <x v="1195"/>
    <x v="1192"/>
    <x v="105"/>
    <x v="0"/>
    <x v="6"/>
    <x v="6"/>
    <x v="3"/>
    <x v="526"/>
    <x v="102"/>
    <x v="59"/>
    <x v="65"/>
    <x v="0"/>
    <x v="136"/>
    <x v="2"/>
    <x v="612"/>
    <x v="1086"/>
    <x v="1144"/>
    <x v="473"/>
    <x v="1135"/>
    <x v="1066"/>
    <x v="5"/>
    <x v="0"/>
    <x v="0"/>
    <x v="1"/>
    <x v="218"/>
    <x v="0"/>
  </r>
  <r>
    <x v="1196"/>
    <x v="1193"/>
    <x v="63"/>
    <x v="0"/>
    <x v="9"/>
    <x v="9"/>
    <x v="0"/>
    <x v="296"/>
    <x v="134"/>
    <x v="72"/>
    <x v="85"/>
    <x v="2"/>
    <x v="450"/>
    <x v="0"/>
    <x v="0"/>
    <x v="1087"/>
    <x v="1145"/>
    <x v="361"/>
    <x v="1136"/>
    <x v="1067"/>
    <x v="1"/>
    <x v="0"/>
    <x v="0"/>
    <x v="1"/>
    <x v="628"/>
    <x v="0"/>
  </r>
  <r>
    <x v="1197"/>
    <x v="1194"/>
    <x v="307"/>
    <x v="1"/>
    <x v="7"/>
    <x v="7"/>
    <x v="1"/>
    <x v="271"/>
    <x v="150"/>
    <x v="81"/>
    <x v="95"/>
    <x v="0"/>
    <x v="614"/>
    <x v="0"/>
    <x v="0"/>
    <x v="1088"/>
    <x v="1146"/>
    <x v="707"/>
    <x v="1137"/>
    <x v="1068"/>
    <x v="5"/>
    <x v="0"/>
    <x v="0"/>
    <x v="0"/>
    <x v="316"/>
    <x v="0"/>
  </r>
  <r>
    <x v="1198"/>
    <x v="1195"/>
    <x v="96"/>
    <x v="0"/>
    <x v="3"/>
    <x v="3"/>
    <x v="2"/>
    <x v="268"/>
    <x v="64"/>
    <x v="45"/>
    <x v="48"/>
    <x v="4"/>
    <x v="74"/>
    <x v="2"/>
    <x v="613"/>
    <x v="937"/>
    <x v="1147"/>
    <x v="77"/>
    <x v="1138"/>
    <x v="1069"/>
    <x v="1"/>
    <x v="0"/>
    <x v="0"/>
    <x v="0"/>
    <x v="629"/>
    <x v="0"/>
  </r>
  <r>
    <x v="1199"/>
    <x v="1196"/>
    <x v="330"/>
    <x v="0"/>
    <x v="3"/>
    <x v="3"/>
    <x v="2"/>
    <x v="483"/>
    <x v="139"/>
    <x v="57"/>
    <x v="225"/>
    <x v="5"/>
    <x v="615"/>
    <x v="4"/>
    <x v="614"/>
    <x v="1089"/>
    <x v="1148"/>
    <x v="708"/>
    <x v="1139"/>
    <x v="1070"/>
    <x v="2"/>
    <x v="0"/>
    <x v="0"/>
    <x v="0"/>
    <x v="630"/>
    <x v="1"/>
  </r>
  <r>
    <x v="1200"/>
    <x v="1197"/>
    <x v="147"/>
    <x v="0"/>
    <x v="2"/>
    <x v="2"/>
    <x v="2"/>
    <x v="426"/>
    <x v="115"/>
    <x v="21"/>
    <x v="131"/>
    <x v="0"/>
    <x v="298"/>
    <x v="3"/>
    <x v="615"/>
    <x v="1090"/>
    <x v="1149"/>
    <x v="387"/>
    <x v="762"/>
    <x v="1071"/>
    <x v="2"/>
    <x v="0"/>
    <x v="0"/>
    <x v="2"/>
    <x v="631"/>
    <x v="1"/>
  </r>
  <r>
    <x v="1201"/>
    <x v="1198"/>
    <x v="155"/>
    <x v="0"/>
    <x v="8"/>
    <x v="8"/>
    <x v="3"/>
    <x v="4"/>
    <x v="35"/>
    <x v="100"/>
    <x v="125"/>
    <x v="8"/>
    <x v="616"/>
    <x v="0"/>
    <x v="0"/>
    <x v="89"/>
    <x v="1150"/>
    <x v="40"/>
    <x v="1140"/>
    <x v="1072"/>
    <x v="5"/>
    <x v="0"/>
    <x v="0"/>
    <x v="1"/>
    <x v="436"/>
    <x v="1"/>
  </r>
  <r>
    <x v="1202"/>
    <x v="1199"/>
    <x v="333"/>
    <x v="0"/>
    <x v="9"/>
    <x v="9"/>
    <x v="0"/>
    <x v="77"/>
    <x v="6"/>
    <x v="104"/>
    <x v="221"/>
    <x v="2"/>
    <x v="617"/>
    <x v="3"/>
    <x v="616"/>
    <x v="1091"/>
    <x v="1151"/>
    <x v="6"/>
    <x v="1141"/>
    <x v="1073"/>
    <x v="1"/>
    <x v="0"/>
    <x v="0"/>
    <x v="0"/>
    <x v="14"/>
    <x v="1"/>
  </r>
  <r>
    <x v="1203"/>
    <x v="1200"/>
    <x v="67"/>
    <x v="0"/>
    <x v="8"/>
    <x v="8"/>
    <x v="3"/>
    <x v="48"/>
    <x v="115"/>
    <x v="97"/>
    <x v="319"/>
    <x v="2"/>
    <x v="618"/>
    <x v="2"/>
    <x v="617"/>
    <x v="1092"/>
    <x v="1152"/>
    <x v="709"/>
    <x v="1142"/>
    <x v="1074"/>
    <x v="3"/>
    <x v="0"/>
    <x v="0"/>
    <x v="0"/>
    <x v="0"/>
    <x v="0"/>
  </r>
  <r>
    <x v="1204"/>
    <x v="1201"/>
    <x v="232"/>
    <x v="1"/>
    <x v="7"/>
    <x v="7"/>
    <x v="1"/>
    <x v="299"/>
    <x v="20"/>
    <x v="0"/>
    <x v="144"/>
    <x v="1"/>
    <x v="198"/>
    <x v="4"/>
    <x v="618"/>
    <x v="1093"/>
    <x v="1153"/>
    <x v="343"/>
    <x v="1143"/>
    <x v="1075"/>
    <x v="5"/>
    <x v="0"/>
    <x v="0"/>
    <x v="2"/>
    <x v="632"/>
    <x v="0"/>
  </r>
  <r>
    <x v="1205"/>
    <x v="1202"/>
    <x v="23"/>
    <x v="0"/>
    <x v="2"/>
    <x v="2"/>
    <x v="2"/>
    <x v="325"/>
    <x v="98"/>
    <x v="56"/>
    <x v="186"/>
    <x v="3"/>
    <x v="619"/>
    <x v="0"/>
    <x v="0"/>
    <x v="1094"/>
    <x v="1154"/>
    <x v="710"/>
    <x v="1144"/>
    <x v="1076"/>
    <x v="3"/>
    <x v="0"/>
    <x v="0"/>
    <x v="0"/>
    <x v="190"/>
    <x v="0"/>
  </r>
  <r>
    <x v="1206"/>
    <x v="1203"/>
    <x v="136"/>
    <x v="0"/>
    <x v="10"/>
    <x v="10"/>
    <x v="3"/>
    <x v="231"/>
    <x v="9"/>
    <x v="71"/>
    <x v="81"/>
    <x v="5"/>
    <x v="620"/>
    <x v="1"/>
    <x v="619"/>
    <x v="593"/>
    <x v="1155"/>
    <x v="711"/>
    <x v="1145"/>
    <x v="1077"/>
    <x v="4"/>
    <x v="0"/>
    <x v="0"/>
    <x v="0"/>
    <x v="502"/>
    <x v="0"/>
  </r>
  <r>
    <x v="1207"/>
    <x v="1204"/>
    <x v="93"/>
    <x v="0"/>
    <x v="9"/>
    <x v="9"/>
    <x v="0"/>
    <x v="172"/>
    <x v="35"/>
    <x v="73"/>
    <x v="86"/>
    <x v="2"/>
    <x v="621"/>
    <x v="0"/>
    <x v="0"/>
    <x v="1095"/>
    <x v="1156"/>
    <x v="275"/>
    <x v="1146"/>
    <x v="1078"/>
    <x v="2"/>
    <x v="0"/>
    <x v="0"/>
    <x v="0"/>
    <x v="633"/>
    <x v="0"/>
  </r>
  <r>
    <x v="1208"/>
    <x v="1205"/>
    <x v="51"/>
    <x v="0"/>
    <x v="6"/>
    <x v="6"/>
    <x v="3"/>
    <x v="534"/>
    <x v="52"/>
    <x v="32"/>
    <x v="34"/>
    <x v="6"/>
    <x v="59"/>
    <x v="0"/>
    <x v="0"/>
    <x v="1096"/>
    <x v="1157"/>
    <x v="314"/>
    <x v="1147"/>
    <x v="59"/>
    <x v="4"/>
    <x v="0"/>
    <x v="0"/>
    <x v="0"/>
    <x v="47"/>
    <x v="1"/>
  </r>
  <r>
    <x v="1209"/>
    <x v="1206"/>
    <x v="55"/>
    <x v="0"/>
    <x v="9"/>
    <x v="9"/>
    <x v="0"/>
    <x v="535"/>
    <x v="116"/>
    <x v="132"/>
    <x v="146"/>
    <x v="1"/>
    <x v="178"/>
    <x v="2"/>
    <x v="620"/>
    <x v="1097"/>
    <x v="1158"/>
    <x v="217"/>
    <x v="1148"/>
    <x v="1079"/>
    <x v="4"/>
    <x v="0"/>
    <x v="0"/>
    <x v="0"/>
    <x v="439"/>
    <x v="0"/>
  </r>
  <r>
    <x v="1210"/>
    <x v="1207"/>
    <x v="306"/>
    <x v="0"/>
    <x v="2"/>
    <x v="2"/>
    <x v="2"/>
    <x v="111"/>
    <x v="1"/>
    <x v="94"/>
    <x v="117"/>
    <x v="4"/>
    <x v="1"/>
    <x v="2"/>
    <x v="621"/>
    <x v="1098"/>
    <x v="1159"/>
    <x v="180"/>
    <x v="1149"/>
    <x v="1080"/>
    <x v="5"/>
    <x v="0"/>
    <x v="0"/>
    <x v="0"/>
    <x v="306"/>
    <x v="1"/>
  </r>
  <r>
    <x v="1211"/>
    <x v="1208"/>
    <x v="334"/>
    <x v="0"/>
    <x v="3"/>
    <x v="3"/>
    <x v="2"/>
    <x v="440"/>
    <x v="11"/>
    <x v="54"/>
    <x v="126"/>
    <x v="0"/>
    <x v="87"/>
    <x v="0"/>
    <x v="0"/>
    <x v="866"/>
    <x v="906"/>
    <x v="92"/>
    <x v="900"/>
    <x v="854"/>
    <x v="1"/>
    <x v="0"/>
    <x v="0"/>
    <x v="0"/>
    <x v="634"/>
    <x v="1"/>
  </r>
  <r>
    <x v="1212"/>
    <x v="1209"/>
    <x v="226"/>
    <x v="0"/>
    <x v="0"/>
    <x v="0"/>
    <x v="0"/>
    <x v="536"/>
    <x v="42"/>
    <x v="117"/>
    <x v="148"/>
    <x v="0"/>
    <x v="47"/>
    <x v="0"/>
    <x v="0"/>
    <x v="278"/>
    <x v="1160"/>
    <x v="251"/>
    <x v="1150"/>
    <x v="196"/>
    <x v="1"/>
    <x v="0"/>
    <x v="0"/>
    <x v="0"/>
    <x v="295"/>
    <x v="1"/>
  </r>
  <r>
    <x v="1213"/>
    <x v="1210"/>
    <x v="162"/>
    <x v="0"/>
    <x v="8"/>
    <x v="8"/>
    <x v="3"/>
    <x v="212"/>
    <x v="44"/>
    <x v="113"/>
    <x v="82"/>
    <x v="1"/>
    <x v="242"/>
    <x v="4"/>
    <x v="622"/>
    <x v="1099"/>
    <x v="1161"/>
    <x v="296"/>
    <x v="1151"/>
    <x v="1081"/>
    <x v="4"/>
    <x v="0"/>
    <x v="0"/>
    <x v="0"/>
    <x v="635"/>
    <x v="0"/>
  </r>
  <r>
    <x v="1214"/>
    <x v="1211"/>
    <x v="66"/>
    <x v="0"/>
    <x v="9"/>
    <x v="9"/>
    <x v="0"/>
    <x v="29"/>
    <x v="71"/>
    <x v="108"/>
    <x v="134"/>
    <x v="1"/>
    <x v="130"/>
    <x v="1"/>
    <x v="623"/>
    <x v="1100"/>
    <x v="1162"/>
    <x v="712"/>
    <x v="1152"/>
    <x v="1082"/>
    <x v="1"/>
    <x v="0"/>
    <x v="0"/>
    <x v="2"/>
    <x v="179"/>
    <x v="0"/>
  </r>
  <r>
    <x v="1215"/>
    <x v="1212"/>
    <x v="37"/>
    <x v="0"/>
    <x v="5"/>
    <x v="5"/>
    <x v="0"/>
    <x v="537"/>
    <x v="127"/>
    <x v="107"/>
    <x v="15"/>
    <x v="5"/>
    <x v="622"/>
    <x v="0"/>
    <x v="0"/>
    <x v="1101"/>
    <x v="1163"/>
    <x v="713"/>
    <x v="1153"/>
    <x v="1083"/>
    <x v="2"/>
    <x v="0"/>
    <x v="0"/>
    <x v="0"/>
    <x v="27"/>
    <x v="0"/>
  </r>
  <r>
    <x v="1216"/>
    <x v="1213"/>
    <x v="93"/>
    <x v="0"/>
    <x v="9"/>
    <x v="9"/>
    <x v="0"/>
    <x v="90"/>
    <x v="104"/>
    <x v="1"/>
    <x v="35"/>
    <x v="3"/>
    <x v="623"/>
    <x v="0"/>
    <x v="0"/>
    <x v="1102"/>
    <x v="1164"/>
    <x v="714"/>
    <x v="1154"/>
    <x v="1084"/>
    <x v="4"/>
    <x v="0"/>
    <x v="0"/>
    <x v="0"/>
    <x v="379"/>
    <x v="0"/>
  </r>
  <r>
    <x v="1217"/>
    <x v="1214"/>
    <x v="176"/>
    <x v="0"/>
    <x v="5"/>
    <x v="5"/>
    <x v="0"/>
    <x v="538"/>
    <x v="123"/>
    <x v="158"/>
    <x v="235"/>
    <x v="6"/>
    <x v="212"/>
    <x v="0"/>
    <x v="0"/>
    <x v="1103"/>
    <x v="1165"/>
    <x v="630"/>
    <x v="1155"/>
    <x v="1085"/>
    <x v="3"/>
    <x v="0"/>
    <x v="0"/>
    <x v="2"/>
    <x v="63"/>
    <x v="0"/>
  </r>
  <r>
    <x v="1218"/>
    <x v="1215"/>
    <x v="42"/>
    <x v="0"/>
    <x v="8"/>
    <x v="8"/>
    <x v="3"/>
    <x v="539"/>
    <x v="4"/>
    <x v="14"/>
    <x v="14"/>
    <x v="6"/>
    <x v="213"/>
    <x v="3"/>
    <x v="624"/>
    <x v="1104"/>
    <x v="1166"/>
    <x v="412"/>
    <x v="1156"/>
    <x v="1086"/>
    <x v="2"/>
    <x v="0"/>
    <x v="0"/>
    <x v="0"/>
    <x v="549"/>
    <x v="0"/>
  </r>
  <r>
    <x v="1219"/>
    <x v="1216"/>
    <x v="118"/>
    <x v="0"/>
    <x v="5"/>
    <x v="5"/>
    <x v="0"/>
    <x v="147"/>
    <x v="107"/>
    <x v="9"/>
    <x v="43"/>
    <x v="4"/>
    <x v="624"/>
    <x v="4"/>
    <x v="625"/>
    <x v="1105"/>
    <x v="1167"/>
    <x v="289"/>
    <x v="1157"/>
    <x v="1087"/>
    <x v="0"/>
    <x v="0"/>
    <x v="0"/>
    <x v="0"/>
    <x v="119"/>
    <x v="0"/>
  </r>
  <r>
    <x v="1220"/>
    <x v="1217"/>
    <x v="151"/>
    <x v="0"/>
    <x v="6"/>
    <x v="6"/>
    <x v="3"/>
    <x v="196"/>
    <x v="145"/>
    <x v="90"/>
    <x v="45"/>
    <x v="3"/>
    <x v="625"/>
    <x v="0"/>
    <x v="0"/>
    <x v="1106"/>
    <x v="1168"/>
    <x v="715"/>
    <x v="1158"/>
    <x v="1088"/>
    <x v="0"/>
    <x v="0"/>
    <x v="0"/>
    <x v="0"/>
    <x v="185"/>
    <x v="1"/>
  </r>
  <r>
    <x v="1221"/>
    <x v="1218"/>
    <x v="83"/>
    <x v="1"/>
    <x v="1"/>
    <x v="1"/>
    <x v="1"/>
    <x v="316"/>
    <x v="132"/>
    <x v="14"/>
    <x v="14"/>
    <x v="2"/>
    <x v="278"/>
    <x v="0"/>
    <x v="0"/>
    <x v="1107"/>
    <x v="1169"/>
    <x v="716"/>
    <x v="1159"/>
    <x v="907"/>
    <x v="2"/>
    <x v="1"/>
    <x v="1"/>
    <x v="0"/>
    <x v="563"/>
    <x v="0"/>
  </r>
  <r>
    <x v="1222"/>
    <x v="1219"/>
    <x v="244"/>
    <x v="0"/>
    <x v="5"/>
    <x v="5"/>
    <x v="0"/>
    <x v="31"/>
    <x v="56"/>
    <x v="167"/>
    <x v="258"/>
    <x v="4"/>
    <x v="64"/>
    <x v="0"/>
    <x v="0"/>
    <x v="1108"/>
    <x v="1170"/>
    <x v="717"/>
    <x v="1160"/>
    <x v="304"/>
    <x v="2"/>
    <x v="0"/>
    <x v="0"/>
    <x v="0"/>
    <x v="632"/>
    <x v="1"/>
  </r>
  <r>
    <x v="1223"/>
    <x v="1220"/>
    <x v="83"/>
    <x v="1"/>
    <x v="1"/>
    <x v="1"/>
    <x v="1"/>
    <x v="477"/>
    <x v="44"/>
    <x v="146"/>
    <x v="306"/>
    <x v="2"/>
    <x v="242"/>
    <x v="0"/>
    <x v="0"/>
    <x v="492"/>
    <x v="1094"/>
    <x v="49"/>
    <x v="1085"/>
    <x v="1020"/>
    <x v="5"/>
    <x v="0"/>
    <x v="0"/>
    <x v="0"/>
    <x v="522"/>
    <x v="0"/>
  </r>
  <r>
    <x v="1224"/>
    <x v="1221"/>
    <x v="176"/>
    <x v="0"/>
    <x v="5"/>
    <x v="5"/>
    <x v="0"/>
    <x v="337"/>
    <x v="51"/>
    <x v="129"/>
    <x v="173"/>
    <x v="6"/>
    <x v="161"/>
    <x v="3"/>
    <x v="626"/>
    <x v="1109"/>
    <x v="1171"/>
    <x v="718"/>
    <x v="1161"/>
    <x v="1089"/>
    <x v="3"/>
    <x v="0"/>
    <x v="0"/>
    <x v="0"/>
    <x v="198"/>
    <x v="0"/>
  </r>
  <r>
    <x v="1225"/>
    <x v="1222"/>
    <x v="256"/>
    <x v="0"/>
    <x v="3"/>
    <x v="3"/>
    <x v="2"/>
    <x v="151"/>
    <x v="9"/>
    <x v="42"/>
    <x v="76"/>
    <x v="4"/>
    <x v="626"/>
    <x v="0"/>
    <x v="0"/>
    <x v="1110"/>
    <x v="1172"/>
    <x v="9"/>
    <x v="1162"/>
    <x v="1090"/>
    <x v="1"/>
    <x v="0"/>
    <x v="0"/>
    <x v="0"/>
    <x v="26"/>
    <x v="0"/>
  </r>
  <r>
    <x v="1226"/>
    <x v="1223"/>
    <x v="125"/>
    <x v="0"/>
    <x v="5"/>
    <x v="5"/>
    <x v="0"/>
    <x v="123"/>
    <x v="88"/>
    <x v="70"/>
    <x v="80"/>
    <x v="5"/>
    <x v="627"/>
    <x v="4"/>
    <x v="627"/>
    <x v="1111"/>
    <x v="1173"/>
    <x v="670"/>
    <x v="1163"/>
    <x v="1091"/>
    <x v="3"/>
    <x v="0"/>
    <x v="0"/>
    <x v="1"/>
    <x v="636"/>
    <x v="1"/>
  </r>
  <r>
    <x v="1227"/>
    <x v="1224"/>
    <x v="277"/>
    <x v="0"/>
    <x v="2"/>
    <x v="2"/>
    <x v="2"/>
    <x v="68"/>
    <x v="21"/>
    <x v="72"/>
    <x v="85"/>
    <x v="2"/>
    <x v="22"/>
    <x v="0"/>
    <x v="0"/>
    <x v="1112"/>
    <x v="1174"/>
    <x v="719"/>
    <x v="1164"/>
    <x v="22"/>
    <x v="3"/>
    <x v="0"/>
    <x v="0"/>
    <x v="1"/>
    <x v="637"/>
    <x v="1"/>
  </r>
  <r>
    <x v="1228"/>
    <x v="1225"/>
    <x v="335"/>
    <x v="0"/>
    <x v="8"/>
    <x v="8"/>
    <x v="3"/>
    <x v="77"/>
    <x v="150"/>
    <x v="152"/>
    <x v="320"/>
    <x v="7"/>
    <x v="628"/>
    <x v="0"/>
    <x v="0"/>
    <x v="1113"/>
    <x v="1175"/>
    <x v="691"/>
    <x v="1165"/>
    <x v="1092"/>
    <x v="0"/>
    <x v="0"/>
    <x v="0"/>
    <x v="0"/>
    <x v="529"/>
    <x v="1"/>
  </r>
  <r>
    <x v="1229"/>
    <x v="1226"/>
    <x v="258"/>
    <x v="0"/>
    <x v="10"/>
    <x v="10"/>
    <x v="3"/>
    <x v="457"/>
    <x v="122"/>
    <x v="19"/>
    <x v="19"/>
    <x v="2"/>
    <x v="205"/>
    <x v="0"/>
    <x v="0"/>
    <x v="1114"/>
    <x v="1176"/>
    <x v="439"/>
    <x v="1166"/>
    <x v="395"/>
    <x v="5"/>
    <x v="0"/>
    <x v="0"/>
    <x v="0"/>
    <x v="461"/>
    <x v="1"/>
  </r>
  <r>
    <x v="1230"/>
    <x v="1227"/>
    <x v="30"/>
    <x v="0"/>
    <x v="6"/>
    <x v="6"/>
    <x v="3"/>
    <x v="225"/>
    <x v="114"/>
    <x v="149"/>
    <x v="212"/>
    <x v="2"/>
    <x v="206"/>
    <x v="1"/>
    <x v="628"/>
    <x v="1115"/>
    <x v="1177"/>
    <x v="720"/>
    <x v="1167"/>
    <x v="1093"/>
    <x v="4"/>
    <x v="0"/>
    <x v="0"/>
    <x v="0"/>
    <x v="73"/>
    <x v="0"/>
  </r>
  <r>
    <x v="1231"/>
    <x v="1228"/>
    <x v="100"/>
    <x v="0"/>
    <x v="4"/>
    <x v="4"/>
    <x v="2"/>
    <x v="88"/>
    <x v="38"/>
    <x v="33"/>
    <x v="93"/>
    <x v="6"/>
    <x v="43"/>
    <x v="2"/>
    <x v="320"/>
    <x v="1116"/>
    <x v="1178"/>
    <x v="263"/>
    <x v="1168"/>
    <x v="1094"/>
    <x v="1"/>
    <x v="1"/>
    <x v="1"/>
    <x v="0"/>
    <x v="599"/>
    <x v="0"/>
  </r>
  <r>
    <x v="1232"/>
    <x v="1229"/>
    <x v="38"/>
    <x v="1"/>
    <x v="11"/>
    <x v="11"/>
    <x v="1"/>
    <x v="149"/>
    <x v="108"/>
    <x v="85"/>
    <x v="185"/>
    <x v="2"/>
    <x v="147"/>
    <x v="1"/>
    <x v="629"/>
    <x v="1117"/>
    <x v="1179"/>
    <x v="588"/>
    <x v="1169"/>
    <x v="1095"/>
    <x v="5"/>
    <x v="0"/>
    <x v="0"/>
    <x v="0"/>
    <x v="638"/>
    <x v="0"/>
  </r>
  <r>
    <x v="1233"/>
    <x v="1230"/>
    <x v="312"/>
    <x v="1"/>
    <x v="11"/>
    <x v="11"/>
    <x v="1"/>
    <x v="54"/>
    <x v="107"/>
    <x v="144"/>
    <x v="197"/>
    <x v="5"/>
    <x v="629"/>
    <x v="3"/>
    <x v="630"/>
    <x v="1118"/>
    <x v="1180"/>
    <x v="721"/>
    <x v="1170"/>
    <x v="1096"/>
    <x v="5"/>
    <x v="0"/>
    <x v="0"/>
    <x v="0"/>
    <x v="354"/>
    <x v="1"/>
  </r>
  <r>
    <x v="1234"/>
    <x v="1231"/>
    <x v="96"/>
    <x v="0"/>
    <x v="3"/>
    <x v="3"/>
    <x v="2"/>
    <x v="540"/>
    <x v="143"/>
    <x v="39"/>
    <x v="103"/>
    <x v="6"/>
    <x v="459"/>
    <x v="0"/>
    <x v="0"/>
    <x v="1119"/>
    <x v="1181"/>
    <x v="722"/>
    <x v="1171"/>
    <x v="1097"/>
    <x v="2"/>
    <x v="0"/>
    <x v="0"/>
    <x v="0"/>
    <x v="639"/>
    <x v="0"/>
  </r>
  <r>
    <x v="1235"/>
    <x v="1232"/>
    <x v="99"/>
    <x v="0"/>
    <x v="6"/>
    <x v="6"/>
    <x v="3"/>
    <x v="47"/>
    <x v="67"/>
    <x v="55"/>
    <x v="145"/>
    <x v="3"/>
    <x v="630"/>
    <x v="2"/>
    <x v="631"/>
    <x v="1120"/>
    <x v="1182"/>
    <x v="723"/>
    <x v="1172"/>
    <x v="1098"/>
    <x v="2"/>
    <x v="0"/>
    <x v="0"/>
    <x v="2"/>
    <x v="272"/>
    <x v="0"/>
  </r>
  <r>
    <x v="1236"/>
    <x v="1233"/>
    <x v="34"/>
    <x v="0"/>
    <x v="9"/>
    <x v="9"/>
    <x v="0"/>
    <x v="541"/>
    <x v="77"/>
    <x v="42"/>
    <x v="138"/>
    <x v="1"/>
    <x v="96"/>
    <x v="0"/>
    <x v="0"/>
    <x v="938"/>
    <x v="1183"/>
    <x v="324"/>
    <x v="1173"/>
    <x v="1099"/>
    <x v="5"/>
    <x v="0"/>
    <x v="0"/>
    <x v="0"/>
    <x v="586"/>
    <x v="0"/>
  </r>
  <r>
    <x v="1237"/>
    <x v="1234"/>
    <x v="203"/>
    <x v="0"/>
    <x v="4"/>
    <x v="4"/>
    <x v="2"/>
    <x v="205"/>
    <x v="79"/>
    <x v="138"/>
    <x v="302"/>
    <x v="6"/>
    <x v="631"/>
    <x v="3"/>
    <x v="632"/>
    <x v="1121"/>
    <x v="1184"/>
    <x v="724"/>
    <x v="1174"/>
    <x v="1100"/>
    <x v="0"/>
    <x v="0"/>
    <x v="0"/>
    <x v="0"/>
    <x v="622"/>
    <x v="0"/>
  </r>
  <r>
    <x v="1238"/>
    <x v="1235"/>
    <x v="23"/>
    <x v="0"/>
    <x v="2"/>
    <x v="2"/>
    <x v="2"/>
    <x v="542"/>
    <x v="14"/>
    <x v="67"/>
    <x v="35"/>
    <x v="1"/>
    <x v="14"/>
    <x v="3"/>
    <x v="633"/>
    <x v="1122"/>
    <x v="1185"/>
    <x v="54"/>
    <x v="1175"/>
    <x v="1101"/>
    <x v="2"/>
    <x v="0"/>
    <x v="0"/>
    <x v="2"/>
    <x v="640"/>
    <x v="0"/>
  </r>
  <r>
    <x v="1239"/>
    <x v="1236"/>
    <x v="219"/>
    <x v="0"/>
    <x v="3"/>
    <x v="3"/>
    <x v="2"/>
    <x v="543"/>
    <x v="76"/>
    <x v="119"/>
    <x v="253"/>
    <x v="1"/>
    <x v="418"/>
    <x v="0"/>
    <x v="0"/>
    <x v="1123"/>
    <x v="1186"/>
    <x v="725"/>
    <x v="1176"/>
    <x v="696"/>
    <x v="1"/>
    <x v="0"/>
    <x v="0"/>
    <x v="2"/>
    <x v="641"/>
    <x v="1"/>
  </r>
  <r>
    <x v="1240"/>
    <x v="1237"/>
    <x v="44"/>
    <x v="0"/>
    <x v="8"/>
    <x v="8"/>
    <x v="3"/>
    <x v="216"/>
    <x v="120"/>
    <x v="50"/>
    <x v="139"/>
    <x v="5"/>
    <x v="632"/>
    <x v="2"/>
    <x v="634"/>
    <x v="1124"/>
    <x v="1187"/>
    <x v="238"/>
    <x v="1177"/>
    <x v="1102"/>
    <x v="2"/>
    <x v="0"/>
    <x v="0"/>
    <x v="0"/>
    <x v="481"/>
    <x v="0"/>
  </r>
  <r>
    <x v="1241"/>
    <x v="1238"/>
    <x v="112"/>
    <x v="0"/>
    <x v="10"/>
    <x v="10"/>
    <x v="3"/>
    <x v="77"/>
    <x v="139"/>
    <x v="36"/>
    <x v="37"/>
    <x v="3"/>
    <x v="633"/>
    <x v="0"/>
    <x v="0"/>
    <x v="1125"/>
    <x v="1188"/>
    <x v="726"/>
    <x v="1178"/>
    <x v="1103"/>
    <x v="4"/>
    <x v="1"/>
    <x v="1"/>
    <x v="0"/>
    <x v="447"/>
    <x v="1"/>
  </r>
  <r>
    <x v="1242"/>
    <x v="1239"/>
    <x v="214"/>
    <x v="0"/>
    <x v="3"/>
    <x v="3"/>
    <x v="2"/>
    <x v="108"/>
    <x v="89"/>
    <x v="150"/>
    <x v="256"/>
    <x v="4"/>
    <x v="634"/>
    <x v="0"/>
    <x v="0"/>
    <x v="1126"/>
    <x v="1189"/>
    <x v="727"/>
    <x v="1179"/>
    <x v="1104"/>
    <x v="3"/>
    <x v="0"/>
    <x v="0"/>
    <x v="0"/>
    <x v="615"/>
    <x v="1"/>
  </r>
  <r>
    <x v="1243"/>
    <x v="1240"/>
    <x v="186"/>
    <x v="0"/>
    <x v="0"/>
    <x v="0"/>
    <x v="0"/>
    <x v="300"/>
    <x v="1"/>
    <x v="1"/>
    <x v="1"/>
    <x v="1"/>
    <x v="1"/>
    <x v="0"/>
    <x v="0"/>
    <x v="1"/>
    <x v="276"/>
    <x v="1"/>
    <x v="272"/>
    <x v="268"/>
    <x v="1"/>
    <x v="0"/>
    <x v="0"/>
    <x v="1"/>
    <x v="238"/>
    <x v="1"/>
  </r>
  <r>
    <x v="1244"/>
    <x v="1241"/>
    <x v="226"/>
    <x v="0"/>
    <x v="0"/>
    <x v="0"/>
    <x v="0"/>
    <x v="544"/>
    <x v="145"/>
    <x v="146"/>
    <x v="306"/>
    <x v="4"/>
    <x v="480"/>
    <x v="3"/>
    <x v="635"/>
    <x v="630"/>
    <x v="1190"/>
    <x v="728"/>
    <x v="1180"/>
    <x v="804"/>
    <x v="0"/>
    <x v="0"/>
    <x v="0"/>
    <x v="0"/>
    <x v="551"/>
    <x v="1"/>
  </r>
  <r>
    <x v="1245"/>
    <x v="1242"/>
    <x v="145"/>
    <x v="0"/>
    <x v="9"/>
    <x v="9"/>
    <x v="0"/>
    <x v="123"/>
    <x v="61"/>
    <x v="108"/>
    <x v="316"/>
    <x v="2"/>
    <x v="635"/>
    <x v="4"/>
    <x v="636"/>
    <x v="1127"/>
    <x v="1191"/>
    <x v="71"/>
    <x v="1181"/>
    <x v="1105"/>
    <x v="4"/>
    <x v="0"/>
    <x v="0"/>
    <x v="0"/>
    <x v="642"/>
    <x v="1"/>
  </r>
  <r>
    <x v="1246"/>
    <x v="1243"/>
    <x v="336"/>
    <x v="0"/>
    <x v="0"/>
    <x v="0"/>
    <x v="0"/>
    <x v="545"/>
    <x v="62"/>
    <x v="94"/>
    <x v="117"/>
    <x v="2"/>
    <x v="636"/>
    <x v="4"/>
    <x v="637"/>
    <x v="1128"/>
    <x v="1192"/>
    <x v="729"/>
    <x v="1182"/>
    <x v="1106"/>
    <x v="5"/>
    <x v="0"/>
    <x v="0"/>
    <x v="0"/>
    <x v="196"/>
    <x v="1"/>
  </r>
  <r>
    <x v="1247"/>
    <x v="1244"/>
    <x v="99"/>
    <x v="0"/>
    <x v="6"/>
    <x v="6"/>
    <x v="3"/>
    <x v="136"/>
    <x v="46"/>
    <x v="38"/>
    <x v="321"/>
    <x v="2"/>
    <x v="100"/>
    <x v="1"/>
    <x v="265"/>
    <x v="465"/>
    <x v="477"/>
    <x v="392"/>
    <x v="473"/>
    <x v="461"/>
    <x v="5"/>
    <x v="1"/>
    <x v="1"/>
    <x v="1"/>
    <x v="202"/>
    <x v="0"/>
  </r>
  <r>
    <x v="1248"/>
    <x v="1245"/>
    <x v="195"/>
    <x v="0"/>
    <x v="0"/>
    <x v="0"/>
    <x v="0"/>
    <x v="510"/>
    <x v="4"/>
    <x v="23"/>
    <x v="262"/>
    <x v="4"/>
    <x v="213"/>
    <x v="3"/>
    <x v="638"/>
    <x v="1129"/>
    <x v="1193"/>
    <x v="430"/>
    <x v="1183"/>
    <x v="1107"/>
    <x v="3"/>
    <x v="0"/>
    <x v="0"/>
    <x v="0"/>
    <x v="339"/>
    <x v="1"/>
  </r>
  <r>
    <x v="1249"/>
    <x v="1246"/>
    <x v="133"/>
    <x v="0"/>
    <x v="10"/>
    <x v="10"/>
    <x v="3"/>
    <x v="343"/>
    <x v="119"/>
    <x v="137"/>
    <x v="73"/>
    <x v="4"/>
    <x v="189"/>
    <x v="4"/>
    <x v="639"/>
    <x v="1130"/>
    <x v="1194"/>
    <x v="730"/>
    <x v="1184"/>
    <x v="1108"/>
    <x v="1"/>
    <x v="0"/>
    <x v="0"/>
    <x v="0"/>
    <x v="529"/>
    <x v="0"/>
  </r>
  <r>
    <x v="1250"/>
    <x v="1247"/>
    <x v="188"/>
    <x v="0"/>
    <x v="4"/>
    <x v="4"/>
    <x v="2"/>
    <x v="546"/>
    <x v="13"/>
    <x v="91"/>
    <x v="110"/>
    <x v="6"/>
    <x v="13"/>
    <x v="2"/>
    <x v="640"/>
    <x v="1131"/>
    <x v="1195"/>
    <x v="533"/>
    <x v="1185"/>
    <x v="13"/>
    <x v="1"/>
    <x v="0"/>
    <x v="0"/>
    <x v="1"/>
    <x v="643"/>
    <x v="0"/>
  </r>
  <r>
    <x v="1251"/>
    <x v="1248"/>
    <x v="337"/>
    <x v="0"/>
    <x v="5"/>
    <x v="5"/>
    <x v="0"/>
    <x v="486"/>
    <x v="19"/>
    <x v="116"/>
    <x v="147"/>
    <x v="4"/>
    <x v="637"/>
    <x v="0"/>
    <x v="0"/>
    <x v="1132"/>
    <x v="1196"/>
    <x v="19"/>
    <x v="1186"/>
    <x v="1109"/>
    <x v="3"/>
    <x v="0"/>
    <x v="0"/>
    <x v="0"/>
    <x v="221"/>
    <x v="1"/>
  </r>
  <r>
    <x v="1252"/>
    <x v="1249"/>
    <x v="29"/>
    <x v="0"/>
    <x v="10"/>
    <x v="10"/>
    <x v="3"/>
    <x v="537"/>
    <x v="38"/>
    <x v="36"/>
    <x v="37"/>
    <x v="3"/>
    <x v="638"/>
    <x v="4"/>
    <x v="641"/>
    <x v="1133"/>
    <x v="1197"/>
    <x v="731"/>
    <x v="1187"/>
    <x v="1110"/>
    <x v="0"/>
    <x v="0"/>
    <x v="0"/>
    <x v="0"/>
    <x v="384"/>
    <x v="0"/>
  </r>
  <r>
    <x v="1253"/>
    <x v="1250"/>
    <x v="41"/>
    <x v="1"/>
    <x v="11"/>
    <x v="11"/>
    <x v="1"/>
    <x v="547"/>
    <x v="12"/>
    <x v="149"/>
    <x v="212"/>
    <x v="7"/>
    <x v="639"/>
    <x v="0"/>
    <x v="0"/>
    <x v="1134"/>
    <x v="1198"/>
    <x v="379"/>
    <x v="1188"/>
    <x v="1111"/>
    <x v="1"/>
    <x v="0"/>
    <x v="0"/>
    <x v="2"/>
    <x v="499"/>
    <x v="0"/>
  </r>
  <r>
    <x v="1254"/>
    <x v="1251"/>
    <x v="338"/>
    <x v="1"/>
    <x v="7"/>
    <x v="7"/>
    <x v="1"/>
    <x v="30"/>
    <x v="6"/>
    <x v="98"/>
    <x v="152"/>
    <x v="7"/>
    <x v="640"/>
    <x v="1"/>
    <x v="642"/>
    <x v="1135"/>
    <x v="1199"/>
    <x v="81"/>
    <x v="1189"/>
    <x v="1112"/>
    <x v="0"/>
    <x v="0"/>
    <x v="0"/>
    <x v="0"/>
    <x v="445"/>
    <x v="1"/>
  </r>
  <r>
    <x v="1255"/>
    <x v="1252"/>
    <x v="210"/>
    <x v="0"/>
    <x v="3"/>
    <x v="3"/>
    <x v="2"/>
    <x v="390"/>
    <x v="103"/>
    <x v="128"/>
    <x v="167"/>
    <x v="6"/>
    <x v="224"/>
    <x v="4"/>
    <x v="643"/>
    <x v="1136"/>
    <x v="1200"/>
    <x v="415"/>
    <x v="1190"/>
    <x v="1113"/>
    <x v="1"/>
    <x v="0"/>
    <x v="0"/>
    <x v="0"/>
    <x v="324"/>
    <x v="1"/>
  </r>
  <r>
    <x v="1256"/>
    <x v="1253"/>
    <x v="333"/>
    <x v="0"/>
    <x v="9"/>
    <x v="9"/>
    <x v="0"/>
    <x v="421"/>
    <x v="12"/>
    <x v="114"/>
    <x v="294"/>
    <x v="2"/>
    <x v="12"/>
    <x v="0"/>
    <x v="0"/>
    <x v="152"/>
    <x v="152"/>
    <x v="143"/>
    <x v="148"/>
    <x v="148"/>
    <x v="0"/>
    <x v="0"/>
    <x v="0"/>
    <x v="0"/>
    <x v="502"/>
    <x v="1"/>
  </r>
  <r>
    <x v="1257"/>
    <x v="1254"/>
    <x v="339"/>
    <x v="1"/>
    <x v="1"/>
    <x v="1"/>
    <x v="1"/>
    <x v="318"/>
    <x v="38"/>
    <x v="170"/>
    <x v="292"/>
    <x v="2"/>
    <x v="43"/>
    <x v="3"/>
    <x v="320"/>
    <x v="567"/>
    <x v="1201"/>
    <x v="126"/>
    <x v="1191"/>
    <x v="1114"/>
    <x v="1"/>
    <x v="0"/>
    <x v="0"/>
    <x v="2"/>
    <x v="364"/>
    <x v="1"/>
  </r>
  <r>
    <x v="1258"/>
    <x v="1255"/>
    <x v="83"/>
    <x v="1"/>
    <x v="1"/>
    <x v="1"/>
    <x v="1"/>
    <x v="516"/>
    <x v="32"/>
    <x v="15"/>
    <x v="40"/>
    <x v="4"/>
    <x v="36"/>
    <x v="4"/>
    <x v="644"/>
    <x v="1137"/>
    <x v="1202"/>
    <x v="580"/>
    <x v="1192"/>
    <x v="1115"/>
    <x v="2"/>
    <x v="1"/>
    <x v="1"/>
    <x v="0"/>
    <x v="159"/>
    <x v="0"/>
  </r>
  <r>
    <x v="1259"/>
    <x v="1256"/>
    <x v="205"/>
    <x v="0"/>
    <x v="3"/>
    <x v="3"/>
    <x v="2"/>
    <x v="339"/>
    <x v="61"/>
    <x v="136"/>
    <x v="142"/>
    <x v="1"/>
    <x v="69"/>
    <x v="0"/>
    <x v="0"/>
    <x v="460"/>
    <x v="472"/>
    <x v="388"/>
    <x v="468"/>
    <x v="456"/>
    <x v="5"/>
    <x v="0"/>
    <x v="0"/>
    <x v="0"/>
    <x v="638"/>
    <x v="1"/>
  </r>
  <r>
    <x v="1260"/>
    <x v="1257"/>
    <x v="104"/>
    <x v="1"/>
    <x v="7"/>
    <x v="7"/>
    <x v="1"/>
    <x v="126"/>
    <x v="24"/>
    <x v="112"/>
    <x v="141"/>
    <x v="0"/>
    <x v="27"/>
    <x v="3"/>
    <x v="645"/>
    <x v="1138"/>
    <x v="1203"/>
    <x v="178"/>
    <x v="1193"/>
    <x v="1116"/>
    <x v="3"/>
    <x v="0"/>
    <x v="0"/>
    <x v="0"/>
    <x v="618"/>
    <x v="0"/>
  </r>
  <r>
    <x v="1261"/>
    <x v="1258"/>
    <x v="29"/>
    <x v="0"/>
    <x v="10"/>
    <x v="10"/>
    <x v="3"/>
    <x v="430"/>
    <x v="20"/>
    <x v="104"/>
    <x v="221"/>
    <x v="7"/>
    <x v="641"/>
    <x v="0"/>
    <x v="0"/>
    <x v="1139"/>
    <x v="1204"/>
    <x v="21"/>
    <x v="1194"/>
    <x v="1117"/>
    <x v="3"/>
    <x v="0"/>
    <x v="0"/>
    <x v="0"/>
    <x v="644"/>
    <x v="0"/>
  </r>
  <r>
    <x v="1262"/>
    <x v="1259"/>
    <x v="140"/>
    <x v="0"/>
    <x v="9"/>
    <x v="9"/>
    <x v="0"/>
    <x v="548"/>
    <x v="71"/>
    <x v="130"/>
    <x v="175"/>
    <x v="6"/>
    <x v="130"/>
    <x v="0"/>
    <x v="0"/>
    <x v="151"/>
    <x v="151"/>
    <x v="142"/>
    <x v="147"/>
    <x v="147"/>
    <x v="2"/>
    <x v="0"/>
    <x v="0"/>
    <x v="2"/>
    <x v="601"/>
    <x v="1"/>
  </r>
  <r>
    <x v="1263"/>
    <x v="1260"/>
    <x v="109"/>
    <x v="1"/>
    <x v="7"/>
    <x v="7"/>
    <x v="1"/>
    <x v="289"/>
    <x v="35"/>
    <x v="168"/>
    <x v="275"/>
    <x v="0"/>
    <x v="229"/>
    <x v="2"/>
    <x v="362"/>
    <x v="1140"/>
    <x v="1205"/>
    <x v="732"/>
    <x v="1195"/>
    <x v="1118"/>
    <x v="5"/>
    <x v="0"/>
    <x v="0"/>
    <x v="0"/>
    <x v="36"/>
    <x v="1"/>
  </r>
  <r>
    <x v="1264"/>
    <x v="1261"/>
    <x v="65"/>
    <x v="0"/>
    <x v="8"/>
    <x v="8"/>
    <x v="3"/>
    <x v="302"/>
    <x v="67"/>
    <x v="1"/>
    <x v="1"/>
    <x v="6"/>
    <x v="81"/>
    <x v="4"/>
    <x v="60"/>
    <x v="107"/>
    <x v="107"/>
    <x v="105"/>
    <x v="105"/>
    <x v="104"/>
    <x v="0"/>
    <x v="0"/>
    <x v="0"/>
    <x v="0"/>
    <x v="346"/>
    <x v="0"/>
  </r>
  <r>
    <x v="1265"/>
    <x v="1262"/>
    <x v="179"/>
    <x v="0"/>
    <x v="10"/>
    <x v="10"/>
    <x v="3"/>
    <x v="430"/>
    <x v="75"/>
    <x v="15"/>
    <x v="92"/>
    <x v="2"/>
    <x v="642"/>
    <x v="0"/>
    <x v="0"/>
    <x v="1141"/>
    <x v="1206"/>
    <x v="419"/>
    <x v="1196"/>
    <x v="1119"/>
    <x v="3"/>
    <x v="1"/>
    <x v="1"/>
    <x v="0"/>
    <x v="574"/>
    <x v="1"/>
  </r>
  <r>
    <x v="1266"/>
    <x v="1263"/>
    <x v="340"/>
    <x v="1"/>
    <x v="1"/>
    <x v="1"/>
    <x v="1"/>
    <x v="264"/>
    <x v="150"/>
    <x v="81"/>
    <x v="144"/>
    <x v="7"/>
    <x v="643"/>
    <x v="2"/>
    <x v="646"/>
    <x v="1142"/>
    <x v="1207"/>
    <x v="691"/>
    <x v="1197"/>
    <x v="1120"/>
    <x v="2"/>
    <x v="0"/>
    <x v="0"/>
    <x v="0"/>
    <x v="537"/>
    <x v="1"/>
  </r>
  <r>
    <x v="1267"/>
    <x v="1264"/>
    <x v="92"/>
    <x v="0"/>
    <x v="4"/>
    <x v="4"/>
    <x v="2"/>
    <x v="238"/>
    <x v="22"/>
    <x v="126"/>
    <x v="179"/>
    <x v="4"/>
    <x v="23"/>
    <x v="0"/>
    <x v="0"/>
    <x v="1143"/>
    <x v="1208"/>
    <x v="23"/>
    <x v="1198"/>
    <x v="1121"/>
    <x v="5"/>
    <x v="0"/>
    <x v="0"/>
    <x v="1"/>
    <x v="459"/>
    <x v="0"/>
  </r>
  <r>
    <x v="1268"/>
    <x v="1265"/>
    <x v="42"/>
    <x v="0"/>
    <x v="8"/>
    <x v="8"/>
    <x v="3"/>
    <x v="537"/>
    <x v="40"/>
    <x v="144"/>
    <x v="197"/>
    <x v="2"/>
    <x v="644"/>
    <x v="0"/>
    <x v="0"/>
    <x v="1144"/>
    <x v="1209"/>
    <x v="733"/>
    <x v="1199"/>
    <x v="1122"/>
    <x v="1"/>
    <x v="0"/>
    <x v="0"/>
    <x v="1"/>
    <x v="61"/>
    <x v="0"/>
  </r>
  <r>
    <x v="1269"/>
    <x v="1266"/>
    <x v="181"/>
    <x v="0"/>
    <x v="3"/>
    <x v="3"/>
    <x v="2"/>
    <x v="219"/>
    <x v="43"/>
    <x v="54"/>
    <x v="59"/>
    <x v="4"/>
    <x v="645"/>
    <x v="0"/>
    <x v="0"/>
    <x v="1145"/>
    <x v="1210"/>
    <x v="697"/>
    <x v="1200"/>
    <x v="1123"/>
    <x v="5"/>
    <x v="0"/>
    <x v="0"/>
    <x v="0"/>
    <x v="312"/>
    <x v="1"/>
  </r>
  <r>
    <x v="1270"/>
    <x v="1267"/>
    <x v="196"/>
    <x v="0"/>
    <x v="5"/>
    <x v="5"/>
    <x v="0"/>
    <x v="55"/>
    <x v="102"/>
    <x v="75"/>
    <x v="89"/>
    <x v="3"/>
    <x v="646"/>
    <x v="0"/>
    <x v="0"/>
    <x v="1146"/>
    <x v="1211"/>
    <x v="177"/>
    <x v="1201"/>
    <x v="1124"/>
    <x v="3"/>
    <x v="0"/>
    <x v="0"/>
    <x v="0"/>
    <x v="645"/>
    <x v="0"/>
  </r>
  <r>
    <x v="1271"/>
    <x v="1268"/>
    <x v="333"/>
    <x v="0"/>
    <x v="9"/>
    <x v="9"/>
    <x v="0"/>
    <x v="87"/>
    <x v="78"/>
    <x v="82"/>
    <x v="169"/>
    <x v="6"/>
    <x v="211"/>
    <x v="0"/>
    <x v="0"/>
    <x v="1147"/>
    <x v="1212"/>
    <x v="259"/>
    <x v="1202"/>
    <x v="575"/>
    <x v="2"/>
    <x v="0"/>
    <x v="0"/>
    <x v="0"/>
    <x v="374"/>
    <x v="1"/>
  </r>
  <r>
    <x v="1272"/>
    <x v="1269"/>
    <x v="86"/>
    <x v="0"/>
    <x v="6"/>
    <x v="6"/>
    <x v="3"/>
    <x v="516"/>
    <x v="72"/>
    <x v="20"/>
    <x v="20"/>
    <x v="2"/>
    <x v="116"/>
    <x v="2"/>
    <x v="647"/>
    <x v="1148"/>
    <x v="1213"/>
    <x v="558"/>
    <x v="1203"/>
    <x v="1125"/>
    <x v="0"/>
    <x v="0"/>
    <x v="0"/>
    <x v="0"/>
    <x v="203"/>
    <x v="0"/>
  </r>
  <r>
    <x v="1273"/>
    <x v="1270"/>
    <x v="186"/>
    <x v="0"/>
    <x v="0"/>
    <x v="0"/>
    <x v="0"/>
    <x v="392"/>
    <x v="68"/>
    <x v="142"/>
    <x v="276"/>
    <x v="5"/>
    <x v="647"/>
    <x v="0"/>
    <x v="0"/>
    <x v="1149"/>
    <x v="1214"/>
    <x v="546"/>
    <x v="1204"/>
    <x v="1126"/>
    <x v="3"/>
    <x v="0"/>
    <x v="0"/>
    <x v="0"/>
    <x v="1"/>
    <x v="1"/>
  </r>
  <r>
    <x v="1274"/>
    <x v="1271"/>
    <x v="18"/>
    <x v="0"/>
    <x v="2"/>
    <x v="2"/>
    <x v="2"/>
    <x v="549"/>
    <x v="24"/>
    <x v="118"/>
    <x v="149"/>
    <x v="4"/>
    <x v="648"/>
    <x v="1"/>
    <x v="648"/>
    <x v="1150"/>
    <x v="1215"/>
    <x v="450"/>
    <x v="1205"/>
    <x v="1127"/>
    <x v="3"/>
    <x v="0"/>
    <x v="0"/>
    <x v="0"/>
    <x v="196"/>
    <x v="1"/>
  </r>
  <r>
    <x v="1275"/>
    <x v="1272"/>
    <x v="156"/>
    <x v="0"/>
    <x v="2"/>
    <x v="2"/>
    <x v="2"/>
    <x v="431"/>
    <x v="71"/>
    <x v="56"/>
    <x v="61"/>
    <x v="2"/>
    <x v="130"/>
    <x v="4"/>
    <x v="623"/>
    <x v="1151"/>
    <x v="1216"/>
    <x v="734"/>
    <x v="1206"/>
    <x v="1128"/>
    <x v="4"/>
    <x v="0"/>
    <x v="0"/>
    <x v="2"/>
    <x v="646"/>
    <x v="0"/>
  </r>
  <r>
    <x v="1276"/>
    <x v="1273"/>
    <x v="48"/>
    <x v="0"/>
    <x v="0"/>
    <x v="0"/>
    <x v="0"/>
    <x v="151"/>
    <x v="35"/>
    <x v="167"/>
    <x v="258"/>
    <x v="3"/>
    <x v="649"/>
    <x v="1"/>
    <x v="649"/>
    <x v="1152"/>
    <x v="1217"/>
    <x v="625"/>
    <x v="1207"/>
    <x v="1129"/>
    <x v="1"/>
    <x v="0"/>
    <x v="0"/>
    <x v="1"/>
    <x v="571"/>
    <x v="1"/>
  </r>
  <r>
    <x v="1277"/>
    <x v="1274"/>
    <x v="44"/>
    <x v="0"/>
    <x v="8"/>
    <x v="8"/>
    <x v="3"/>
    <x v="78"/>
    <x v="72"/>
    <x v="37"/>
    <x v="38"/>
    <x v="7"/>
    <x v="650"/>
    <x v="2"/>
    <x v="650"/>
    <x v="1153"/>
    <x v="1218"/>
    <x v="582"/>
    <x v="1208"/>
    <x v="1130"/>
    <x v="5"/>
    <x v="0"/>
    <x v="0"/>
    <x v="0"/>
    <x v="74"/>
    <x v="0"/>
  </r>
  <r>
    <x v="1278"/>
    <x v="1275"/>
    <x v="263"/>
    <x v="0"/>
    <x v="2"/>
    <x v="2"/>
    <x v="2"/>
    <x v="149"/>
    <x v="5"/>
    <x v="159"/>
    <x v="210"/>
    <x v="1"/>
    <x v="139"/>
    <x v="0"/>
    <x v="0"/>
    <x v="1062"/>
    <x v="1219"/>
    <x v="735"/>
    <x v="1209"/>
    <x v="685"/>
    <x v="3"/>
    <x v="0"/>
    <x v="0"/>
    <x v="1"/>
    <x v="247"/>
    <x v="1"/>
  </r>
  <r>
    <x v="1279"/>
    <x v="1276"/>
    <x v="300"/>
    <x v="0"/>
    <x v="0"/>
    <x v="0"/>
    <x v="0"/>
    <x v="550"/>
    <x v="50"/>
    <x v="28"/>
    <x v="29"/>
    <x v="6"/>
    <x v="651"/>
    <x v="0"/>
    <x v="0"/>
    <x v="1154"/>
    <x v="1220"/>
    <x v="736"/>
    <x v="1210"/>
    <x v="1131"/>
    <x v="0"/>
    <x v="0"/>
    <x v="0"/>
    <x v="0"/>
    <x v="255"/>
    <x v="1"/>
  </r>
  <r>
    <x v="1280"/>
    <x v="1277"/>
    <x v="195"/>
    <x v="0"/>
    <x v="0"/>
    <x v="0"/>
    <x v="0"/>
    <x v="103"/>
    <x v="28"/>
    <x v="98"/>
    <x v="123"/>
    <x v="7"/>
    <x v="652"/>
    <x v="2"/>
    <x v="651"/>
    <x v="1155"/>
    <x v="1221"/>
    <x v="737"/>
    <x v="1211"/>
    <x v="1132"/>
    <x v="1"/>
    <x v="0"/>
    <x v="0"/>
    <x v="0"/>
    <x v="505"/>
    <x v="1"/>
  </r>
  <r>
    <x v="1281"/>
    <x v="1278"/>
    <x v="297"/>
    <x v="0"/>
    <x v="8"/>
    <x v="8"/>
    <x v="3"/>
    <x v="274"/>
    <x v="56"/>
    <x v="137"/>
    <x v="73"/>
    <x v="3"/>
    <x v="653"/>
    <x v="0"/>
    <x v="0"/>
    <x v="1156"/>
    <x v="1222"/>
    <x v="218"/>
    <x v="1212"/>
    <x v="1133"/>
    <x v="1"/>
    <x v="0"/>
    <x v="0"/>
    <x v="0"/>
    <x v="136"/>
    <x v="1"/>
  </r>
  <r>
    <x v="1282"/>
    <x v="1279"/>
    <x v="87"/>
    <x v="0"/>
    <x v="10"/>
    <x v="10"/>
    <x v="3"/>
    <x v="435"/>
    <x v="140"/>
    <x v="97"/>
    <x v="272"/>
    <x v="4"/>
    <x v="654"/>
    <x v="0"/>
    <x v="0"/>
    <x v="1157"/>
    <x v="1223"/>
    <x v="738"/>
    <x v="1213"/>
    <x v="1134"/>
    <x v="2"/>
    <x v="0"/>
    <x v="0"/>
    <x v="0"/>
    <x v="647"/>
    <x v="0"/>
  </r>
  <r>
    <x v="1283"/>
    <x v="1280"/>
    <x v="147"/>
    <x v="0"/>
    <x v="2"/>
    <x v="2"/>
    <x v="2"/>
    <x v="447"/>
    <x v="37"/>
    <x v="83"/>
    <x v="259"/>
    <x v="0"/>
    <x v="99"/>
    <x v="4"/>
    <x v="310"/>
    <x v="548"/>
    <x v="1224"/>
    <x v="445"/>
    <x v="1214"/>
    <x v="1135"/>
    <x v="5"/>
    <x v="0"/>
    <x v="0"/>
    <x v="0"/>
    <x v="648"/>
    <x v="1"/>
  </r>
  <r>
    <x v="1284"/>
    <x v="1281"/>
    <x v="42"/>
    <x v="0"/>
    <x v="8"/>
    <x v="8"/>
    <x v="3"/>
    <x v="483"/>
    <x v="16"/>
    <x v="10"/>
    <x v="10"/>
    <x v="4"/>
    <x v="655"/>
    <x v="0"/>
    <x v="0"/>
    <x v="1158"/>
    <x v="1225"/>
    <x v="739"/>
    <x v="1215"/>
    <x v="1136"/>
    <x v="2"/>
    <x v="0"/>
    <x v="0"/>
    <x v="0"/>
    <x v="639"/>
    <x v="0"/>
  </r>
  <r>
    <x v="1285"/>
    <x v="1282"/>
    <x v="110"/>
    <x v="1"/>
    <x v="1"/>
    <x v="1"/>
    <x v="1"/>
    <x v="98"/>
    <x v="68"/>
    <x v="119"/>
    <x v="293"/>
    <x v="5"/>
    <x v="656"/>
    <x v="3"/>
    <x v="652"/>
    <x v="1159"/>
    <x v="1226"/>
    <x v="546"/>
    <x v="1216"/>
    <x v="1137"/>
    <x v="3"/>
    <x v="1"/>
    <x v="1"/>
    <x v="0"/>
    <x v="482"/>
    <x v="0"/>
  </r>
  <r>
    <x v="1286"/>
    <x v="1283"/>
    <x v="137"/>
    <x v="1"/>
    <x v="7"/>
    <x v="7"/>
    <x v="1"/>
    <x v="204"/>
    <x v="120"/>
    <x v="112"/>
    <x v="141"/>
    <x v="7"/>
    <x v="657"/>
    <x v="1"/>
    <x v="653"/>
    <x v="1160"/>
    <x v="1227"/>
    <x v="385"/>
    <x v="1217"/>
    <x v="1138"/>
    <x v="3"/>
    <x v="0"/>
    <x v="0"/>
    <x v="0"/>
    <x v="557"/>
    <x v="1"/>
  </r>
  <r>
    <x v="1287"/>
    <x v="1284"/>
    <x v="168"/>
    <x v="0"/>
    <x v="6"/>
    <x v="6"/>
    <x v="3"/>
    <x v="528"/>
    <x v="95"/>
    <x v="10"/>
    <x v="10"/>
    <x v="6"/>
    <x v="658"/>
    <x v="2"/>
    <x v="654"/>
    <x v="1161"/>
    <x v="1228"/>
    <x v="640"/>
    <x v="1218"/>
    <x v="1139"/>
    <x v="5"/>
    <x v="0"/>
    <x v="0"/>
    <x v="0"/>
    <x v="445"/>
    <x v="0"/>
  </r>
  <r>
    <x v="1288"/>
    <x v="1285"/>
    <x v="89"/>
    <x v="0"/>
    <x v="4"/>
    <x v="4"/>
    <x v="2"/>
    <x v="198"/>
    <x v="68"/>
    <x v="31"/>
    <x v="35"/>
    <x v="6"/>
    <x v="82"/>
    <x v="1"/>
    <x v="655"/>
    <x v="1162"/>
    <x v="1229"/>
    <x v="403"/>
    <x v="1219"/>
    <x v="1140"/>
    <x v="0"/>
    <x v="0"/>
    <x v="0"/>
    <x v="0"/>
    <x v="629"/>
    <x v="0"/>
  </r>
  <r>
    <x v="1289"/>
    <x v="1286"/>
    <x v="134"/>
    <x v="1"/>
    <x v="7"/>
    <x v="7"/>
    <x v="1"/>
    <x v="288"/>
    <x v="61"/>
    <x v="175"/>
    <x v="305"/>
    <x v="3"/>
    <x v="659"/>
    <x v="0"/>
    <x v="0"/>
    <x v="1163"/>
    <x v="1230"/>
    <x v="104"/>
    <x v="1220"/>
    <x v="1141"/>
    <x v="3"/>
    <x v="0"/>
    <x v="0"/>
    <x v="0"/>
    <x v="476"/>
    <x v="1"/>
  </r>
  <r>
    <x v="1290"/>
    <x v="1287"/>
    <x v="172"/>
    <x v="0"/>
    <x v="10"/>
    <x v="10"/>
    <x v="3"/>
    <x v="1"/>
    <x v="15"/>
    <x v="158"/>
    <x v="235"/>
    <x v="0"/>
    <x v="15"/>
    <x v="4"/>
    <x v="656"/>
    <x v="1164"/>
    <x v="1231"/>
    <x v="230"/>
    <x v="1221"/>
    <x v="1142"/>
    <x v="5"/>
    <x v="0"/>
    <x v="0"/>
    <x v="2"/>
    <x v="635"/>
    <x v="0"/>
  </r>
  <r>
    <x v="1291"/>
    <x v="1288"/>
    <x v="286"/>
    <x v="0"/>
    <x v="4"/>
    <x v="4"/>
    <x v="2"/>
    <x v="439"/>
    <x v="18"/>
    <x v="149"/>
    <x v="212"/>
    <x v="0"/>
    <x v="18"/>
    <x v="3"/>
    <x v="657"/>
    <x v="1165"/>
    <x v="1232"/>
    <x v="18"/>
    <x v="1222"/>
    <x v="1143"/>
    <x v="3"/>
    <x v="1"/>
    <x v="1"/>
    <x v="0"/>
    <x v="649"/>
    <x v="1"/>
  </r>
  <r>
    <x v="1292"/>
    <x v="1289"/>
    <x v="240"/>
    <x v="0"/>
    <x v="9"/>
    <x v="9"/>
    <x v="0"/>
    <x v="155"/>
    <x v="129"/>
    <x v="114"/>
    <x v="78"/>
    <x v="4"/>
    <x v="660"/>
    <x v="4"/>
    <x v="658"/>
    <x v="1166"/>
    <x v="1233"/>
    <x v="561"/>
    <x v="1223"/>
    <x v="1144"/>
    <x v="0"/>
    <x v="0"/>
    <x v="0"/>
    <x v="0"/>
    <x v="132"/>
    <x v="0"/>
  </r>
  <r>
    <x v="1293"/>
    <x v="1290"/>
    <x v="74"/>
    <x v="0"/>
    <x v="8"/>
    <x v="8"/>
    <x v="3"/>
    <x v="200"/>
    <x v="145"/>
    <x v="33"/>
    <x v="13"/>
    <x v="6"/>
    <x v="480"/>
    <x v="0"/>
    <x v="0"/>
    <x v="1167"/>
    <x v="1234"/>
    <x v="740"/>
    <x v="1224"/>
    <x v="1145"/>
    <x v="0"/>
    <x v="0"/>
    <x v="0"/>
    <x v="0"/>
    <x v="650"/>
    <x v="1"/>
  </r>
  <r>
    <x v="1294"/>
    <x v="1291"/>
    <x v="46"/>
    <x v="0"/>
    <x v="10"/>
    <x v="10"/>
    <x v="3"/>
    <x v="387"/>
    <x v="35"/>
    <x v="163"/>
    <x v="303"/>
    <x v="2"/>
    <x v="229"/>
    <x v="0"/>
    <x v="0"/>
    <x v="312"/>
    <x v="350"/>
    <x v="275"/>
    <x v="346"/>
    <x v="342"/>
    <x v="1"/>
    <x v="0"/>
    <x v="0"/>
    <x v="0"/>
    <x v="436"/>
    <x v="1"/>
  </r>
  <r>
    <x v="1295"/>
    <x v="1292"/>
    <x v="29"/>
    <x v="0"/>
    <x v="10"/>
    <x v="10"/>
    <x v="3"/>
    <x v="408"/>
    <x v="148"/>
    <x v="162"/>
    <x v="0"/>
    <x v="3"/>
    <x v="661"/>
    <x v="1"/>
    <x v="659"/>
    <x v="1168"/>
    <x v="1235"/>
    <x v="741"/>
    <x v="1225"/>
    <x v="1146"/>
    <x v="3"/>
    <x v="0"/>
    <x v="0"/>
    <x v="0"/>
    <x v="4"/>
    <x v="0"/>
  </r>
  <r>
    <x v="1296"/>
    <x v="1293"/>
    <x v="80"/>
    <x v="0"/>
    <x v="8"/>
    <x v="8"/>
    <x v="3"/>
    <x v="129"/>
    <x v="119"/>
    <x v="35"/>
    <x v="36"/>
    <x v="3"/>
    <x v="662"/>
    <x v="3"/>
    <x v="660"/>
    <x v="1169"/>
    <x v="1236"/>
    <x v="240"/>
    <x v="1226"/>
    <x v="1147"/>
    <x v="5"/>
    <x v="0"/>
    <x v="0"/>
    <x v="1"/>
    <x v="602"/>
    <x v="0"/>
  </r>
  <r>
    <x v="1297"/>
    <x v="1294"/>
    <x v="172"/>
    <x v="0"/>
    <x v="10"/>
    <x v="10"/>
    <x v="3"/>
    <x v="482"/>
    <x v="91"/>
    <x v="98"/>
    <x v="152"/>
    <x v="6"/>
    <x v="438"/>
    <x v="1"/>
    <x v="661"/>
    <x v="1170"/>
    <x v="1237"/>
    <x v="742"/>
    <x v="1227"/>
    <x v="1148"/>
    <x v="5"/>
    <x v="0"/>
    <x v="0"/>
    <x v="0"/>
    <x v="510"/>
    <x v="0"/>
  </r>
  <r>
    <x v="1298"/>
    <x v="1295"/>
    <x v="182"/>
    <x v="0"/>
    <x v="9"/>
    <x v="9"/>
    <x v="0"/>
    <x v="551"/>
    <x v="72"/>
    <x v="143"/>
    <x v="200"/>
    <x v="6"/>
    <x v="116"/>
    <x v="0"/>
    <x v="0"/>
    <x v="250"/>
    <x v="251"/>
    <x v="127"/>
    <x v="247"/>
    <x v="246"/>
    <x v="2"/>
    <x v="0"/>
    <x v="0"/>
    <x v="0"/>
    <x v="287"/>
    <x v="1"/>
  </r>
  <r>
    <x v="1299"/>
    <x v="1296"/>
    <x v="26"/>
    <x v="0"/>
    <x v="8"/>
    <x v="8"/>
    <x v="3"/>
    <x v="325"/>
    <x v="131"/>
    <x v="4"/>
    <x v="143"/>
    <x v="5"/>
    <x v="663"/>
    <x v="0"/>
    <x v="0"/>
    <x v="1171"/>
    <x v="1238"/>
    <x v="743"/>
    <x v="1228"/>
    <x v="1149"/>
    <x v="0"/>
    <x v="0"/>
    <x v="0"/>
    <x v="0"/>
    <x v="453"/>
    <x v="0"/>
  </r>
  <r>
    <x v="1300"/>
    <x v="1297"/>
    <x v="152"/>
    <x v="0"/>
    <x v="8"/>
    <x v="8"/>
    <x v="3"/>
    <x v="76"/>
    <x v="146"/>
    <x v="6"/>
    <x v="20"/>
    <x v="3"/>
    <x v="664"/>
    <x v="0"/>
    <x v="0"/>
    <x v="1172"/>
    <x v="1239"/>
    <x v="744"/>
    <x v="1229"/>
    <x v="1150"/>
    <x v="4"/>
    <x v="0"/>
    <x v="0"/>
    <x v="0"/>
    <x v="489"/>
    <x v="1"/>
  </r>
  <r>
    <x v="1301"/>
    <x v="1298"/>
    <x v="229"/>
    <x v="1"/>
    <x v="1"/>
    <x v="1"/>
    <x v="1"/>
    <x v="174"/>
    <x v="85"/>
    <x v="41"/>
    <x v="245"/>
    <x v="2"/>
    <x v="665"/>
    <x v="4"/>
    <x v="662"/>
    <x v="1173"/>
    <x v="1240"/>
    <x v="745"/>
    <x v="1230"/>
    <x v="1151"/>
    <x v="2"/>
    <x v="0"/>
    <x v="0"/>
    <x v="0"/>
    <x v="281"/>
    <x v="0"/>
  </r>
  <r>
    <x v="1302"/>
    <x v="1299"/>
    <x v="301"/>
    <x v="0"/>
    <x v="9"/>
    <x v="9"/>
    <x v="0"/>
    <x v="128"/>
    <x v="5"/>
    <x v="9"/>
    <x v="9"/>
    <x v="0"/>
    <x v="139"/>
    <x v="0"/>
    <x v="0"/>
    <x v="1174"/>
    <x v="1241"/>
    <x v="155"/>
    <x v="1231"/>
    <x v="685"/>
    <x v="4"/>
    <x v="0"/>
    <x v="0"/>
    <x v="0"/>
    <x v="497"/>
    <x v="1"/>
  </r>
  <r>
    <x v="1303"/>
    <x v="1300"/>
    <x v="145"/>
    <x v="0"/>
    <x v="9"/>
    <x v="9"/>
    <x v="0"/>
    <x v="249"/>
    <x v="42"/>
    <x v="59"/>
    <x v="65"/>
    <x v="0"/>
    <x v="47"/>
    <x v="3"/>
    <x v="232"/>
    <x v="403"/>
    <x v="1242"/>
    <x v="251"/>
    <x v="1232"/>
    <x v="1152"/>
    <x v="2"/>
    <x v="0"/>
    <x v="0"/>
    <x v="0"/>
    <x v="651"/>
    <x v="1"/>
  </r>
  <r>
    <x v="1304"/>
    <x v="1301"/>
    <x v="39"/>
    <x v="0"/>
    <x v="3"/>
    <x v="3"/>
    <x v="2"/>
    <x v="359"/>
    <x v="149"/>
    <x v="23"/>
    <x v="318"/>
    <x v="4"/>
    <x v="666"/>
    <x v="3"/>
    <x v="663"/>
    <x v="1175"/>
    <x v="1243"/>
    <x v="746"/>
    <x v="1233"/>
    <x v="1153"/>
    <x v="0"/>
    <x v="0"/>
    <x v="0"/>
    <x v="2"/>
    <x v="608"/>
    <x v="1"/>
  </r>
  <r>
    <x v="1305"/>
    <x v="1302"/>
    <x v="169"/>
    <x v="0"/>
    <x v="0"/>
    <x v="0"/>
    <x v="0"/>
    <x v="168"/>
    <x v="55"/>
    <x v="158"/>
    <x v="235"/>
    <x v="6"/>
    <x v="362"/>
    <x v="1"/>
    <x v="664"/>
    <x v="1176"/>
    <x v="1244"/>
    <x v="474"/>
    <x v="1234"/>
    <x v="1154"/>
    <x v="1"/>
    <x v="0"/>
    <x v="0"/>
    <x v="2"/>
    <x v="652"/>
    <x v="0"/>
  </r>
  <r>
    <x v="1306"/>
    <x v="1303"/>
    <x v="330"/>
    <x v="0"/>
    <x v="3"/>
    <x v="3"/>
    <x v="2"/>
    <x v="228"/>
    <x v="86"/>
    <x v="46"/>
    <x v="138"/>
    <x v="3"/>
    <x v="667"/>
    <x v="0"/>
    <x v="0"/>
    <x v="1177"/>
    <x v="1245"/>
    <x v="702"/>
    <x v="1235"/>
    <x v="1155"/>
    <x v="0"/>
    <x v="0"/>
    <x v="0"/>
    <x v="0"/>
    <x v="653"/>
    <x v="1"/>
  </r>
  <r>
    <x v="1307"/>
    <x v="1304"/>
    <x v="131"/>
    <x v="0"/>
    <x v="6"/>
    <x v="6"/>
    <x v="3"/>
    <x v="272"/>
    <x v="7"/>
    <x v="112"/>
    <x v="141"/>
    <x v="2"/>
    <x v="7"/>
    <x v="0"/>
    <x v="0"/>
    <x v="839"/>
    <x v="1246"/>
    <x v="65"/>
    <x v="1236"/>
    <x v="1156"/>
    <x v="3"/>
    <x v="0"/>
    <x v="0"/>
    <x v="0"/>
    <x v="319"/>
    <x v="0"/>
  </r>
  <r>
    <x v="1308"/>
    <x v="1305"/>
    <x v="67"/>
    <x v="0"/>
    <x v="8"/>
    <x v="8"/>
    <x v="3"/>
    <x v="500"/>
    <x v="3"/>
    <x v="67"/>
    <x v="76"/>
    <x v="6"/>
    <x v="3"/>
    <x v="0"/>
    <x v="0"/>
    <x v="908"/>
    <x v="1247"/>
    <x v="747"/>
    <x v="1237"/>
    <x v="1157"/>
    <x v="0"/>
    <x v="0"/>
    <x v="0"/>
    <x v="0"/>
    <x v="96"/>
    <x v="0"/>
  </r>
  <r>
    <x v="1309"/>
    <x v="1306"/>
    <x v="262"/>
    <x v="0"/>
    <x v="4"/>
    <x v="4"/>
    <x v="2"/>
    <x v="181"/>
    <x v="59"/>
    <x v="15"/>
    <x v="84"/>
    <x v="2"/>
    <x v="233"/>
    <x v="4"/>
    <x v="591"/>
    <x v="1049"/>
    <x v="1248"/>
    <x v="281"/>
    <x v="1238"/>
    <x v="732"/>
    <x v="2"/>
    <x v="0"/>
    <x v="0"/>
    <x v="0"/>
    <x v="511"/>
    <x v="1"/>
  </r>
  <r>
    <x v="1310"/>
    <x v="1307"/>
    <x v="212"/>
    <x v="1"/>
    <x v="1"/>
    <x v="1"/>
    <x v="1"/>
    <x v="205"/>
    <x v="9"/>
    <x v="126"/>
    <x v="164"/>
    <x v="3"/>
    <x v="668"/>
    <x v="2"/>
    <x v="665"/>
    <x v="1178"/>
    <x v="1249"/>
    <x v="57"/>
    <x v="1239"/>
    <x v="1158"/>
    <x v="0"/>
    <x v="0"/>
    <x v="0"/>
    <x v="0"/>
    <x v="235"/>
    <x v="1"/>
  </r>
  <r>
    <x v="1311"/>
    <x v="1308"/>
    <x v="334"/>
    <x v="0"/>
    <x v="3"/>
    <x v="3"/>
    <x v="2"/>
    <x v="496"/>
    <x v="5"/>
    <x v="58"/>
    <x v="122"/>
    <x v="2"/>
    <x v="139"/>
    <x v="4"/>
    <x v="99"/>
    <x v="522"/>
    <x v="537"/>
    <x v="428"/>
    <x v="533"/>
    <x v="517"/>
    <x v="2"/>
    <x v="1"/>
    <x v="1"/>
    <x v="0"/>
    <x v="220"/>
    <x v="1"/>
  </r>
  <r>
    <x v="1312"/>
    <x v="1309"/>
    <x v="261"/>
    <x v="1"/>
    <x v="11"/>
    <x v="11"/>
    <x v="1"/>
    <x v="538"/>
    <x v="56"/>
    <x v="141"/>
    <x v="315"/>
    <x v="6"/>
    <x v="64"/>
    <x v="0"/>
    <x v="0"/>
    <x v="899"/>
    <x v="1109"/>
    <x v="628"/>
    <x v="1100"/>
    <x v="304"/>
    <x v="4"/>
    <x v="0"/>
    <x v="0"/>
    <x v="1"/>
    <x v="415"/>
    <x v="1"/>
  </r>
  <r>
    <x v="1313"/>
    <x v="1310"/>
    <x v="39"/>
    <x v="0"/>
    <x v="3"/>
    <x v="3"/>
    <x v="2"/>
    <x v="339"/>
    <x v="46"/>
    <x v="141"/>
    <x v="231"/>
    <x v="2"/>
    <x v="100"/>
    <x v="4"/>
    <x v="666"/>
    <x v="1179"/>
    <x v="1250"/>
    <x v="392"/>
    <x v="1240"/>
    <x v="1159"/>
    <x v="2"/>
    <x v="0"/>
    <x v="0"/>
    <x v="0"/>
    <x v="418"/>
    <x v="1"/>
  </r>
  <r>
    <x v="1314"/>
    <x v="1311"/>
    <x v="145"/>
    <x v="0"/>
    <x v="9"/>
    <x v="9"/>
    <x v="0"/>
    <x v="552"/>
    <x v="88"/>
    <x v="56"/>
    <x v="61"/>
    <x v="6"/>
    <x v="669"/>
    <x v="3"/>
    <x v="667"/>
    <x v="1180"/>
    <x v="1251"/>
    <x v="394"/>
    <x v="1241"/>
    <x v="1160"/>
    <x v="2"/>
    <x v="0"/>
    <x v="0"/>
    <x v="0"/>
    <x v="526"/>
    <x v="1"/>
  </r>
  <r>
    <x v="1315"/>
    <x v="1312"/>
    <x v="330"/>
    <x v="0"/>
    <x v="3"/>
    <x v="3"/>
    <x v="2"/>
    <x v="429"/>
    <x v="61"/>
    <x v="48"/>
    <x v="52"/>
    <x v="1"/>
    <x v="69"/>
    <x v="4"/>
    <x v="164"/>
    <x v="1181"/>
    <x v="1252"/>
    <x v="388"/>
    <x v="1242"/>
    <x v="1161"/>
    <x v="5"/>
    <x v="0"/>
    <x v="0"/>
    <x v="0"/>
    <x v="208"/>
    <x v="1"/>
  </r>
  <r>
    <x v="1316"/>
    <x v="1313"/>
    <x v="341"/>
    <x v="0"/>
    <x v="0"/>
    <x v="0"/>
    <x v="0"/>
    <x v="116"/>
    <x v="44"/>
    <x v="114"/>
    <x v="83"/>
    <x v="0"/>
    <x v="242"/>
    <x v="3"/>
    <x v="668"/>
    <x v="1182"/>
    <x v="1253"/>
    <x v="748"/>
    <x v="1243"/>
    <x v="1162"/>
    <x v="5"/>
    <x v="0"/>
    <x v="0"/>
    <x v="0"/>
    <x v="250"/>
    <x v="1"/>
  </r>
  <r>
    <x v="1317"/>
    <x v="1314"/>
    <x v="297"/>
    <x v="0"/>
    <x v="8"/>
    <x v="8"/>
    <x v="3"/>
    <x v="358"/>
    <x v="133"/>
    <x v="4"/>
    <x v="235"/>
    <x v="6"/>
    <x v="333"/>
    <x v="0"/>
    <x v="0"/>
    <x v="1183"/>
    <x v="1254"/>
    <x v="600"/>
    <x v="1244"/>
    <x v="1163"/>
    <x v="1"/>
    <x v="0"/>
    <x v="0"/>
    <x v="0"/>
    <x v="505"/>
    <x v="1"/>
  </r>
  <r>
    <x v="1318"/>
    <x v="1315"/>
    <x v="257"/>
    <x v="0"/>
    <x v="3"/>
    <x v="3"/>
    <x v="2"/>
    <x v="58"/>
    <x v="121"/>
    <x v="33"/>
    <x v="16"/>
    <x v="4"/>
    <x v="670"/>
    <x v="0"/>
    <x v="0"/>
    <x v="1184"/>
    <x v="1255"/>
    <x v="338"/>
    <x v="1245"/>
    <x v="1164"/>
    <x v="0"/>
    <x v="0"/>
    <x v="0"/>
    <x v="1"/>
    <x v="236"/>
    <x v="1"/>
  </r>
  <r>
    <x v="1319"/>
    <x v="1316"/>
    <x v="242"/>
    <x v="1"/>
    <x v="7"/>
    <x v="7"/>
    <x v="1"/>
    <x v="253"/>
    <x v="43"/>
    <x v="141"/>
    <x v="231"/>
    <x v="2"/>
    <x v="671"/>
    <x v="2"/>
    <x v="669"/>
    <x v="1185"/>
    <x v="1256"/>
    <x v="636"/>
    <x v="1246"/>
    <x v="1165"/>
    <x v="4"/>
    <x v="0"/>
    <x v="0"/>
    <x v="0"/>
    <x v="0"/>
    <x v="0"/>
  </r>
  <r>
    <x v="1320"/>
    <x v="1317"/>
    <x v="286"/>
    <x v="0"/>
    <x v="4"/>
    <x v="4"/>
    <x v="2"/>
    <x v="159"/>
    <x v="88"/>
    <x v="66"/>
    <x v="75"/>
    <x v="0"/>
    <x v="117"/>
    <x v="2"/>
    <x v="402"/>
    <x v="1161"/>
    <x v="1257"/>
    <x v="594"/>
    <x v="1247"/>
    <x v="1166"/>
    <x v="5"/>
    <x v="0"/>
    <x v="0"/>
    <x v="0"/>
    <x v="654"/>
    <x v="1"/>
  </r>
  <r>
    <x v="1321"/>
    <x v="1318"/>
    <x v="24"/>
    <x v="1"/>
    <x v="7"/>
    <x v="7"/>
    <x v="1"/>
    <x v="485"/>
    <x v="57"/>
    <x v="130"/>
    <x v="175"/>
    <x v="4"/>
    <x v="672"/>
    <x v="1"/>
    <x v="670"/>
    <x v="1186"/>
    <x v="1258"/>
    <x v="261"/>
    <x v="1248"/>
    <x v="1167"/>
    <x v="0"/>
    <x v="0"/>
    <x v="0"/>
    <x v="2"/>
    <x v="158"/>
    <x v="0"/>
  </r>
  <r>
    <x v="1322"/>
    <x v="1319"/>
    <x v="246"/>
    <x v="0"/>
    <x v="5"/>
    <x v="5"/>
    <x v="0"/>
    <x v="553"/>
    <x v="42"/>
    <x v="12"/>
    <x v="12"/>
    <x v="1"/>
    <x v="47"/>
    <x v="0"/>
    <x v="0"/>
    <x v="876"/>
    <x v="1259"/>
    <x v="47"/>
    <x v="1249"/>
    <x v="196"/>
    <x v="2"/>
    <x v="0"/>
    <x v="0"/>
    <x v="0"/>
    <x v="640"/>
    <x v="1"/>
  </r>
  <r>
    <x v="1323"/>
    <x v="1320"/>
    <x v="52"/>
    <x v="0"/>
    <x v="9"/>
    <x v="9"/>
    <x v="0"/>
    <x v="20"/>
    <x v="133"/>
    <x v="158"/>
    <x v="235"/>
    <x v="6"/>
    <x v="673"/>
    <x v="0"/>
    <x v="0"/>
    <x v="588"/>
    <x v="1260"/>
    <x v="600"/>
    <x v="1250"/>
    <x v="1168"/>
    <x v="3"/>
    <x v="0"/>
    <x v="0"/>
    <x v="2"/>
    <x v="28"/>
    <x v="0"/>
  </r>
  <r>
    <x v="1324"/>
    <x v="1321"/>
    <x v="13"/>
    <x v="0"/>
    <x v="2"/>
    <x v="2"/>
    <x v="2"/>
    <x v="249"/>
    <x v="79"/>
    <x v="100"/>
    <x v="232"/>
    <x v="2"/>
    <x v="258"/>
    <x v="3"/>
    <x v="671"/>
    <x v="1187"/>
    <x v="1261"/>
    <x v="327"/>
    <x v="1251"/>
    <x v="1169"/>
    <x v="5"/>
    <x v="0"/>
    <x v="0"/>
    <x v="0"/>
    <x v="303"/>
    <x v="1"/>
  </r>
  <r>
    <x v="1325"/>
    <x v="1322"/>
    <x v="49"/>
    <x v="0"/>
    <x v="0"/>
    <x v="0"/>
    <x v="0"/>
    <x v="98"/>
    <x v="95"/>
    <x v="170"/>
    <x v="322"/>
    <x v="5"/>
    <x v="674"/>
    <x v="4"/>
    <x v="672"/>
    <x v="1188"/>
    <x v="1262"/>
    <x v="138"/>
    <x v="1252"/>
    <x v="1170"/>
    <x v="2"/>
    <x v="0"/>
    <x v="0"/>
    <x v="2"/>
    <x v="655"/>
    <x v="0"/>
  </r>
  <r>
    <x v="1326"/>
    <x v="1323"/>
    <x v="87"/>
    <x v="0"/>
    <x v="10"/>
    <x v="10"/>
    <x v="3"/>
    <x v="283"/>
    <x v="27"/>
    <x v="99"/>
    <x v="60"/>
    <x v="2"/>
    <x v="675"/>
    <x v="0"/>
    <x v="0"/>
    <x v="1189"/>
    <x v="1263"/>
    <x v="31"/>
    <x v="1253"/>
    <x v="1171"/>
    <x v="3"/>
    <x v="0"/>
    <x v="0"/>
    <x v="0"/>
    <x v="106"/>
    <x v="0"/>
  </r>
  <r>
    <x v="1327"/>
    <x v="1324"/>
    <x v="124"/>
    <x v="0"/>
    <x v="5"/>
    <x v="5"/>
    <x v="0"/>
    <x v="55"/>
    <x v="35"/>
    <x v="118"/>
    <x v="149"/>
    <x v="7"/>
    <x v="676"/>
    <x v="3"/>
    <x v="673"/>
    <x v="1190"/>
    <x v="1264"/>
    <x v="749"/>
    <x v="1254"/>
    <x v="1172"/>
    <x v="0"/>
    <x v="0"/>
    <x v="0"/>
    <x v="0"/>
    <x v="28"/>
    <x v="1"/>
  </r>
  <r>
    <x v="1328"/>
    <x v="1325"/>
    <x v="132"/>
    <x v="1"/>
    <x v="1"/>
    <x v="1"/>
    <x v="1"/>
    <x v="554"/>
    <x v="32"/>
    <x v="38"/>
    <x v="321"/>
    <x v="2"/>
    <x v="36"/>
    <x v="1"/>
    <x v="674"/>
    <x v="1191"/>
    <x v="1265"/>
    <x v="233"/>
    <x v="1255"/>
    <x v="1173"/>
    <x v="1"/>
    <x v="0"/>
    <x v="0"/>
    <x v="0"/>
    <x v="329"/>
    <x v="0"/>
  </r>
  <r>
    <x v="1329"/>
    <x v="1326"/>
    <x v="47"/>
    <x v="0"/>
    <x v="5"/>
    <x v="5"/>
    <x v="0"/>
    <x v="404"/>
    <x v="38"/>
    <x v="146"/>
    <x v="306"/>
    <x v="6"/>
    <x v="43"/>
    <x v="3"/>
    <x v="419"/>
    <x v="744"/>
    <x v="1266"/>
    <x v="263"/>
    <x v="1256"/>
    <x v="375"/>
    <x v="0"/>
    <x v="0"/>
    <x v="0"/>
    <x v="0"/>
    <x v="521"/>
    <x v="0"/>
  </r>
  <r>
    <x v="1330"/>
    <x v="1327"/>
    <x v="80"/>
    <x v="0"/>
    <x v="8"/>
    <x v="8"/>
    <x v="3"/>
    <x v="129"/>
    <x v="4"/>
    <x v="56"/>
    <x v="61"/>
    <x v="4"/>
    <x v="677"/>
    <x v="0"/>
    <x v="0"/>
    <x v="1192"/>
    <x v="1267"/>
    <x v="430"/>
    <x v="1257"/>
    <x v="1174"/>
    <x v="0"/>
    <x v="0"/>
    <x v="0"/>
    <x v="2"/>
    <x v="655"/>
    <x v="0"/>
  </r>
  <r>
    <x v="1331"/>
    <x v="1328"/>
    <x v="317"/>
    <x v="0"/>
    <x v="9"/>
    <x v="9"/>
    <x v="0"/>
    <x v="555"/>
    <x v="80"/>
    <x v="99"/>
    <x v="135"/>
    <x v="0"/>
    <x v="102"/>
    <x v="2"/>
    <x v="675"/>
    <x v="1193"/>
    <x v="1268"/>
    <x v="750"/>
    <x v="1258"/>
    <x v="1175"/>
    <x v="3"/>
    <x v="0"/>
    <x v="0"/>
    <x v="0"/>
    <x v="184"/>
    <x v="1"/>
  </r>
  <r>
    <x v="1332"/>
    <x v="1329"/>
    <x v="322"/>
    <x v="1"/>
    <x v="11"/>
    <x v="11"/>
    <x v="1"/>
    <x v="60"/>
    <x v="88"/>
    <x v="124"/>
    <x v="286"/>
    <x v="4"/>
    <x v="117"/>
    <x v="4"/>
    <x v="676"/>
    <x v="1194"/>
    <x v="1269"/>
    <x v="219"/>
    <x v="1259"/>
    <x v="1176"/>
    <x v="5"/>
    <x v="0"/>
    <x v="0"/>
    <x v="2"/>
    <x v="656"/>
    <x v="1"/>
  </r>
  <r>
    <x v="1333"/>
    <x v="1330"/>
    <x v="135"/>
    <x v="1"/>
    <x v="7"/>
    <x v="7"/>
    <x v="1"/>
    <x v="120"/>
    <x v="115"/>
    <x v="34"/>
    <x v="32"/>
    <x v="3"/>
    <x v="678"/>
    <x v="0"/>
    <x v="0"/>
    <x v="1195"/>
    <x v="1270"/>
    <x v="696"/>
    <x v="1260"/>
    <x v="1177"/>
    <x v="0"/>
    <x v="0"/>
    <x v="0"/>
    <x v="0"/>
    <x v="204"/>
    <x v="0"/>
  </r>
  <r>
    <x v="1334"/>
    <x v="1331"/>
    <x v="162"/>
    <x v="0"/>
    <x v="8"/>
    <x v="8"/>
    <x v="3"/>
    <x v="556"/>
    <x v="1"/>
    <x v="139"/>
    <x v="91"/>
    <x v="6"/>
    <x v="1"/>
    <x v="4"/>
    <x v="677"/>
    <x v="1196"/>
    <x v="1271"/>
    <x v="681"/>
    <x v="1261"/>
    <x v="1178"/>
    <x v="1"/>
    <x v="0"/>
    <x v="0"/>
    <x v="0"/>
    <x v="11"/>
    <x v="0"/>
  </r>
  <r>
    <x v="1335"/>
    <x v="1332"/>
    <x v="52"/>
    <x v="0"/>
    <x v="9"/>
    <x v="9"/>
    <x v="0"/>
    <x v="275"/>
    <x v="68"/>
    <x v="74"/>
    <x v="99"/>
    <x v="6"/>
    <x v="82"/>
    <x v="4"/>
    <x v="520"/>
    <x v="1197"/>
    <x v="1272"/>
    <x v="403"/>
    <x v="1262"/>
    <x v="1179"/>
    <x v="2"/>
    <x v="0"/>
    <x v="0"/>
    <x v="0"/>
    <x v="142"/>
    <x v="0"/>
  </r>
  <r>
    <x v="1336"/>
    <x v="1333"/>
    <x v="238"/>
    <x v="0"/>
    <x v="3"/>
    <x v="3"/>
    <x v="2"/>
    <x v="557"/>
    <x v="93"/>
    <x v="152"/>
    <x v="320"/>
    <x v="6"/>
    <x v="323"/>
    <x v="3"/>
    <x v="289"/>
    <x v="511"/>
    <x v="525"/>
    <x v="422"/>
    <x v="521"/>
    <x v="506"/>
    <x v="4"/>
    <x v="0"/>
    <x v="0"/>
    <x v="0"/>
    <x v="437"/>
    <x v="1"/>
  </r>
  <r>
    <x v="1337"/>
    <x v="1334"/>
    <x v="150"/>
    <x v="0"/>
    <x v="2"/>
    <x v="2"/>
    <x v="2"/>
    <x v="450"/>
    <x v="101"/>
    <x v="158"/>
    <x v="235"/>
    <x v="2"/>
    <x v="134"/>
    <x v="4"/>
    <x v="678"/>
    <x v="1198"/>
    <x v="1273"/>
    <x v="633"/>
    <x v="1263"/>
    <x v="1180"/>
    <x v="1"/>
    <x v="0"/>
    <x v="0"/>
    <x v="0"/>
    <x v="657"/>
    <x v="1"/>
  </r>
  <r>
    <x v="1338"/>
    <x v="1335"/>
    <x v="310"/>
    <x v="0"/>
    <x v="0"/>
    <x v="0"/>
    <x v="0"/>
    <x v="387"/>
    <x v="52"/>
    <x v="27"/>
    <x v="28"/>
    <x v="4"/>
    <x v="59"/>
    <x v="3"/>
    <x v="679"/>
    <x v="1199"/>
    <x v="1274"/>
    <x v="602"/>
    <x v="1264"/>
    <x v="1181"/>
    <x v="4"/>
    <x v="0"/>
    <x v="0"/>
    <x v="1"/>
    <x v="291"/>
    <x v="1"/>
  </r>
  <r>
    <x v="1339"/>
    <x v="1336"/>
    <x v="115"/>
    <x v="0"/>
    <x v="10"/>
    <x v="10"/>
    <x v="3"/>
    <x v="268"/>
    <x v="5"/>
    <x v="91"/>
    <x v="110"/>
    <x v="2"/>
    <x v="139"/>
    <x v="1"/>
    <x v="680"/>
    <x v="1200"/>
    <x v="1275"/>
    <x v="428"/>
    <x v="1265"/>
    <x v="1182"/>
    <x v="3"/>
    <x v="0"/>
    <x v="0"/>
    <x v="1"/>
    <x v="486"/>
    <x v="1"/>
  </r>
  <r>
    <x v="1340"/>
    <x v="1337"/>
    <x v="80"/>
    <x v="0"/>
    <x v="8"/>
    <x v="8"/>
    <x v="3"/>
    <x v="231"/>
    <x v="44"/>
    <x v="137"/>
    <x v="35"/>
    <x v="2"/>
    <x v="679"/>
    <x v="1"/>
    <x v="681"/>
    <x v="1201"/>
    <x v="1276"/>
    <x v="49"/>
    <x v="1266"/>
    <x v="1183"/>
    <x v="0"/>
    <x v="0"/>
    <x v="0"/>
    <x v="2"/>
    <x v="658"/>
    <x v="0"/>
  </r>
  <r>
    <x v="1341"/>
    <x v="1338"/>
    <x v="8"/>
    <x v="0"/>
    <x v="4"/>
    <x v="4"/>
    <x v="2"/>
    <x v="509"/>
    <x v="91"/>
    <x v="104"/>
    <x v="221"/>
    <x v="1"/>
    <x v="438"/>
    <x v="2"/>
    <x v="682"/>
    <x v="1202"/>
    <x v="1277"/>
    <x v="751"/>
    <x v="1267"/>
    <x v="1184"/>
    <x v="0"/>
    <x v="0"/>
    <x v="0"/>
    <x v="0"/>
    <x v="659"/>
    <x v="0"/>
  </r>
  <r>
    <x v="1342"/>
    <x v="1339"/>
    <x v="40"/>
    <x v="0"/>
    <x v="2"/>
    <x v="2"/>
    <x v="2"/>
    <x v="241"/>
    <x v="1"/>
    <x v="158"/>
    <x v="235"/>
    <x v="1"/>
    <x v="1"/>
    <x v="1"/>
    <x v="211"/>
    <x v="1203"/>
    <x v="1278"/>
    <x v="1"/>
    <x v="1268"/>
    <x v="1185"/>
    <x v="1"/>
    <x v="0"/>
    <x v="0"/>
    <x v="0"/>
    <x v="52"/>
    <x v="0"/>
  </r>
  <r>
    <x v="1343"/>
    <x v="1340"/>
    <x v="302"/>
    <x v="0"/>
    <x v="2"/>
    <x v="2"/>
    <x v="2"/>
    <x v="558"/>
    <x v="108"/>
    <x v="20"/>
    <x v="25"/>
    <x v="2"/>
    <x v="147"/>
    <x v="3"/>
    <x v="683"/>
    <x v="1204"/>
    <x v="1279"/>
    <x v="588"/>
    <x v="1269"/>
    <x v="1186"/>
    <x v="1"/>
    <x v="0"/>
    <x v="0"/>
    <x v="0"/>
    <x v="660"/>
    <x v="1"/>
  </r>
  <r>
    <x v="1344"/>
    <x v="1341"/>
    <x v="7"/>
    <x v="1"/>
    <x v="1"/>
    <x v="1"/>
    <x v="1"/>
    <x v="1"/>
    <x v="100"/>
    <x v="56"/>
    <x v="186"/>
    <x v="6"/>
    <x v="132"/>
    <x v="1"/>
    <x v="684"/>
    <x v="1205"/>
    <x v="1280"/>
    <x v="752"/>
    <x v="1270"/>
    <x v="1187"/>
    <x v="3"/>
    <x v="0"/>
    <x v="0"/>
    <x v="0"/>
    <x v="595"/>
    <x v="0"/>
  </r>
  <r>
    <x v="1345"/>
    <x v="1342"/>
    <x v="96"/>
    <x v="0"/>
    <x v="3"/>
    <x v="3"/>
    <x v="2"/>
    <x v="73"/>
    <x v="149"/>
    <x v="147"/>
    <x v="208"/>
    <x v="4"/>
    <x v="680"/>
    <x v="0"/>
    <x v="0"/>
    <x v="1206"/>
    <x v="1281"/>
    <x v="746"/>
    <x v="1271"/>
    <x v="1188"/>
    <x v="3"/>
    <x v="0"/>
    <x v="0"/>
    <x v="0"/>
    <x v="661"/>
    <x v="0"/>
  </r>
  <r>
    <x v="1346"/>
    <x v="1343"/>
    <x v="63"/>
    <x v="0"/>
    <x v="9"/>
    <x v="9"/>
    <x v="0"/>
    <x v="85"/>
    <x v="62"/>
    <x v="15"/>
    <x v="118"/>
    <x v="3"/>
    <x v="681"/>
    <x v="2"/>
    <x v="685"/>
    <x v="1207"/>
    <x v="1282"/>
    <x v="753"/>
    <x v="1272"/>
    <x v="1189"/>
    <x v="0"/>
    <x v="0"/>
    <x v="0"/>
    <x v="2"/>
    <x v="662"/>
    <x v="0"/>
  </r>
  <r>
    <x v="1347"/>
    <x v="1344"/>
    <x v="157"/>
    <x v="1"/>
    <x v="7"/>
    <x v="7"/>
    <x v="1"/>
    <x v="335"/>
    <x v="71"/>
    <x v="122"/>
    <x v="45"/>
    <x v="2"/>
    <x v="130"/>
    <x v="2"/>
    <x v="686"/>
    <x v="1208"/>
    <x v="1283"/>
    <x v="734"/>
    <x v="1273"/>
    <x v="1190"/>
    <x v="2"/>
    <x v="0"/>
    <x v="0"/>
    <x v="2"/>
    <x v="662"/>
    <x v="1"/>
  </r>
  <r>
    <x v="1348"/>
    <x v="1345"/>
    <x v="47"/>
    <x v="0"/>
    <x v="5"/>
    <x v="5"/>
    <x v="0"/>
    <x v="403"/>
    <x v="27"/>
    <x v="137"/>
    <x v="189"/>
    <x v="5"/>
    <x v="682"/>
    <x v="0"/>
    <x v="0"/>
    <x v="1209"/>
    <x v="1284"/>
    <x v="754"/>
    <x v="1274"/>
    <x v="1191"/>
    <x v="3"/>
    <x v="0"/>
    <x v="0"/>
    <x v="2"/>
    <x v="350"/>
    <x v="0"/>
  </r>
  <r>
    <x v="1349"/>
    <x v="1346"/>
    <x v="203"/>
    <x v="0"/>
    <x v="4"/>
    <x v="4"/>
    <x v="2"/>
    <x v="203"/>
    <x v="143"/>
    <x v="136"/>
    <x v="142"/>
    <x v="0"/>
    <x v="459"/>
    <x v="0"/>
    <x v="0"/>
    <x v="1210"/>
    <x v="1285"/>
    <x v="755"/>
    <x v="1275"/>
    <x v="1192"/>
    <x v="2"/>
    <x v="0"/>
    <x v="0"/>
    <x v="0"/>
    <x v="162"/>
    <x v="0"/>
  </r>
  <r>
    <x v="1350"/>
    <x v="1347"/>
    <x v="77"/>
    <x v="0"/>
    <x v="4"/>
    <x v="4"/>
    <x v="2"/>
    <x v="436"/>
    <x v="59"/>
    <x v="162"/>
    <x v="210"/>
    <x v="3"/>
    <x v="683"/>
    <x v="0"/>
    <x v="0"/>
    <x v="1211"/>
    <x v="1286"/>
    <x v="326"/>
    <x v="1276"/>
    <x v="1193"/>
    <x v="2"/>
    <x v="0"/>
    <x v="0"/>
    <x v="0"/>
    <x v="426"/>
    <x v="1"/>
  </r>
  <r>
    <x v="1351"/>
    <x v="1348"/>
    <x v="118"/>
    <x v="0"/>
    <x v="5"/>
    <x v="5"/>
    <x v="0"/>
    <x v="559"/>
    <x v="7"/>
    <x v="29"/>
    <x v="30"/>
    <x v="0"/>
    <x v="7"/>
    <x v="0"/>
    <x v="0"/>
    <x v="1212"/>
    <x v="1287"/>
    <x v="175"/>
    <x v="1277"/>
    <x v="1194"/>
    <x v="4"/>
    <x v="0"/>
    <x v="0"/>
    <x v="0"/>
    <x v="261"/>
    <x v="0"/>
  </r>
  <r>
    <x v="1352"/>
    <x v="1349"/>
    <x v="228"/>
    <x v="0"/>
    <x v="6"/>
    <x v="6"/>
    <x v="3"/>
    <x v="410"/>
    <x v="42"/>
    <x v="38"/>
    <x v="40"/>
    <x v="2"/>
    <x v="47"/>
    <x v="2"/>
    <x v="687"/>
    <x v="1213"/>
    <x v="1288"/>
    <x v="562"/>
    <x v="1278"/>
    <x v="1195"/>
    <x v="2"/>
    <x v="0"/>
    <x v="0"/>
    <x v="1"/>
    <x v="663"/>
    <x v="0"/>
  </r>
  <r>
    <x v="1353"/>
    <x v="1350"/>
    <x v="33"/>
    <x v="0"/>
    <x v="8"/>
    <x v="8"/>
    <x v="3"/>
    <x v="317"/>
    <x v="6"/>
    <x v="164"/>
    <x v="323"/>
    <x v="1"/>
    <x v="6"/>
    <x v="0"/>
    <x v="0"/>
    <x v="154"/>
    <x v="154"/>
    <x v="145"/>
    <x v="150"/>
    <x v="6"/>
    <x v="5"/>
    <x v="0"/>
    <x v="0"/>
    <x v="2"/>
    <x v="511"/>
    <x v="0"/>
  </r>
  <r>
    <x v="1354"/>
    <x v="1351"/>
    <x v="304"/>
    <x v="0"/>
    <x v="5"/>
    <x v="5"/>
    <x v="0"/>
    <x v="336"/>
    <x v="78"/>
    <x v="151"/>
    <x v="215"/>
    <x v="4"/>
    <x v="684"/>
    <x v="2"/>
    <x v="688"/>
    <x v="1214"/>
    <x v="1289"/>
    <x v="756"/>
    <x v="1279"/>
    <x v="1196"/>
    <x v="4"/>
    <x v="0"/>
    <x v="0"/>
    <x v="1"/>
    <x v="492"/>
    <x v="1"/>
  </r>
  <r>
    <x v="1355"/>
    <x v="1352"/>
    <x v="29"/>
    <x v="0"/>
    <x v="10"/>
    <x v="10"/>
    <x v="3"/>
    <x v="165"/>
    <x v="12"/>
    <x v="80"/>
    <x v="193"/>
    <x v="2"/>
    <x v="685"/>
    <x v="0"/>
    <x v="0"/>
    <x v="1215"/>
    <x v="1290"/>
    <x v="143"/>
    <x v="1280"/>
    <x v="1197"/>
    <x v="5"/>
    <x v="0"/>
    <x v="0"/>
    <x v="2"/>
    <x v="506"/>
    <x v="0"/>
  </r>
  <r>
    <x v="1356"/>
    <x v="1353"/>
    <x v="266"/>
    <x v="0"/>
    <x v="6"/>
    <x v="6"/>
    <x v="3"/>
    <x v="334"/>
    <x v="143"/>
    <x v="175"/>
    <x v="305"/>
    <x v="1"/>
    <x v="459"/>
    <x v="0"/>
    <x v="0"/>
    <x v="1216"/>
    <x v="1291"/>
    <x v="757"/>
    <x v="1281"/>
    <x v="1198"/>
    <x v="4"/>
    <x v="0"/>
    <x v="0"/>
    <x v="0"/>
    <x v="316"/>
    <x v="0"/>
  </r>
  <r>
    <x v="1357"/>
    <x v="1354"/>
    <x v="312"/>
    <x v="1"/>
    <x v="11"/>
    <x v="11"/>
    <x v="1"/>
    <x v="500"/>
    <x v="103"/>
    <x v="175"/>
    <x v="305"/>
    <x v="6"/>
    <x v="224"/>
    <x v="2"/>
    <x v="689"/>
    <x v="1217"/>
    <x v="1292"/>
    <x v="415"/>
    <x v="1282"/>
    <x v="1199"/>
    <x v="3"/>
    <x v="0"/>
    <x v="0"/>
    <x v="0"/>
    <x v="214"/>
    <x v="1"/>
  </r>
  <r>
    <x v="1358"/>
    <x v="1355"/>
    <x v="264"/>
    <x v="1"/>
    <x v="7"/>
    <x v="7"/>
    <x v="1"/>
    <x v="482"/>
    <x v="62"/>
    <x v="103"/>
    <x v="129"/>
    <x v="1"/>
    <x v="192"/>
    <x v="0"/>
    <x v="0"/>
    <x v="1218"/>
    <x v="1293"/>
    <x v="235"/>
    <x v="1283"/>
    <x v="1200"/>
    <x v="0"/>
    <x v="0"/>
    <x v="0"/>
    <x v="1"/>
    <x v="634"/>
    <x v="1"/>
  </r>
  <r>
    <x v="1359"/>
    <x v="1356"/>
    <x v="2"/>
    <x v="0"/>
    <x v="2"/>
    <x v="2"/>
    <x v="2"/>
    <x v="55"/>
    <x v="23"/>
    <x v="100"/>
    <x v="232"/>
    <x v="7"/>
    <x v="686"/>
    <x v="4"/>
    <x v="690"/>
    <x v="1219"/>
    <x v="1294"/>
    <x v="758"/>
    <x v="1284"/>
    <x v="1201"/>
    <x v="4"/>
    <x v="1"/>
    <x v="1"/>
    <x v="0"/>
    <x v="271"/>
    <x v="0"/>
  </r>
  <r>
    <x v="1360"/>
    <x v="1357"/>
    <x v="100"/>
    <x v="0"/>
    <x v="4"/>
    <x v="4"/>
    <x v="2"/>
    <x v="463"/>
    <x v="44"/>
    <x v="75"/>
    <x v="174"/>
    <x v="1"/>
    <x v="242"/>
    <x v="3"/>
    <x v="226"/>
    <x v="433"/>
    <x v="444"/>
    <x v="296"/>
    <x v="441"/>
    <x v="429"/>
    <x v="2"/>
    <x v="0"/>
    <x v="0"/>
    <x v="2"/>
    <x v="417"/>
    <x v="0"/>
  </r>
  <r>
    <x v="1361"/>
    <x v="1358"/>
    <x v="244"/>
    <x v="0"/>
    <x v="5"/>
    <x v="5"/>
    <x v="0"/>
    <x v="269"/>
    <x v="35"/>
    <x v="96"/>
    <x v="120"/>
    <x v="2"/>
    <x v="687"/>
    <x v="0"/>
    <x v="0"/>
    <x v="1220"/>
    <x v="1295"/>
    <x v="275"/>
    <x v="1285"/>
    <x v="1202"/>
    <x v="4"/>
    <x v="0"/>
    <x v="0"/>
    <x v="1"/>
    <x v="538"/>
    <x v="1"/>
  </r>
  <r>
    <x v="1362"/>
    <x v="1359"/>
    <x v="100"/>
    <x v="0"/>
    <x v="4"/>
    <x v="4"/>
    <x v="2"/>
    <x v="252"/>
    <x v="106"/>
    <x v="72"/>
    <x v="85"/>
    <x v="6"/>
    <x v="145"/>
    <x v="0"/>
    <x v="0"/>
    <x v="1221"/>
    <x v="1296"/>
    <x v="694"/>
    <x v="1286"/>
    <x v="1203"/>
    <x v="0"/>
    <x v="0"/>
    <x v="0"/>
    <x v="0"/>
    <x v="244"/>
    <x v="0"/>
  </r>
  <r>
    <x v="1363"/>
    <x v="1360"/>
    <x v="122"/>
    <x v="0"/>
    <x v="10"/>
    <x v="10"/>
    <x v="3"/>
    <x v="560"/>
    <x v="67"/>
    <x v="99"/>
    <x v="303"/>
    <x v="6"/>
    <x v="81"/>
    <x v="4"/>
    <x v="60"/>
    <x v="107"/>
    <x v="1297"/>
    <x v="105"/>
    <x v="1287"/>
    <x v="1204"/>
    <x v="4"/>
    <x v="0"/>
    <x v="0"/>
    <x v="2"/>
    <x v="664"/>
    <x v="1"/>
  </r>
  <r>
    <x v="1364"/>
    <x v="1361"/>
    <x v="61"/>
    <x v="0"/>
    <x v="6"/>
    <x v="6"/>
    <x v="3"/>
    <x v="403"/>
    <x v="32"/>
    <x v="142"/>
    <x v="196"/>
    <x v="6"/>
    <x v="688"/>
    <x v="1"/>
    <x v="691"/>
    <x v="1222"/>
    <x v="1298"/>
    <x v="213"/>
    <x v="1288"/>
    <x v="1205"/>
    <x v="5"/>
    <x v="0"/>
    <x v="0"/>
    <x v="0"/>
    <x v="209"/>
    <x v="1"/>
  </r>
  <r>
    <x v="1365"/>
    <x v="1362"/>
    <x v="143"/>
    <x v="1"/>
    <x v="1"/>
    <x v="1"/>
    <x v="1"/>
    <x v="357"/>
    <x v="65"/>
    <x v="108"/>
    <x v="324"/>
    <x v="3"/>
    <x v="689"/>
    <x v="2"/>
    <x v="692"/>
    <x v="1223"/>
    <x v="1299"/>
    <x v="523"/>
    <x v="1289"/>
    <x v="1206"/>
    <x v="5"/>
    <x v="0"/>
    <x v="0"/>
    <x v="0"/>
    <x v="199"/>
    <x v="1"/>
  </r>
  <r>
    <x v="1366"/>
    <x v="1271"/>
    <x v="204"/>
    <x v="0"/>
    <x v="5"/>
    <x v="5"/>
    <x v="0"/>
    <x v="285"/>
    <x v="28"/>
    <x v="144"/>
    <x v="197"/>
    <x v="6"/>
    <x v="690"/>
    <x v="0"/>
    <x v="0"/>
    <x v="1224"/>
    <x v="1300"/>
    <x v="318"/>
    <x v="1290"/>
    <x v="1207"/>
    <x v="5"/>
    <x v="0"/>
    <x v="0"/>
    <x v="0"/>
    <x v="165"/>
    <x v="1"/>
  </r>
  <r>
    <x v="1367"/>
    <x v="1363"/>
    <x v="188"/>
    <x v="0"/>
    <x v="4"/>
    <x v="4"/>
    <x v="2"/>
    <x v="561"/>
    <x v="132"/>
    <x v="133"/>
    <x v="142"/>
    <x v="1"/>
    <x v="278"/>
    <x v="0"/>
    <x v="0"/>
    <x v="1225"/>
    <x v="1301"/>
    <x v="759"/>
    <x v="1291"/>
    <x v="907"/>
    <x v="4"/>
    <x v="0"/>
    <x v="0"/>
    <x v="0"/>
    <x v="169"/>
    <x v="0"/>
  </r>
  <r>
    <x v="1368"/>
    <x v="1364"/>
    <x v="208"/>
    <x v="0"/>
    <x v="4"/>
    <x v="4"/>
    <x v="2"/>
    <x v="359"/>
    <x v="61"/>
    <x v="128"/>
    <x v="278"/>
    <x v="2"/>
    <x v="691"/>
    <x v="0"/>
    <x v="0"/>
    <x v="1226"/>
    <x v="1302"/>
    <x v="71"/>
    <x v="1292"/>
    <x v="1208"/>
    <x v="3"/>
    <x v="0"/>
    <x v="0"/>
    <x v="2"/>
    <x v="665"/>
    <x v="1"/>
  </r>
  <r>
    <x v="1369"/>
    <x v="1365"/>
    <x v="2"/>
    <x v="0"/>
    <x v="2"/>
    <x v="2"/>
    <x v="2"/>
    <x v="562"/>
    <x v="25"/>
    <x v="99"/>
    <x v="33"/>
    <x v="0"/>
    <x v="28"/>
    <x v="2"/>
    <x v="693"/>
    <x v="1227"/>
    <x v="1303"/>
    <x v="595"/>
    <x v="1293"/>
    <x v="354"/>
    <x v="3"/>
    <x v="0"/>
    <x v="0"/>
    <x v="2"/>
    <x v="364"/>
    <x v="0"/>
  </r>
  <r>
    <x v="1370"/>
    <x v="1366"/>
    <x v="133"/>
    <x v="0"/>
    <x v="10"/>
    <x v="10"/>
    <x v="3"/>
    <x v="288"/>
    <x v="145"/>
    <x v="136"/>
    <x v="142"/>
    <x v="3"/>
    <x v="692"/>
    <x v="3"/>
    <x v="694"/>
    <x v="1228"/>
    <x v="1304"/>
    <x v="715"/>
    <x v="1294"/>
    <x v="1209"/>
    <x v="2"/>
    <x v="0"/>
    <x v="0"/>
    <x v="0"/>
    <x v="458"/>
    <x v="0"/>
  </r>
  <r>
    <x v="1371"/>
    <x v="1367"/>
    <x v="306"/>
    <x v="0"/>
    <x v="2"/>
    <x v="2"/>
    <x v="2"/>
    <x v="560"/>
    <x v="126"/>
    <x v="61"/>
    <x v="133"/>
    <x v="2"/>
    <x v="227"/>
    <x v="4"/>
    <x v="185"/>
    <x v="1229"/>
    <x v="1305"/>
    <x v="532"/>
    <x v="258"/>
    <x v="1210"/>
    <x v="3"/>
    <x v="0"/>
    <x v="0"/>
    <x v="0"/>
    <x v="654"/>
    <x v="1"/>
  </r>
  <r>
    <x v="1372"/>
    <x v="1368"/>
    <x v="102"/>
    <x v="0"/>
    <x v="8"/>
    <x v="8"/>
    <x v="3"/>
    <x v="48"/>
    <x v="30"/>
    <x v="145"/>
    <x v="281"/>
    <x v="7"/>
    <x v="693"/>
    <x v="0"/>
    <x v="0"/>
    <x v="1230"/>
    <x v="1306"/>
    <x v="624"/>
    <x v="1295"/>
    <x v="1211"/>
    <x v="3"/>
    <x v="0"/>
    <x v="0"/>
    <x v="0"/>
    <x v="666"/>
    <x v="1"/>
  </r>
  <r>
    <x v="1373"/>
    <x v="1369"/>
    <x v="15"/>
    <x v="0"/>
    <x v="6"/>
    <x v="6"/>
    <x v="3"/>
    <x v="5"/>
    <x v="6"/>
    <x v="76"/>
    <x v="90"/>
    <x v="5"/>
    <x v="694"/>
    <x v="1"/>
    <x v="695"/>
    <x v="1231"/>
    <x v="1307"/>
    <x v="460"/>
    <x v="1296"/>
    <x v="1212"/>
    <x v="3"/>
    <x v="0"/>
    <x v="0"/>
    <x v="0"/>
    <x v="454"/>
    <x v="1"/>
  </r>
  <r>
    <x v="1374"/>
    <x v="1370"/>
    <x v="342"/>
    <x v="1"/>
    <x v="11"/>
    <x v="11"/>
    <x v="1"/>
    <x v="563"/>
    <x v="117"/>
    <x v="87"/>
    <x v="92"/>
    <x v="2"/>
    <x v="378"/>
    <x v="0"/>
    <x v="0"/>
    <x v="1232"/>
    <x v="1308"/>
    <x v="191"/>
    <x v="1297"/>
    <x v="626"/>
    <x v="5"/>
    <x v="0"/>
    <x v="0"/>
    <x v="0"/>
    <x v="276"/>
    <x v="1"/>
  </r>
  <r>
    <x v="1375"/>
    <x v="1371"/>
    <x v="302"/>
    <x v="0"/>
    <x v="2"/>
    <x v="2"/>
    <x v="2"/>
    <x v="228"/>
    <x v="91"/>
    <x v="175"/>
    <x v="305"/>
    <x v="2"/>
    <x v="695"/>
    <x v="4"/>
    <x v="696"/>
    <x v="1233"/>
    <x v="1309"/>
    <x v="661"/>
    <x v="1298"/>
    <x v="1213"/>
    <x v="2"/>
    <x v="0"/>
    <x v="0"/>
    <x v="1"/>
    <x v="303"/>
    <x v="1"/>
  </r>
  <r>
    <x v="1376"/>
    <x v="1372"/>
    <x v="104"/>
    <x v="1"/>
    <x v="7"/>
    <x v="7"/>
    <x v="1"/>
    <x v="249"/>
    <x v="58"/>
    <x v="128"/>
    <x v="278"/>
    <x v="2"/>
    <x v="66"/>
    <x v="1"/>
    <x v="36"/>
    <x v="1234"/>
    <x v="1310"/>
    <x v="381"/>
    <x v="1299"/>
    <x v="369"/>
    <x v="3"/>
    <x v="0"/>
    <x v="0"/>
    <x v="0"/>
    <x v="210"/>
    <x v="0"/>
  </r>
  <r>
    <x v="1377"/>
    <x v="1373"/>
    <x v="84"/>
    <x v="0"/>
    <x v="9"/>
    <x v="9"/>
    <x v="0"/>
    <x v="408"/>
    <x v="61"/>
    <x v="73"/>
    <x v="218"/>
    <x v="7"/>
    <x v="696"/>
    <x v="0"/>
    <x v="0"/>
    <x v="1235"/>
    <x v="1311"/>
    <x v="760"/>
    <x v="1300"/>
    <x v="1214"/>
    <x v="5"/>
    <x v="0"/>
    <x v="0"/>
    <x v="1"/>
    <x v="483"/>
    <x v="1"/>
  </r>
  <r>
    <x v="1378"/>
    <x v="1374"/>
    <x v="42"/>
    <x v="0"/>
    <x v="8"/>
    <x v="8"/>
    <x v="3"/>
    <x v="382"/>
    <x v="65"/>
    <x v="1"/>
    <x v="1"/>
    <x v="2"/>
    <x v="307"/>
    <x v="0"/>
    <x v="0"/>
    <x v="1236"/>
    <x v="1312"/>
    <x v="761"/>
    <x v="1301"/>
    <x v="1215"/>
    <x v="5"/>
    <x v="0"/>
    <x v="0"/>
    <x v="2"/>
    <x v="365"/>
    <x v="0"/>
  </r>
  <r>
    <x v="1379"/>
    <x v="1375"/>
    <x v="247"/>
    <x v="0"/>
    <x v="5"/>
    <x v="5"/>
    <x v="0"/>
    <x v="155"/>
    <x v="108"/>
    <x v="39"/>
    <x v="282"/>
    <x v="3"/>
    <x v="697"/>
    <x v="0"/>
    <x v="0"/>
    <x v="1237"/>
    <x v="1313"/>
    <x v="512"/>
    <x v="1302"/>
    <x v="1216"/>
    <x v="0"/>
    <x v="0"/>
    <x v="0"/>
    <x v="0"/>
    <x v="349"/>
    <x v="0"/>
  </r>
  <r>
    <x v="1380"/>
    <x v="1376"/>
    <x v="64"/>
    <x v="0"/>
    <x v="2"/>
    <x v="2"/>
    <x v="2"/>
    <x v="388"/>
    <x v="109"/>
    <x v="50"/>
    <x v="268"/>
    <x v="3"/>
    <x v="698"/>
    <x v="1"/>
    <x v="697"/>
    <x v="1238"/>
    <x v="1314"/>
    <x v="211"/>
    <x v="1303"/>
    <x v="1217"/>
    <x v="3"/>
    <x v="0"/>
    <x v="0"/>
    <x v="2"/>
    <x v="434"/>
    <x v="1"/>
  </r>
  <r>
    <x v="1381"/>
    <x v="1377"/>
    <x v="133"/>
    <x v="0"/>
    <x v="10"/>
    <x v="10"/>
    <x v="3"/>
    <x v="361"/>
    <x v="148"/>
    <x v="4"/>
    <x v="220"/>
    <x v="1"/>
    <x v="511"/>
    <x v="4"/>
    <x v="698"/>
    <x v="1239"/>
    <x v="1315"/>
    <x v="762"/>
    <x v="1304"/>
    <x v="1218"/>
    <x v="5"/>
    <x v="0"/>
    <x v="0"/>
    <x v="0"/>
    <x v="317"/>
    <x v="0"/>
  </r>
  <r>
    <x v="1382"/>
    <x v="1378"/>
    <x v="88"/>
    <x v="1"/>
    <x v="7"/>
    <x v="7"/>
    <x v="1"/>
    <x v="382"/>
    <x v="119"/>
    <x v="31"/>
    <x v="222"/>
    <x v="4"/>
    <x v="189"/>
    <x v="1"/>
    <x v="699"/>
    <x v="1240"/>
    <x v="1316"/>
    <x v="730"/>
    <x v="1305"/>
    <x v="1219"/>
    <x v="2"/>
    <x v="0"/>
    <x v="0"/>
    <x v="2"/>
    <x v="258"/>
    <x v="1"/>
  </r>
  <r>
    <x v="1383"/>
    <x v="1379"/>
    <x v="80"/>
    <x v="0"/>
    <x v="8"/>
    <x v="8"/>
    <x v="3"/>
    <x v="534"/>
    <x v="12"/>
    <x v="154"/>
    <x v="236"/>
    <x v="6"/>
    <x v="12"/>
    <x v="2"/>
    <x v="700"/>
    <x v="1241"/>
    <x v="1317"/>
    <x v="12"/>
    <x v="1306"/>
    <x v="1220"/>
    <x v="0"/>
    <x v="0"/>
    <x v="0"/>
    <x v="0"/>
    <x v="418"/>
    <x v="0"/>
  </r>
  <r>
    <x v="1384"/>
    <x v="1380"/>
    <x v="304"/>
    <x v="0"/>
    <x v="5"/>
    <x v="5"/>
    <x v="0"/>
    <x v="176"/>
    <x v="68"/>
    <x v="76"/>
    <x v="294"/>
    <x v="2"/>
    <x v="699"/>
    <x v="0"/>
    <x v="0"/>
    <x v="1242"/>
    <x v="1318"/>
    <x v="87"/>
    <x v="1307"/>
    <x v="1221"/>
    <x v="3"/>
    <x v="0"/>
    <x v="0"/>
    <x v="2"/>
    <x v="508"/>
    <x v="1"/>
  </r>
  <r>
    <x v="1385"/>
    <x v="1381"/>
    <x v="234"/>
    <x v="0"/>
    <x v="6"/>
    <x v="6"/>
    <x v="3"/>
    <x v="156"/>
    <x v="131"/>
    <x v="95"/>
    <x v="184"/>
    <x v="6"/>
    <x v="700"/>
    <x v="0"/>
    <x v="0"/>
    <x v="1243"/>
    <x v="1319"/>
    <x v="525"/>
    <x v="1308"/>
    <x v="1222"/>
    <x v="1"/>
    <x v="0"/>
    <x v="0"/>
    <x v="2"/>
    <x v="90"/>
    <x v="0"/>
  </r>
  <r>
    <x v="1386"/>
    <x v="1382"/>
    <x v="117"/>
    <x v="0"/>
    <x v="0"/>
    <x v="0"/>
    <x v="0"/>
    <x v="355"/>
    <x v="140"/>
    <x v="163"/>
    <x v="303"/>
    <x v="2"/>
    <x v="701"/>
    <x v="0"/>
    <x v="0"/>
    <x v="1244"/>
    <x v="1320"/>
    <x v="763"/>
    <x v="1309"/>
    <x v="1223"/>
    <x v="0"/>
    <x v="0"/>
    <x v="0"/>
    <x v="2"/>
    <x v="98"/>
    <x v="1"/>
  </r>
  <r>
    <x v="1387"/>
    <x v="1383"/>
    <x v="177"/>
    <x v="0"/>
    <x v="10"/>
    <x v="10"/>
    <x v="3"/>
    <x v="151"/>
    <x v="132"/>
    <x v="56"/>
    <x v="186"/>
    <x v="2"/>
    <x v="702"/>
    <x v="4"/>
    <x v="701"/>
    <x v="1245"/>
    <x v="1321"/>
    <x v="716"/>
    <x v="1310"/>
    <x v="1224"/>
    <x v="2"/>
    <x v="1"/>
    <x v="1"/>
    <x v="0"/>
    <x v="288"/>
    <x v="1"/>
  </r>
  <r>
    <x v="1388"/>
    <x v="1384"/>
    <x v="152"/>
    <x v="0"/>
    <x v="8"/>
    <x v="8"/>
    <x v="3"/>
    <x v="49"/>
    <x v="88"/>
    <x v="10"/>
    <x v="10"/>
    <x v="5"/>
    <x v="703"/>
    <x v="3"/>
    <x v="702"/>
    <x v="1246"/>
    <x v="1322"/>
    <x v="670"/>
    <x v="1311"/>
    <x v="1225"/>
    <x v="0"/>
    <x v="0"/>
    <x v="0"/>
    <x v="0"/>
    <x v="384"/>
    <x v="1"/>
  </r>
  <r>
    <x v="1389"/>
    <x v="1385"/>
    <x v="178"/>
    <x v="0"/>
    <x v="10"/>
    <x v="10"/>
    <x v="3"/>
    <x v="352"/>
    <x v="14"/>
    <x v="61"/>
    <x v="127"/>
    <x v="0"/>
    <x v="14"/>
    <x v="4"/>
    <x v="254"/>
    <x v="449"/>
    <x v="461"/>
    <x v="380"/>
    <x v="457"/>
    <x v="445"/>
    <x v="0"/>
    <x v="0"/>
    <x v="0"/>
    <x v="1"/>
    <x v="375"/>
    <x v="1"/>
  </r>
  <r>
    <x v="1390"/>
    <x v="1386"/>
    <x v="35"/>
    <x v="0"/>
    <x v="8"/>
    <x v="8"/>
    <x v="3"/>
    <x v="451"/>
    <x v="45"/>
    <x v="81"/>
    <x v="95"/>
    <x v="2"/>
    <x v="138"/>
    <x v="4"/>
    <x v="703"/>
    <x v="1247"/>
    <x v="1323"/>
    <x v="764"/>
    <x v="1312"/>
    <x v="1226"/>
    <x v="4"/>
    <x v="0"/>
    <x v="0"/>
    <x v="0"/>
    <x v="398"/>
    <x v="1"/>
  </r>
  <r>
    <x v="1391"/>
    <x v="1387"/>
    <x v="228"/>
    <x v="0"/>
    <x v="6"/>
    <x v="6"/>
    <x v="3"/>
    <x v="363"/>
    <x v="33"/>
    <x v="98"/>
    <x v="152"/>
    <x v="0"/>
    <x v="241"/>
    <x v="1"/>
    <x v="704"/>
    <x v="1248"/>
    <x v="1324"/>
    <x v="765"/>
    <x v="1313"/>
    <x v="1227"/>
    <x v="3"/>
    <x v="0"/>
    <x v="0"/>
    <x v="0"/>
    <x v="27"/>
    <x v="0"/>
  </r>
  <r>
    <x v="1392"/>
    <x v="1388"/>
    <x v="136"/>
    <x v="0"/>
    <x v="10"/>
    <x v="10"/>
    <x v="3"/>
    <x v="564"/>
    <x v="69"/>
    <x v="130"/>
    <x v="175"/>
    <x v="6"/>
    <x v="141"/>
    <x v="3"/>
    <x v="705"/>
    <x v="1249"/>
    <x v="190"/>
    <x v="766"/>
    <x v="1314"/>
    <x v="186"/>
    <x v="5"/>
    <x v="0"/>
    <x v="0"/>
    <x v="1"/>
    <x v="537"/>
    <x v="0"/>
  </r>
  <r>
    <x v="1393"/>
    <x v="1389"/>
    <x v="171"/>
    <x v="1"/>
    <x v="7"/>
    <x v="7"/>
    <x v="1"/>
    <x v="231"/>
    <x v="119"/>
    <x v="12"/>
    <x v="12"/>
    <x v="4"/>
    <x v="704"/>
    <x v="2"/>
    <x v="706"/>
    <x v="1250"/>
    <x v="1325"/>
    <x v="730"/>
    <x v="1315"/>
    <x v="1228"/>
    <x v="1"/>
    <x v="0"/>
    <x v="0"/>
    <x v="2"/>
    <x v="233"/>
    <x v="1"/>
  </r>
  <r>
    <x v="1394"/>
    <x v="1390"/>
    <x v="32"/>
    <x v="0"/>
    <x v="8"/>
    <x v="8"/>
    <x v="3"/>
    <x v="565"/>
    <x v="14"/>
    <x v="103"/>
    <x v="109"/>
    <x v="6"/>
    <x v="14"/>
    <x v="0"/>
    <x v="0"/>
    <x v="83"/>
    <x v="83"/>
    <x v="82"/>
    <x v="81"/>
    <x v="14"/>
    <x v="5"/>
    <x v="0"/>
    <x v="0"/>
    <x v="0"/>
    <x v="667"/>
    <x v="1"/>
  </r>
  <r>
    <x v="1395"/>
    <x v="1391"/>
    <x v="281"/>
    <x v="0"/>
    <x v="2"/>
    <x v="2"/>
    <x v="2"/>
    <x v="521"/>
    <x v="109"/>
    <x v="35"/>
    <x v="36"/>
    <x v="0"/>
    <x v="150"/>
    <x v="2"/>
    <x v="610"/>
    <x v="1251"/>
    <x v="1326"/>
    <x v="339"/>
    <x v="1316"/>
    <x v="1229"/>
    <x v="1"/>
    <x v="0"/>
    <x v="0"/>
    <x v="0"/>
    <x v="616"/>
    <x v="1"/>
  </r>
  <r>
    <x v="1396"/>
    <x v="1392"/>
    <x v="193"/>
    <x v="0"/>
    <x v="6"/>
    <x v="6"/>
    <x v="3"/>
    <x v="129"/>
    <x v="101"/>
    <x v="75"/>
    <x v="174"/>
    <x v="2"/>
    <x v="705"/>
    <x v="3"/>
    <x v="707"/>
    <x v="1252"/>
    <x v="1327"/>
    <x v="633"/>
    <x v="1317"/>
    <x v="1230"/>
    <x v="5"/>
    <x v="0"/>
    <x v="0"/>
    <x v="0"/>
    <x v="328"/>
    <x v="1"/>
  </r>
  <r>
    <x v="1397"/>
    <x v="1393"/>
    <x v="62"/>
    <x v="0"/>
    <x v="10"/>
    <x v="10"/>
    <x v="3"/>
    <x v="27"/>
    <x v="41"/>
    <x v="132"/>
    <x v="138"/>
    <x v="1"/>
    <x v="272"/>
    <x v="0"/>
    <x v="0"/>
    <x v="457"/>
    <x v="539"/>
    <x v="386"/>
    <x v="535"/>
    <x v="402"/>
    <x v="0"/>
    <x v="0"/>
    <x v="0"/>
    <x v="0"/>
    <x v="668"/>
    <x v="1"/>
  </r>
  <r>
    <x v="1398"/>
    <x v="1394"/>
    <x v="343"/>
    <x v="0"/>
    <x v="9"/>
    <x v="9"/>
    <x v="0"/>
    <x v="109"/>
    <x v="15"/>
    <x v="82"/>
    <x v="96"/>
    <x v="4"/>
    <x v="15"/>
    <x v="3"/>
    <x v="708"/>
    <x v="1253"/>
    <x v="1328"/>
    <x v="181"/>
    <x v="1318"/>
    <x v="1231"/>
    <x v="1"/>
    <x v="0"/>
    <x v="0"/>
    <x v="2"/>
    <x v="576"/>
    <x v="1"/>
  </r>
  <r>
    <x v="1399"/>
    <x v="1395"/>
    <x v="207"/>
    <x v="1"/>
    <x v="11"/>
    <x v="11"/>
    <x v="1"/>
    <x v="81"/>
    <x v="76"/>
    <x v="42"/>
    <x v="157"/>
    <x v="6"/>
    <x v="706"/>
    <x v="2"/>
    <x v="709"/>
    <x v="1254"/>
    <x v="1329"/>
    <x v="656"/>
    <x v="1319"/>
    <x v="1232"/>
    <x v="3"/>
    <x v="0"/>
    <x v="0"/>
    <x v="0"/>
    <x v="88"/>
    <x v="0"/>
  </r>
  <r>
    <x v="1400"/>
    <x v="1396"/>
    <x v="169"/>
    <x v="0"/>
    <x v="0"/>
    <x v="0"/>
    <x v="0"/>
    <x v="218"/>
    <x v="134"/>
    <x v="60"/>
    <x v="172"/>
    <x v="4"/>
    <x v="707"/>
    <x v="3"/>
    <x v="710"/>
    <x v="1255"/>
    <x v="1330"/>
    <x v="567"/>
    <x v="1320"/>
    <x v="1233"/>
    <x v="4"/>
    <x v="0"/>
    <x v="0"/>
    <x v="0"/>
    <x v="669"/>
    <x v="0"/>
  </r>
  <r>
    <x v="1401"/>
    <x v="1397"/>
    <x v="71"/>
    <x v="1"/>
    <x v="11"/>
    <x v="11"/>
    <x v="1"/>
    <x v="566"/>
    <x v="51"/>
    <x v="125"/>
    <x v="163"/>
    <x v="2"/>
    <x v="161"/>
    <x v="1"/>
    <x v="711"/>
    <x v="1256"/>
    <x v="1331"/>
    <x v="59"/>
    <x v="1321"/>
    <x v="1234"/>
    <x v="4"/>
    <x v="0"/>
    <x v="0"/>
    <x v="0"/>
    <x v="45"/>
    <x v="0"/>
  </r>
  <r>
    <x v="1402"/>
    <x v="1398"/>
    <x v="115"/>
    <x v="0"/>
    <x v="10"/>
    <x v="10"/>
    <x v="3"/>
    <x v="91"/>
    <x v="131"/>
    <x v="84"/>
    <x v="182"/>
    <x v="3"/>
    <x v="708"/>
    <x v="3"/>
    <x v="712"/>
    <x v="1257"/>
    <x v="1332"/>
    <x v="767"/>
    <x v="1322"/>
    <x v="1235"/>
    <x v="5"/>
    <x v="0"/>
    <x v="0"/>
    <x v="0"/>
    <x v="670"/>
    <x v="1"/>
  </r>
  <r>
    <x v="1403"/>
    <x v="1399"/>
    <x v="248"/>
    <x v="0"/>
    <x v="5"/>
    <x v="5"/>
    <x v="0"/>
    <x v="567"/>
    <x v="51"/>
    <x v="2"/>
    <x v="147"/>
    <x v="1"/>
    <x v="161"/>
    <x v="3"/>
    <x v="713"/>
    <x v="1258"/>
    <x v="1333"/>
    <x v="208"/>
    <x v="1323"/>
    <x v="1236"/>
    <x v="2"/>
    <x v="1"/>
    <x v="1"/>
    <x v="0"/>
    <x v="294"/>
    <x v="1"/>
  </r>
  <r>
    <x v="1404"/>
    <x v="1400"/>
    <x v="131"/>
    <x v="0"/>
    <x v="6"/>
    <x v="6"/>
    <x v="3"/>
    <x v="507"/>
    <x v="44"/>
    <x v="16"/>
    <x v="100"/>
    <x v="2"/>
    <x v="242"/>
    <x v="3"/>
    <x v="714"/>
    <x v="639"/>
    <x v="1334"/>
    <x v="49"/>
    <x v="1324"/>
    <x v="1237"/>
    <x v="2"/>
    <x v="0"/>
    <x v="0"/>
    <x v="0"/>
    <x v="180"/>
    <x v="0"/>
  </r>
  <r>
    <x v="1405"/>
    <x v="1401"/>
    <x v="300"/>
    <x v="0"/>
    <x v="0"/>
    <x v="0"/>
    <x v="0"/>
    <x v="489"/>
    <x v="18"/>
    <x v="38"/>
    <x v="40"/>
    <x v="0"/>
    <x v="18"/>
    <x v="0"/>
    <x v="0"/>
    <x v="18"/>
    <x v="18"/>
    <x v="18"/>
    <x v="18"/>
    <x v="18"/>
    <x v="4"/>
    <x v="0"/>
    <x v="0"/>
    <x v="2"/>
    <x v="671"/>
    <x v="1"/>
  </r>
  <r>
    <x v="1406"/>
    <x v="1402"/>
    <x v="229"/>
    <x v="1"/>
    <x v="1"/>
    <x v="1"/>
    <x v="1"/>
    <x v="328"/>
    <x v="78"/>
    <x v="116"/>
    <x v="147"/>
    <x v="6"/>
    <x v="211"/>
    <x v="2"/>
    <x v="715"/>
    <x v="1259"/>
    <x v="1335"/>
    <x v="259"/>
    <x v="1325"/>
    <x v="1238"/>
    <x v="5"/>
    <x v="0"/>
    <x v="0"/>
    <x v="0"/>
    <x v="670"/>
    <x v="0"/>
  </r>
  <r>
    <x v="1407"/>
    <x v="1403"/>
    <x v="82"/>
    <x v="0"/>
    <x v="4"/>
    <x v="4"/>
    <x v="2"/>
    <x v="197"/>
    <x v="117"/>
    <x v="82"/>
    <x v="35"/>
    <x v="3"/>
    <x v="709"/>
    <x v="1"/>
    <x v="716"/>
    <x v="1260"/>
    <x v="1336"/>
    <x v="687"/>
    <x v="1326"/>
    <x v="1239"/>
    <x v="4"/>
    <x v="0"/>
    <x v="0"/>
    <x v="2"/>
    <x v="581"/>
    <x v="0"/>
  </r>
  <r>
    <x v="1408"/>
    <x v="1404"/>
    <x v="58"/>
    <x v="1"/>
    <x v="1"/>
    <x v="1"/>
    <x v="1"/>
    <x v="568"/>
    <x v="55"/>
    <x v="130"/>
    <x v="175"/>
    <x v="1"/>
    <x v="362"/>
    <x v="0"/>
    <x v="0"/>
    <x v="1261"/>
    <x v="1337"/>
    <x v="768"/>
    <x v="1327"/>
    <x v="1240"/>
    <x v="2"/>
    <x v="0"/>
    <x v="0"/>
    <x v="0"/>
    <x v="374"/>
    <x v="1"/>
  </r>
  <r>
    <x v="1409"/>
    <x v="1405"/>
    <x v="13"/>
    <x v="0"/>
    <x v="2"/>
    <x v="2"/>
    <x v="2"/>
    <x v="486"/>
    <x v="71"/>
    <x v="27"/>
    <x v="28"/>
    <x v="7"/>
    <x v="710"/>
    <x v="1"/>
    <x v="717"/>
    <x v="1262"/>
    <x v="1338"/>
    <x v="769"/>
    <x v="1328"/>
    <x v="1241"/>
    <x v="1"/>
    <x v="0"/>
    <x v="0"/>
    <x v="1"/>
    <x v="326"/>
    <x v="1"/>
  </r>
  <r>
    <x v="1410"/>
    <x v="1406"/>
    <x v="75"/>
    <x v="0"/>
    <x v="3"/>
    <x v="3"/>
    <x v="2"/>
    <x v="89"/>
    <x v="98"/>
    <x v="68"/>
    <x v="237"/>
    <x v="4"/>
    <x v="711"/>
    <x v="1"/>
    <x v="718"/>
    <x v="1263"/>
    <x v="1339"/>
    <x v="770"/>
    <x v="1329"/>
    <x v="1242"/>
    <x v="3"/>
    <x v="0"/>
    <x v="0"/>
    <x v="0"/>
    <x v="672"/>
    <x v="1"/>
  </r>
  <r>
    <x v="1411"/>
    <x v="1407"/>
    <x v="50"/>
    <x v="0"/>
    <x v="10"/>
    <x v="10"/>
    <x v="3"/>
    <x v="371"/>
    <x v="3"/>
    <x v="69"/>
    <x v="318"/>
    <x v="4"/>
    <x v="3"/>
    <x v="2"/>
    <x v="719"/>
    <x v="618"/>
    <x v="1340"/>
    <x v="266"/>
    <x v="1330"/>
    <x v="3"/>
    <x v="1"/>
    <x v="0"/>
    <x v="0"/>
    <x v="0"/>
    <x v="656"/>
    <x v="1"/>
  </r>
  <r>
    <x v="1412"/>
    <x v="1408"/>
    <x v="5"/>
    <x v="0"/>
    <x v="0"/>
    <x v="0"/>
    <x v="0"/>
    <x v="43"/>
    <x v="23"/>
    <x v="2"/>
    <x v="180"/>
    <x v="3"/>
    <x v="712"/>
    <x v="3"/>
    <x v="720"/>
    <x v="1264"/>
    <x v="1341"/>
    <x v="677"/>
    <x v="1331"/>
    <x v="1243"/>
    <x v="1"/>
    <x v="0"/>
    <x v="0"/>
    <x v="1"/>
    <x v="492"/>
    <x v="1"/>
  </r>
  <r>
    <x v="1413"/>
    <x v="1409"/>
    <x v="205"/>
    <x v="0"/>
    <x v="3"/>
    <x v="3"/>
    <x v="2"/>
    <x v="406"/>
    <x v="91"/>
    <x v="59"/>
    <x v="112"/>
    <x v="1"/>
    <x v="438"/>
    <x v="0"/>
    <x v="0"/>
    <x v="1265"/>
    <x v="1342"/>
    <x v="751"/>
    <x v="1332"/>
    <x v="772"/>
    <x v="2"/>
    <x v="0"/>
    <x v="0"/>
    <x v="0"/>
    <x v="151"/>
    <x v="1"/>
  </r>
  <r>
    <x v="1414"/>
    <x v="1410"/>
    <x v="249"/>
    <x v="0"/>
    <x v="5"/>
    <x v="5"/>
    <x v="0"/>
    <x v="198"/>
    <x v="102"/>
    <x v="89"/>
    <x v="223"/>
    <x v="0"/>
    <x v="136"/>
    <x v="0"/>
    <x v="0"/>
    <x v="592"/>
    <x v="610"/>
    <x v="473"/>
    <x v="606"/>
    <x v="584"/>
    <x v="1"/>
    <x v="0"/>
    <x v="0"/>
    <x v="0"/>
    <x v="452"/>
    <x v="1"/>
  </r>
  <r>
    <x v="1415"/>
    <x v="1411"/>
    <x v="57"/>
    <x v="0"/>
    <x v="10"/>
    <x v="10"/>
    <x v="3"/>
    <x v="181"/>
    <x v="78"/>
    <x v="162"/>
    <x v="195"/>
    <x v="6"/>
    <x v="211"/>
    <x v="0"/>
    <x v="0"/>
    <x v="1147"/>
    <x v="1343"/>
    <x v="259"/>
    <x v="781"/>
    <x v="1244"/>
    <x v="2"/>
    <x v="0"/>
    <x v="0"/>
    <x v="1"/>
    <x v="190"/>
    <x v="0"/>
  </r>
  <r>
    <x v="1416"/>
    <x v="1412"/>
    <x v="291"/>
    <x v="0"/>
    <x v="8"/>
    <x v="8"/>
    <x v="3"/>
    <x v="464"/>
    <x v="10"/>
    <x v="84"/>
    <x v="203"/>
    <x v="5"/>
    <x v="713"/>
    <x v="3"/>
    <x v="721"/>
    <x v="1266"/>
    <x v="1344"/>
    <x v="148"/>
    <x v="1333"/>
    <x v="1245"/>
    <x v="1"/>
    <x v="0"/>
    <x v="0"/>
    <x v="0"/>
    <x v="673"/>
    <x v="1"/>
  </r>
  <r>
    <x v="1417"/>
    <x v="1413"/>
    <x v="68"/>
    <x v="0"/>
    <x v="6"/>
    <x v="6"/>
    <x v="3"/>
    <x v="360"/>
    <x v="38"/>
    <x v="150"/>
    <x v="256"/>
    <x v="3"/>
    <x v="714"/>
    <x v="4"/>
    <x v="722"/>
    <x v="427"/>
    <x v="1345"/>
    <x v="731"/>
    <x v="1334"/>
    <x v="1246"/>
    <x v="2"/>
    <x v="0"/>
    <x v="0"/>
    <x v="0"/>
    <x v="604"/>
    <x v="1"/>
  </r>
  <r>
    <x v="1418"/>
    <x v="1414"/>
    <x v="48"/>
    <x v="0"/>
    <x v="0"/>
    <x v="0"/>
    <x v="0"/>
    <x v="365"/>
    <x v="61"/>
    <x v="34"/>
    <x v="176"/>
    <x v="5"/>
    <x v="715"/>
    <x v="1"/>
    <x v="723"/>
    <x v="1267"/>
    <x v="1346"/>
    <x v="113"/>
    <x v="1335"/>
    <x v="1247"/>
    <x v="5"/>
    <x v="0"/>
    <x v="0"/>
    <x v="0"/>
    <x v="465"/>
    <x v="1"/>
  </r>
  <r>
    <x v="1419"/>
    <x v="1415"/>
    <x v="186"/>
    <x v="0"/>
    <x v="0"/>
    <x v="0"/>
    <x v="0"/>
    <x v="569"/>
    <x v="68"/>
    <x v="8"/>
    <x v="8"/>
    <x v="2"/>
    <x v="82"/>
    <x v="3"/>
    <x v="271"/>
    <x v="1268"/>
    <x v="1347"/>
    <x v="87"/>
    <x v="1336"/>
    <x v="1248"/>
    <x v="4"/>
    <x v="0"/>
    <x v="0"/>
    <x v="0"/>
    <x v="674"/>
    <x v="1"/>
  </r>
  <r>
    <x v="1420"/>
    <x v="1416"/>
    <x v="8"/>
    <x v="0"/>
    <x v="4"/>
    <x v="4"/>
    <x v="2"/>
    <x v="223"/>
    <x v="128"/>
    <x v="78"/>
    <x v="128"/>
    <x v="0"/>
    <x v="341"/>
    <x v="4"/>
    <x v="724"/>
    <x v="1269"/>
    <x v="1348"/>
    <x v="771"/>
    <x v="1337"/>
    <x v="1249"/>
    <x v="3"/>
    <x v="0"/>
    <x v="0"/>
    <x v="2"/>
    <x v="407"/>
    <x v="0"/>
  </r>
  <r>
    <x v="1421"/>
    <x v="1417"/>
    <x v="87"/>
    <x v="0"/>
    <x v="10"/>
    <x v="10"/>
    <x v="3"/>
    <x v="555"/>
    <x v="61"/>
    <x v="19"/>
    <x v="54"/>
    <x v="2"/>
    <x v="69"/>
    <x v="2"/>
    <x v="725"/>
    <x v="1270"/>
    <x v="1349"/>
    <x v="71"/>
    <x v="1338"/>
    <x v="1250"/>
    <x v="3"/>
    <x v="0"/>
    <x v="0"/>
    <x v="0"/>
    <x v="338"/>
    <x v="0"/>
  </r>
  <r>
    <x v="1422"/>
    <x v="1418"/>
    <x v="49"/>
    <x v="0"/>
    <x v="0"/>
    <x v="0"/>
    <x v="0"/>
    <x v="146"/>
    <x v="122"/>
    <x v="49"/>
    <x v="53"/>
    <x v="1"/>
    <x v="205"/>
    <x v="3"/>
    <x v="358"/>
    <x v="630"/>
    <x v="1350"/>
    <x v="491"/>
    <x v="1339"/>
    <x v="948"/>
    <x v="0"/>
    <x v="0"/>
    <x v="0"/>
    <x v="1"/>
    <x v="325"/>
    <x v="0"/>
  </r>
  <r>
    <x v="1423"/>
    <x v="1419"/>
    <x v="134"/>
    <x v="1"/>
    <x v="7"/>
    <x v="7"/>
    <x v="1"/>
    <x v="459"/>
    <x v="64"/>
    <x v="64"/>
    <x v="21"/>
    <x v="1"/>
    <x v="74"/>
    <x v="0"/>
    <x v="0"/>
    <x v="415"/>
    <x v="1351"/>
    <x v="355"/>
    <x v="1340"/>
    <x v="473"/>
    <x v="1"/>
    <x v="0"/>
    <x v="0"/>
    <x v="0"/>
    <x v="521"/>
    <x v="1"/>
  </r>
  <r>
    <x v="1424"/>
    <x v="1420"/>
    <x v="344"/>
    <x v="0"/>
    <x v="3"/>
    <x v="3"/>
    <x v="2"/>
    <x v="429"/>
    <x v="111"/>
    <x v="107"/>
    <x v="15"/>
    <x v="4"/>
    <x v="268"/>
    <x v="4"/>
    <x v="726"/>
    <x v="1271"/>
    <x v="1352"/>
    <x v="398"/>
    <x v="1341"/>
    <x v="1251"/>
    <x v="1"/>
    <x v="0"/>
    <x v="0"/>
    <x v="0"/>
    <x v="415"/>
    <x v="1"/>
  </r>
  <r>
    <x v="1425"/>
    <x v="1421"/>
    <x v="345"/>
    <x v="0"/>
    <x v="9"/>
    <x v="9"/>
    <x v="0"/>
    <x v="62"/>
    <x v="119"/>
    <x v="130"/>
    <x v="175"/>
    <x v="3"/>
    <x v="716"/>
    <x v="4"/>
    <x v="727"/>
    <x v="1272"/>
    <x v="1353"/>
    <x v="240"/>
    <x v="188"/>
    <x v="1252"/>
    <x v="1"/>
    <x v="0"/>
    <x v="0"/>
    <x v="0"/>
    <x v="675"/>
    <x v="1"/>
  </r>
  <r>
    <x v="1426"/>
    <x v="1422"/>
    <x v="342"/>
    <x v="1"/>
    <x v="11"/>
    <x v="11"/>
    <x v="1"/>
    <x v="108"/>
    <x v="88"/>
    <x v="72"/>
    <x v="85"/>
    <x v="4"/>
    <x v="717"/>
    <x v="0"/>
    <x v="0"/>
    <x v="1273"/>
    <x v="1354"/>
    <x v="219"/>
    <x v="1342"/>
    <x v="1253"/>
    <x v="4"/>
    <x v="0"/>
    <x v="0"/>
    <x v="0"/>
    <x v="401"/>
    <x v="1"/>
  </r>
  <r>
    <x v="1427"/>
    <x v="1423"/>
    <x v="141"/>
    <x v="0"/>
    <x v="0"/>
    <x v="0"/>
    <x v="0"/>
    <x v="269"/>
    <x v="4"/>
    <x v="143"/>
    <x v="200"/>
    <x v="5"/>
    <x v="718"/>
    <x v="1"/>
    <x v="728"/>
    <x v="1274"/>
    <x v="1355"/>
    <x v="591"/>
    <x v="1343"/>
    <x v="1254"/>
    <x v="3"/>
    <x v="0"/>
    <x v="0"/>
    <x v="0"/>
    <x v="86"/>
    <x v="0"/>
  </r>
  <r>
    <x v="1428"/>
    <x v="1424"/>
    <x v="164"/>
    <x v="0"/>
    <x v="6"/>
    <x v="6"/>
    <x v="3"/>
    <x v="312"/>
    <x v="103"/>
    <x v="57"/>
    <x v="267"/>
    <x v="2"/>
    <x v="224"/>
    <x v="2"/>
    <x v="729"/>
    <x v="1275"/>
    <x v="1356"/>
    <x v="772"/>
    <x v="1344"/>
    <x v="1255"/>
    <x v="2"/>
    <x v="0"/>
    <x v="0"/>
    <x v="0"/>
    <x v="676"/>
    <x v="1"/>
  </r>
  <r>
    <x v="1429"/>
    <x v="1425"/>
    <x v="197"/>
    <x v="0"/>
    <x v="10"/>
    <x v="10"/>
    <x v="3"/>
    <x v="36"/>
    <x v="38"/>
    <x v="130"/>
    <x v="175"/>
    <x v="5"/>
    <x v="719"/>
    <x v="0"/>
    <x v="0"/>
    <x v="1276"/>
    <x v="1357"/>
    <x v="313"/>
    <x v="1345"/>
    <x v="1256"/>
    <x v="1"/>
    <x v="0"/>
    <x v="0"/>
    <x v="0"/>
    <x v="210"/>
    <x v="1"/>
  </r>
  <r>
    <x v="1430"/>
    <x v="1426"/>
    <x v="63"/>
    <x v="0"/>
    <x v="9"/>
    <x v="9"/>
    <x v="0"/>
    <x v="214"/>
    <x v="31"/>
    <x v="16"/>
    <x v="62"/>
    <x v="3"/>
    <x v="720"/>
    <x v="1"/>
    <x v="730"/>
    <x v="1277"/>
    <x v="1358"/>
    <x v="417"/>
    <x v="1346"/>
    <x v="1257"/>
    <x v="4"/>
    <x v="1"/>
    <x v="1"/>
    <x v="0"/>
    <x v="570"/>
    <x v="0"/>
  </r>
  <r>
    <x v="1431"/>
    <x v="1427"/>
    <x v="128"/>
    <x v="0"/>
    <x v="0"/>
    <x v="0"/>
    <x v="0"/>
    <x v="264"/>
    <x v="88"/>
    <x v="44"/>
    <x v="23"/>
    <x v="6"/>
    <x v="721"/>
    <x v="0"/>
    <x v="0"/>
    <x v="1278"/>
    <x v="1359"/>
    <x v="394"/>
    <x v="1347"/>
    <x v="1258"/>
    <x v="2"/>
    <x v="0"/>
    <x v="0"/>
    <x v="2"/>
    <x v="86"/>
    <x v="1"/>
  </r>
  <r>
    <x v="1432"/>
    <x v="1428"/>
    <x v="228"/>
    <x v="0"/>
    <x v="6"/>
    <x v="6"/>
    <x v="3"/>
    <x v="379"/>
    <x v="1"/>
    <x v="21"/>
    <x v="248"/>
    <x v="6"/>
    <x v="1"/>
    <x v="0"/>
    <x v="0"/>
    <x v="1279"/>
    <x v="1360"/>
    <x v="681"/>
    <x v="1348"/>
    <x v="1"/>
    <x v="1"/>
    <x v="0"/>
    <x v="0"/>
    <x v="2"/>
    <x v="297"/>
    <x v="0"/>
  </r>
  <r>
    <x v="1433"/>
    <x v="1429"/>
    <x v="227"/>
    <x v="0"/>
    <x v="8"/>
    <x v="8"/>
    <x v="3"/>
    <x v="570"/>
    <x v="31"/>
    <x v="1"/>
    <x v="1"/>
    <x v="1"/>
    <x v="35"/>
    <x v="1"/>
    <x v="731"/>
    <x v="1280"/>
    <x v="1361"/>
    <x v="773"/>
    <x v="1349"/>
    <x v="1259"/>
    <x v="5"/>
    <x v="0"/>
    <x v="0"/>
    <x v="1"/>
    <x v="564"/>
    <x v="1"/>
  </r>
  <r>
    <x v="1434"/>
    <x v="1430"/>
    <x v="105"/>
    <x v="0"/>
    <x v="6"/>
    <x v="6"/>
    <x v="3"/>
    <x v="19"/>
    <x v="113"/>
    <x v="89"/>
    <x v="223"/>
    <x v="2"/>
    <x v="166"/>
    <x v="4"/>
    <x v="732"/>
    <x v="1281"/>
    <x v="1362"/>
    <x v="566"/>
    <x v="1350"/>
    <x v="1260"/>
    <x v="1"/>
    <x v="0"/>
    <x v="0"/>
    <x v="0"/>
    <x v="663"/>
    <x v="0"/>
  </r>
  <r>
    <x v="1435"/>
    <x v="1431"/>
    <x v="288"/>
    <x v="1"/>
    <x v="11"/>
    <x v="11"/>
    <x v="1"/>
    <x v="285"/>
    <x v="111"/>
    <x v="119"/>
    <x v="157"/>
    <x v="7"/>
    <x v="722"/>
    <x v="0"/>
    <x v="0"/>
    <x v="1282"/>
    <x v="1363"/>
    <x v="774"/>
    <x v="1351"/>
    <x v="1261"/>
    <x v="3"/>
    <x v="0"/>
    <x v="0"/>
    <x v="0"/>
    <x v="253"/>
    <x v="1"/>
  </r>
  <r>
    <x v="1436"/>
    <x v="1432"/>
    <x v="295"/>
    <x v="0"/>
    <x v="4"/>
    <x v="4"/>
    <x v="2"/>
    <x v="47"/>
    <x v="7"/>
    <x v="149"/>
    <x v="212"/>
    <x v="2"/>
    <x v="723"/>
    <x v="0"/>
    <x v="0"/>
    <x v="1283"/>
    <x v="1364"/>
    <x v="65"/>
    <x v="1352"/>
    <x v="1262"/>
    <x v="1"/>
    <x v="0"/>
    <x v="0"/>
    <x v="0"/>
    <x v="269"/>
    <x v="0"/>
  </r>
  <r>
    <x v="1437"/>
    <x v="1433"/>
    <x v="41"/>
    <x v="1"/>
    <x v="11"/>
    <x v="11"/>
    <x v="1"/>
    <x v="172"/>
    <x v="12"/>
    <x v="64"/>
    <x v="71"/>
    <x v="3"/>
    <x v="724"/>
    <x v="2"/>
    <x v="733"/>
    <x v="1284"/>
    <x v="1365"/>
    <x v="341"/>
    <x v="1353"/>
    <x v="1263"/>
    <x v="4"/>
    <x v="0"/>
    <x v="0"/>
    <x v="0"/>
    <x v="73"/>
    <x v="0"/>
  </r>
  <r>
    <x v="1438"/>
    <x v="1434"/>
    <x v="120"/>
    <x v="0"/>
    <x v="10"/>
    <x v="10"/>
    <x v="3"/>
    <x v="233"/>
    <x v="9"/>
    <x v="97"/>
    <x v="188"/>
    <x v="4"/>
    <x v="171"/>
    <x v="0"/>
    <x v="0"/>
    <x v="1285"/>
    <x v="1366"/>
    <x v="9"/>
    <x v="1354"/>
    <x v="218"/>
    <x v="4"/>
    <x v="0"/>
    <x v="0"/>
    <x v="2"/>
    <x v="166"/>
    <x v="1"/>
  </r>
  <r>
    <x v="1439"/>
    <x v="1435"/>
    <x v="49"/>
    <x v="0"/>
    <x v="0"/>
    <x v="0"/>
    <x v="0"/>
    <x v="355"/>
    <x v="119"/>
    <x v="47"/>
    <x v="51"/>
    <x v="4"/>
    <x v="725"/>
    <x v="0"/>
    <x v="0"/>
    <x v="1286"/>
    <x v="1367"/>
    <x v="730"/>
    <x v="1355"/>
    <x v="1264"/>
    <x v="4"/>
    <x v="0"/>
    <x v="0"/>
    <x v="0"/>
    <x v="562"/>
    <x v="0"/>
  </r>
  <r>
    <x v="1440"/>
    <x v="1436"/>
    <x v="251"/>
    <x v="1"/>
    <x v="1"/>
    <x v="1"/>
    <x v="1"/>
    <x v="231"/>
    <x v="50"/>
    <x v="130"/>
    <x v="175"/>
    <x v="7"/>
    <x v="726"/>
    <x v="0"/>
    <x v="0"/>
    <x v="1287"/>
    <x v="1368"/>
    <x v="775"/>
    <x v="1356"/>
    <x v="1265"/>
    <x v="0"/>
    <x v="0"/>
    <x v="0"/>
    <x v="0"/>
    <x v="582"/>
    <x v="1"/>
  </r>
  <r>
    <x v="1441"/>
    <x v="1437"/>
    <x v="98"/>
    <x v="0"/>
    <x v="6"/>
    <x v="6"/>
    <x v="3"/>
    <x v="141"/>
    <x v="69"/>
    <x v="123"/>
    <x v="161"/>
    <x v="4"/>
    <x v="141"/>
    <x v="4"/>
    <x v="734"/>
    <x v="1288"/>
    <x v="1369"/>
    <x v="307"/>
    <x v="1357"/>
    <x v="1266"/>
    <x v="4"/>
    <x v="0"/>
    <x v="0"/>
    <x v="0"/>
    <x v="286"/>
    <x v="1"/>
  </r>
  <r>
    <x v="1442"/>
    <x v="1438"/>
    <x v="177"/>
    <x v="0"/>
    <x v="10"/>
    <x v="10"/>
    <x v="3"/>
    <x v="91"/>
    <x v="130"/>
    <x v="48"/>
    <x v="191"/>
    <x v="4"/>
    <x v="727"/>
    <x v="1"/>
    <x v="735"/>
    <x v="1289"/>
    <x v="397"/>
    <x v="611"/>
    <x v="1358"/>
    <x v="1267"/>
    <x v="4"/>
    <x v="0"/>
    <x v="0"/>
    <x v="0"/>
    <x v="246"/>
    <x v="1"/>
  </r>
  <r>
    <x v="1443"/>
    <x v="1439"/>
    <x v="64"/>
    <x v="0"/>
    <x v="2"/>
    <x v="2"/>
    <x v="2"/>
    <x v="292"/>
    <x v="19"/>
    <x v="86"/>
    <x v="102"/>
    <x v="2"/>
    <x v="728"/>
    <x v="0"/>
    <x v="0"/>
    <x v="1290"/>
    <x v="1370"/>
    <x v="183"/>
    <x v="1359"/>
    <x v="1268"/>
    <x v="4"/>
    <x v="0"/>
    <x v="0"/>
    <x v="2"/>
    <x v="227"/>
    <x v="1"/>
  </r>
  <r>
    <x v="1444"/>
    <x v="1440"/>
    <x v="286"/>
    <x v="0"/>
    <x v="4"/>
    <x v="4"/>
    <x v="2"/>
    <x v="151"/>
    <x v="64"/>
    <x v="13"/>
    <x v="105"/>
    <x v="2"/>
    <x v="729"/>
    <x v="0"/>
    <x v="0"/>
    <x v="1291"/>
    <x v="1371"/>
    <x v="114"/>
    <x v="1360"/>
    <x v="1269"/>
    <x v="3"/>
    <x v="0"/>
    <x v="0"/>
    <x v="0"/>
    <x v="19"/>
    <x v="1"/>
  </r>
  <r>
    <x v="1445"/>
    <x v="1441"/>
    <x v="133"/>
    <x v="0"/>
    <x v="10"/>
    <x v="10"/>
    <x v="3"/>
    <x v="124"/>
    <x v="126"/>
    <x v="2"/>
    <x v="85"/>
    <x v="5"/>
    <x v="730"/>
    <x v="3"/>
    <x v="736"/>
    <x v="1292"/>
    <x v="1372"/>
    <x v="463"/>
    <x v="1361"/>
    <x v="1270"/>
    <x v="0"/>
    <x v="0"/>
    <x v="0"/>
    <x v="0"/>
    <x v="0"/>
    <x v="0"/>
  </r>
  <r>
    <x v="1446"/>
    <x v="1442"/>
    <x v="130"/>
    <x v="0"/>
    <x v="2"/>
    <x v="2"/>
    <x v="2"/>
    <x v="555"/>
    <x v="35"/>
    <x v="106"/>
    <x v="153"/>
    <x v="6"/>
    <x v="229"/>
    <x v="1"/>
    <x v="569"/>
    <x v="1000"/>
    <x v="1057"/>
    <x v="302"/>
    <x v="1049"/>
    <x v="988"/>
    <x v="1"/>
    <x v="0"/>
    <x v="0"/>
    <x v="2"/>
    <x v="677"/>
    <x v="0"/>
  </r>
  <r>
    <x v="1447"/>
    <x v="1443"/>
    <x v="29"/>
    <x v="0"/>
    <x v="10"/>
    <x v="10"/>
    <x v="3"/>
    <x v="413"/>
    <x v="22"/>
    <x v="99"/>
    <x v="31"/>
    <x v="2"/>
    <x v="23"/>
    <x v="0"/>
    <x v="0"/>
    <x v="490"/>
    <x v="1373"/>
    <x v="411"/>
    <x v="1362"/>
    <x v="1271"/>
    <x v="5"/>
    <x v="0"/>
    <x v="0"/>
    <x v="0"/>
    <x v="254"/>
    <x v="0"/>
  </r>
  <r>
    <x v="1448"/>
    <x v="1444"/>
    <x v="108"/>
    <x v="0"/>
    <x v="5"/>
    <x v="5"/>
    <x v="0"/>
    <x v="171"/>
    <x v="68"/>
    <x v="84"/>
    <x v="160"/>
    <x v="2"/>
    <x v="82"/>
    <x v="2"/>
    <x v="48"/>
    <x v="88"/>
    <x v="1374"/>
    <x v="87"/>
    <x v="1363"/>
    <x v="1272"/>
    <x v="5"/>
    <x v="0"/>
    <x v="0"/>
    <x v="2"/>
    <x v="588"/>
    <x v="1"/>
  </r>
  <r>
    <x v="1449"/>
    <x v="1445"/>
    <x v="30"/>
    <x v="0"/>
    <x v="6"/>
    <x v="6"/>
    <x v="3"/>
    <x v="285"/>
    <x v="72"/>
    <x v="29"/>
    <x v="30"/>
    <x v="3"/>
    <x v="731"/>
    <x v="0"/>
    <x v="0"/>
    <x v="1293"/>
    <x v="190"/>
    <x v="95"/>
    <x v="1364"/>
    <x v="186"/>
    <x v="3"/>
    <x v="0"/>
    <x v="0"/>
    <x v="0"/>
    <x v="678"/>
    <x v="0"/>
  </r>
  <r>
    <x v="1450"/>
    <x v="1446"/>
    <x v="213"/>
    <x v="0"/>
    <x v="4"/>
    <x v="4"/>
    <x v="2"/>
    <x v="223"/>
    <x v="126"/>
    <x v="153"/>
    <x v="220"/>
    <x v="0"/>
    <x v="227"/>
    <x v="0"/>
    <x v="0"/>
    <x v="1294"/>
    <x v="1375"/>
    <x v="273"/>
    <x v="1365"/>
    <x v="692"/>
    <x v="1"/>
    <x v="0"/>
    <x v="0"/>
    <x v="1"/>
    <x v="133"/>
    <x v="1"/>
  </r>
  <r>
    <x v="1451"/>
    <x v="1447"/>
    <x v="200"/>
    <x v="0"/>
    <x v="9"/>
    <x v="9"/>
    <x v="0"/>
    <x v="571"/>
    <x v="131"/>
    <x v="163"/>
    <x v="82"/>
    <x v="6"/>
    <x v="276"/>
    <x v="2"/>
    <x v="191"/>
    <x v="1295"/>
    <x v="1376"/>
    <x v="525"/>
    <x v="1366"/>
    <x v="1273"/>
    <x v="5"/>
    <x v="0"/>
    <x v="0"/>
    <x v="0"/>
    <x v="398"/>
    <x v="1"/>
  </r>
  <r>
    <x v="1452"/>
    <x v="1448"/>
    <x v="29"/>
    <x v="0"/>
    <x v="10"/>
    <x v="10"/>
    <x v="3"/>
    <x v="185"/>
    <x v="74"/>
    <x v="73"/>
    <x v="218"/>
    <x v="7"/>
    <x v="732"/>
    <x v="0"/>
    <x v="0"/>
    <x v="1296"/>
    <x v="1377"/>
    <x v="613"/>
    <x v="1367"/>
    <x v="1274"/>
    <x v="5"/>
    <x v="0"/>
    <x v="0"/>
    <x v="0"/>
    <x v="498"/>
    <x v="0"/>
  </r>
  <r>
    <x v="1453"/>
    <x v="1449"/>
    <x v="346"/>
    <x v="0"/>
    <x v="6"/>
    <x v="6"/>
    <x v="3"/>
    <x v="571"/>
    <x v="93"/>
    <x v="36"/>
    <x v="37"/>
    <x v="4"/>
    <x v="323"/>
    <x v="3"/>
    <x v="737"/>
    <x v="1297"/>
    <x v="1378"/>
    <x v="187"/>
    <x v="1368"/>
    <x v="1275"/>
    <x v="3"/>
    <x v="0"/>
    <x v="0"/>
    <x v="0"/>
    <x v="509"/>
    <x v="1"/>
  </r>
  <r>
    <x v="1454"/>
    <x v="1450"/>
    <x v="44"/>
    <x v="0"/>
    <x v="8"/>
    <x v="8"/>
    <x v="3"/>
    <x v="417"/>
    <x v="73"/>
    <x v="151"/>
    <x v="216"/>
    <x v="1"/>
    <x v="469"/>
    <x v="0"/>
    <x v="0"/>
    <x v="1298"/>
    <x v="1379"/>
    <x v="776"/>
    <x v="1369"/>
    <x v="1276"/>
    <x v="2"/>
    <x v="0"/>
    <x v="0"/>
    <x v="0"/>
    <x v="41"/>
    <x v="0"/>
  </r>
  <r>
    <x v="1455"/>
    <x v="1451"/>
    <x v="105"/>
    <x v="0"/>
    <x v="6"/>
    <x v="6"/>
    <x v="3"/>
    <x v="555"/>
    <x v="31"/>
    <x v="46"/>
    <x v="49"/>
    <x v="4"/>
    <x v="35"/>
    <x v="4"/>
    <x v="738"/>
    <x v="1299"/>
    <x v="1380"/>
    <x v="179"/>
    <x v="1370"/>
    <x v="1277"/>
    <x v="5"/>
    <x v="0"/>
    <x v="0"/>
    <x v="0"/>
    <x v="654"/>
    <x v="0"/>
  </r>
  <r>
    <x v="1456"/>
    <x v="1452"/>
    <x v="34"/>
    <x v="0"/>
    <x v="9"/>
    <x v="9"/>
    <x v="0"/>
    <x v="203"/>
    <x v="15"/>
    <x v="114"/>
    <x v="40"/>
    <x v="6"/>
    <x v="15"/>
    <x v="3"/>
    <x v="739"/>
    <x v="1300"/>
    <x v="1381"/>
    <x v="459"/>
    <x v="1371"/>
    <x v="1278"/>
    <x v="0"/>
    <x v="0"/>
    <x v="0"/>
    <x v="2"/>
    <x v="34"/>
    <x v="0"/>
  </r>
  <r>
    <x v="1457"/>
    <x v="1453"/>
    <x v="273"/>
    <x v="0"/>
    <x v="0"/>
    <x v="0"/>
    <x v="0"/>
    <x v="189"/>
    <x v="43"/>
    <x v="19"/>
    <x v="54"/>
    <x v="1"/>
    <x v="380"/>
    <x v="0"/>
    <x v="0"/>
    <x v="1301"/>
    <x v="1382"/>
    <x v="777"/>
    <x v="1372"/>
    <x v="1279"/>
    <x v="0"/>
    <x v="1"/>
    <x v="1"/>
    <x v="0"/>
    <x v="515"/>
    <x v="1"/>
  </r>
  <r>
    <x v="1458"/>
    <x v="1454"/>
    <x v="227"/>
    <x v="0"/>
    <x v="8"/>
    <x v="8"/>
    <x v="3"/>
    <x v="572"/>
    <x v="127"/>
    <x v="9"/>
    <x v="288"/>
    <x v="6"/>
    <x v="335"/>
    <x v="0"/>
    <x v="0"/>
    <x v="1302"/>
    <x v="1383"/>
    <x v="282"/>
    <x v="1373"/>
    <x v="1036"/>
    <x v="5"/>
    <x v="0"/>
    <x v="0"/>
    <x v="0"/>
    <x v="679"/>
    <x v="1"/>
  </r>
  <r>
    <x v="1459"/>
    <x v="1455"/>
    <x v="274"/>
    <x v="0"/>
    <x v="8"/>
    <x v="8"/>
    <x v="3"/>
    <x v="360"/>
    <x v="66"/>
    <x v="167"/>
    <x v="177"/>
    <x v="2"/>
    <x v="733"/>
    <x v="1"/>
    <x v="740"/>
    <x v="1303"/>
    <x v="1384"/>
    <x v="85"/>
    <x v="1374"/>
    <x v="1280"/>
    <x v="5"/>
    <x v="0"/>
    <x v="0"/>
    <x v="0"/>
    <x v="447"/>
    <x v="1"/>
  </r>
  <r>
    <x v="1460"/>
    <x v="1456"/>
    <x v="189"/>
    <x v="0"/>
    <x v="6"/>
    <x v="6"/>
    <x v="3"/>
    <x v="530"/>
    <x v="94"/>
    <x v="150"/>
    <x v="256"/>
    <x v="6"/>
    <x v="349"/>
    <x v="4"/>
    <x v="741"/>
    <x v="1304"/>
    <x v="1385"/>
    <x v="545"/>
    <x v="1375"/>
    <x v="1281"/>
    <x v="5"/>
    <x v="0"/>
    <x v="0"/>
    <x v="0"/>
    <x v="433"/>
    <x v="1"/>
  </r>
  <r>
    <x v="1461"/>
    <x v="1457"/>
    <x v="86"/>
    <x v="0"/>
    <x v="6"/>
    <x v="6"/>
    <x v="3"/>
    <x v="573"/>
    <x v="129"/>
    <x v="136"/>
    <x v="142"/>
    <x v="6"/>
    <x v="249"/>
    <x v="4"/>
    <x v="742"/>
    <x v="1305"/>
    <x v="1386"/>
    <x v="305"/>
    <x v="1376"/>
    <x v="1282"/>
    <x v="2"/>
    <x v="0"/>
    <x v="0"/>
    <x v="0"/>
    <x v="277"/>
    <x v="0"/>
  </r>
  <r>
    <x v="1462"/>
    <x v="1458"/>
    <x v="105"/>
    <x v="0"/>
    <x v="6"/>
    <x v="6"/>
    <x v="3"/>
    <x v="552"/>
    <x v="43"/>
    <x v="163"/>
    <x v="303"/>
    <x v="3"/>
    <x v="734"/>
    <x v="2"/>
    <x v="743"/>
    <x v="1306"/>
    <x v="1387"/>
    <x v="778"/>
    <x v="1377"/>
    <x v="1283"/>
    <x v="5"/>
    <x v="0"/>
    <x v="0"/>
    <x v="0"/>
    <x v="112"/>
    <x v="0"/>
  </r>
  <r>
    <x v="1463"/>
    <x v="1459"/>
    <x v="211"/>
    <x v="0"/>
    <x v="10"/>
    <x v="10"/>
    <x v="3"/>
    <x v="92"/>
    <x v="15"/>
    <x v="47"/>
    <x v="51"/>
    <x v="6"/>
    <x v="15"/>
    <x v="3"/>
    <x v="739"/>
    <x v="1300"/>
    <x v="1388"/>
    <x v="459"/>
    <x v="1378"/>
    <x v="1284"/>
    <x v="0"/>
    <x v="0"/>
    <x v="0"/>
    <x v="0"/>
    <x v="373"/>
    <x v="1"/>
  </r>
  <r>
    <x v="1464"/>
    <x v="1460"/>
    <x v="291"/>
    <x v="0"/>
    <x v="8"/>
    <x v="8"/>
    <x v="3"/>
    <x v="228"/>
    <x v="18"/>
    <x v="49"/>
    <x v="53"/>
    <x v="4"/>
    <x v="735"/>
    <x v="1"/>
    <x v="744"/>
    <x v="1307"/>
    <x v="1389"/>
    <x v="779"/>
    <x v="1379"/>
    <x v="1285"/>
    <x v="4"/>
    <x v="0"/>
    <x v="0"/>
    <x v="0"/>
    <x v="59"/>
    <x v="1"/>
  </r>
  <r>
    <x v="1465"/>
    <x v="1461"/>
    <x v="67"/>
    <x v="0"/>
    <x v="8"/>
    <x v="8"/>
    <x v="3"/>
    <x v="144"/>
    <x v="5"/>
    <x v="165"/>
    <x v="166"/>
    <x v="6"/>
    <x v="139"/>
    <x v="1"/>
    <x v="554"/>
    <x v="975"/>
    <x v="1390"/>
    <x v="604"/>
    <x v="1380"/>
    <x v="1286"/>
    <x v="5"/>
    <x v="0"/>
    <x v="0"/>
    <x v="0"/>
    <x v="680"/>
    <x v="0"/>
  </r>
  <r>
    <x v="1466"/>
    <x v="1462"/>
    <x v="215"/>
    <x v="0"/>
    <x v="10"/>
    <x v="10"/>
    <x v="3"/>
    <x v="441"/>
    <x v="109"/>
    <x v="81"/>
    <x v="35"/>
    <x v="2"/>
    <x v="150"/>
    <x v="0"/>
    <x v="0"/>
    <x v="251"/>
    <x v="308"/>
    <x v="227"/>
    <x v="304"/>
    <x v="300"/>
    <x v="1"/>
    <x v="0"/>
    <x v="0"/>
    <x v="0"/>
    <x v="468"/>
    <x v="0"/>
  </r>
  <r>
    <x v="1467"/>
    <x v="1463"/>
    <x v="135"/>
    <x v="1"/>
    <x v="7"/>
    <x v="7"/>
    <x v="1"/>
    <x v="89"/>
    <x v="78"/>
    <x v="30"/>
    <x v="31"/>
    <x v="5"/>
    <x v="736"/>
    <x v="0"/>
    <x v="0"/>
    <x v="1073"/>
    <x v="1391"/>
    <x v="664"/>
    <x v="1381"/>
    <x v="1287"/>
    <x v="3"/>
    <x v="1"/>
    <x v="1"/>
    <x v="0"/>
    <x v="448"/>
    <x v="0"/>
  </r>
  <r>
    <x v="1468"/>
    <x v="1464"/>
    <x v="195"/>
    <x v="0"/>
    <x v="0"/>
    <x v="0"/>
    <x v="0"/>
    <x v="236"/>
    <x v="84"/>
    <x v="67"/>
    <x v="76"/>
    <x v="1"/>
    <x v="109"/>
    <x v="0"/>
    <x v="0"/>
    <x v="943"/>
    <x v="988"/>
    <x v="647"/>
    <x v="981"/>
    <x v="364"/>
    <x v="0"/>
    <x v="0"/>
    <x v="0"/>
    <x v="0"/>
    <x v="106"/>
    <x v="1"/>
  </r>
  <r>
    <x v="1469"/>
    <x v="1465"/>
    <x v="347"/>
    <x v="1"/>
    <x v="11"/>
    <x v="11"/>
    <x v="1"/>
    <x v="155"/>
    <x v="125"/>
    <x v="21"/>
    <x v="157"/>
    <x v="2"/>
    <x v="737"/>
    <x v="0"/>
    <x v="0"/>
    <x v="1308"/>
    <x v="1392"/>
    <x v="780"/>
    <x v="1382"/>
    <x v="1288"/>
    <x v="4"/>
    <x v="0"/>
    <x v="0"/>
    <x v="0"/>
    <x v="299"/>
    <x v="1"/>
  </r>
  <r>
    <x v="1470"/>
    <x v="1466"/>
    <x v="247"/>
    <x v="0"/>
    <x v="5"/>
    <x v="5"/>
    <x v="0"/>
    <x v="574"/>
    <x v="58"/>
    <x v="119"/>
    <x v="157"/>
    <x v="1"/>
    <x v="66"/>
    <x v="0"/>
    <x v="0"/>
    <x v="890"/>
    <x v="1393"/>
    <x v="68"/>
    <x v="1383"/>
    <x v="463"/>
    <x v="1"/>
    <x v="0"/>
    <x v="0"/>
    <x v="0"/>
    <x v="245"/>
    <x v="0"/>
  </r>
  <r>
    <x v="1471"/>
    <x v="1467"/>
    <x v="118"/>
    <x v="0"/>
    <x v="5"/>
    <x v="5"/>
    <x v="0"/>
    <x v="575"/>
    <x v="30"/>
    <x v="27"/>
    <x v="107"/>
    <x v="1"/>
    <x v="34"/>
    <x v="4"/>
    <x v="745"/>
    <x v="1309"/>
    <x v="1394"/>
    <x v="125"/>
    <x v="1384"/>
    <x v="1289"/>
    <x v="0"/>
    <x v="0"/>
    <x v="0"/>
    <x v="0"/>
    <x v="634"/>
    <x v="0"/>
  </r>
  <r>
    <x v="1472"/>
    <x v="1468"/>
    <x v="347"/>
    <x v="1"/>
    <x v="11"/>
    <x v="11"/>
    <x v="1"/>
    <x v="246"/>
    <x v="3"/>
    <x v="141"/>
    <x v="315"/>
    <x v="0"/>
    <x v="3"/>
    <x v="3"/>
    <x v="678"/>
    <x v="1289"/>
    <x v="1395"/>
    <x v="255"/>
    <x v="1385"/>
    <x v="1290"/>
    <x v="5"/>
    <x v="0"/>
    <x v="0"/>
    <x v="0"/>
    <x v="506"/>
    <x v="1"/>
  </r>
  <r>
    <x v="1473"/>
    <x v="1469"/>
    <x v="9"/>
    <x v="0"/>
    <x v="5"/>
    <x v="5"/>
    <x v="0"/>
    <x v="273"/>
    <x v="11"/>
    <x v="81"/>
    <x v="35"/>
    <x v="1"/>
    <x v="87"/>
    <x v="2"/>
    <x v="746"/>
    <x v="1310"/>
    <x v="190"/>
    <x v="202"/>
    <x v="1386"/>
    <x v="186"/>
    <x v="5"/>
    <x v="0"/>
    <x v="0"/>
    <x v="0"/>
    <x v="248"/>
    <x v="1"/>
  </r>
  <r>
    <x v="1474"/>
    <x v="1470"/>
    <x v="202"/>
    <x v="0"/>
    <x v="4"/>
    <x v="4"/>
    <x v="2"/>
    <x v="371"/>
    <x v="55"/>
    <x v="161"/>
    <x v="254"/>
    <x v="2"/>
    <x v="362"/>
    <x v="0"/>
    <x v="0"/>
    <x v="1311"/>
    <x v="1396"/>
    <x v="64"/>
    <x v="1387"/>
    <x v="1240"/>
    <x v="0"/>
    <x v="0"/>
    <x v="0"/>
    <x v="0"/>
    <x v="672"/>
    <x v="1"/>
  </r>
  <r>
    <x v="1475"/>
    <x v="1471"/>
    <x v="133"/>
    <x v="0"/>
    <x v="10"/>
    <x v="10"/>
    <x v="3"/>
    <x v="352"/>
    <x v="44"/>
    <x v="158"/>
    <x v="235"/>
    <x v="4"/>
    <x v="242"/>
    <x v="0"/>
    <x v="0"/>
    <x v="673"/>
    <x v="695"/>
    <x v="373"/>
    <x v="691"/>
    <x v="665"/>
    <x v="1"/>
    <x v="0"/>
    <x v="0"/>
    <x v="0"/>
    <x v="681"/>
    <x v="0"/>
  </r>
  <r>
    <x v="1476"/>
    <x v="1472"/>
    <x v="348"/>
    <x v="0"/>
    <x v="4"/>
    <x v="4"/>
    <x v="2"/>
    <x v="54"/>
    <x v="20"/>
    <x v="5"/>
    <x v="192"/>
    <x v="7"/>
    <x v="738"/>
    <x v="0"/>
    <x v="0"/>
    <x v="1312"/>
    <x v="1397"/>
    <x v="21"/>
    <x v="1388"/>
    <x v="1291"/>
    <x v="3"/>
    <x v="0"/>
    <x v="0"/>
    <x v="0"/>
    <x v="431"/>
    <x v="1"/>
  </r>
  <r>
    <x v="1477"/>
    <x v="1473"/>
    <x v="152"/>
    <x v="0"/>
    <x v="8"/>
    <x v="8"/>
    <x v="3"/>
    <x v="576"/>
    <x v="111"/>
    <x v="16"/>
    <x v="120"/>
    <x v="6"/>
    <x v="268"/>
    <x v="4"/>
    <x v="747"/>
    <x v="1313"/>
    <x v="1398"/>
    <x v="375"/>
    <x v="738"/>
    <x v="1292"/>
    <x v="5"/>
    <x v="0"/>
    <x v="0"/>
    <x v="0"/>
    <x v="682"/>
    <x v="1"/>
  </r>
  <r>
    <x v="1478"/>
    <x v="1474"/>
    <x v="131"/>
    <x v="0"/>
    <x v="6"/>
    <x v="6"/>
    <x v="3"/>
    <x v="577"/>
    <x v="19"/>
    <x v="83"/>
    <x v="98"/>
    <x v="6"/>
    <x v="19"/>
    <x v="0"/>
    <x v="0"/>
    <x v="161"/>
    <x v="161"/>
    <x v="151"/>
    <x v="157"/>
    <x v="156"/>
    <x v="1"/>
    <x v="0"/>
    <x v="0"/>
    <x v="2"/>
    <x v="137"/>
    <x v="0"/>
  </r>
  <r>
    <x v="1479"/>
    <x v="1475"/>
    <x v="40"/>
    <x v="0"/>
    <x v="2"/>
    <x v="2"/>
    <x v="2"/>
    <x v="49"/>
    <x v="100"/>
    <x v="154"/>
    <x v="287"/>
    <x v="7"/>
    <x v="739"/>
    <x v="0"/>
    <x v="0"/>
    <x v="1314"/>
    <x v="1399"/>
    <x v="781"/>
    <x v="1389"/>
    <x v="1293"/>
    <x v="0"/>
    <x v="0"/>
    <x v="0"/>
    <x v="0"/>
    <x v="193"/>
    <x v="0"/>
  </r>
  <r>
    <x v="1480"/>
    <x v="1476"/>
    <x v="341"/>
    <x v="0"/>
    <x v="0"/>
    <x v="0"/>
    <x v="0"/>
    <x v="55"/>
    <x v="123"/>
    <x v="132"/>
    <x v="325"/>
    <x v="7"/>
    <x v="740"/>
    <x v="3"/>
    <x v="748"/>
    <x v="1315"/>
    <x v="1400"/>
    <x v="782"/>
    <x v="1390"/>
    <x v="1294"/>
    <x v="4"/>
    <x v="0"/>
    <x v="0"/>
    <x v="2"/>
    <x v="326"/>
    <x v="1"/>
  </r>
  <r>
    <x v="1481"/>
    <x v="1477"/>
    <x v="152"/>
    <x v="0"/>
    <x v="8"/>
    <x v="8"/>
    <x v="3"/>
    <x v="331"/>
    <x v="30"/>
    <x v="112"/>
    <x v="141"/>
    <x v="2"/>
    <x v="741"/>
    <x v="0"/>
    <x v="0"/>
    <x v="1316"/>
    <x v="1401"/>
    <x v="102"/>
    <x v="1391"/>
    <x v="1295"/>
    <x v="5"/>
    <x v="0"/>
    <x v="0"/>
    <x v="0"/>
    <x v="186"/>
    <x v="1"/>
  </r>
  <r>
    <x v="1482"/>
    <x v="1478"/>
    <x v="305"/>
    <x v="0"/>
    <x v="0"/>
    <x v="0"/>
    <x v="0"/>
    <x v="246"/>
    <x v="20"/>
    <x v="5"/>
    <x v="192"/>
    <x v="4"/>
    <x v="198"/>
    <x v="0"/>
    <x v="0"/>
    <x v="1317"/>
    <x v="1402"/>
    <x v="783"/>
    <x v="1392"/>
    <x v="1296"/>
    <x v="4"/>
    <x v="1"/>
    <x v="1"/>
    <x v="0"/>
    <x v="375"/>
    <x v="1"/>
  </r>
  <r>
    <x v="1483"/>
    <x v="1479"/>
    <x v="143"/>
    <x v="1"/>
    <x v="1"/>
    <x v="1"/>
    <x v="1"/>
    <x v="87"/>
    <x v="37"/>
    <x v="143"/>
    <x v="200"/>
    <x v="0"/>
    <x v="99"/>
    <x v="4"/>
    <x v="310"/>
    <x v="548"/>
    <x v="1224"/>
    <x v="445"/>
    <x v="1214"/>
    <x v="1135"/>
    <x v="0"/>
    <x v="0"/>
    <x v="0"/>
    <x v="0"/>
    <x v="414"/>
    <x v="1"/>
  </r>
  <r>
    <x v="1484"/>
    <x v="1480"/>
    <x v="122"/>
    <x v="0"/>
    <x v="10"/>
    <x v="10"/>
    <x v="3"/>
    <x v="85"/>
    <x v="86"/>
    <x v="4"/>
    <x v="41"/>
    <x v="3"/>
    <x v="742"/>
    <x v="2"/>
    <x v="749"/>
    <x v="1318"/>
    <x v="1403"/>
    <x v="702"/>
    <x v="1393"/>
    <x v="1297"/>
    <x v="1"/>
    <x v="0"/>
    <x v="0"/>
    <x v="0"/>
    <x v="94"/>
    <x v="1"/>
  </r>
  <r>
    <x v="1485"/>
    <x v="1481"/>
    <x v="29"/>
    <x v="0"/>
    <x v="10"/>
    <x v="10"/>
    <x v="3"/>
    <x v="446"/>
    <x v="59"/>
    <x v="150"/>
    <x v="256"/>
    <x v="1"/>
    <x v="233"/>
    <x v="0"/>
    <x v="0"/>
    <x v="1319"/>
    <x v="1404"/>
    <x v="554"/>
    <x v="1394"/>
    <x v="1298"/>
    <x v="2"/>
    <x v="0"/>
    <x v="0"/>
    <x v="0"/>
    <x v="189"/>
    <x v="0"/>
  </r>
  <r>
    <x v="1486"/>
    <x v="1482"/>
    <x v="107"/>
    <x v="0"/>
    <x v="8"/>
    <x v="8"/>
    <x v="3"/>
    <x v="452"/>
    <x v="132"/>
    <x v="141"/>
    <x v="231"/>
    <x v="6"/>
    <x v="278"/>
    <x v="0"/>
    <x v="0"/>
    <x v="1320"/>
    <x v="1405"/>
    <x v="784"/>
    <x v="1395"/>
    <x v="1299"/>
    <x v="3"/>
    <x v="0"/>
    <x v="0"/>
    <x v="0"/>
    <x v="412"/>
    <x v="1"/>
  </r>
  <r>
    <x v="1487"/>
    <x v="1483"/>
    <x v="55"/>
    <x v="0"/>
    <x v="9"/>
    <x v="9"/>
    <x v="0"/>
    <x v="358"/>
    <x v="104"/>
    <x v="30"/>
    <x v="31"/>
    <x v="6"/>
    <x v="202"/>
    <x v="2"/>
    <x v="199"/>
    <x v="335"/>
    <x v="1406"/>
    <x v="292"/>
    <x v="1396"/>
    <x v="1300"/>
    <x v="3"/>
    <x v="1"/>
    <x v="1"/>
    <x v="0"/>
    <x v="203"/>
    <x v="0"/>
  </r>
  <r>
    <x v="1488"/>
    <x v="1484"/>
    <x v="265"/>
    <x v="0"/>
    <x v="3"/>
    <x v="3"/>
    <x v="2"/>
    <x v="565"/>
    <x v="88"/>
    <x v="175"/>
    <x v="305"/>
    <x v="0"/>
    <x v="117"/>
    <x v="3"/>
    <x v="404"/>
    <x v="1321"/>
    <x v="1407"/>
    <x v="594"/>
    <x v="1397"/>
    <x v="1301"/>
    <x v="3"/>
    <x v="0"/>
    <x v="0"/>
    <x v="0"/>
    <x v="444"/>
    <x v="1"/>
  </r>
  <r>
    <x v="1489"/>
    <x v="1485"/>
    <x v="14"/>
    <x v="0"/>
    <x v="0"/>
    <x v="0"/>
    <x v="0"/>
    <x v="277"/>
    <x v="96"/>
    <x v="34"/>
    <x v="32"/>
    <x v="7"/>
    <x v="743"/>
    <x v="0"/>
    <x v="0"/>
    <x v="1322"/>
    <x v="1408"/>
    <x v="785"/>
    <x v="1398"/>
    <x v="1302"/>
    <x v="3"/>
    <x v="0"/>
    <x v="0"/>
    <x v="1"/>
    <x v="683"/>
    <x v="0"/>
  </r>
  <r>
    <x v="1490"/>
    <x v="1486"/>
    <x v="196"/>
    <x v="0"/>
    <x v="5"/>
    <x v="5"/>
    <x v="0"/>
    <x v="549"/>
    <x v="137"/>
    <x v="92"/>
    <x v="266"/>
    <x v="2"/>
    <x v="744"/>
    <x v="0"/>
    <x v="0"/>
    <x v="1323"/>
    <x v="1409"/>
    <x v="786"/>
    <x v="1399"/>
    <x v="1303"/>
    <x v="2"/>
    <x v="0"/>
    <x v="0"/>
    <x v="0"/>
    <x v="684"/>
    <x v="0"/>
  </r>
  <r>
    <x v="1491"/>
    <x v="1487"/>
    <x v="157"/>
    <x v="1"/>
    <x v="7"/>
    <x v="7"/>
    <x v="1"/>
    <x v="174"/>
    <x v="108"/>
    <x v="20"/>
    <x v="20"/>
    <x v="5"/>
    <x v="745"/>
    <x v="2"/>
    <x v="750"/>
    <x v="1324"/>
    <x v="1410"/>
    <x v="787"/>
    <x v="1400"/>
    <x v="1304"/>
    <x v="3"/>
    <x v="0"/>
    <x v="0"/>
    <x v="2"/>
    <x v="408"/>
    <x v="1"/>
  </r>
  <r>
    <x v="1492"/>
    <x v="1488"/>
    <x v="263"/>
    <x v="0"/>
    <x v="2"/>
    <x v="2"/>
    <x v="2"/>
    <x v="276"/>
    <x v="68"/>
    <x v="141"/>
    <x v="4"/>
    <x v="3"/>
    <x v="746"/>
    <x v="4"/>
    <x v="751"/>
    <x v="1325"/>
    <x v="1411"/>
    <x v="581"/>
    <x v="1401"/>
    <x v="1305"/>
    <x v="5"/>
    <x v="0"/>
    <x v="0"/>
    <x v="2"/>
    <x v="110"/>
    <x v="1"/>
  </r>
  <r>
    <x v="1493"/>
    <x v="1489"/>
    <x v="152"/>
    <x v="0"/>
    <x v="8"/>
    <x v="8"/>
    <x v="3"/>
    <x v="411"/>
    <x v="56"/>
    <x v="66"/>
    <x v="75"/>
    <x v="6"/>
    <x v="64"/>
    <x v="0"/>
    <x v="0"/>
    <x v="899"/>
    <x v="1109"/>
    <x v="628"/>
    <x v="1100"/>
    <x v="304"/>
    <x v="1"/>
    <x v="0"/>
    <x v="0"/>
    <x v="2"/>
    <x v="507"/>
    <x v="1"/>
  </r>
  <r>
    <x v="1494"/>
    <x v="1490"/>
    <x v="26"/>
    <x v="0"/>
    <x v="8"/>
    <x v="8"/>
    <x v="3"/>
    <x v="317"/>
    <x v="150"/>
    <x v="57"/>
    <x v="267"/>
    <x v="6"/>
    <x v="614"/>
    <x v="1"/>
    <x v="752"/>
    <x v="1326"/>
    <x v="1412"/>
    <x v="788"/>
    <x v="1402"/>
    <x v="1306"/>
    <x v="0"/>
    <x v="0"/>
    <x v="0"/>
    <x v="0"/>
    <x v="685"/>
    <x v="0"/>
  </r>
  <r>
    <x v="1495"/>
    <x v="1491"/>
    <x v="137"/>
    <x v="1"/>
    <x v="7"/>
    <x v="7"/>
    <x v="1"/>
    <x v="243"/>
    <x v="3"/>
    <x v="127"/>
    <x v="165"/>
    <x v="2"/>
    <x v="3"/>
    <x v="0"/>
    <x v="0"/>
    <x v="618"/>
    <x v="1340"/>
    <x v="262"/>
    <x v="1403"/>
    <x v="825"/>
    <x v="4"/>
    <x v="0"/>
    <x v="0"/>
    <x v="0"/>
    <x v="113"/>
    <x v="1"/>
  </r>
  <r>
    <x v="1496"/>
    <x v="1492"/>
    <x v="116"/>
    <x v="0"/>
    <x v="8"/>
    <x v="8"/>
    <x v="3"/>
    <x v="396"/>
    <x v="140"/>
    <x v="154"/>
    <x v="236"/>
    <x v="6"/>
    <x v="654"/>
    <x v="0"/>
    <x v="0"/>
    <x v="1327"/>
    <x v="1413"/>
    <x v="496"/>
    <x v="1404"/>
    <x v="1307"/>
    <x v="4"/>
    <x v="0"/>
    <x v="0"/>
    <x v="2"/>
    <x v="686"/>
    <x v="1"/>
  </r>
  <r>
    <x v="1497"/>
    <x v="1493"/>
    <x v="180"/>
    <x v="1"/>
    <x v="7"/>
    <x v="7"/>
    <x v="1"/>
    <x v="94"/>
    <x v="150"/>
    <x v="75"/>
    <x v="174"/>
    <x v="6"/>
    <x v="747"/>
    <x v="4"/>
    <x v="753"/>
    <x v="1328"/>
    <x v="1414"/>
    <x v="788"/>
    <x v="1405"/>
    <x v="1308"/>
    <x v="4"/>
    <x v="0"/>
    <x v="0"/>
    <x v="2"/>
    <x v="189"/>
    <x v="1"/>
  </r>
  <r>
    <x v="1498"/>
    <x v="1494"/>
    <x v="123"/>
    <x v="0"/>
    <x v="8"/>
    <x v="8"/>
    <x v="3"/>
    <x v="369"/>
    <x v="106"/>
    <x v="88"/>
    <x v="35"/>
    <x v="2"/>
    <x v="145"/>
    <x v="3"/>
    <x v="754"/>
    <x v="1329"/>
    <x v="1415"/>
    <x v="166"/>
    <x v="1406"/>
    <x v="1309"/>
    <x v="0"/>
    <x v="0"/>
    <x v="0"/>
    <x v="0"/>
    <x v="687"/>
    <x v="1"/>
  </r>
  <r>
    <x v="1499"/>
    <x v="1495"/>
    <x v="313"/>
    <x v="0"/>
    <x v="2"/>
    <x v="2"/>
    <x v="2"/>
    <x v="439"/>
    <x v="52"/>
    <x v="7"/>
    <x v="274"/>
    <x v="6"/>
    <x v="59"/>
    <x v="1"/>
    <x v="755"/>
    <x v="1330"/>
    <x v="1416"/>
    <x v="314"/>
    <x v="1407"/>
    <x v="1310"/>
    <x v="4"/>
    <x v="0"/>
    <x v="0"/>
    <x v="2"/>
    <x v="473"/>
    <x v="0"/>
  </r>
  <r>
    <x v="1500"/>
    <x v="1496"/>
    <x v="32"/>
    <x v="0"/>
    <x v="8"/>
    <x v="8"/>
    <x v="3"/>
    <x v="498"/>
    <x v="49"/>
    <x v="161"/>
    <x v="254"/>
    <x v="0"/>
    <x v="84"/>
    <x v="0"/>
    <x v="0"/>
    <x v="347"/>
    <x v="355"/>
    <x v="301"/>
    <x v="351"/>
    <x v="347"/>
    <x v="3"/>
    <x v="0"/>
    <x v="0"/>
    <x v="0"/>
    <x v="548"/>
    <x v="1"/>
  </r>
  <r>
    <x v="1501"/>
    <x v="1497"/>
    <x v="171"/>
    <x v="1"/>
    <x v="7"/>
    <x v="7"/>
    <x v="1"/>
    <x v="184"/>
    <x v="41"/>
    <x v="23"/>
    <x v="326"/>
    <x v="6"/>
    <x v="748"/>
    <x v="0"/>
    <x v="0"/>
    <x v="1331"/>
    <x v="1417"/>
    <x v="197"/>
    <x v="1408"/>
    <x v="1311"/>
    <x v="4"/>
    <x v="1"/>
    <x v="1"/>
    <x v="0"/>
    <x v="419"/>
    <x v="1"/>
  </r>
  <r>
    <x v="1502"/>
    <x v="1498"/>
    <x v="172"/>
    <x v="0"/>
    <x v="10"/>
    <x v="10"/>
    <x v="3"/>
    <x v="378"/>
    <x v="3"/>
    <x v="143"/>
    <x v="200"/>
    <x v="5"/>
    <x v="749"/>
    <x v="0"/>
    <x v="0"/>
    <x v="1332"/>
    <x v="1418"/>
    <x v="690"/>
    <x v="1409"/>
    <x v="1312"/>
    <x v="4"/>
    <x v="0"/>
    <x v="0"/>
    <x v="0"/>
    <x v="29"/>
    <x v="0"/>
  </r>
  <r>
    <x v="1503"/>
    <x v="1499"/>
    <x v="86"/>
    <x v="0"/>
    <x v="6"/>
    <x v="6"/>
    <x v="3"/>
    <x v="411"/>
    <x v="9"/>
    <x v="64"/>
    <x v="71"/>
    <x v="2"/>
    <x v="171"/>
    <x v="0"/>
    <x v="0"/>
    <x v="1333"/>
    <x v="1419"/>
    <x v="215"/>
    <x v="1410"/>
    <x v="915"/>
    <x v="5"/>
    <x v="0"/>
    <x v="0"/>
    <x v="0"/>
    <x v="92"/>
    <x v="0"/>
  </r>
  <r>
    <x v="1504"/>
    <x v="1500"/>
    <x v="329"/>
    <x v="1"/>
    <x v="7"/>
    <x v="7"/>
    <x v="1"/>
    <x v="98"/>
    <x v="74"/>
    <x v="61"/>
    <x v="74"/>
    <x v="5"/>
    <x v="750"/>
    <x v="1"/>
    <x v="756"/>
    <x v="1334"/>
    <x v="1420"/>
    <x v="789"/>
    <x v="1411"/>
    <x v="1313"/>
    <x v="5"/>
    <x v="0"/>
    <x v="0"/>
    <x v="1"/>
    <x v="688"/>
    <x v="0"/>
  </r>
  <r>
    <x v="1505"/>
    <x v="1501"/>
    <x v="78"/>
    <x v="0"/>
    <x v="8"/>
    <x v="8"/>
    <x v="3"/>
    <x v="61"/>
    <x v="73"/>
    <x v="137"/>
    <x v="73"/>
    <x v="5"/>
    <x v="751"/>
    <x v="3"/>
    <x v="757"/>
    <x v="1335"/>
    <x v="1421"/>
    <x v="169"/>
    <x v="1412"/>
    <x v="1314"/>
    <x v="4"/>
    <x v="1"/>
    <x v="1"/>
    <x v="0"/>
    <x v="111"/>
    <x v="1"/>
  </r>
  <r>
    <x v="1506"/>
    <x v="1502"/>
    <x v="133"/>
    <x v="0"/>
    <x v="10"/>
    <x v="10"/>
    <x v="3"/>
    <x v="25"/>
    <x v="3"/>
    <x v="18"/>
    <x v="69"/>
    <x v="5"/>
    <x v="752"/>
    <x v="1"/>
    <x v="758"/>
    <x v="1336"/>
    <x v="1422"/>
    <x v="690"/>
    <x v="1413"/>
    <x v="1315"/>
    <x v="4"/>
    <x v="0"/>
    <x v="0"/>
    <x v="2"/>
    <x v="236"/>
    <x v="0"/>
  </r>
  <r>
    <x v="1507"/>
    <x v="1503"/>
    <x v="303"/>
    <x v="0"/>
    <x v="2"/>
    <x v="2"/>
    <x v="2"/>
    <x v="391"/>
    <x v="25"/>
    <x v="130"/>
    <x v="175"/>
    <x v="7"/>
    <x v="753"/>
    <x v="0"/>
    <x v="0"/>
    <x v="1337"/>
    <x v="1423"/>
    <x v="790"/>
    <x v="1414"/>
    <x v="1316"/>
    <x v="4"/>
    <x v="0"/>
    <x v="0"/>
    <x v="0"/>
    <x v="132"/>
    <x v="1"/>
  </r>
  <r>
    <x v="1508"/>
    <x v="1504"/>
    <x v="225"/>
    <x v="0"/>
    <x v="0"/>
    <x v="0"/>
    <x v="0"/>
    <x v="123"/>
    <x v="27"/>
    <x v="37"/>
    <x v="38"/>
    <x v="2"/>
    <x v="754"/>
    <x v="0"/>
    <x v="0"/>
    <x v="1338"/>
    <x v="1424"/>
    <x v="31"/>
    <x v="1415"/>
    <x v="1317"/>
    <x v="2"/>
    <x v="0"/>
    <x v="0"/>
    <x v="0"/>
    <x v="505"/>
    <x v="1"/>
  </r>
  <r>
    <x v="1509"/>
    <x v="1505"/>
    <x v="100"/>
    <x v="0"/>
    <x v="4"/>
    <x v="4"/>
    <x v="2"/>
    <x v="254"/>
    <x v="115"/>
    <x v="69"/>
    <x v="79"/>
    <x v="1"/>
    <x v="298"/>
    <x v="0"/>
    <x v="0"/>
    <x v="800"/>
    <x v="1425"/>
    <x v="791"/>
    <x v="1416"/>
    <x v="1318"/>
    <x v="2"/>
    <x v="0"/>
    <x v="0"/>
    <x v="1"/>
    <x v="593"/>
    <x v="0"/>
  </r>
  <r>
    <x v="1510"/>
    <x v="1506"/>
    <x v="40"/>
    <x v="0"/>
    <x v="2"/>
    <x v="2"/>
    <x v="2"/>
    <x v="100"/>
    <x v="134"/>
    <x v="74"/>
    <x v="254"/>
    <x v="0"/>
    <x v="450"/>
    <x v="2"/>
    <x v="759"/>
    <x v="1339"/>
    <x v="1426"/>
    <x v="792"/>
    <x v="1417"/>
    <x v="926"/>
    <x v="4"/>
    <x v="0"/>
    <x v="0"/>
    <x v="1"/>
    <x v="519"/>
    <x v="0"/>
  </r>
  <r>
    <x v="1511"/>
    <x v="1507"/>
    <x v="168"/>
    <x v="0"/>
    <x v="6"/>
    <x v="6"/>
    <x v="3"/>
    <x v="553"/>
    <x v="53"/>
    <x v="12"/>
    <x v="12"/>
    <x v="2"/>
    <x v="60"/>
    <x v="0"/>
    <x v="0"/>
    <x v="1340"/>
    <x v="1427"/>
    <x v="476"/>
    <x v="1418"/>
    <x v="1319"/>
    <x v="2"/>
    <x v="0"/>
    <x v="0"/>
    <x v="0"/>
    <x v="426"/>
    <x v="0"/>
  </r>
  <r>
    <x v="1512"/>
    <x v="1508"/>
    <x v="293"/>
    <x v="0"/>
    <x v="5"/>
    <x v="5"/>
    <x v="0"/>
    <x v="357"/>
    <x v="107"/>
    <x v="133"/>
    <x v="60"/>
    <x v="4"/>
    <x v="755"/>
    <x v="2"/>
    <x v="760"/>
    <x v="1341"/>
    <x v="1428"/>
    <x v="289"/>
    <x v="1419"/>
    <x v="1320"/>
    <x v="3"/>
    <x v="0"/>
    <x v="0"/>
    <x v="0"/>
    <x v="328"/>
    <x v="1"/>
  </r>
  <r>
    <x v="1513"/>
    <x v="1509"/>
    <x v="52"/>
    <x v="0"/>
    <x v="9"/>
    <x v="9"/>
    <x v="0"/>
    <x v="393"/>
    <x v="9"/>
    <x v="56"/>
    <x v="61"/>
    <x v="6"/>
    <x v="171"/>
    <x v="0"/>
    <x v="0"/>
    <x v="532"/>
    <x v="1429"/>
    <x v="434"/>
    <x v="1420"/>
    <x v="915"/>
    <x v="3"/>
    <x v="0"/>
    <x v="0"/>
    <x v="0"/>
    <x v="689"/>
    <x v="0"/>
  </r>
  <r>
    <x v="1514"/>
    <x v="1510"/>
    <x v="50"/>
    <x v="0"/>
    <x v="10"/>
    <x v="10"/>
    <x v="3"/>
    <x v="578"/>
    <x v="6"/>
    <x v="113"/>
    <x v="102"/>
    <x v="2"/>
    <x v="6"/>
    <x v="1"/>
    <x v="176"/>
    <x v="1342"/>
    <x v="1430"/>
    <x v="6"/>
    <x v="1421"/>
    <x v="1321"/>
    <x v="4"/>
    <x v="0"/>
    <x v="0"/>
    <x v="0"/>
    <x v="690"/>
    <x v="1"/>
  </r>
  <r>
    <x v="1515"/>
    <x v="1511"/>
    <x v="4"/>
    <x v="0"/>
    <x v="3"/>
    <x v="3"/>
    <x v="2"/>
    <x v="69"/>
    <x v="65"/>
    <x v="37"/>
    <x v="78"/>
    <x v="0"/>
    <x v="307"/>
    <x v="0"/>
    <x v="0"/>
    <x v="986"/>
    <x v="1431"/>
    <x v="663"/>
    <x v="1422"/>
    <x v="1322"/>
    <x v="1"/>
    <x v="0"/>
    <x v="0"/>
    <x v="0"/>
    <x v="587"/>
    <x v="0"/>
  </r>
  <r>
    <x v="1516"/>
    <x v="1512"/>
    <x v="71"/>
    <x v="1"/>
    <x v="11"/>
    <x v="11"/>
    <x v="1"/>
    <x v="149"/>
    <x v="20"/>
    <x v="46"/>
    <x v="138"/>
    <x v="4"/>
    <x v="198"/>
    <x v="3"/>
    <x v="761"/>
    <x v="1343"/>
    <x v="1432"/>
    <x v="783"/>
    <x v="1423"/>
    <x v="1323"/>
    <x v="2"/>
    <x v="0"/>
    <x v="0"/>
    <x v="0"/>
    <x v="326"/>
    <x v="0"/>
  </r>
  <r>
    <x v="1517"/>
    <x v="1513"/>
    <x v="248"/>
    <x v="0"/>
    <x v="5"/>
    <x v="5"/>
    <x v="0"/>
    <x v="387"/>
    <x v="1"/>
    <x v="48"/>
    <x v="191"/>
    <x v="6"/>
    <x v="1"/>
    <x v="1"/>
    <x v="762"/>
    <x v="1344"/>
    <x v="1433"/>
    <x v="681"/>
    <x v="1424"/>
    <x v="1324"/>
    <x v="5"/>
    <x v="0"/>
    <x v="0"/>
    <x v="0"/>
    <x v="271"/>
    <x v="1"/>
  </r>
  <r>
    <x v="1518"/>
    <x v="1514"/>
    <x v="16"/>
    <x v="0"/>
    <x v="6"/>
    <x v="6"/>
    <x v="3"/>
    <x v="483"/>
    <x v="140"/>
    <x v="159"/>
    <x v="327"/>
    <x v="2"/>
    <x v="756"/>
    <x v="0"/>
    <x v="0"/>
    <x v="1345"/>
    <x v="1434"/>
    <x v="763"/>
    <x v="1425"/>
    <x v="1325"/>
    <x v="3"/>
    <x v="0"/>
    <x v="0"/>
    <x v="0"/>
    <x v="691"/>
    <x v="0"/>
  </r>
  <r>
    <x v="1519"/>
    <x v="1515"/>
    <x v="17"/>
    <x v="1"/>
    <x v="1"/>
    <x v="1"/>
    <x v="1"/>
    <x v="365"/>
    <x v="32"/>
    <x v="152"/>
    <x v="219"/>
    <x v="6"/>
    <x v="757"/>
    <x v="0"/>
    <x v="0"/>
    <x v="1346"/>
    <x v="1435"/>
    <x v="213"/>
    <x v="1426"/>
    <x v="1326"/>
    <x v="2"/>
    <x v="0"/>
    <x v="0"/>
    <x v="2"/>
    <x v="87"/>
    <x v="1"/>
  </r>
  <r>
    <x v="1520"/>
    <x v="1516"/>
    <x v="29"/>
    <x v="0"/>
    <x v="10"/>
    <x v="10"/>
    <x v="3"/>
    <x v="277"/>
    <x v="6"/>
    <x v="138"/>
    <x v="302"/>
    <x v="4"/>
    <x v="758"/>
    <x v="1"/>
    <x v="763"/>
    <x v="1347"/>
    <x v="1436"/>
    <x v="793"/>
    <x v="1427"/>
    <x v="1327"/>
    <x v="2"/>
    <x v="0"/>
    <x v="0"/>
    <x v="0"/>
    <x v="692"/>
    <x v="0"/>
  </r>
  <r>
    <x v="1521"/>
    <x v="1517"/>
    <x v="210"/>
    <x v="0"/>
    <x v="3"/>
    <x v="3"/>
    <x v="2"/>
    <x v="61"/>
    <x v="44"/>
    <x v="99"/>
    <x v="321"/>
    <x v="3"/>
    <x v="759"/>
    <x v="2"/>
    <x v="764"/>
    <x v="1348"/>
    <x v="1437"/>
    <x v="794"/>
    <x v="1428"/>
    <x v="1328"/>
    <x v="1"/>
    <x v="0"/>
    <x v="0"/>
    <x v="0"/>
    <x v="496"/>
    <x v="1"/>
  </r>
  <r>
    <x v="1522"/>
    <x v="1518"/>
    <x v="198"/>
    <x v="0"/>
    <x v="5"/>
    <x v="5"/>
    <x v="0"/>
    <x v="167"/>
    <x v="35"/>
    <x v="41"/>
    <x v="328"/>
    <x v="2"/>
    <x v="229"/>
    <x v="0"/>
    <x v="0"/>
    <x v="312"/>
    <x v="350"/>
    <x v="275"/>
    <x v="346"/>
    <x v="342"/>
    <x v="4"/>
    <x v="0"/>
    <x v="0"/>
    <x v="2"/>
    <x v="616"/>
    <x v="1"/>
  </r>
  <r>
    <x v="1523"/>
    <x v="1519"/>
    <x v="253"/>
    <x v="0"/>
    <x v="10"/>
    <x v="10"/>
    <x v="3"/>
    <x v="579"/>
    <x v="41"/>
    <x v="79"/>
    <x v="97"/>
    <x v="1"/>
    <x v="272"/>
    <x v="0"/>
    <x v="0"/>
    <x v="457"/>
    <x v="539"/>
    <x v="386"/>
    <x v="535"/>
    <x v="402"/>
    <x v="0"/>
    <x v="0"/>
    <x v="0"/>
    <x v="0"/>
    <x v="590"/>
    <x v="1"/>
  </r>
  <r>
    <x v="1524"/>
    <x v="1520"/>
    <x v="26"/>
    <x v="0"/>
    <x v="8"/>
    <x v="8"/>
    <x v="3"/>
    <x v="29"/>
    <x v="46"/>
    <x v="52"/>
    <x v="57"/>
    <x v="2"/>
    <x v="100"/>
    <x v="1"/>
    <x v="265"/>
    <x v="465"/>
    <x v="477"/>
    <x v="392"/>
    <x v="473"/>
    <x v="461"/>
    <x v="2"/>
    <x v="0"/>
    <x v="0"/>
    <x v="0"/>
    <x v="342"/>
    <x v="0"/>
  </r>
  <r>
    <x v="1525"/>
    <x v="1521"/>
    <x v="310"/>
    <x v="0"/>
    <x v="0"/>
    <x v="0"/>
    <x v="0"/>
    <x v="549"/>
    <x v="30"/>
    <x v="26"/>
    <x v="239"/>
    <x v="6"/>
    <x v="760"/>
    <x v="0"/>
    <x v="0"/>
    <x v="1349"/>
    <x v="1438"/>
    <x v="34"/>
    <x v="1429"/>
    <x v="1329"/>
    <x v="0"/>
    <x v="0"/>
    <x v="0"/>
    <x v="0"/>
    <x v="68"/>
    <x v="1"/>
  </r>
  <r>
    <x v="1526"/>
    <x v="1522"/>
    <x v="320"/>
    <x v="0"/>
    <x v="3"/>
    <x v="3"/>
    <x v="2"/>
    <x v="216"/>
    <x v="64"/>
    <x v="177"/>
    <x v="166"/>
    <x v="6"/>
    <x v="761"/>
    <x v="0"/>
    <x v="0"/>
    <x v="411"/>
    <x v="422"/>
    <x v="116"/>
    <x v="1430"/>
    <x v="1330"/>
    <x v="1"/>
    <x v="0"/>
    <x v="0"/>
    <x v="0"/>
    <x v="303"/>
    <x v="0"/>
  </r>
  <r>
    <x v="1527"/>
    <x v="1523"/>
    <x v="6"/>
    <x v="0"/>
    <x v="3"/>
    <x v="3"/>
    <x v="2"/>
    <x v="580"/>
    <x v="7"/>
    <x v="12"/>
    <x v="12"/>
    <x v="2"/>
    <x v="7"/>
    <x v="2"/>
    <x v="344"/>
    <x v="609"/>
    <x v="1439"/>
    <x v="65"/>
    <x v="1431"/>
    <x v="1331"/>
    <x v="1"/>
    <x v="0"/>
    <x v="0"/>
    <x v="0"/>
    <x v="104"/>
    <x v="0"/>
  </r>
  <r>
    <x v="1528"/>
    <x v="1524"/>
    <x v="273"/>
    <x v="0"/>
    <x v="0"/>
    <x v="0"/>
    <x v="0"/>
    <x v="10"/>
    <x v="10"/>
    <x v="116"/>
    <x v="147"/>
    <x v="6"/>
    <x v="10"/>
    <x v="0"/>
    <x v="0"/>
    <x v="1350"/>
    <x v="1440"/>
    <x v="511"/>
    <x v="1432"/>
    <x v="10"/>
    <x v="1"/>
    <x v="0"/>
    <x v="0"/>
    <x v="2"/>
    <x v="489"/>
    <x v="1"/>
  </r>
  <r>
    <x v="1529"/>
    <x v="1525"/>
    <x v="230"/>
    <x v="0"/>
    <x v="4"/>
    <x v="4"/>
    <x v="2"/>
    <x v="382"/>
    <x v="108"/>
    <x v="72"/>
    <x v="85"/>
    <x v="2"/>
    <x v="147"/>
    <x v="0"/>
    <x v="0"/>
    <x v="1351"/>
    <x v="1441"/>
    <x v="588"/>
    <x v="1433"/>
    <x v="466"/>
    <x v="4"/>
    <x v="0"/>
    <x v="0"/>
    <x v="2"/>
    <x v="458"/>
    <x v="1"/>
  </r>
  <r>
    <x v="1530"/>
    <x v="1526"/>
    <x v="161"/>
    <x v="1"/>
    <x v="1"/>
    <x v="1"/>
    <x v="1"/>
    <x v="360"/>
    <x v="4"/>
    <x v="66"/>
    <x v="75"/>
    <x v="2"/>
    <x v="762"/>
    <x v="0"/>
    <x v="0"/>
    <x v="1352"/>
    <x v="1442"/>
    <x v="4"/>
    <x v="1434"/>
    <x v="1332"/>
    <x v="3"/>
    <x v="0"/>
    <x v="0"/>
    <x v="1"/>
    <x v="95"/>
    <x v="0"/>
  </r>
  <r>
    <x v="1531"/>
    <x v="1527"/>
    <x v="325"/>
    <x v="1"/>
    <x v="1"/>
    <x v="1"/>
    <x v="1"/>
    <x v="581"/>
    <x v="27"/>
    <x v="26"/>
    <x v="301"/>
    <x v="2"/>
    <x v="31"/>
    <x v="3"/>
    <x v="64"/>
    <x v="113"/>
    <x v="1443"/>
    <x v="31"/>
    <x v="1435"/>
    <x v="1333"/>
    <x v="4"/>
    <x v="0"/>
    <x v="0"/>
    <x v="2"/>
    <x v="225"/>
    <x v="1"/>
  </r>
  <r>
    <x v="1532"/>
    <x v="1528"/>
    <x v="268"/>
    <x v="0"/>
    <x v="6"/>
    <x v="6"/>
    <x v="3"/>
    <x v="460"/>
    <x v="44"/>
    <x v="96"/>
    <x v="150"/>
    <x v="7"/>
    <x v="763"/>
    <x v="0"/>
    <x v="0"/>
    <x v="1353"/>
    <x v="1444"/>
    <x v="530"/>
    <x v="1436"/>
    <x v="1334"/>
    <x v="3"/>
    <x v="0"/>
    <x v="0"/>
    <x v="0"/>
    <x v="266"/>
    <x v="1"/>
  </r>
  <r>
    <x v="1533"/>
    <x v="1529"/>
    <x v="234"/>
    <x v="0"/>
    <x v="6"/>
    <x v="6"/>
    <x v="3"/>
    <x v="582"/>
    <x v="134"/>
    <x v="74"/>
    <x v="277"/>
    <x v="0"/>
    <x v="450"/>
    <x v="2"/>
    <x v="759"/>
    <x v="1339"/>
    <x v="1426"/>
    <x v="792"/>
    <x v="1417"/>
    <x v="926"/>
    <x v="2"/>
    <x v="0"/>
    <x v="0"/>
    <x v="0"/>
    <x v="287"/>
    <x v="0"/>
  </r>
  <r>
    <x v="1534"/>
    <x v="1530"/>
    <x v="3"/>
    <x v="0"/>
    <x v="3"/>
    <x v="3"/>
    <x v="2"/>
    <x v="123"/>
    <x v="112"/>
    <x v="44"/>
    <x v="47"/>
    <x v="7"/>
    <x v="764"/>
    <x v="3"/>
    <x v="765"/>
    <x v="1354"/>
    <x v="1445"/>
    <x v="795"/>
    <x v="1437"/>
    <x v="1335"/>
    <x v="1"/>
    <x v="0"/>
    <x v="0"/>
    <x v="0"/>
    <x v="361"/>
    <x v="1"/>
  </r>
  <r>
    <x v="1535"/>
    <x v="1531"/>
    <x v="161"/>
    <x v="1"/>
    <x v="1"/>
    <x v="1"/>
    <x v="1"/>
    <x v="4"/>
    <x v="143"/>
    <x v="91"/>
    <x v="110"/>
    <x v="2"/>
    <x v="765"/>
    <x v="0"/>
    <x v="0"/>
    <x v="1355"/>
    <x v="1446"/>
    <x v="549"/>
    <x v="1438"/>
    <x v="1336"/>
    <x v="4"/>
    <x v="0"/>
    <x v="0"/>
    <x v="2"/>
    <x v="658"/>
    <x v="0"/>
  </r>
  <r>
    <x v="1536"/>
    <x v="1532"/>
    <x v="82"/>
    <x v="0"/>
    <x v="4"/>
    <x v="4"/>
    <x v="2"/>
    <x v="542"/>
    <x v="97"/>
    <x v="77"/>
    <x v="91"/>
    <x v="0"/>
    <x v="127"/>
    <x v="0"/>
    <x v="0"/>
    <x v="1356"/>
    <x v="1447"/>
    <x v="220"/>
    <x v="415"/>
    <x v="1337"/>
    <x v="4"/>
    <x v="0"/>
    <x v="0"/>
    <x v="0"/>
    <x v="693"/>
    <x v="0"/>
  </r>
  <r>
    <x v="1537"/>
    <x v="1533"/>
    <x v="85"/>
    <x v="0"/>
    <x v="5"/>
    <x v="5"/>
    <x v="0"/>
    <x v="583"/>
    <x v="127"/>
    <x v="150"/>
    <x v="256"/>
    <x v="1"/>
    <x v="335"/>
    <x v="4"/>
    <x v="442"/>
    <x v="1357"/>
    <x v="1448"/>
    <x v="676"/>
    <x v="1439"/>
    <x v="1338"/>
    <x v="2"/>
    <x v="0"/>
    <x v="0"/>
    <x v="2"/>
    <x v="318"/>
    <x v="0"/>
  </r>
  <r>
    <x v="1538"/>
    <x v="1534"/>
    <x v="248"/>
    <x v="0"/>
    <x v="5"/>
    <x v="5"/>
    <x v="0"/>
    <x v="11"/>
    <x v="14"/>
    <x v="32"/>
    <x v="170"/>
    <x v="6"/>
    <x v="14"/>
    <x v="4"/>
    <x v="766"/>
    <x v="1358"/>
    <x v="190"/>
    <x v="82"/>
    <x v="1440"/>
    <x v="186"/>
    <x v="3"/>
    <x v="0"/>
    <x v="0"/>
    <x v="0"/>
    <x v="668"/>
    <x v="1"/>
  </r>
  <r>
    <x v="1539"/>
    <x v="1535"/>
    <x v="130"/>
    <x v="0"/>
    <x v="2"/>
    <x v="2"/>
    <x v="2"/>
    <x v="306"/>
    <x v="5"/>
    <x v="51"/>
    <x v="56"/>
    <x v="4"/>
    <x v="766"/>
    <x v="3"/>
    <x v="767"/>
    <x v="1359"/>
    <x v="1449"/>
    <x v="274"/>
    <x v="1441"/>
    <x v="1339"/>
    <x v="5"/>
    <x v="0"/>
    <x v="0"/>
    <x v="0"/>
    <x v="93"/>
    <x v="0"/>
  </r>
  <r>
    <x v="1540"/>
    <x v="1536"/>
    <x v="73"/>
    <x v="0"/>
    <x v="6"/>
    <x v="6"/>
    <x v="3"/>
    <x v="455"/>
    <x v="23"/>
    <x v="79"/>
    <x v="97"/>
    <x v="7"/>
    <x v="767"/>
    <x v="4"/>
    <x v="768"/>
    <x v="1360"/>
    <x v="1450"/>
    <x v="758"/>
    <x v="1442"/>
    <x v="1340"/>
    <x v="4"/>
    <x v="0"/>
    <x v="0"/>
    <x v="0"/>
    <x v="359"/>
    <x v="1"/>
  </r>
  <r>
    <x v="1541"/>
    <x v="1537"/>
    <x v="103"/>
    <x v="0"/>
    <x v="4"/>
    <x v="4"/>
    <x v="2"/>
    <x v="550"/>
    <x v="82"/>
    <x v="116"/>
    <x v="147"/>
    <x v="2"/>
    <x v="768"/>
    <x v="4"/>
    <x v="769"/>
    <x v="1361"/>
    <x v="1451"/>
    <x v="299"/>
    <x v="1443"/>
    <x v="1341"/>
    <x v="0"/>
    <x v="0"/>
    <x v="0"/>
    <x v="0"/>
    <x v="314"/>
    <x v="1"/>
  </r>
  <r>
    <x v="1542"/>
    <x v="1538"/>
    <x v="66"/>
    <x v="0"/>
    <x v="9"/>
    <x v="9"/>
    <x v="0"/>
    <x v="581"/>
    <x v="145"/>
    <x v="59"/>
    <x v="65"/>
    <x v="0"/>
    <x v="480"/>
    <x v="3"/>
    <x v="548"/>
    <x v="968"/>
    <x v="1452"/>
    <x v="657"/>
    <x v="1444"/>
    <x v="1342"/>
    <x v="0"/>
    <x v="0"/>
    <x v="0"/>
    <x v="0"/>
    <x v="689"/>
    <x v="0"/>
  </r>
  <r>
    <x v="1543"/>
    <x v="1539"/>
    <x v="271"/>
    <x v="1"/>
    <x v="7"/>
    <x v="7"/>
    <x v="1"/>
    <x v="207"/>
    <x v="12"/>
    <x v="9"/>
    <x v="9"/>
    <x v="3"/>
    <x v="769"/>
    <x v="0"/>
    <x v="0"/>
    <x v="1362"/>
    <x v="1453"/>
    <x v="341"/>
    <x v="1445"/>
    <x v="1343"/>
    <x v="5"/>
    <x v="0"/>
    <x v="0"/>
    <x v="0"/>
    <x v="435"/>
    <x v="1"/>
  </r>
  <r>
    <x v="1544"/>
    <x v="1540"/>
    <x v="161"/>
    <x v="1"/>
    <x v="1"/>
    <x v="1"/>
    <x v="1"/>
    <x v="57"/>
    <x v="2"/>
    <x v="70"/>
    <x v="80"/>
    <x v="2"/>
    <x v="2"/>
    <x v="0"/>
    <x v="0"/>
    <x v="1363"/>
    <x v="1454"/>
    <x v="254"/>
    <x v="1446"/>
    <x v="170"/>
    <x v="5"/>
    <x v="0"/>
    <x v="0"/>
    <x v="0"/>
    <x v="617"/>
    <x v="0"/>
  </r>
  <r>
    <x v="1545"/>
    <x v="1541"/>
    <x v="26"/>
    <x v="0"/>
    <x v="8"/>
    <x v="8"/>
    <x v="3"/>
    <x v="483"/>
    <x v="24"/>
    <x v="111"/>
    <x v="39"/>
    <x v="2"/>
    <x v="770"/>
    <x v="3"/>
    <x v="770"/>
    <x v="1364"/>
    <x v="1455"/>
    <x v="319"/>
    <x v="1447"/>
    <x v="1344"/>
    <x v="3"/>
    <x v="0"/>
    <x v="0"/>
    <x v="2"/>
    <x v="694"/>
    <x v="0"/>
  </r>
  <r>
    <x v="1546"/>
    <x v="1542"/>
    <x v="18"/>
    <x v="0"/>
    <x v="2"/>
    <x v="2"/>
    <x v="2"/>
    <x v="228"/>
    <x v="69"/>
    <x v="94"/>
    <x v="117"/>
    <x v="2"/>
    <x v="771"/>
    <x v="2"/>
    <x v="771"/>
    <x v="1365"/>
    <x v="1456"/>
    <x v="353"/>
    <x v="1448"/>
    <x v="1345"/>
    <x v="3"/>
    <x v="0"/>
    <x v="0"/>
    <x v="0"/>
    <x v="96"/>
    <x v="1"/>
  </r>
  <r>
    <x v="1547"/>
    <x v="1543"/>
    <x v="23"/>
    <x v="0"/>
    <x v="2"/>
    <x v="2"/>
    <x v="2"/>
    <x v="292"/>
    <x v="36"/>
    <x v="26"/>
    <x v="301"/>
    <x v="4"/>
    <x v="772"/>
    <x v="0"/>
    <x v="0"/>
    <x v="1366"/>
    <x v="1457"/>
    <x v="706"/>
    <x v="1449"/>
    <x v="1346"/>
    <x v="2"/>
    <x v="0"/>
    <x v="0"/>
    <x v="0"/>
    <x v="429"/>
    <x v="0"/>
  </r>
  <r>
    <x v="1548"/>
    <x v="1544"/>
    <x v="232"/>
    <x v="1"/>
    <x v="7"/>
    <x v="7"/>
    <x v="1"/>
    <x v="54"/>
    <x v="60"/>
    <x v="68"/>
    <x v="237"/>
    <x v="4"/>
    <x v="773"/>
    <x v="0"/>
    <x v="0"/>
    <x v="1367"/>
    <x v="1458"/>
    <x v="796"/>
    <x v="1450"/>
    <x v="1347"/>
    <x v="4"/>
    <x v="0"/>
    <x v="0"/>
    <x v="0"/>
    <x v="599"/>
    <x v="0"/>
  </r>
  <r>
    <x v="1549"/>
    <x v="1545"/>
    <x v="349"/>
    <x v="0"/>
    <x v="0"/>
    <x v="0"/>
    <x v="0"/>
    <x v="584"/>
    <x v="33"/>
    <x v="41"/>
    <x v="44"/>
    <x v="6"/>
    <x v="241"/>
    <x v="1"/>
    <x v="772"/>
    <x v="1368"/>
    <x v="1459"/>
    <x v="524"/>
    <x v="1451"/>
    <x v="1348"/>
    <x v="4"/>
    <x v="0"/>
    <x v="0"/>
    <x v="0"/>
    <x v="281"/>
    <x v="1"/>
  </r>
  <r>
    <x v="1550"/>
    <x v="1546"/>
    <x v="219"/>
    <x v="0"/>
    <x v="3"/>
    <x v="3"/>
    <x v="2"/>
    <x v="103"/>
    <x v="26"/>
    <x v="2"/>
    <x v="324"/>
    <x v="3"/>
    <x v="774"/>
    <x v="0"/>
    <x v="0"/>
    <x v="1369"/>
    <x v="1460"/>
    <x v="797"/>
    <x v="1452"/>
    <x v="1349"/>
    <x v="4"/>
    <x v="0"/>
    <x v="0"/>
    <x v="0"/>
    <x v="78"/>
    <x v="1"/>
  </r>
  <r>
    <x v="1551"/>
    <x v="1547"/>
    <x v="96"/>
    <x v="0"/>
    <x v="3"/>
    <x v="3"/>
    <x v="2"/>
    <x v="345"/>
    <x v="125"/>
    <x v="60"/>
    <x v="66"/>
    <x v="0"/>
    <x v="226"/>
    <x v="4"/>
    <x v="773"/>
    <x v="1370"/>
    <x v="1461"/>
    <x v="798"/>
    <x v="1453"/>
    <x v="1350"/>
    <x v="3"/>
    <x v="0"/>
    <x v="0"/>
    <x v="0"/>
    <x v="282"/>
    <x v="0"/>
  </r>
  <r>
    <x v="1552"/>
    <x v="1548"/>
    <x v="228"/>
    <x v="0"/>
    <x v="6"/>
    <x v="6"/>
    <x v="3"/>
    <x v="585"/>
    <x v="132"/>
    <x v="167"/>
    <x v="129"/>
    <x v="1"/>
    <x v="278"/>
    <x v="3"/>
    <x v="774"/>
    <x v="1371"/>
    <x v="1462"/>
    <x v="759"/>
    <x v="1454"/>
    <x v="1351"/>
    <x v="0"/>
    <x v="0"/>
    <x v="0"/>
    <x v="1"/>
    <x v="156"/>
    <x v="0"/>
  </r>
  <r>
    <x v="1553"/>
    <x v="1549"/>
    <x v="79"/>
    <x v="1"/>
    <x v="1"/>
    <x v="1"/>
    <x v="1"/>
    <x v="571"/>
    <x v="49"/>
    <x v="138"/>
    <x v="302"/>
    <x v="6"/>
    <x v="84"/>
    <x v="0"/>
    <x v="0"/>
    <x v="772"/>
    <x v="1463"/>
    <x v="89"/>
    <x v="1455"/>
    <x v="1352"/>
    <x v="4"/>
    <x v="0"/>
    <x v="0"/>
    <x v="2"/>
    <x v="365"/>
    <x v="0"/>
  </r>
  <r>
    <x v="1554"/>
    <x v="1550"/>
    <x v="344"/>
    <x v="0"/>
    <x v="3"/>
    <x v="3"/>
    <x v="2"/>
    <x v="423"/>
    <x v="123"/>
    <x v="159"/>
    <x v="231"/>
    <x v="0"/>
    <x v="212"/>
    <x v="2"/>
    <x v="775"/>
    <x v="1372"/>
    <x v="1464"/>
    <x v="515"/>
    <x v="1456"/>
    <x v="1353"/>
    <x v="4"/>
    <x v="0"/>
    <x v="0"/>
    <x v="0"/>
    <x v="25"/>
    <x v="1"/>
  </r>
  <r>
    <x v="1555"/>
    <x v="1551"/>
    <x v="261"/>
    <x v="1"/>
    <x v="11"/>
    <x v="11"/>
    <x v="1"/>
    <x v="586"/>
    <x v="51"/>
    <x v="3"/>
    <x v="3"/>
    <x v="0"/>
    <x v="161"/>
    <x v="2"/>
    <x v="135"/>
    <x v="1373"/>
    <x v="1465"/>
    <x v="193"/>
    <x v="1457"/>
    <x v="1354"/>
    <x v="1"/>
    <x v="0"/>
    <x v="0"/>
    <x v="1"/>
    <x v="346"/>
    <x v="1"/>
  </r>
  <r>
    <x v="1556"/>
    <x v="1552"/>
    <x v="253"/>
    <x v="0"/>
    <x v="10"/>
    <x v="10"/>
    <x v="3"/>
    <x v="392"/>
    <x v="101"/>
    <x v="46"/>
    <x v="49"/>
    <x v="3"/>
    <x v="775"/>
    <x v="1"/>
    <x v="776"/>
    <x v="1374"/>
    <x v="1466"/>
    <x v="799"/>
    <x v="1458"/>
    <x v="1355"/>
    <x v="4"/>
    <x v="0"/>
    <x v="0"/>
    <x v="0"/>
    <x v="283"/>
    <x v="1"/>
  </r>
  <r>
    <x v="1557"/>
    <x v="1553"/>
    <x v="196"/>
    <x v="0"/>
    <x v="5"/>
    <x v="5"/>
    <x v="0"/>
    <x v="217"/>
    <x v="63"/>
    <x v="51"/>
    <x v="56"/>
    <x v="5"/>
    <x v="722"/>
    <x v="0"/>
    <x v="0"/>
    <x v="1375"/>
    <x v="1467"/>
    <x v="800"/>
    <x v="1459"/>
    <x v="1356"/>
    <x v="1"/>
    <x v="0"/>
    <x v="0"/>
    <x v="2"/>
    <x v="255"/>
    <x v="0"/>
  </r>
  <r>
    <x v="1558"/>
    <x v="1554"/>
    <x v="75"/>
    <x v="0"/>
    <x v="3"/>
    <x v="3"/>
    <x v="2"/>
    <x v="9"/>
    <x v="128"/>
    <x v="137"/>
    <x v="73"/>
    <x v="4"/>
    <x v="341"/>
    <x v="1"/>
    <x v="777"/>
    <x v="1376"/>
    <x v="1468"/>
    <x v="669"/>
    <x v="1460"/>
    <x v="1357"/>
    <x v="3"/>
    <x v="0"/>
    <x v="0"/>
    <x v="0"/>
    <x v="232"/>
    <x v="1"/>
  </r>
  <r>
    <x v="1559"/>
    <x v="1555"/>
    <x v="133"/>
    <x v="0"/>
    <x v="10"/>
    <x v="10"/>
    <x v="3"/>
    <x v="285"/>
    <x v="91"/>
    <x v="85"/>
    <x v="185"/>
    <x v="5"/>
    <x v="220"/>
    <x v="1"/>
    <x v="778"/>
    <x v="1377"/>
    <x v="1469"/>
    <x v="550"/>
    <x v="1461"/>
    <x v="1358"/>
    <x v="0"/>
    <x v="0"/>
    <x v="0"/>
    <x v="0"/>
    <x v="325"/>
    <x v="0"/>
  </r>
  <r>
    <x v="1560"/>
    <x v="1556"/>
    <x v="183"/>
    <x v="0"/>
    <x v="5"/>
    <x v="5"/>
    <x v="0"/>
    <x v="42"/>
    <x v="78"/>
    <x v="74"/>
    <x v="234"/>
    <x v="4"/>
    <x v="211"/>
    <x v="4"/>
    <x v="779"/>
    <x v="1378"/>
    <x v="1470"/>
    <x v="756"/>
    <x v="1462"/>
    <x v="401"/>
    <x v="5"/>
    <x v="0"/>
    <x v="0"/>
    <x v="2"/>
    <x v="663"/>
    <x v="1"/>
  </r>
  <r>
    <x v="1561"/>
    <x v="1557"/>
    <x v="140"/>
    <x v="0"/>
    <x v="9"/>
    <x v="9"/>
    <x v="0"/>
    <x v="72"/>
    <x v="21"/>
    <x v="128"/>
    <x v="278"/>
    <x v="1"/>
    <x v="22"/>
    <x v="3"/>
    <x v="780"/>
    <x v="1379"/>
    <x v="1471"/>
    <x v="801"/>
    <x v="1463"/>
    <x v="1359"/>
    <x v="4"/>
    <x v="0"/>
    <x v="0"/>
    <x v="0"/>
    <x v="695"/>
    <x v="1"/>
  </r>
  <r>
    <x v="1562"/>
    <x v="1558"/>
    <x v="23"/>
    <x v="0"/>
    <x v="2"/>
    <x v="2"/>
    <x v="2"/>
    <x v="20"/>
    <x v="57"/>
    <x v="7"/>
    <x v="7"/>
    <x v="4"/>
    <x v="776"/>
    <x v="1"/>
    <x v="781"/>
    <x v="1380"/>
    <x v="1472"/>
    <x v="261"/>
    <x v="1464"/>
    <x v="1360"/>
    <x v="2"/>
    <x v="0"/>
    <x v="0"/>
    <x v="2"/>
    <x v="462"/>
    <x v="0"/>
  </r>
  <r>
    <x v="1563"/>
    <x v="1559"/>
    <x v="153"/>
    <x v="0"/>
    <x v="10"/>
    <x v="10"/>
    <x v="3"/>
    <x v="412"/>
    <x v="112"/>
    <x v="101"/>
    <x v="127"/>
    <x v="6"/>
    <x v="158"/>
    <x v="0"/>
    <x v="0"/>
    <x v="1381"/>
    <x v="1473"/>
    <x v="802"/>
    <x v="1465"/>
    <x v="1361"/>
    <x v="3"/>
    <x v="0"/>
    <x v="0"/>
    <x v="0"/>
    <x v="532"/>
    <x v="1"/>
  </r>
  <r>
    <x v="1564"/>
    <x v="1560"/>
    <x v="180"/>
    <x v="1"/>
    <x v="7"/>
    <x v="7"/>
    <x v="1"/>
    <x v="226"/>
    <x v="73"/>
    <x v="50"/>
    <x v="139"/>
    <x v="2"/>
    <x v="469"/>
    <x v="4"/>
    <x v="782"/>
    <x v="1382"/>
    <x v="1474"/>
    <x v="504"/>
    <x v="1466"/>
    <x v="1362"/>
    <x v="5"/>
    <x v="0"/>
    <x v="0"/>
    <x v="0"/>
    <x v="608"/>
    <x v="1"/>
  </r>
  <r>
    <x v="1565"/>
    <x v="1561"/>
    <x v="105"/>
    <x v="0"/>
    <x v="6"/>
    <x v="6"/>
    <x v="3"/>
    <x v="193"/>
    <x v="29"/>
    <x v="172"/>
    <x v="329"/>
    <x v="6"/>
    <x v="33"/>
    <x v="2"/>
    <x v="783"/>
    <x v="1383"/>
    <x v="1475"/>
    <x v="803"/>
    <x v="533"/>
    <x v="1363"/>
    <x v="4"/>
    <x v="0"/>
    <x v="0"/>
    <x v="0"/>
    <x v="230"/>
    <x v="0"/>
  </r>
  <r>
    <x v="1566"/>
    <x v="1562"/>
    <x v="214"/>
    <x v="0"/>
    <x v="3"/>
    <x v="3"/>
    <x v="2"/>
    <x v="397"/>
    <x v="130"/>
    <x v="7"/>
    <x v="7"/>
    <x v="1"/>
    <x v="359"/>
    <x v="0"/>
    <x v="0"/>
    <x v="1384"/>
    <x v="1476"/>
    <x v="804"/>
    <x v="1467"/>
    <x v="1364"/>
    <x v="3"/>
    <x v="0"/>
    <x v="0"/>
    <x v="0"/>
    <x v="344"/>
    <x v="1"/>
  </r>
  <r>
    <x v="1567"/>
    <x v="1563"/>
    <x v="58"/>
    <x v="1"/>
    <x v="1"/>
    <x v="1"/>
    <x v="1"/>
    <x v="255"/>
    <x v="61"/>
    <x v="83"/>
    <x v="259"/>
    <x v="0"/>
    <x v="69"/>
    <x v="3"/>
    <x v="784"/>
    <x v="1385"/>
    <x v="1477"/>
    <x v="247"/>
    <x v="1468"/>
    <x v="1365"/>
    <x v="2"/>
    <x v="0"/>
    <x v="0"/>
    <x v="0"/>
    <x v="142"/>
    <x v="1"/>
  </r>
  <r>
    <x v="1568"/>
    <x v="1564"/>
    <x v="169"/>
    <x v="0"/>
    <x v="0"/>
    <x v="0"/>
    <x v="0"/>
    <x v="471"/>
    <x v="37"/>
    <x v="141"/>
    <x v="315"/>
    <x v="2"/>
    <x v="777"/>
    <x v="0"/>
    <x v="0"/>
    <x v="1386"/>
    <x v="1478"/>
    <x v="106"/>
    <x v="1469"/>
    <x v="1366"/>
    <x v="2"/>
    <x v="0"/>
    <x v="0"/>
    <x v="0"/>
    <x v="245"/>
    <x v="0"/>
  </r>
  <r>
    <x v="1569"/>
    <x v="1565"/>
    <x v="85"/>
    <x v="0"/>
    <x v="5"/>
    <x v="5"/>
    <x v="0"/>
    <x v="462"/>
    <x v="22"/>
    <x v="18"/>
    <x v="18"/>
    <x v="4"/>
    <x v="778"/>
    <x v="0"/>
    <x v="0"/>
    <x v="1387"/>
    <x v="1479"/>
    <x v="23"/>
    <x v="1470"/>
    <x v="1367"/>
    <x v="3"/>
    <x v="0"/>
    <x v="0"/>
    <x v="2"/>
    <x v="496"/>
    <x v="0"/>
  </r>
  <r>
    <x v="1570"/>
    <x v="1566"/>
    <x v="290"/>
    <x v="1"/>
    <x v="1"/>
    <x v="1"/>
    <x v="1"/>
    <x v="528"/>
    <x v="102"/>
    <x v="141"/>
    <x v="4"/>
    <x v="2"/>
    <x v="779"/>
    <x v="4"/>
    <x v="785"/>
    <x v="1388"/>
    <x v="1480"/>
    <x v="152"/>
    <x v="1471"/>
    <x v="1368"/>
    <x v="2"/>
    <x v="0"/>
    <x v="0"/>
    <x v="0"/>
    <x v="527"/>
    <x v="1"/>
  </r>
  <r>
    <x v="1571"/>
    <x v="1567"/>
    <x v="70"/>
    <x v="0"/>
    <x v="2"/>
    <x v="2"/>
    <x v="2"/>
    <x v="587"/>
    <x v="49"/>
    <x v="94"/>
    <x v="117"/>
    <x v="0"/>
    <x v="84"/>
    <x v="0"/>
    <x v="0"/>
    <x v="347"/>
    <x v="355"/>
    <x v="301"/>
    <x v="351"/>
    <x v="347"/>
    <x v="3"/>
    <x v="0"/>
    <x v="0"/>
    <x v="0"/>
    <x v="229"/>
    <x v="1"/>
  </r>
  <r>
    <x v="1572"/>
    <x v="1568"/>
    <x v="280"/>
    <x v="1"/>
    <x v="1"/>
    <x v="1"/>
    <x v="1"/>
    <x v="588"/>
    <x v="100"/>
    <x v="1"/>
    <x v="1"/>
    <x v="6"/>
    <x v="132"/>
    <x v="0"/>
    <x v="0"/>
    <x v="335"/>
    <x v="1481"/>
    <x v="752"/>
    <x v="1472"/>
    <x v="1369"/>
    <x v="4"/>
    <x v="0"/>
    <x v="0"/>
    <x v="0"/>
    <x v="621"/>
    <x v="1"/>
  </r>
  <r>
    <x v="1573"/>
    <x v="1569"/>
    <x v="159"/>
    <x v="0"/>
    <x v="10"/>
    <x v="10"/>
    <x v="3"/>
    <x v="219"/>
    <x v="38"/>
    <x v="117"/>
    <x v="181"/>
    <x v="7"/>
    <x v="780"/>
    <x v="0"/>
    <x v="0"/>
    <x v="1389"/>
    <x v="1482"/>
    <x v="288"/>
    <x v="1473"/>
    <x v="1370"/>
    <x v="1"/>
    <x v="0"/>
    <x v="0"/>
    <x v="2"/>
    <x v="407"/>
    <x v="1"/>
  </r>
  <r>
    <x v="1574"/>
    <x v="1570"/>
    <x v="211"/>
    <x v="0"/>
    <x v="10"/>
    <x v="10"/>
    <x v="3"/>
    <x v="41"/>
    <x v="37"/>
    <x v="115"/>
    <x v="265"/>
    <x v="4"/>
    <x v="781"/>
    <x v="4"/>
    <x v="786"/>
    <x v="1390"/>
    <x v="1483"/>
    <x v="367"/>
    <x v="1474"/>
    <x v="1371"/>
    <x v="0"/>
    <x v="0"/>
    <x v="0"/>
    <x v="2"/>
    <x v="235"/>
    <x v="1"/>
  </r>
  <r>
    <x v="1575"/>
    <x v="1571"/>
    <x v="253"/>
    <x v="0"/>
    <x v="10"/>
    <x v="10"/>
    <x v="3"/>
    <x v="325"/>
    <x v="124"/>
    <x v="23"/>
    <x v="119"/>
    <x v="6"/>
    <x v="782"/>
    <x v="0"/>
    <x v="0"/>
    <x v="1391"/>
    <x v="1484"/>
    <x v="805"/>
    <x v="1475"/>
    <x v="1372"/>
    <x v="3"/>
    <x v="0"/>
    <x v="0"/>
    <x v="0"/>
    <x v="551"/>
    <x v="1"/>
  </r>
  <r>
    <x v="1576"/>
    <x v="1572"/>
    <x v="133"/>
    <x v="0"/>
    <x v="10"/>
    <x v="10"/>
    <x v="3"/>
    <x v="181"/>
    <x v="56"/>
    <x v="127"/>
    <x v="165"/>
    <x v="0"/>
    <x v="64"/>
    <x v="3"/>
    <x v="787"/>
    <x v="1392"/>
    <x v="1485"/>
    <x v="357"/>
    <x v="1476"/>
    <x v="1373"/>
    <x v="3"/>
    <x v="0"/>
    <x v="0"/>
    <x v="2"/>
    <x v="157"/>
    <x v="0"/>
  </r>
  <r>
    <x v="1577"/>
    <x v="1573"/>
    <x v="74"/>
    <x v="0"/>
    <x v="8"/>
    <x v="8"/>
    <x v="3"/>
    <x v="77"/>
    <x v="63"/>
    <x v="83"/>
    <x v="277"/>
    <x v="6"/>
    <x v="783"/>
    <x v="4"/>
    <x v="788"/>
    <x v="1393"/>
    <x v="1486"/>
    <x v="76"/>
    <x v="1477"/>
    <x v="1374"/>
    <x v="2"/>
    <x v="0"/>
    <x v="0"/>
    <x v="0"/>
    <x v="276"/>
    <x v="1"/>
  </r>
  <r>
    <x v="1578"/>
    <x v="1574"/>
    <x v="227"/>
    <x v="0"/>
    <x v="8"/>
    <x v="8"/>
    <x v="3"/>
    <x v="177"/>
    <x v="12"/>
    <x v="6"/>
    <x v="105"/>
    <x v="6"/>
    <x v="784"/>
    <x v="2"/>
    <x v="789"/>
    <x v="351"/>
    <x v="1487"/>
    <x v="12"/>
    <x v="1478"/>
    <x v="1375"/>
    <x v="5"/>
    <x v="0"/>
    <x v="0"/>
    <x v="0"/>
    <x v="55"/>
    <x v="1"/>
  </r>
  <r>
    <x v="1579"/>
    <x v="1575"/>
    <x v="32"/>
    <x v="0"/>
    <x v="8"/>
    <x v="8"/>
    <x v="3"/>
    <x v="290"/>
    <x v="95"/>
    <x v="54"/>
    <x v="126"/>
    <x v="2"/>
    <x v="785"/>
    <x v="0"/>
    <x v="0"/>
    <x v="1394"/>
    <x v="1488"/>
    <x v="806"/>
    <x v="1479"/>
    <x v="1376"/>
    <x v="5"/>
    <x v="0"/>
    <x v="0"/>
    <x v="0"/>
    <x v="511"/>
    <x v="1"/>
  </r>
  <r>
    <x v="1580"/>
    <x v="1576"/>
    <x v="55"/>
    <x v="0"/>
    <x v="9"/>
    <x v="9"/>
    <x v="0"/>
    <x v="557"/>
    <x v="51"/>
    <x v="138"/>
    <x v="199"/>
    <x v="4"/>
    <x v="161"/>
    <x v="2"/>
    <x v="790"/>
    <x v="221"/>
    <x v="222"/>
    <x v="257"/>
    <x v="1480"/>
    <x v="1377"/>
    <x v="1"/>
    <x v="0"/>
    <x v="0"/>
    <x v="2"/>
    <x v="693"/>
    <x v="0"/>
  </r>
  <r>
    <x v="1581"/>
    <x v="1577"/>
    <x v="165"/>
    <x v="0"/>
    <x v="0"/>
    <x v="0"/>
    <x v="0"/>
    <x v="219"/>
    <x v="44"/>
    <x v="171"/>
    <x v="35"/>
    <x v="4"/>
    <x v="786"/>
    <x v="2"/>
    <x v="791"/>
    <x v="1395"/>
    <x v="1489"/>
    <x v="373"/>
    <x v="1481"/>
    <x v="1378"/>
    <x v="1"/>
    <x v="0"/>
    <x v="0"/>
    <x v="0"/>
    <x v="360"/>
    <x v="0"/>
  </r>
  <r>
    <x v="1582"/>
    <x v="1578"/>
    <x v="327"/>
    <x v="0"/>
    <x v="10"/>
    <x v="10"/>
    <x v="3"/>
    <x v="161"/>
    <x v="42"/>
    <x v="36"/>
    <x v="37"/>
    <x v="4"/>
    <x v="47"/>
    <x v="0"/>
    <x v="0"/>
    <x v="443"/>
    <x v="455"/>
    <x v="286"/>
    <x v="451"/>
    <x v="196"/>
    <x v="5"/>
    <x v="0"/>
    <x v="0"/>
    <x v="0"/>
    <x v="661"/>
    <x v="1"/>
  </r>
  <r>
    <x v="1583"/>
    <x v="1579"/>
    <x v="47"/>
    <x v="0"/>
    <x v="5"/>
    <x v="5"/>
    <x v="0"/>
    <x v="451"/>
    <x v="38"/>
    <x v="70"/>
    <x v="80"/>
    <x v="1"/>
    <x v="43"/>
    <x v="2"/>
    <x v="792"/>
    <x v="1396"/>
    <x v="1490"/>
    <x v="328"/>
    <x v="1482"/>
    <x v="43"/>
    <x v="1"/>
    <x v="0"/>
    <x v="0"/>
    <x v="0"/>
    <x v="129"/>
    <x v="0"/>
  </r>
  <r>
    <x v="1584"/>
    <x v="1580"/>
    <x v="30"/>
    <x v="0"/>
    <x v="6"/>
    <x v="6"/>
    <x v="3"/>
    <x v="25"/>
    <x v="29"/>
    <x v="175"/>
    <x v="305"/>
    <x v="6"/>
    <x v="787"/>
    <x v="0"/>
    <x v="0"/>
    <x v="1397"/>
    <x v="1491"/>
    <x v="803"/>
    <x v="1483"/>
    <x v="1379"/>
    <x v="2"/>
    <x v="0"/>
    <x v="0"/>
    <x v="0"/>
    <x v="169"/>
    <x v="0"/>
  </r>
  <r>
    <x v="1585"/>
    <x v="1581"/>
    <x v="212"/>
    <x v="1"/>
    <x v="1"/>
    <x v="1"/>
    <x v="1"/>
    <x v="589"/>
    <x v="57"/>
    <x v="105"/>
    <x v="243"/>
    <x v="4"/>
    <x v="65"/>
    <x v="3"/>
    <x v="793"/>
    <x v="1398"/>
    <x v="1492"/>
    <x v="261"/>
    <x v="1484"/>
    <x v="1380"/>
    <x v="5"/>
    <x v="0"/>
    <x v="0"/>
    <x v="2"/>
    <x v="240"/>
    <x v="1"/>
  </r>
  <r>
    <x v="1586"/>
    <x v="1582"/>
    <x v="229"/>
    <x v="1"/>
    <x v="1"/>
    <x v="1"/>
    <x v="1"/>
    <x v="174"/>
    <x v="137"/>
    <x v="159"/>
    <x v="137"/>
    <x v="5"/>
    <x v="788"/>
    <x v="0"/>
    <x v="0"/>
    <x v="1399"/>
    <x v="1493"/>
    <x v="807"/>
    <x v="1485"/>
    <x v="1381"/>
    <x v="2"/>
    <x v="0"/>
    <x v="0"/>
    <x v="2"/>
    <x v="344"/>
    <x v="0"/>
  </r>
  <r>
    <x v="1587"/>
    <x v="1583"/>
    <x v="236"/>
    <x v="0"/>
    <x v="3"/>
    <x v="3"/>
    <x v="2"/>
    <x v="322"/>
    <x v="87"/>
    <x v="22"/>
    <x v="22"/>
    <x v="2"/>
    <x v="324"/>
    <x v="0"/>
    <x v="0"/>
    <x v="752"/>
    <x v="1494"/>
    <x v="557"/>
    <x v="1486"/>
    <x v="508"/>
    <x v="0"/>
    <x v="0"/>
    <x v="0"/>
    <x v="0"/>
    <x v="696"/>
    <x v="1"/>
  </r>
  <r>
    <x v="1588"/>
    <x v="1584"/>
    <x v="160"/>
    <x v="0"/>
    <x v="2"/>
    <x v="2"/>
    <x v="2"/>
    <x v="443"/>
    <x v="137"/>
    <x v="102"/>
    <x v="128"/>
    <x v="2"/>
    <x v="317"/>
    <x v="0"/>
    <x v="0"/>
    <x v="1400"/>
    <x v="1495"/>
    <x v="786"/>
    <x v="1487"/>
    <x v="1382"/>
    <x v="5"/>
    <x v="0"/>
    <x v="0"/>
    <x v="0"/>
    <x v="168"/>
    <x v="0"/>
  </r>
  <r>
    <x v="1589"/>
    <x v="1585"/>
    <x v="341"/>
    <x v="0"/>
    <x v="0"/>
    <x v="0"/>
    <x v="0"/>
    <x v="168"/>
    <x v="79"/>
    <x v="80"/>
    <x v="193"/>
    <x v="2"/>
    <x v="258"/>
    <x v="0"/>
    <x v="0"/>
    <x v="939"/>
    <x v="983"/>
    <x v="327"/>
    <x v="976"/>
    <x v="363"/>
    <x v="1"/>
    <x v="1"/>
    <x v="1"/>
    <x v="0"/>
    <x v="697"/>
    <x v="1"/>
  </r>
  <r>
    <x v="1590"/>
    <x v="1586"/>
    <x v="24"/>
    <x v="1"/>
    <x v="7"/>
    <x v="7"/>
    <x v="1"/>
    <x v="495"/>
    <x v="119"/>
    <x v="23"/>
    <x v="194"/>
    <x v="4"/>
    <x v="189"/>
    <x v="0"/>
    <x v="0"/>
    <x v="1401"/>
    <x v="1496"/>
    <x v="730"/>
    <x v="1488"/>
    <x v="1383"/>
    <x v="5"/>
    <x v="0"/>
    <x v="0"/>
    <x v="1"/>
    <x v="80"/>
    <x v="0"/>
  </r>
  <r>
    <x v="1591"/>
    <x v="1587"/>
    <x v="57"/>
    <x v="0"/>
    <x v="10"/>
    <x v="10"/>
    <x v="3"/>
    <x v="590"/>
    <x v="38"/>
    <x v="38"/>
    <x v="321"/>
    <x v="6"/>
    <x v="43"/>
    <x v="0"/>
    <x v="0"/>
    <x v="294"/>
    <x v="297"/>
    <x v="263"/>
    <x v="293"/>
    <x v="289"/>
    <x v="4"/>
    <x v="0"/>
    <x v="0"/>
    <x v="0"/>
    <x v="526"/>
    <x v="0"/>
  </r>
  <r>
    <x v="1592"/>
    <x v="1588"/>
    <x v="291"/>
    <x v="0"/>
    <x v="8"/>
    <x v="8"/>
    <x v="3"/>
    <x v="49"/>
    <x v="5"/>
    <x v="23"/>
    <x v="298"/>
    <x v="7"/>
    <x v="789"/>
    <x v="1"/>
    <x v="794"/>
    <x v="1402"/>
    <x v="1497"/>
    <x v="432"/>
    <x v="1489"/>
    <x v="1384"/>
    <x v="4"/>
    <x v="0"/>
    <x v="0"/>
    <x v="0"/>
    <x v="53"/>
    <x v="1"/>
  </r>
  <r>
    <x v="1593"/>
    <x v="1589"/>
    <x v="37"/>
    <x v="0"/>
    <x v="5"/>
    <x v="5"/>
    <x v="0"/>
    <x v="192"/>
    <x v="94"/>
    <x v="33"/>
    <x v="270"/>
    <x v="0"/>
    <x v="349"/>
    <x v="0"/>
    <x v="0"/>
    <x v="1403"/>
    <x v="1498"/>
    <x v="457"/>
    <x v="1490"/>
    <x v="1385"/>
    <x v="4"/>
    <x v="0"/>
    <x v="0"/>
    <x v="0"/>
    <x v="597"/>
    <x v="0"/>
  </r>
  <r>
    <x v="1594"/>
    <x v="1590"/>
    <x v="10"/>
    <x v="0"/>
    <x v="6"/>
    <x v="6"/>
    <x v="3"/>
    <x v="265"/>
    <x v="6"/>
    <x v="29"/>
    <x v="30"/>
    <x v="4"/>
    <x v="6"/>
    <x v="0"/>
    <x v="0"/>
    <x v="1404"/>
    <x v="1499"/>
    <x v="793"/>
    <x v="1491"/>
    <x v="837"/>
    <x v="2"/>
    <x v="0"/>
    <x v="0"/>
    <x v="1"/>
    <x v="698"/>
    <x v="1"/>
  </r>
  <r>
    <x v="1595"/>
    <x v="1591"/>
    <x v="288"/>
    <x v="1"/>
    <x v="11"/>
    <x v="11"/>
    <x v="1"/>
    <x v="545"/>
    <x v="33"/>
    <x v="106"/>
    <x v="153"/>
    <x v="6"/>
    <x v="790"/>
    <x v="0"/>
    <x v="0"/>
    <x v="1405"/>
    <x v="1500"/>
    <x v="524"/>
    <x v="1492"/>
    <x v="1386"/>
    <x v="1"/>
    <x v="0"/>
    <x v="0"/>
    <x v="2"/>
    <x v="110"/>
    <x v="1"/>
  </r>
  <r>
    <x v="1596"/>
    <x v="1592"/>
    <x v="306"/>
    <x v="0"/>
    <x v="2"/>
    <x v="2"/>
    <x v="2"/>
    <x v="342"/>
    <x v="24"/>
    <x v="45"/>
    <x v="227"/>
    <x v="4"/>
    <x v="27"/>
    <x v="0"/>
    <x v="0"/>
    <x v="555"/>
    <x v="572"/>
    <x v="450"/>
    <x v="568"/>
    <x v="27"/>
    <x v="0"/>
    <x v="0"/>
    <x v="0"/>
    <x v="0"/>
    <x v="9"/>
    <x v="1"/>
  </r>
  <r>
    <x v="1597"/>
    <x v="1593"/>
    <x v="226"/>
    <x v="0"/>
    <x v="0"/>
    <x v="0"/>
    <x v="0"/>
    <x v="264"/>
    <x v="93"/>
    <x v="111"/>
    <x v="313"/>
    <x v="6"/>
    <x v="791"/>
    <x v="3"/>
    <x v="795"/>
    <x v="1406"/>
    <x v="1501"/>
    <x v="422"/>
    <x v="1493"/>
    <x v="1387"/>
    <x v="5"/>
    <x v="0"/>
    <x v="0"/>
    <x v="1"/>
    <x v="696"/>
    <x v="1"/>
  </r>
  <r>
    <x v="1598"/>
    <x v="1594"/>
    <x v="29"/>
    <x v="0"/>
    <x v="10"/>
    <x v="10"/>
    <x v="3"/>
    <x v="591"/>
    <x v="14"/>
    <x v="128"/>
    <x v="167"/>
    <x v="0"/>
    <x v="14"/>
    <x v="3"/>
    <x v="766"/>
    <x v="1407"/>
    <x v="1502"/>
    <x v="380"/>
    <x v="1494"/>
    <x v="1388"/>
    <x v="3"/>
    <x v="0"/>
    <x v="0"/>
    <x v="2"/>
    <x v="356"/>
    <x v="0"/>
  </r>
  <r>
    <x v="1599"/>
    <x v="1595"/>
    <x v="44"/>
    <x v="0"/>
    <x v="8"/>
    <x v="8"/>
    <x v="3"/>
    <x v="408"/>
    <x v="12"/>
    <x v="174"/>
    <x v="180"/>
    <x v="7"/>
    <x v="792"/>
    <x v="0"/>
    <x v="0"/>
    <x v="1371"/>
    <x v="1503"/>
    <x v="379"/>
    <x v="1495"/>
    <x v="1389"/>
    <x v="5"/>
    <x v="0"/>
    <x v="0"/>
    <x v="2"/>
    <x v="306"/>
    <x v="0"/>
  </r>
  <r>
    <x v="1600"/>
    <x v="1596"/>
    <x v="81"/>
    <x v="0"/>
    <x v="10"/>
    <x v="10"/>
    <x v="3"/>
    <x v="319"/>
    <x v="94"/>
    <x v="28"/>
    <x v="29"/>
    <x v="6"/>
    <x v="349"/>
    <x v="3"/>
    <x v="796"/>
    <x v="1408"/>
    <x v="1504"/>
    <x v="545"/>
    <x v="1496"/>
    <x v="1390"/>
    <x v="2"/>
    <x v="0"/>
    <x v="0"/>
    <x v="0"/>
    <x v="381"/>
    <x v="0"/>
  </r>
  <r>
    <x v="1601"/>
    <x v="1597"/>
    <x v="162"/>
    <x v="0"/>
    <x v="8"/>
    <x v="8"/>
    <x v="3"/>
    <x v="20"/>
    <x v="72"/>
    <x v="36"/>
    <x v="37"/>
    <x v="2"/>
    <x v="793"/>
    <x v="2"/>
    <x v="797"/>
    <x v="1409"/>
    <x v="1505"/>
    <x v="558"/>
    <x v="1497"/>
    <x v="1391"/>
    <x v="4"/>
    <x v="0"/>
    <x v="0"/>
    <x v="0"/>
    <x v="220"/>
    <x v="0"/>
  </r>
  <r>
    <x v="1602"/>
    <x v="1598"/>
    <x v="226"/>
    <x v="0"/>
    <x v="0"/>
    <x v="0"/>
    <x v="0"/>
    <x v="100"/>
    <x v="142"/>
    <x v="119"/>
    <x v="293"/>
    <x v="6"/>
    <x v="453"/>
    <x v="4"/>
    <x v="798"/>
    <x v="1410"/>
    <x v="1506"/>
    <x v="808"/>
    <x v="1498"/>
    <x v="1392"/>
    <x v="3"/>
    <x v="0"/>
    <x v="0"/>
    <x v="2"/>
    <x v="699"/>
    <x v="1"/>
  </r>
  <r>
    <x v="1603"/>
    <x v="1599"/>
    <x v="82"/>
    <x v="0"/>
    <x v="4"/>
    <x v="4"/>
    <x v="2"/>
    <x v="592"/>
    <x v="56"/>
    <x v="79"/>
    <x v="97"/>
    <x v="6"/>
    <x v="64"/>
    <x v="2"/>
    <x v="799"/>
    <x v="1411"/>
    <x v="1507"/>
    <x v="628"/>
    <x v="1499"/>
    <x v="1393"/>
    <x v="5"/>
    <x v="0"/>
    <x v="0"/>
    <x v="0"/>
    <x v="478"/>
    <x v="0"/>
  </r>
  <r>
    <x v="1604"/>
    <x v="1600"/>
    <x v="335"/>
    <x v="0"/>
    <x v="8"/>
    <x v="8"/>
    <x v="3"/>
    <x v="90"/>
    <x v="49"/>
    <x v="95"/>
    <x v="35"/>
    <x v="3"/>
    <x v="794"/>
    <x v="4"/>
    <x v="800"/>
    <x v="1412"/>
    <x v="1508"/>
    <x v="809"/>
    <x v="1500"/>
    <x v="1394"/>
    <x v="1"/>
    <x v="0"/>
    <x v="0"/>
    <x v="0"/>
    <x v="24"/>
    <x v="1"/>
  </r>
  <r>
    <x v="1605"/>
    <x v="1601"/>
    <x v="126"/>
    <x v="0"/>
    <x v="0"/>
    <x v="0"/>
    <x v="0"/>
    <x v="593"/>
    <x v="13"/>
    <x v="162"/>
    <x v="195"/>
    <x v="2"/>
    <x v="13"/>
    <x v="4"/>
    <x v="7"/>
    <x v="683"/>
    <x v="750"/>
    <x v="507"/>
    <x v="746"/>
    <x v="713"/>
    <x v="0"/>
    <x v="0"/>
    <x v="0"/>
    <x v="0"/>
    <x v="609"/>
    <x v="1"/>
  </r>
  <r>
    <x v="1606"/>
    <x v="1602"/>
    <x v="158"/>
    <x v="0"/>
    <x v="4"/>
    <x v="4"/>
    <x v="2"/>
    <x v="184"/>
    <x v="134"/>
    <x v="55"/>
    <x v="145"/>
    <x v="6"/>
    <x v="795"/>
    <x v="0"/>
    <x v="0"/>
    <x v="1413"/>
    <x v="1509"/>
    <x v="646"/>
    <x v="1501"/>
    <x v="1395"/>
    <x v="1"/>
    <x v="0"/>
    <x v="0"/>
    <x v="2"/>
    <x v="492"/>
    <x v="1"/>
  </r>
  <r>
    <x v="1607"/>
    <x v="1603"/>
    <x v="242"/>
    <x v="1"/>
    <x v="7"/>
    <x v="7"/>
    <x v="1"/>
    <x v="72"/>
    <x v="97"/>
    <x v="122"/>
    <x v="45"/>
    <x v="6"/>
    <x v="127"/>
    <x v="2"/>
    <x v="801"/>
    <x v="1414"/>
    <x v="1510"/>
    <x v="673"/>
    <x v="1502"/>
    <x v="1396"/>
    <x v="5"/>
    <x v="0"/>
    <x v="0"/>
    <x v="2"/>
    <x v="421"/>
    <x v="0"/>
  </r>
  <r>
    <x v="1608"/>
    <x v="1604"/>
    <x v="259"/>
    <x v="0"/>
    <x v="9"/>
    <x v="9"/>
    <x v="0"/>
    <x v="56"/>
    <x v="56"/>
    <x v="16"/>
    <x v="62"/>
    <x v="5"/>
    <x v="796"/>
    <x v="3"/>
    <x v="802"/>
    <x v="1415"/>
    <x v="1511"/>
    <x v="503"/>
    <x v="1503"/>
    <x v="1397"/>
    <x v="2"/>
    <x v="0"/>
    <x v="0"/>
    <x v="0"/>
    <x v="88"/>
    <x v="1"/>
  </r>
  <r>
    <x v="1609"/>
    <x v="1605"/>
    <x v="215"/>
    <x v="0"/>
    <x v="10"/>
    <x v="10"/>
    <x v="3"/>
    <x v="107"/>
    <x v="14"/>
    <x v="114"/>
    <x v="13"/>
    <x v="0"/>
    <x v="14"/>
    <x v="0"/>
    <x v="0"/>
    <x v="1416"/>
    <x v="1512"/>
    <x v="380"/>
    <x v="1504"/>
    <x v="1398"/>
    <x v="5"/>
    <x v="0"/>
    <x v="0"/>
    <x v="0"/>
    <x v="422"/>
    <x v="0"/>
  </r>
  <r>
    <x v="1610"/>
    <x v="1606"/>
    <x v="216"/>
    <x v="0"/>
    <x v="8"/>
    <x v="8"/>
    <x v="3"/>
    <x v="581"/>
    <x v="67"/>
    <x v="71"/>
    <x v="81"/>
    <x v="6"/>
    <x v="81"/>
    <x v="0"/>
    <x v="0"/>
    <x v="1417"/>
    <x v="1513"/>
    <x v="105"/>
    <x v="1505"/>
    <x v="559"/>
    <x v="0"/>
    <x v="0"/>
    <x v="0"/>
    <x v="0"/>
    <x v="180"/>
    <x v="1"/>
  </r>
  <r>
    <x v="1611"/>
    <x v="1607"/>
    <x v="55"/>
    <x v="0"/>
    <x v="9"/>
    <x v="9"/>
    <x v="0"/>
    <x v="433"/>
    <x v="132"/>
    <x v="34"/>
    <x v="176"/>
    <x v="6"/>
    <x v="278"/>
    <x v="0"/>
    <x v="0"/>
    <x v="1320"/>
    <x v="1514"/>
    <x v="784"/>
    <x v="1506"/>
    <x v="907"/>
    <x v="4"/>
    <x v="0"/>
    <x v="0"/>
    <x v="0"/>
    <x v="623"/>
    <x v="0"/>
  </r>
  <r>
    <x v="1612"/>
    <x v="1608"/>
    <x v="241"/>
    <x v="1"/>
    <x v="11"/>
    <x v="11"/>
    <x v="1"/>
    <x v="253"/>
    <x v="30"/>
    <x v="106"/>
    <x v="153"/>
    <x v="3"/>
    <x v="797"/>
    <x v="1"/>
    <x v="803"/>
    <x v="1418"/>
    <x v="1515"/>
    <x v="810"/>
    <x v="1507"/>
    <x v="1399"/>
    <x v="2"/>
    <x v="0"/>
    <x v="0"/>
    <x v="0"/>
    <x v="6"/>
    <x v="1"/>
  </r>
  <r>
    <x v="1613"/>
    <x v="1609"/>
    <x v="232"/>
    <x v="1"/>
    <x v="7"/>
    <x v="7"/>
    <x v="1"/>
    <x v="327"/>
    <x v="142"/>
    <x v="100"/>
    <x v="125"/>
    <x v="2"/>
    <x v="798"/>
    <x v="1"/>
    <x v="804"/>
    <x v="1419"/>
    <x v="1516"/>
    <x v="569"/>
    <x v="1014"/>
    <x v="1400"/>
    <x v="0"/>
    <x v="0"/>
    <x v="0"/>
    <x v="0"/>
    <x v="700"/>
    <x v="0"/>
  </r>
  <r>
    <x v="1614"/>
    <x v="1610"/>
    <x v="219"/>
    <x v="0"/>
    <x v="3"/>
    <x v="3"/>
    <x v="2"/>
    <x v="594"/>
    <x v="18"/>
    <x v="54"/>
    <x v="59"/>
    <x v="2"/>
    <x v="18"/>
    <x v="2"/>
    <x v="62"/>
    <x v="110"/>
    <x v="110"/>
    <x v="108"/>
    <x v="108"/>
    <x v="107"/>
    <x v="4"/>
    <x v="0"/>
    <x v="0"/>
    <x v="0"/>
    <x v="370"/>
    <x v="1"/>
  </r>
  <r>
    <x v="1615"/>
    <x v="1611"/>
    <x v="268"/>
    <x v="0"/>
    <x v="6"/>
    <x v="6"/>
    <x v="3"/>
    <x v="595"/>
    <x v="96"/>
    <x v="158"/>
    <x v="235"/>
    <x v="1"/>
    <x v="126"/>
    <x v="0"/>
    <x v="0"/>
    <x v="1420"/>
    <x v="1517"/>
    <x v="811"/>
    <x v="1508"/>
    <x v="143"/>
    <x v="2"/>
    <x v="0"/>
    <x v="0"/>
    <x v="0"/>
    <x v="349"/>
    <x v="1"/>
  </r>
  <r>
    <x v="1616"/>
    <x v="1612"/>
    <x v="44"/>
    <x v="0"/>
    <x v="8"/>
    <x v="8"/>
    <x v="3"/>
    <x v="165"/>
    <x v="51"/>
    <x v="139"/>
    <x v="102"/>
    <x v="2"/>
    <x v="799"/>
    <x v="3"/>
    <x v="805"/>
    <x v="1421"/>
    <x v="1518"/>
    <x v="59"/>
    <x v="1509"/>
    <x v="1401"/>
    <x v="0"/>
    <x v="0"/>
    <x v="0"/>
    <x v="2"/>
    <x v="572"/>
    <x v="0"/>
  </r>
  <r>
    <x v="1617"/>
    <x v="1613"/>
    <x v="2"/>
    <x v="0"/>
    <x v="2"/>
    <x v="2"/>
    <x v="2"/>
    <x v="286"/>
    <x v="21"/>
    <x v="106"/>
    <x v="153"/>
    <x v="0"/>
    <x v="22"/>
    <x v="0"/>
    <x v="0"/>
    <x v="706"/>
    <x v="1519"/>
    <x v="535"/>
    <x v="1510"/>
    <x v="1402"/>
    <x v="3"/>
    <x v="0"/>
    <x v="0"/>
    <x v="0"/>
    <x v="47"/>
    <x v="0"/>
  </r>
  <r>
    <x v="1618"/>
    <x v="1614"/>
    <x v="179"/>
    <x v="0"/>
    <x v="10"/>
    <x v="10"/>
    <x v="3"/>
    <x v="551"/>
    <x v="15"/>
    <x v="25"/>
    <x v="26"/>
    <x v="2"/>
    <x v="15"/>
    <x v="1"/>
    <x v="806"/>
    <x v="1422"/>
    <x v="1520"/>
    <x v="15"/>
    <x v="1511"/>
    <x v="1403"/>
    <x v="4"/>
    <x v="0"/>
    <x v="0"/>
    <x v="0"/>
    <x v="151"/>
    <x v="1"/>
  </r>
  <r>
    <x v="1619"/>
    <x v="1615"/>
    <x v="78"/>
    <x v="0"/>
    <x v="8"/>
    <x v="8"/>
    <x v="3"/>
    <x v="596"/>
    <x v="148"/>
    <x v="126"/>
    <x v="35"/>
    <x v="1"/>
    <x v="511"/>
    <x v="4"/>
    <x v="698"/>
    <x v="1239"/>
    <x v="1521"/>
    <x v="762"/>
    <x v="1512"/>
    <x v="1404"/>
    <x v="2"/>
    <x v="0"/>
    <x v="0"/>
    <x v="0"/>
    <x v="212"/>
    <x v="1"/>
  </r>
  <r>
    <x v="1620"/>
    <x v="1616"/>
    <x v="348"/>
    <x v="0"/>
    <x v="4"/>
    <x v="4"/>
    <x v="2"/>
    <x v="288"/>
    <x v="86"/>
    <x v="25"/>
    <x v="26"/>
    <x v="6"/>
    <x v="800"/>
    <x v="0"/>
    <x v="0"/>
    <x v="1423"/>
    <x v="1522"/>
    <x v="123"/>
    <x v="1513"/>
    <x v="1405"/>
    <x v="2"/>
    <x v="0"/>
    <x v="0"/>
    <x v="0"/>
    <x v="149"/>
    <x v="1"/>
  </r>
  <r>
    <x v="1621"/>
    <x v="1617"/>
    <x v="150"/>
    <x v="0"/>
    <x v="2"/>
    <x v="2"/>
    <x v="2"/>
    <x v="408"/>
    <x v="14"/>
    <x v="124"/>
    <x v="72"/>
    <x v="5"/>
    <x v="801"/>
    <x v="2"/>
    <x v="807"/>
    <x v="1424"/>
    <x v="1523"/>
    <x v="812"/>
    <x v="1514"/>
    <x v="1406"/>
    <x v="5"/>
    <x v="0"/>
    <x v="0"/>
    <x v="2"/>
    <x v="344"/>
    <x v="1"/>
  </r>
  <r>
    <x v="1622"/>
    <x v="1618"/>
    <x v="254"/>
    <x v="1"/>
    <x v="7"/>
    <x v="7"/>
    <x v="1"/>
    <x v="255"/>
    <x v="1"/>
    <x v="20"/>
    <x v="20"/>
    <x v="0"/>
    <x v="1"/>
    <x v="0"/>
    <x v="0"/>
    <x v="1425"/>
    <x v="1524"/>
    <x v="317"/>
    <x v="1515"/>
    <x v="268"/>
    <x v="4"/>
    <x v="0"/>
    <x v="0"/>
    <x v="1"/>
    <x v="77"/>
    <x v="1"/>
  </r>
  <r>
    <x v="1623"/>
    <x v="1619"/>
    <x v="245"/>
    <x v="0"/>
    <x v="6"/>
    <x v="6"/>
    <x v="3"/>
    <x v="292"/>
    <x v="125"/>
    <x v="86"/>
    <x v="116"/>
    <x v="7"/>
    <x v="802"/>
    <x v="0"/>
    <x v="0"/>
    <x v="1426"/>
    <x v="1525"/>
    <x v="813"/>
    <x v="1516"/>
    <x v="1407"/>
    <x v="1"/>
    <x v="0"/>
    <x v="0"/>
    <x v="1"/>
    <x v="75"/>
    <x v="1"/>
  </r>
  <r>
    <x v="1624"/>
    <x v="1620"/>
    <x v="55"/>
    <x v="0"/>
    <x v="9"/>
    <x v="9"/>
    <x v="0"/>
    <x v="45"/>
    <x v="44"/>
    <x v="18"/>
    <x v="69"/>
    <x v="2"/>
    <x v="803"/>
    <x v="1"/>
    <x v="808"/>
    <x v="1427"/>
    <x v="1526"/>
    <x v="49"/>
    <x v="1517"/>
    <x v="1408"/>
    <x v="0"/>
    <x v="0"/>
    <x v="0"/>
    <x v="1"/>
    <x v="447"/>
    <x v="0"/>
  </r>
  <r>
    <x v="1625"/>
    <x v="1621"/>
    <x v="232"/>
    <x v="1"/>
    <x v="7"/>
    <x v="7"/>
    <x v="1"/>
    <x v="80"/>
    <x v="126"/>
    <x v="27"/>
    <x v="103"/>
    <x v="1"/>
    <x v="227"/>
    <x v="2"/>
    <x v="809"/>
    <x v="1428"/>
    <x v="1527"/>
    <x v="693"/>
    <x v="1518"/>
    <x v="305"/>
    <x v="1"/>
    <x v="1"/>
    <x v="1"/>
    <x v="0"/>
    <x v="167"/>
    <x v="0"/>
  </r>
  <r>
    <x v="1626"/>
    <x v="1622"/>
    <x v="166"/>
    <x v="0"/>
    <x v="4"/>
    <x v="4"/>
    <x v="2"/>
    <x v="515"/>
    <x v="72"/>
    <x v="40"/>
    <x v="287"/>
    <x v="2"/>
    <x v="116"/>
    <x v="0"/>
    <x v="0"/>
    <x v="1429"/>
    <x v="1528"/>
    <x v="558"/>
    <x v="1519"/>
    <x v="246"/>
    <x v="5"/>
    <x v="0"/>
    <x v="0"/>
    <x v="0"/>
    <x v="332"/>
    <x v="1"/>
  </r>
  <r>
    <x v="1627"/>
    <x v="1623"/>
    <x v="76"/>
    <x v="0"/>
    <x v="9"/>
    <x v="9"/>
    <x v="0"/>
    <x v="254"/>
    <x v="20"/>
    <x v="108"/>
    <x v="324"/>
    <x v="0"/>
    <x v="198"/>
    <x v="4"/>
    <x v="810"/>
    <x v="1430"/>
    <x v="1529"/>
    <x v="241"/>
    <x v="1520"/>
    <x v="1409"/>
    <x v="0"/>
    <x v="0"/>
    <x v="0"/>
    <x v="0"/>
    <x v="701"/>
    <x v="0"/>
  </r>
  <r>
    <x v="1628"/>
    <x v="1624"/>
    <x v="346"/>
    <x v="0"/>
    <x v="6"/>
    <x v="6"/>
    <x v="3"/>
    <x v="597"/>
    <x v="128"/>
    <x v="31"/>
    <x v="55"/>
    <x v="0"/>
    <x v="341"/>
    <x v="3"/>
    <x v="811"/>
    <x v="1431"/>
    <x v="1530"/>
    <x v="771"/>
    <x v="1521"/>
    <x v="1410"/>
    <x v="0"/>
    <x v="1"/>
    <x v="1"/>
    <x v="1"/>
    <x v="74"/>
    <x v="1"/>
  </r>
  <r>
    <x v="1629"/>
    <x v="1625"/>
    <x v="185"/>
    <x v="0"/>
    <x v="8"/>
    <x v="8"/>
    <x v="3"/>
    <x v="351"/>
    <x v="3"/>
    <x v="103"/>
    <x v="109"/>
    <x v="0"/>
    <x v="3"/>
    <x v="0"/>
    <x v="0"/>
    <x v="1432"/>
    <x v="1531"/>
    <x v="255"/>
    <x v="1522"/>
    <x v="825"/>
    <x v="2"/>
    <x v="0"/>
    <x v="0"/>
    <x v="1"/>
    <x v="274"/>
    <x v="1"/>
  </r>
  <r>
    <x v="1630"/>
    <x v="1626"/>
    <x v="302"/>
    <x v="0"/>
    <x v="2"/>
    <x v="2"/>
    <x v="2"/>
    <x v="46"/>
    <x v="93"/>
    <x v="26"/>
    <x v="317"/>
    <x v="1"/>
    <x v="323"/>
    <x v="3"/>
    <x v="812"/>
    <x v="1433"/>
    <x v="1532"/>
    <x v="814"/>
    <x v="1028"/>
    <x v="1411"/>
    <x v="5"/>
    <x v="0"/>
    <x v="0"/>
    <x v="2"/>
    <x v="372"/>
    <x v="1"/>
  </r>
  <r>
    <x v="1631"/>
    <x v="1627"/>
    <x v="23"/>
    <x v="0"/>
    <x v="2"/>
    <x v="2"/>
    <x v="2"/>
    <x v="95"/>
    <x v="144"/>
    <x v="52"/>
    <x v="289"/>
    <x v="5"/>
    <x v="804"/>
    <x v="1"/>
    <x v="813"/>
    <x v="1434"/>
    <x v="1533"/>
    <x v="815"/>
    <x v="1523"/>
    <x v="1412"/>
    <x v="1"/>
    <x v="0"/>
    <x v="0"/>
    <x v="0"/>
    <x v="185"/>
    <x v="0"/>
  </r>
  <r>
    <x v="1632"/>
    <x v="1628"/>
    <x v="288"/>
    <x v="1"/>
    <x v="11"/>
    <x v="11"/>
    <x v="1"/>
    <x v="598"/>
    <x v="5"/>
    <x v="21"/>
    <x v="311"/>
    <x v="2"/>
    <x v="139"/>
    <x v="1"/>
    <x v="680"/>
    <x v="1200"/>
    <x v="1275"/>
    <x v="428"/>
    <x v="1265"/>
    <x v="1182"/>
    <x v="4"/>
    <x v="0"/>
    <x v="0"/>
    <x v="0"/>
    <x v="141"/>
    <x v="1"/>
  </r>
  <r>
    <x v="1633"/>
    <x v="1629"/>
    <x v="67"/>
    <x v="0"/>
    <x v="8"/>
    <x v="8"/>
    <x v="3"/>
    <x v="174"/>
    <x v="58"/>
    <x v="69"/>
    <x v="318"/>
    <x v="4"/>
    <x v="805"/>
    <x v="0"/>
    <x v="0"/>
    <x v="1435"/>
    <x v="190"/>
    <x v="816"/>
    <x v="1524"/>
    <x v="186"/>
    <x v="1"/>
    <x v="0"/>
    <x v="0"/>
    <x v="0"/>
    <x v="576"/>
    <x v="0"/>
  </r>
  <r>
    <x v="1634"/>
    <x v="1630"/>
    <x v="227"/>
    <x v="0"/>
    <x v="8"/>
    <x v="8"/>
    <x v="3"/>
    <x v="58"/>
    <x v="5"/>
    <x v="28"/>
    <x v="29"/>
    <x v="4"/>
    <x v="806"/>
    <x v="0"/>
    <x v="0"/>
    <x v="1436"/>
    <x v="1534"/>
    <x v="274"/>
    <x v="1525"/>
    <x v="1413"/>
    <x v="5"/>
    <x v="0"/>
    <x v="0"/>
    <x v="0"/>
    <x v="358"/>
    <x v="1"/>
  </r>
  <r>
    <x v="1635"/>
    <x v="1631"/>
    <x v="295"/>
    <x v="0"/>
    <x v="4"/>
    <x v="4"/>
    <x v="2"/>
    <x v="224"/>
    <x v="10"/>
    <x v="34"/>
    <x v="32"/>
    <x v="6"/>
    <x v="807"/>
    <x v="0"/>
    <x v="0"/>
    <x v="1437"/>
    <x v="1535"/>
    <x v="511"/>
    <x v="1526"/>
    <x v="1414"/>
    <x v="1"/>
    <x v="0"/>
    <x v="0"/>
    <x v="0"/>
    <x v="249"/>
    <x v="0"/>
  </r>
  <r>
    <x v="1636"/>
    <x v="1632"/>
    <x v="59"/>
    <x v="1"/>
    <x v="11"/>
    <x v="11"/>
    <x v="1"/>
    <x v="343"/>
    <x v="118"/>
    <x v="127"/>
    <x v="165"/>
    <x v="1"/>
    <x v="188"/>
    <x v="0"/>
    <x v="0"/>
    <x v="1438"/>
    <x v="1536"/>
    <x v="653"/>
    <x v="1527"/>
    <x v="1415"/>
    <x v="5"/>
    <x v="0"/>
    <x v="0"/>
    <x v="2"/>
    <x v="595"/>
    <x v="0"/>
  </r>
  <r>
    <x v="1637"/>
    <x v="1633"/>
    <x v="85"/>
    <x v="0"/>
    <x v="5"/>
    <x v="5"/>
    <x v="0"/>
    <x v="113"/>
    <x v="48"/>
    <x v="57"/>
    <x v="140"/>
    <x v="4"/>
    <x v="53"/>
    <x v="2"/>
    <x v="814"/>
    <x v="1439"/>
    <x v="1537"/>
    <x v="817"/>
    <x v="1528"/>
    <x v="507"/>
    <x v="3"/>
    <x v="0"/>
    <x v="0"/>
    <x v="0"/>
    <x v="464"/>
    <x v="0"/>
  </r>
  <r>
    <x v="1638"/>
    <x v="1634"/>
    <x v="102"/>
    <x v="0"/>
    <x v="8"/>
    <x v="8"/>
    <x v="3"/>
    <x v="599"/>
    <x v="148"/>
    <x v="114"/>
    <x v="326"/>
    <x v="2"/>
    <x v="511"/>
    <x v="0"/>
    <x v="0"/>
    <x v="1440"/>
    <x v="1538"/>
    <x v="620"/>
    <x v="1529"/>
    <x v="1416"/>
    <x v="5"/>
    <x v="0"/>
    <x v="0"/>
    <x v="0"/>
    <x v="40"/>
    <x v="1"/>
  </r>
  <r>
    <x v="1639"/>
    <x v="1635"/>
    <x v="175"/>
    <x v="0"/>
    <x v="0"/>
    <x v="0"/>
    <x v="0"/>
    <x v="62"/>
    <x v="46"/>
    <x v="0"/>
    <x v="57"/>
    <x v="2"/>
    <x v="808"/>
    <x v="0"/>
    <x v="0"/>
    <x v="1441"/>
    <x v="1539"/>
    <x v="392"/>
    <x v="1530"/>
    <x v="1417"/>
    <x v="3"/>
    <x v="0"/>
    <x v="0"/>
    <x v="2"/>
    <x v="501"/>
    <x v="1"/>
  </r>
  <r>
    <x v="1640"/>
    <x v="1636"/>
    <x v="144"/>
    <x v="0"/>
    <x v="2"/>
    <x v="2"/>
    <x v="2"/>
    <x v="391"/>
    <x v="67"/>
    <x v="111"/>
    <x v="313"/>
    <x v="4"/>
    <x v="809"/>
    <x v="0"/>
    <x v="0"/>
    <x v="1442"/>
    <x v="1540"/>
    <x v="818"/>
    <x v="1531"/>
    <x v="1418"/>
    <x v="2"/>
    <x v="1"/>
    <x v="1"/>
    <x v="1"/>
    <x v="192"/>
    <x v="1"/>
  </r>
  <r>
    <x v="1641"/>
    <x v="1637"/>
    <x v="350"/>
    <x v="1"/>
    <x v="1"/>
    <x v="1"/>
    <x v="1"/>
    <x v="528"/>
    <x v="43"/>
    <x v="172"/>
    <x v="329"/>
    <x v="7"/>
    <x v="810"/>
    <x v="2"/>
    <x v="815"/>
    <x v="1443"/>
    <x v="1541"/>
    <x v="819"/>
    <x v="1532"/>
    <x v="1419"/>
    <x v="5"/>
    <x v="0"/>
    <x v="0"/>
    <x v="0"/>
    <x v="403"/>
    <x v="1"/>
  </r>
  <r>
    <x v="1642"/>
    <x v="1638"/>
    <x v="335"/>
    <x v="0"/>
    <x v="8"/>
    <x v="8"/>
    <x v="3"/>
    <x v="282"/>
    <x v="35"/>
    <x v="108"/>
    <x v="330"/>
    <x v="4"/>
    <x v="229"/>
    <x v="0"/>
    <x v="0"/>
    <x v="1444"/>
    <x v="1542"/>
    <x v="563"/>
    <x v="1533"/>
    <x v="342"/>
    <x v="1"/>
    <x v="0"/>
    <x v="0"/>
    <x v="2"/>
    <x v="286"/>
    <x v="1"/>
  </r>
  <r>
    <x v="1643"/>
    <x v="1639"/>
    <x v="175"/>
    <x v="0"/>
    <x v="0"/>
    <x v="0"/>
    <x v="0"/>
    <x v="286"/>
    <x v="37"/>
    <x v="117"/>
    <x v="248"/>
    <x v="2"/>
    <x v="99"/>
    <x v="1"/>
    <x v="348"/>
    <x v="1138"/>
    <x v="1543"/>
    <x v="106"/>
    <x v="1534"/>
    <x v="1420"/>
    <x v="3"/>
    <x v="0"/>
    <x v="0"/>
    <x v="2"/>
    <x v="328"/>
    <x v="1"/>
  </r>
  <r>
    <x v="1644"/>
    <x v="1640"/>
    <x v="26"/>
    <x v="0"/>
    <x v="8"/>
    <x v="8"/>
    <x v="3"/>
    <x v="575"/>
    <x v="105"/>
    <x v="85"/>
    <x v="101"/>
    <x v="0"/>
    <x v="119"/>
    <x v="0"/>
    <x v="0"/>
    <x v="1445"/>
    <x v="1544"/>
    <x v="820"/>
    <x v="1535"/>
    <x v="1421"/>
    <x v="4"/>
    <x v="1"/>
    <x v="1"/>
    <x v="0"/>
    <x v="82"/>
    <x v="0"/>
  </r>
  <r>
    <x v="1645"/>
    <x v="1641"/>
    <x v="287"/>
    <x v="0"/>
    <x v="0"/>
    <x v="0"/>
    <x v="0"/>
    <x v="70"/>
    <x v="13"/>
    <x v="54"/>
    <x v="126"/>
    <x v="6"/>
    <x v="13"/>
    <x v="3"/>
    <x v="816"/>
    <x v="1446"/>
    <x v="1545"/>
    <x v="533"/>
    <x v="1536"/>
    <x v="1422"/>
    <x v="2"/>
    <x v="0"/>
    <x v="0"/>
    <x v="2"/>
    <x v="486"/>
    <x v="0"/>
  </r>
  <r>
    <x v="1646"/>
    <x v="1642"/>
    <x v="215"/>
    <x v="0"/>
    <x v="10"/>
    <x v="10"/>
    <x v="3"/>
    <x v="286"/>
    <x v="69"/>
    <x v="139"/>
    <x v="152"/>
    <x v="6"/>
    <x v="141"/>
    <x v="4"/>
    <x v="817"/>
    <x v="1447"/>
    <x v="1546"/>
    <x v="766"/>
    <x v="1537"/>
    <x v="1423"/>
    <x v="4"/>
    <x v="0"/>
    <x v="0"/>
    <x v="0"/>
    <x v="421"/>
    <x v="0"/>
  </r>
  <r>
    <x v="1647"/>
    <x v="1643"/>
    <x v="302"/>
    <x v="0"/>
    <x v="2"/>
    <x v="2"/>
    <x v="2"/>
    <x v="392"/>
    <x v="143"/>
    <x v="6"/>
    <x v="331"/>
    <x v="7"/>
    <x v="811"/>
    <x v="0"/>
    <x v="0"/>
    <x v="1448"/>
    <x v="1547"/>
    <x v="821"/>
    <x v="1538"/>
    <x v="1424"/>
    <x v="0"/>
    <x v="0"/>
    <x v="0"/>
    <x v="0"/>
    <x v="528"/>
    <x v="1"/>
  </r>
  <r>
    <x v="1648"/>
    <x v="1644"/>
    <x v="192"/>
    <x v="0"/>
    <x v="3"/>
    <x v="3"/>
    <x v="2"/>
    <x v="205"/>
    <x v="16"/>
    <x v="71"/>
    <x v="81"/>
    <x v="6"/>
    <x v="812"/>
    <x v="2"/>
    <x v="818"/>
    <x v="1449"/>
    <x v="1548"/>
    <x v="223"/>
    <x v="1539"/>
    <x v="1425"/>
    <x v="2"/>
    <x v="0"/>
    <x v="0"/>
    <x v="0"/>
    <x v="137"/>
    <x v="0"/>
  </r>
  <r>
    <x v="1649"/>
    <x v="1645"/>
    <x v="334"/>
    <x v="0"/>
    <x v="3"/>
    <x v="3"/>
    <x v="2"/>
    <x v="325"/>
    <x v="86"/>
    <x v="127"/>
    <x v="165"/>
    <x v="3"/>
    <x v="813"/>
    <x v="1"/>
    <x v="819"/>
    <x v="1450"/>
    <x v="1549"/>
    <x v="702"/>
    <x v="1540"/>
    <x v="1426"/>
    <x v="3"/>
    <x v="0"/>
    <x v="0"/>
    <x v="0"/>
    <x v="581"/>
    <x v="1"/>
  </r>
  <r>
    <x v="1650"/>
    <x v="1646"/>
    <x v="290"/>
    <x v="1"/>
    <x v="1"/>
    <x v="1"/>
    <x v="1"/>
    <x v="452"/>
    <x v="43"/>
    <x v="158"/>
    <x v="235"/>
    <x v="0"/>
    <x v="380"/>
    <x v="3"/>
    <x v="465"/>
    <x v="819"/>
    <x v="853"/>
    <x v="493"/>
    <x v="849"/>
    <x v="806"/>
    <x v="3"/>
    <x v="1"/>
    <x v="1"/>
    <x v="0"/>
    <x v="680"/>
    <x v="1"/>
  </r>
  <r>
    <x v="1651"/>
    <x v="1647"/>
    <x v="168"/>
    <x v="0"/>
    <x v="6"/>
    <x v="6"/>
    <x v="3"/>
    <x v="415"/>
    <x v="105"/>
    <x v="175"/>
    <x v="305"/>
    <x v="6"/>
    <x v="119"/>
    <x v="2"/>
    <x v="383"/>
    <x v="674"/>
    <x v="190"/>
    <x v="395"/>
    <x v="1541"/>
    <x v="186"/>
    <x v="5"/>
    <x v="0"/>
    <x v="0"/>
    <x v="2"/>
    <x v="159"/>
    <x v="0"/>
  </r>
  <r>
    <x v="1652"/>
    <x v="1648"/>
    <x v="192"/>
    <x v="0"/>
    <x v="3"/>
    <x v="3"/>
    <x v="2"/>
    <x v="53"/>
    <x v="81"/>
    <x v="20"/>
    <x v="20"/>
    <x v="6"/>
    <x v="103"/>
    <x v="0"/>
    <x v="0"/>
    <x v="712"/>
    <x v="1550"/>
    <x v="454"/>
    <x v="1542"/>
    <x v="1427"/>
    <x v="0"/>
    <x v="0"/>
    <x v="0"/>
    <x v="2"/>
    <x v="151"/>
    <x v="0"/>
  </r>
  <r>
    <x v="1653"/>
    <x v="1649"/>
    <x v="123"/>
    <x v="0"/>
    <x v="8"/>
    <x v="8"/>
    <x v="3"/>
    <x v="515"/>
    <x v="118"/>
    <x v="94"/>
    <x v="117"/>
    <x v="1"/>
    <x v="188"/>
    <x v="1"/>
    <x v="820"/>
    <x v="1451"/>
    <x v="1551"/>
    <x v="653"/>
    <x v="1543"/>
    <x v="1428"/>
    <x v="3"/>
    <x v="0"/>
    <x v="0"/>
    <x v="0"/>
    <x v="105"/>
    <x v="1"/>
  </r>
  <r>
    <x v="1654"/>
    <x v="1650"/>
    <x v="351"/>
    <x v="1"/>
    <x v="11"/>
    <x v="11"/>
    <x v="1"/>
    <x v="174"/>
    <x v="60"/>
    <x v="122"/>
    <x v="45"/>
    <x v="4"/>
    <x v="814"/>
    <x v="2"/>
    <x v="821"/>
    <x v="1452"/>
    <x v="1552"/>
    <x v="796"/>
    <x v="1544"/>
    <x v="1429"/>
    <x v="2"/>
    <x v="0"/>
    <x v="0"/>
    <x v="0"/>
    <x v="579"/>
    <x v="1"/>
  </r>
  <r>
    <x v="1655"/>
    <x v="1651"/>
    <x v="352"/>
    <x v="1"/>
    <x v="1"/>
    <x v="1"/>
    <x v="1"/>
    <x v="600"/>
    <x v="10"/>
    <x v="73"/>
    <x v="176"/>
    <x v="1"/>
    <x v="10"/>
    <x v="0"/>
    <x v="0"/>
    <x v="10"/>
    <x v="10"/>
    <x v="10"/>
    <x v="10"/>
    <x v="10"/>
    <x v="0"/>
    <x v="1"/>
    <x v="1"/>
    <x v="2"/>
    <x v="367"/>
    <x v="1"/>
  </r>
  <r>
    <x v="1656"/>
    <x v="1652"/>
    <x v="117"/>
    <x v="0"/>
    <x v="0"/>
    <x v="0"/>
    <x v="0"/>
    <x v="103"/>
    <x v="27"/>
    <x v="77"/>
    <x v="91"/>
    <x v="7"/>
    <x v="815"/>
    <x v="4"/>
    <x v="822"/>
    <x v="1453"/>
    <x v="1553"/>
    <x v="822"/>
    <x v="1545"/>
    <x v="1430"/>
    <x v="1"/>
    <x v="0"/>
    <x v="0"/>
    <x v="0"/>
    <x v="186"/>
    <x v="1"/>
  </r>
  <r>
    <x v="1657"/>
    <x v="1653"/>
    <x v="40"/>
    <x v="0"/>
    <x v="2"/>
    <x v="2"/>
    <x v="2"/>
    <x v="23"/>
    <x v="114"/>
    <x v="91"/>
    <x v="110"/>
    <x v="4"/>
    <x v="206"/>
    <x v="0"/>
    <x v="0"/>
    <x v="1454"/>
    <x v="1554"/>
    <x v="823"/>
    <x v="1546"/>
    <x v="1431"/>
    <x v="2"/>
    <x v="0"/>
    <x v="0"/>
    <x v="2"/>
    <x v="531"/>
    <x v="0"/>
  </r>
  <r>
    <x v="1658"/>
    <x v="1654"/>
    <x v="138"/>
    <x v="0"/>
    <x v="10"/>
    <x v="10"/>
    <x v="3"/>
    <x v="441"/>
    <x v="105"/>
    <x v="41"/>
    <x v="44"/>
    <x v="6"/>
    <x v="119"/>
    <x v="0"/>
    <x v="0"/>
    <x v="1455"/>
    <x v="1555"/>
    <x v="395"/>
    <x v="1547"/>
    <x v="173"/>
    <x v="3"/>
    <x v="0"/>
    <x v="0"/>
    <x v="2"/>
    <x v="294"/>
    <x v="1"/>
  </r>
  <r>
    <x v="1659"/>
    <x v="1655"/>
    <x v="50"/>
    <x v="0"/>
    <x v="10"/>
    <x v="10"/>
    <x v="3"/>
    <x v="253"/>
    <x v="58"/>
    <x v="115"/>
    <x v="247"/>
    <x v="3"/>
    <x v="816"/>
    <x v="0"/>
    <x v="0"/>
    <x v="1456"/>
    <x v="1556"/>
    <x v="662"/>
    <x v="1548"/>
    <x v="1432"/>
    <x v="5"/>
    <x v="0"/>
    <x v="0"/>
    <x v="0"/>
    <x v="470"/>
    <x v="1"/>
  </r>
  <r>
    <x v="1660"/>
    <x v="1656"/>
    <x v="35"/>
    <x v="0"/>
    <x v="8"/>
    <x v="8"/>
    <x v="3"/>
    <x v="510"/>
    <x v="78"/>
    <x v="177"/>
    <x v="332"/>
    <x v="0"/>
    <x v="211"/>
    <x v="0"/>
    <x v="0"/>
    <x v="1457"/>
    <x v="1557"/>
    <x v="345"/>
    <x v="1549"/>
    <x v="575"/>
    <x v="4"/>
    <x v="0"/>
    <x v="0"/>
    <x v="0"/>
    <x v="548"/>
    <x v="1"/>
  </r>
  <r>
    <x v="1661"/>
    <x v="1657"/>
    <x v="228"/>
    <x v="0"/>
    <x v="6"/>
    <x v="6"/>
    <x v="3"/>
    <x v="187"/>
    <x v="132"/>
    <x v="167"/>
    <x v="285"/>
    <x v="2"/>
    <x v="278"/>
    <x v="0"/>
    <x v="0"/>
    <x v="1107"/>
    <x v="1169"/>
    <x v="716"/>
    <x v="1159"/>
    <x v="907"/>
    <x v="2"/>
    <x v="1"/>
    <x v="1"/>
    <x v="0"/>
    <x v="702"/>
    <x v="0"/>
  </r>
  <r>
    <x v="1662"/>
    <x v="1658"/>
    <x v="194"/>
    <x v="0"/>
    <x v="8"/>
    <x v="8"/>
    <x v="3"/>
    <x v="200"/>
    <x v="126"/>
    <x v="24"/>
    <x v="50"/>
    <x v="6"/>
    <x v="227"/>
    <x v="1"/>
    <x v="823"/>
    <x v="1458"/>
    <x v="1558"/>
    <x v="429"/>
    <x v="1550"/>
    <x v="1433"/>
    <x v="5"/>
    <x v="0"/>
    <x v="0"/>
    <x v="2"/>
    <x v="424"/>
    <x v="1"/>
  </r>
  <r>
    <x v="1663"/>
    <x v="1659"/>
    <x v="141"/>
    <x v="0"/>
    <x v="0"/>
    <x v="0"/>
    <x v="0"/>
    <x v="530"/>
    <x v="133"/>
    <x v="110"/>
    <x v="136"/>
    <x v="1"/>
    <x v="333"/>
    <x v="4"/>
    <x v="824"/>
    <x v="1459"/>
    <x v="1559"/>
    <x v="824"/>
    <x v="1551"/>
    <x v="1434"/>
    <x v="0"/>
    <x v="0"/>
    <x v="0"/>
    <x v="2"/>
    <x v="148"/>
    <x v="0"/>
  </r>
  <r>
    <x v="1664"/>
    <x v="1660"/>
    <x v="286"/>
    <x v="0"/>
    <x v="4"/>
    <x v="4"/>
    <x v="2"/>
    <x v="288"/>
    <x v="64"/>
    <x v="50"/>
    <x v="171"/>
    <x v="5"/>
    <x v="817"/>
    <x v="3"/>
    <x v="825"/>
    <x v="1460"/>
    <x v="1560"/>
    <x v="200"/>
    <x v="1552"/>
    <x v="1435"/>
    <x v="0"/>
    <x v="0"/>
    <x v="0"/>
    <x v="0"/>
    <x v="553"/>
    <x v="1"/>
  </r>
  <r>
    <x v="1665"/>
    <x v="1661"/>
    <x v="52"/>
    <x v="0"/>
    <x v="9"/>
    <x v="9"/>
    <x v="0"/>
    <x v="599"/>
    <x v="12"/>
    <x v="91"/>
    <x v="110"/>
    <x v="6"/>
    <x v="12"/>
    <x v="2"/>
    <x v="700"/>
    <x v="1241"/>
    <x v="1317"/>
    <x v="12"/>
    <x v="1306"/>
    <x v="1220"/>
    <x v="5"/>
    <x v="0"/>
    <x v="0"/>
    <x v="0"/>
    <x v="288"/>
    <x v="0"/>
  </r>
  <r>
    <x v="1666"/>
    <x v="1662"/>
    <x v="58"/>
    <x v="1"/>
    <x v="1"/>
    <x v="1"/>
    <x v="1"/>
    <x v="329"/>
    <x v="103"/>
    <x v="86"/>
    <x v="35"/>
    <x v="4"/>
    <x v="224"/>
    <x v="2"/>
    <x v="826"/>
    <x v="1461"/>
    <x v="1561"/>
    <x v="526"/>
    <x v="1553"/>
    <x v="1436"/>
    <x v="0"/>
    <x v="0"/>
    <x v="0"/>
    <x v="2"/>
    <x v="610"/>
    <x v="1"/>
  </r>
  <r>
    <x v="1667"/>
    <x v="1663"/>
    <x v="303"/>
    <x v="0"/>
    <x v="2"/>
    <x v="2"/>
    <x v="2"/>
    <x v="539"/>
    <x v="135"/>
    <x v="142"/>
    <x v="196"/>
    <x v="0"/>
    <x v="286"/>
    <x v="0"/>
    <x v="0"/>
    <x v="1462"/>
    <x v="1562"/>
    <x v="570"/>
    <x v="1554"/>
    <x v="1437"/>
    <x v="0"/>
    <x v="0"/>
    <x v="0"/>
    <x v="0"/>
    <x v="387"/>
    <x v="1"/>
  </r>
  <r>
    <x v="1668"/>
    <x v="1664"/>
    <x v="139"/>
    <x v="0"/>
    <x v="10"/>
    <x v="10"/>
    <x v="3"/>
    <x v="301"/>
    <x v="89"/>
    <x v="105"/>
    <x v="131"/>
    <x v="1"/>
    <x v="118"/>
    <x v="4"/>
    <x v="202"/>
    <x v="1463"/>
    <x v="1563"/>
    <x v="649"/>
    <x v="1555"/>
    <x v="1438"/>
    <x v="3"/>
    <x v="1"/>
    <x v="1"/>
    <x v="1"/>
    <x v="407"/>
    <x v="1"/>
  </r>
  <r>
    <x v="1669"/>
    <x v="1665"/>
    <x v="105"/>
    <x v="0"/>
    <x v="6"/>
    <x v="6"/>
    <x v="3"/>
    <x v="537"/>
    <x v="15"/>
    <x v="60"/>
    <x v="66"/>
    <x v="6"/>
    <x v="818"/>
    <x v="4"/>
    <x v="827"/>
    <x v="1464"/>
    <x v="1564"/>
    <x v="459"/>
    <x v="1556"/>
    <x v="1439"/>
    <x v="3"/>
    <x v="1"/>
    <x v="1"/>
    <x v="0"/>
    <x v="205"/>
    <x v="0"/>
  </r>
  <r>
    <x v="1670"/>
    <x v="1666"/>
    <x v="14"/>
    <x v="0"/>
    <x v="0"/>
    <x v="0"/>
    <x v="0"/>
    <x v="453"/>
    <x v="79"/>
    <x v="114"/>
    <x v="291"/>
    <x v="5"/>
    <x v="819"/>
    <x v="0"/>
    <x v="0"/>
    <x v="1465"/>
    <x v="1565"/>
    <x v="825"/>
    <x v="1557"/>
    <x v="1440"/>
    <x v="5"/>
    <x v="0"/>
    <x v="0"/>
    <x v="0"/>
    <x v="138"/>
    <x v="0"/>
  </r>
  <r>
    <x v="1671"/>
    <x v="1667"/>
    <x v="247"/>
    <x v="0"/>
    <x v="5"/>
    <x v="5"/>
    <x v="0"/>
    <x v="601"/>
    <x v="134"/>
    <x v="35"/>
    <x v="36"/>
    <x v="1"/>
    <x v="450"/>
    <x v="3"/>
    <x v="828"/>
    <x v="1466"/>
    <x v="1566"/>
    <x v="671"/>
    <x v="1558"/>
    <x v="1441"/>
    <x v="2"/>
    <x v="0"/>
    <x v="0"/>
    <x v="2"/>
    <x v="153"/>
    <x v="0"/>
  </r>
  <r>
    <x v="1672"/>
    <x v="1668"/>
    <x v="208"/>
    <x v="0"/>
    <x v="4"/>
    <x v="4"/>
    <x v="2"/>
    <x v="389"/>
    <x v="14"/>
    <x v="47"/>
    <x v="51"/>
    <x v="3"/>
    <x v="820"/>
    <x v="0"/>
    <x v="0"/>
    <x v="1467"/>
    <x v="1567"/>
    <x v="437"/>
    <x v="1559"/>
    <x v="1442"/>
    <x v="1"/>
    <x v="0"/>
    <x v="0"/>
    <x v="0"/>
    <x v="198"/>
    <x v="1"/>
  </r>
  <r>
    <x v="1673"/>
    <x v="1669"/>
    <x v="124"/>
    <x v="0"/>
    <x v="5"/>
    <x v="5"/>
    <x v="0"/>
    <x v="588"/>
    <x v="108"/>
    <x v="79"/>
    <x v="93"/>
    <x v="1"/>
    <x v="147"/>
    <x v="1"/>
    <x v="109"/>
    <x v="181"/>
    <x v="180"/>
    <x v="168"/>
    <x v="177"/>
    <x v="176"/>
    <x v="2"/>
    <x v="0"/>
    <x v="0"/>
    <x v="0"/>
    <x v="435"/>
    <x v="1"/>
  </r>
  <r>
    <x v="1674"/>
    <x v="1670"/>
    <x v="99"/>
    <x v="0"/>
    <x v="6"/>
    <x v="6"/>
    <x v="3"/>
    <x v="122"/>
    <x v="63"/>
    <x v="111"/>
    <x v="137"/>
    <x v="4"/>
    <x v="187"/>
    <x v="1"/>
    <x v="284"/>
    <x v="503"/>
    <x v="1568"/>
    <x v="228"/>
    <x v="1560"/>
    <x v="1443"/>
    <x v="4"/>
    <x v="0"/>
    <x v="0"/>
    <x v="2"/>
    <x v="348"/>
    <x v="0"/>
  </r>
  <r>
    <x v="1675"/>
    <x v="1671"/>
    <x v="239"/>
    <x v="0"/>
    <x v="9"/>
    <x v="9"/>
    <x v="0"/>
    <x v="219"/>
    <x v="52"/>
    <x v="98"/>
    <x v="123"/>
    <x v="2"/>
    <x v="756"/>
    <x v="1"/>
    <x v="829"/>
    <x v="740"/>
    <x v="1569"/>
    <x v="309"/>
    <x v="1561"/>
    <x v="1444"/>
    <x v="3"/>
    <x v="0"/>
    <x v="0"/>
    <x v="0"/>
    <x v="185"/>
    <x v="1"/>
  </r>
  <r>
    <x v="1676"/>
    <x v="1672"/>
    <x v="74"/>
    <x v="0"/>
    <x v="8"/>
    <x v="8"/>
    <x v="3"/>
    <x v="529"/>
    <x v="12"/>
    <x v="24"/>
    <x v="50"/>
    <x v="4"/>
    <x v="12"/>
    <x v="4"/>
    <x v="830"/>
    <x v="1468"/>
    <x v="1570"/>
    <x v="25"/>
    <x v="1562"/>
    <x v="1445"/>
    <x v="0"/>
    <x v="0"/>
    <x v="0"/>
    <x v="0"/>
    <x v="539"/>
    <x v="1"/>
  </r>
  <r>
    <x v="1677"/>
    <x v="1673"/>
    <x v="15"/>
    <x v="0"/>
    <x v="6"/>
    <x v="6"/>
    <x v="3"/>
    <x v="240"/>
    <x v="140"/>
    <x v="102"/>
    <x v="128"/>
    <x v="1"/>
    <x v="654"/>
    <x v="4"/>
    <x v="831"/>
    <x v="1469"/>
    <x v="1571"/>
    <x v="826"/>
    <x v="1563"/>
    <x v="1446"/>
    <x v="3"/>
    <x v="0"/>
    <x v="0"/>
    <x v="0"/>
    <x v="629"/>
    <x v="1"/>
  </r>
  <r>
    <x v="1678"/>
    <x v="1674"/>
    <x v="307"/>
    <x v="1"/>
    <x v="7"/>
    <x v="7"/>
    <x v="1"/>
    <x v="81"/>
    <x v="136"/>
    <x v="114"/>
    <x v="226"/>
    <x v="3"/>
    <x v="821"/>
    <x v="0"/>
    <x v="0"/>
    <x v="1470"/>
    <x v="1572"/>
    <x v="827"/>
    <x v="1564"/>
    <x v="1447"/>
    <x v="4"/>
    <x v="0"/>
    <x v="0"/>
    <x v="0"/>
    <x v="703"/>
    <x v="0"/>
  </r>
  <r>
    <x v="1679"/>
    <x v="1675"/>
    <x v="48"/>
    <x v="0"/>
    <x v="0"/>
    <x v="0"/>
    <x v="0"/>
    <x v="576"/>
    <x v="55"/>
    <x v="97"/>
    <x v="158"/>
    <x v="2"/>
    <x v="362"/>
    <x v="0"/>
    <x v="0"/>
    <x v="1311"/>
    <x v="1396"/>
    <x v="64"/>
    <x v="1387"/>
    <x v="1240"/>
    <x v="3"/>
    <x v="0"/>
    <x v="0"/>
    <x v="0"/>
    <x v="119"/>
    <x v="1"/>
  </r>
  <r>
    <x v="1680"/>
    <x v="1676"/>
    <x v="219"/>
    <x v="0"/>
    <x v="3"/>
    <x v="3"/>
    <x v="2"/>
    <x v="486"/>
    <x v="8"/>
    <x v="139"/>
    <x v="198"/>
    <x v="3"/>
    <x v="822"/>
    <x v="3"/>
    <x v="832"/>
    <x v="1471"/>
    <x v="1573"/>
    <x v="264"/>
    <x v="1565"/>
    <x v="1448"/>
    <x v="4"/>
    <x v="0"/>
    <x v="0"/>
    <x v="0"/>
    <x v="427"/>
    <x v="1"/>
  </r>
  <r>
    <x v="1681"/>
    <x v="1677"/>
    <x v="316"/>
    <x v="1"/>
    <x v="11"/>
    <x v="11"/>
    <x v="1"/>
    <x v="429"/>
    <x v="90"/>
    <x v="46"/>
    <x v="138"/>
    <x v="2"/>
    <x v="104"/>
    <x v="1"/>
    <x v="833"/>
    <x v="1472"/>
    <x v="1574"/>
    <x v="112"/>
    <x v="1566"/>
    <x v="1449"/>
    <x v="3"/>
    <x v="1"/>
    <x v="1"/>
    <x v="0"/>
    <x v="658"/>
    <x v="1"/>
  </r>
  <r>
    <x v="1682"/>
    <x v="1678"/>
    <x v="79"/>
    <x v="1"/>
    <x v="1"/>
    <x v="1"/>
    <x v="1"/>
    <x v="246"/>
    <x v="75"/>
    <x v="45"/>
    <x v="227"/>
    <x v="4"/>
    <x v="92"/>
    <x v="2"/>
    <x v="834"/>
    <x v="1473"/>
    <x v="1575"/>
    <x v="210"/>
    <x v="1567"/>
    <x v="1450"/>
    <x v="5"/>
    <x v="0"/>
    <x v="0"/>
    <x v="0"/>
    <x v="416"/>
    <x v="0"/>
  </r>
  <r>
    <x v="1683"/>
    <x v="1679"/>
    <x v="33"/>
    <x v="0"/>
    <x v="8"/>
    <x v="8"/>
    <x v="3"/>
    <x v="36"/>
    <x v="134"/>
    <x v="30"/>
    <x v="31"/>
    <x v="5"/>
    <x v="823"/>
    <x v="0"/>
    <x v="0"/>
    <x v="1474"/>
    <x v="1576"/>
    <x v="660"/>
    <x v="1568"/>
    <x v="1451"/>
    <x v="5"/>
    <x v="0"/>
    <x v="0"/>
    <x v="0"/>
    <x v="704"/>
    <x v="0"/>
  </r>
  <r>
    <x v="1684"/>
    <x v="1680"/>
    <x v="80"/>
    <x v="0"/>
    <x v="8"/>
    <x v="8"/>
    <x v="3"/>
    <x v="394"/>
    <x v="89"/>
    <x v="36"/>
    <x v="37"/>
    <x v="0"/>
    <x v="118"/>
    <x v="1"/>
    <x v="202"/>
    <x v="343"/>
    <x v="351"/>
    <x v="298"/>
    <x v="347"/>
    <x v="343"/>
    <x v="4"/>
    <x v="1"/>
    <x v="1"/>
    <x v="2"/>
    <x v="77"/>
    <x v="0"/>
  </r>
  <r>
    <x v="1685"/>
    <x v="1681"/>
    <x v="112"/>
    <x v="0"/>
    <x v="10"/>
    <x v="10"/>
    <x v="3"/>
    <x v="47"/>
    <x v="76"/>
    <x v="15"/>
    <x v="266"/>
    <x v="6"/>
    <x v="824"/>
    <x v="0"/>
    <x v="0"/>
    <x v="1475"/>
    <x v="1577"/>
    <x v="656"/>
    <x v="1569"/>
    <x v="1452"/>
    <x v="4"/>
    <x v="0"/>
    <x v="0"/>
    <x v="0"/>
    <x v="332"/>
    <x v="1"/>
  </r>
  <r>
    <x v="1686"/>
    <x v="1682"/>
    <x v="23"/>
    <x v="0"/>
    <x v="2"/>
    <x v="2"/>
    <x v="2"/>
    <x v="149"/>
    <x v="38"/>
    <x v="29"/>
    <x v="30"/>
    <x v="4"/>
    <x v="43"/>
    <x v="1"/>
    <x v="427"/>
    <x v="756"/>
    <x v="785"/>
    <x v="243"/>
    <x v="781"/>
    <x v="745"/>
    <x v="5"/>
    <x v="0"/>
    <x v="0"/>
    <x v="0"/>
    <x v="705"/>
    <x v="0"/>
  </r>
  <r>
    <x v="1687"/>
    <x v="1683"/>
    <x v="85"/>
    <x v="0"/>
    <x v="5"/>
    <x v="5"/>
    <x v="0"/>
    <x v="599"/>
    <x v="145"/>
    <x v="166"/>
    <x v="207"/>
    <x v="0"/>
    <x v="480"/>
    <x v="0"/>
    <x v="0"/>
    <x v="1476"/>
    <x v="1578"/>
    <x v="657"/>
    <x v="1570"/>
    <x v="1453"/>
    <x v="1"/>
    <x v="0"/>
    <x v="0"/>
    <x v="0"/>
    <x v="164"/>
    <x v="0"/>
  </r>
  <r>
    <x v="1688"/>
    <x v="1684"/>
    <x v="226"/>
    <x v="0"/>
    <x v="0"/>
    <x v="0"/>
    <x v="0"/>
    <x v="103"/>
    <x v="42"/>
    <x v="88"/>
    <x v="219"/>
    <x v="4"/>
    <x v="825"/>
    <x v="0"/>
    <x v="0"/>
    <x v="1477"/>
    <x v="1579"/>
    <x v="286"/>
    <x v="1571"/>
    <x v="1454"/>
    <x v="1"/>
    <x v="0"/>
    <x v="0"/>
    <x v="0"/>
    <x v="392"/>
    <x v="1"/>
  </r>
  <r>
    <x v="1689"/>
    <x v="1685"/>
    <x v="270"/>
    <x v="0"/>
    <x v="2"/>
    <x v="2"/>
    <x v="2"/>
    <x v="138"/>
    <x v="17"/>
    <x v="124"/>
    <x v="162"/>
    <x v="1"/>
    <x v="17"/>
    <x v="0"/>
    <x v="0"/>
    <x v="1478"/>
    <x v="1580"/>
    <x v="828"/>
    <x v="1572"/>
    <x v="253"/>
    <x v="1"/>
    <x v="1"/>
    <x v="1"/>
    <x v="0"/>
    <x v="403"/>
    <x v="1"/>
  </r>
  <r>
    <x v="1690"/>
    <x v="1686"/>
    <x v="251"/>
    <x v="1"/>
    <x v="1"/>
    <x v="1"/>
    <x v="1"/>
    <x v="174"/>
    <x v="67"/>
    <x v="57"/>
    <x v="63"/>
    <x v="3"/>
    <x v="826"/>
    <x v="3"/>
    <x v="835"/>
    <x v="1479"/>
    <x v="1581"/>
    <x v="723"/>
    <x v="1573"/>
    <x v="1455"/>
    <x v="5"/>
    <x v="0"/>
    <x v="0"/>
    <x v="2"/>
    <x v="148"/>
    <x v="1"/>
  </r>
  <r>
    <x v="1691"/>
    <x v="1687"/>
    <x v="155"/>
    <x v="0"/>
    <x v="8"/>
    <x v="8"/>
    <x v="3"/>
    <x v="393"/>
    <x v="40"/>
    <x v="56"/>
    <x v="186"/>
    <x v="6"/>
    <x v="70"/>
    <x v="0"/>
    <x v="0"/>
    <x v="1480"/>
    <x v="1582"/>
    <x v="829"/>
    <x v="1574"/>
    <x v="1049"/>
    <x v="4"/>
    <x v="0"/>
    <x v="0"/>
    <x v="0"/>
    <x v="42"/>
    <x v="1"/>
  </r>
  <r>
    <x v="1692"/>
    <x v="1688"/>
    <x v="116"/>
    <x v="0"/>
    <x v="8"/>
    <x v="8"/>
    <x v="3"/>
    <x v="174"/>
    <x v="44"/>
    <x v="82"/>
    <x v="96"/>
    <x v="6"/>
    <x v="827"/>
    <x v="3"/>
    <x v="836"/>
    <x v="1481"/>
    <x v="1583"/>
    <x v="335"/>
    <x v="1575"/>
    <x v="1456"/>
    <x v="2"/>
    <x v="0"/>
    <x v="0"/>
    <x v="0"/>
    <x v="136"/>
    <x v="1"/>
  </r>
  <r>
    <x v="1693"/>
    <x v="1689"/>
    <x v="287"/>
    <x v="0"/>
    <x v="0"/>
    <x v="0"/>
    <x v="0"/>
    <x v="502"/>
    <x v="94"/>
    <x v="6"/>
    <x v="39"/>
    <x v="1"/>
    <x v="349"/>
    <x v="0"/>
    <x v="0"/>
    <x v="1482"/>
    <x v="1584"/>
    <x v="830"/>
    <x v="1576"/>
    <x v="1457"/>
    <x v="4"/>
    <x v="0"/>
    <x v="0"/>
    <x v="1"/>
    <x v="70"/>
    <x v="0"/>
  </r>
  <r>
    <x v="1694"/>
    <x v="1690"/>
    <x v="139"/>
    <x v="0"/>
    <x v="10"/>
    <x v="10"/>
    <x v="3"/>
    <x v="113"/>
    <x v="44"/>
    <x v="167"/>
    <x v="285"/>
    <x v="4"/>
    <x v="242"/>
    <x v="4"/>
    <x v="250"/>
    <x v="439"/>
    <x v="1585"/>
    <x v="373"/>
    <x v="1577"/>
    <x v="1458"/>
    <x v="4"/>
    <x v="0"/>
    <x v="0"/>
    <x v="2"/>
    <x v="654"/>
    <x v="1"/>
  </r>
  <r>
    <x v="1695"/>
    <x v="1691"/>
    <x v="68"/>
    <x v="0"/>
    <x v="6"/>
    <x v="6"/>
    <x v="3"/>
    <x v="26"/>
    <x v="23"/>
    <x v="90"/>
    <x v="332"/>
    <x v="6"/>
    <x v="828"/>
    <x v="4"/>
    <x v="837"/>
    <x v="1483"/>
    <x v="1586"/>
    <x v="30"/>
    <x v="1578"/>
    <x v="1459"/>
    <x v="5"/>
    <x v="0"/>
    <x v="0"/>
    <x v="0"/>
    <x v="82"/>
    <x v="1"/>
  </r>
  <r>
    <x v="1696"/>
    <x v="1692"/>
    <x v="14"/>
    <x v="0"/>
    <x v="0"/>
    <x v="0"/>
    <x v="0"/>
    <x v="487"/>
    <x v="12"/>
    <x v="130"/>
    <x v="175"/>
    <x v="6"/>
    <x v="12"/>
    <x v="1"/>
    <x v="838"/>
    <x v="1484"/>
    <x v="1587"/>
    <x v="12"/>
    <x v="1579"/>
    <x v="1460"/>
    <x v="4"/>
    <x v="0"/>
    <x v="0"/>
    <x v="2"/>
    <x v="325"/>
    <x v="0"/>
  </r>
  <r>
    <x v="1697"/>
    <x v="1693"/>
    <x v="16"/>
    <x v="0"/>
    <x v="6"/>
    <x v="6"/>
    <x v="3"/>
    <x v="117"/>
    <x v="120"/>
    <x v="2"/>
    <x v="134"/>
    <x v="4"/>
    <x v="221"/>
    <x v="1"/>
    <x v="839"/>
    <x v="1485"/>
    <x v="1588"/>
    <x v="831"/>
    <x v="1580"/>
    <x v="1461"/>
    <x v="3"/>
    <x v="0"/>
    <x v="0"/>
    <x v="0"/>
    <x v="542"/>
    <x v="0"/>
  </r>
  <r>
    <x v="1698"/>
    <x v="1694"/>
    <x v="171"/>
    <x v="1"/>
    <x v="7"/>
    <x v="7"/>
    <x v="1"/>
    <x v="325"/>
    <x v="76"/>
    <x v="99"/>
    <x v="60"/>
    <x v="6"/>
    <x v="829"/>
    <x v="0"/>
    <x v="0"/>
    <x v="1486"/>
    <x v="1589"/>
    <x v="656"/>
    <x v="1581"/>
    <x v="1462"/>
    <x v="0"/>
    <x v="0"/>
    <x v="0"/>
    <x v="1"/>
    <x v="653"/>
    <x v="1"/>
  </r>
  <r>
    <x v="1699"/>
    <x v="1695"/>
    <x v="297"/>
    <x v="0"/>
    <x v="8"/>
    <x v="8"/>
    <x v="3"/>
    <x v="253"/>
    <x v="37"/>
    <x v="144"/>
    <x v="197"/>
    <x v="5"/>
    <x v="830"/>
    <x v="3"/>
    <x v="840"/>
    <x v="1487"/>
    <x v="1590"/>
    <x v="42"/>
    <x v="1582"/>
    <x v="1463"/>
    <x v="0"/>
    <x v="0"/>
    <x v="0"/>
    <x v="0"/>
    <x v="180"/>
    <x v="1"/>
  </r>
  <r>
    <x v="1700"/>
    <x v="1696"/>
    <x v="281"/>
    <x v="0"/>
    <x v="2"/>
    <x v="2"/>
    <x v="2"/>
    <x v="185"/>
    <x v="62"/>
    <x v="146"/>
    <x v="306"/>
    <x v="7"/>
    <x v="831"/>
    <x v="0"/>
    <x v="0"/>
    <x v="1488"/>
    <x v="1591"/>
    <x v="75"/>
    <x v="1583"/>
    <x v="1464"/>
    <x v="0"/>
    <x v="0"/>
    <x v="0"/>
    <x v="1"/>
    <x v="605"/>
    <x v="1"/>
  </r>
  <r>
    <x v="1701"/>
    <x v="1697"/>
    <x v="257"/>
    <x v="0"/>
    <x v="3"/>
    <x v="3"/>
    <x v="2"/>
    <x v="502"/>
    <x v="14"/>
    <x v="124"/>
    <x v="183"/>
    <x v="6"/>
    <x v="14"/>
    <x v="0"/>
    <x v="0"/>
    <x v="83"/>
    <x v="83"/>
    <x v="82"/>
    <x v="81"/>
    <x v="14"/>
    <x v="5"/>
    <x v="0"/>
    <x v="0"/>
    <x v="1"/>
    <x v="340"/>
    <x v="1"/>
  </r>
  <r>
    <x v="1702"/>
    <x v="1698"/>
    <x v="324"/>
    <x v="0"/>
    <x v="6"/>
    <x v="6"/>
    <x v="3"/>
    <x v="580"/>
    <x v="11"/>
    <x v="40"/>
    <x v="35"/>
    <x v="1"/>
    <x v="87"/>
    <x v="2"/>
    <x v="746"/>
    <x v="1310"/>
    <x v="1592"/>
    <x v="202"/>
    <x v="1386"/>
    <x v="1465"/>
    <x v="3"/>
    <x v="0"/>
    <x v="0"/>
    <x v="2"/>
    <x v="521"/>
    <x v="1"/>
  </r>
  <r>
    <x v="1703"/>
    <x v="1699"/>
    <x v="96"/>
    <x v="0"/>
    <x v="3"/>
    <x v="3"/>
    <x v="2"/>
    <x v="336"/>
    <x v="40"/>
    <x v="125"/>
    <x v="163"/>
    <x v="4"/>
    <x v="832"/>
    <x v="3"/>
    <x v="841"/>
    <x v="1489"/>
    <x v="1593"/>
    <x v="45"/>
    <x v="1584"/>
    <x v="1466"/>
    <x v="5"/>
    <x v="0"/>
    <x v="0"/>
    <x v="0"/>
    <x v="706"/>
    <x v="0"/>
  </r>
  <r>
    <x v="1704"/>
    <x v="1700"/>
    <x v="194"/>
    <x v="0"/>
    <x v="8"/>
    <x v="8"/>
    <x v="3"/>
    <x v="184"/>
    <x v="101"/>
    <x v="161"/>
    <x v="254"/>
    <x v="6"/>
    <x v="833"/>
    <x v="1"/>
    <x v="842"/>
    <x v="1490"/>
    <x v="1594"/>
    <x v="149"/>
    <x v="1585"/>
    <x v="1467"/>
    <x v="5"/>
    <x v="0"/>
    <x v="0"/>
    <x v="1"/>
    <x v="292"/>
    <x v="1"/>
  </r>
  <r>
    <x v="1705"/>
    <x v="1701"/>
    <x v="11"/>
    <x v="1"/>
    <x v="1"/>
    <x v="1"/>
    <x v="1"/>
    <x v="431"/>
    <x v="102"/>
    <x v="35"/>
    <x v="36"/>
    <x v="6"/>
    <x v="136"/>
    <x v="0"/>
    <x v="0"/>
    <x v="853"/>
    <x v="946"/>
    <x v="610"/>
    <x v="939"/>
    <x v="584"/>
    <x v="2"/>
    <x v="0"/>
    <x v="0"/>
    <x v="2"/>
    <x v="529"/>
    <x v="1"/>
  </r>
  <r>
    <x v="1706"/>
    <x v="1702"/>
    <x v="352"/>
    <x v="1"/>
    <x v="1"/>
    <x v="1"/>
    <x v="1"/>
    <x v="38"/>
    <x v="19"/>
    <x v="89"/>
    <x v="108"/>
    <x v="7"/>
    <x v="834"/>
    <x v="1"/>
    <x v="843"/>
    <x v="1491"/>
    <x v="1595"/>
    <x v="684"/>
    <x v="1586"/>
    <x v="1468"/>
    <x v="3"/>
    <x v="0"/>
    <x v="0"/>
    <x v="0"/>
    <x v="535"/>
    <x v="1"/>
  </r>
  <r>
    <x v="1707"/>
    <x v="1703"/>
    <x v="65"/>
    <x v="0"/>
    <x v="8"/>
    <x v="8"/>
    <x v="3"/>
    <x v="440"/>
    <x v="93"/>
    <x v="166"/>
    <x v="207"/>
    <x v="4"/>
    <x v="323"/>
    <x v="0"/>
    <x v="0"/>
    <x v="1492"/>
    <x v="1596"/>
    <x v="187"/>
    <x v="1587"/>
    <x v="1469"/>
    <x v="0"/>
    <x v="0"/>
    <x v="0"/>
    <x v="1"/>
    <x v="124"/>
    <x v="0"/>
  </r>
  <r>
    <x v="1708"/>
    <x v="1704"/>
    <x v="338"/>
    <x v="1"/>
    <x v="7"/>
    <x v="7"/>
    <x v="1"/>
    <x v="496"/>
    <x v="106"/>
    <x v="69"/>
    <x v="203"/>
    <x v="6"/>
    <x v="145"/>
    <x v="3"/>
    <x v="844"/>
    <x v="1493"/>
    <x v="1597"/>
    <x v="694"/>
    <x v="1588"/>
    <x v="1470"/>
    <x v="1"/>
    <x v="0"/>
    <x v="0"/>
    <x v="0"/>
    <x v="479"/>
    <x v="1"/>
  </r>
  <r>
    <x v="1709"/>
    <x v="1705"/>
    <x v="48"/>
    <x v="0"/>
    <x v="0"/>
    <x v="0"/>
    <x v="0"/>
    <x v="156"/>
    <x v="38"/>
    <x v="32"/>
    <x v="241"/>
    <x v="5"/>
    <x v="835"/>
    <x v="0"/>
    <x v="0"/>
    <x v="1081"/>
    <x v="1598"/>
    <x v="313"/>
    <x v="1589"/>
    <x v="1471"/>
    <x v="4"/>
    <x v="0"/>
    <x v="0"/>
    <x v="0"/>
    <x v="19"/>
    <x v="1"/>
  </r>
  <r>
    <x v="1710"/>
    <x v="1706"/>
    <x v="183"/>
    <x v="0"/>
    <x v="5"/>
    <x v="5"/>
    <x v="0"/>
    <x v="552"/>
    <x v="39"/>
    <x v="29"/>
    <x v="30"/>
    <x v="7"/>
    <x v="836"/>
    <x v="0"/>
    <x v="0"/>
    <x v="1494"/>
    <x v="1599"/>
    <x v="659"/>
    <x v="1590"/>
    <x v="1472"/>
    <x v="0"/>
    <x v="0"/>
    <x v="0"/>
    <x v="2"/>
    <x v="1"/>
    <x v="1"/>
  </r>
  <r>
    <x v="1711"/>
    <x v="1707"/>
    <x v="26"/>
    <x v="0"/>
    <x v="8"/>
    <x v="8"/>
    <x v="3"/>
    <x v="464"/>
    <x v="77"/>
    <x v="48"/>
    <x v="191"/>
    <x v="2"/>
    <x v="821"/>
    <x v="0"/>
    <x v="0"/>
    <x v="1495"/>
    <x v="1600"/>
    <x v="101"/>
    <x v="1591"/>
    <x v="1473"/>
    <x v="2"/>
    <x v="0"/>
    <x v="0"/>
    <x v="0"/>
    <x v="333"/>
    <x v="0"/>
  </r>
  <r>
    <x v="1712"/>
    <x v="1708"/>
    <x v="213"/>
    <x v="0"/>
    <x v="4"/>
    <x v="4"/>
    <x v="2"/>
    <x v="550"/>
    <x v="31"/>
    <x v="161"/>
    <x v="254"/>
    <x v="3"/>
    <x v="837"/>
    <x v="4"/>
    <x v="845"/>
    <x v="1496"/>
    <x v="190"/>
    <x v="417"/>
    <x v="1592"/>
    <x v="186"/>
    <x v="1"/>
    <x v="0"/>
    <x v="0"/>
    <x v="0"/>
    <x v="17"/>
    <x v="1"/>
  </r>
  <r>
    <x v="1713"/>
    <x v="1709"/>
    <x v="19"/>
    <x v="0"/>
    <x v="5"/>
    <x v="5"/>
    <x v="0"/>
    <x v="218"/>
    <x v="62"/>
    <x v="160"/>
    <x v="249"/>
    <x v="2"/>
    <x v="838"/>
    <x v="0"/>
    <x v="0"/>
    <x v="1497"/>
    <x v="1601"/>
    <x v="729"/>
    <x v="1593"/>
    <x v="1474"/>
    <x v="3"/>
    <x v="0"/>
    <x v="0"/>
    <x v="0"/>
    <x v="226"/>
    <x v="1"/>
  </r>
  <r>
    <x v="1714"/>
    <x v="1710"/>
    <x v="207"/>
    <x v="1"/>
    <x v="11"/>
    <x v="11"/>
    <x v="1"/>
    <x v="533"/>
    <x v="23"/>
    <x v="130"/>
    <x v="175"/>
    <x v="6"/>
    <x v="24"/>
    <x v="3"/>
    <x v="846"/>
    <x v="1498"/>
    <x v="1602"/>
    <x v="30"/>
    <x v="1594"/>
    <x v="1475"/>
    <x v="5"/>
    <x v="0"/>
    <x v="0"/>
    <x v="2"/>
    <x v="707"/>
    <x v="0"/>
  </r>
  <r>
    <x v="1715"/>
    <x v="1711"/>
    <x v="228"/>
    <x v="0"/>
    <x v="6"/>
    <x v="6"/>
    <x v="3"/>
    <x v="64"/>
    <x v="64"/>
    <x v="172"/>
    <x v="262"/>
    <x v="6"/>
    <x v="74"/>
    <x v="0"/>
    <x v="0"/>
    <x v="478"/>
    <x v="1603"/>
    <x v="116"/>
    <x v="1595"/>
    <x v="1476"/>
    <x v="3"/>
    <x v="0"/>
    <x v="0"/>
    <x v="0"/>
    <x v="413"/>
    <x v="0"/>
  </r>
  <r>
    <x v="1716"/>
    <x v="1712"/>
    <x v="82"/>
    <x v="0"/>
    <x v="4"/>
    <x v="4"/>
    <x v="2"/>
    <x v="304"/>
    <x v="109"/>
    <x v="25"/>
    <x v="26"/>
    <x v="4"/>
    <x v="150"/>
    <x v="3"/>
    <x v="847"/>
    <x v="1499"/>
    <x v="1604"/>
    <x v="832"/>
    <x v="1596"/>
    <x v="316"/>
    <x v="3"/>
    <x v="0"/>
    <x v="0"/>
    <x v="0"/>
    <x v="708"/>
    <x v="0"/>
  </r>
  <r>
    <x v="1717"/>
    <x v="1713"/>
    <x v="15"/>
    <x v="0"/>
    <x v="6"/>
    <x v="6"/>
    <x v="3"/>
    <x v="29"/>
    <x v="13"/>
    <x v="115"/>
    <x v="146"/>
    <x v="1"/>
    <x v="13"/>
    <x v="3"/>
    <x v="848"/>
    <x v="1500"/>
    <x v="1605"/>
    <x v="682"/>
    <x v="1597"/>
    <x v="1477"/>
    <x v="3"/>
    <x v="0"/>
    <x v="0"/>
    <x v="0"/>
    <x v="427"/>
    <x v="1"/>
  </r>
  <r>
    <x v="1718"/>
    <x v="1714"/>
    <x v="282"/>
    <x v="0"/>
    <x v="2"/>
    <x v="2"/>
    <x v="2"/>
    <x v="4"/>
    <x v="5"/>
    <x v="175"/>
    <x v="305"/>
    <x v="3"/>
    <x v="839"/>
    <x v="1"/>
    <x v="849"/>
    <x v="1501"/>
    <x v="1606"/>
    <x v="5"/>
    <x v="1598"/>
    <x v="1478"/>
    <x v="3"/>
    <x v="0"/>
    <x v="0"/>
    <x v="1"/>
    <x v="430"/>
    <x v="0"/>
  </r>
  <r>
    <x v="1719"/>
    <x v="1715"/>
    <x v="82"/>
    <x v="0"/>
    <x v="4"/>
    <x v="4"/>
    <x v="2"/>
    <x v="55"/>
    <x v="111"/>
    <x v="89"/>
    <x v="223"/>
    <x v="6"/>
    <x v="840"/>
    <x v="4"/>
    <x v="850"/>
    <x v="1502"/>
    <x v="1607"/>
    <x v="375"/>
    <x v="1599"/>
    <x v="1479"/>
    <x v="4"/>
    <x v="0"/>
    <x v="0"/>
    <x v="1"/>
    <x v="709"/>
    <x v="0"/>
  </r>
  <r>
    <x v="1720"/>
    <x v="1716"/>
    <x v="159"/>
    <x v="0"/>
    <x v="10"/>
    <x v="10"/>
    <x v="3"/>
    <x v="564"/>
    <x v="42"/>
    <x v="82"/>
    <x v="96"/>
    <x v="4"/>
    <x v="47"/>
    <x v="3"/>
    <x v="851"/>
    <x v="1503"/>
    <x v="1608"/>
    <x v="286"/>
    <x v="1600"/>
    <x v="1480"/>
    <x v="0"/>
    <x v="0"/>
    <x v="0"/>
    <x v="0"/>
    <x v="131"/>
    <x v="1"/>
  </r>
  <r>
    <x v="1721"/>
    <x v="1717"/>
    <x v="33"/>
    <x v="0"/>
    <x v="8"/>
    <x v="8"/>
    <x v="3"/>
    <x v="238"/>
    <x v="66"/>
    <x v="108"/>
    <x v="264"/>
    <x v="0"/>
    <x v="80"/>
    <x v="1"/>
    <x v="162"/>
    <x v="1504"/>
    <x v="1609"/>
    <x v="435"/>
    <x v="1601"/>
    <x v="1481"/>
    <x v="4"/>
    <x v="0"/>
    <x v="0"/>
    <x v="0"/>
    <x v="539"/>
    <x v="0"/>
  </r>
  <r>
    <x v="1722"/>
    <x v="1718"/>
    <x v="76"/>
    <x v="0"/>
    <x v="9"/>
    <x v="9"/>
    <x v="0"/>
    <x v="602"/>
    <x v="109"/>
    <x v="113"/>
    <x v="232"/>
    <x v="1"/>
    <x v="150"/>
    <x v="0"/>
    <x v="0"/>
    <x v="435"/>
    <x v="1610"/>
    <x v="170"/>
    <x v="1602"/>
    <x v="391"/>
    <x v="0"/>
    <x v="0"/>
    <x v="0"/>
    <x v="2"/>
    <x v="31"/>
    <x v="0"/>
  </r>
  <r>
    <x v="1723"/>
    <x v="1719"/>
    <x v="132"/>
    <x v="1"/>
    <x v="1"/>
    <x v="1"/>
    <x v="1"/>
    <x v="214"/>
    <x v="27"/>
    <x v="110"/>
    <x v="331"/>
    <x v="4"/>
    <x v="841"/>
    <x v="0"/>
    <x v="0"/>
    <x v="1505"/>
    <x v="1611"/>
    <x v="363"/>
    <x v="1603"/>
    <x v="1482"/>
    <x v="2"/>
    <x v="0"/>
    <x v="0"/>
    <x v="0"/>
    <x v="607"/>
    <x v="0"/>
  </r>
  <r>
    <x v="1724"/>
    <x v="1720"/>
    <x v="52"/>
    <x v="0"/>
    <x v="9"/>
    <x v="9"/>
    <x v="0"/>
    <x v="321"/>
    <x v="42"/>
    <x v="48"/>
    <x v="191"/>
    <x v="3"/>
    <x v="842"/>
    <x v="0"/>
    <x v="0"/>
    <x v="1506"/>
    <x v="1612"/>
    <x v="686"/>
    <x v="1604"/>
    <x v="1483"/>
    <x v="1"/>
    <x v="0"/>
    <x v="0"/>
    <x v="2"/>
    <x v="224"/>
    <x v="0"/>
  </r>
  <r>
    <x v="1725"/>
    <x v="1721"/>
    <x v="353"/>
    <x v="0"/>
    <x v="6"/>
    <x v="6"/>
    <x v="3"/>
    <x v="91"/>
    <x v="128"/>
    <x v="86"/>
    <x v="102"/>
    <x v="7"/>
    <x v="843"/>
    <x v="0"/>
    <x v="0"/>
    <x v="1507"/>
    <x v="1613"/>
    <x v="833"/>
    <x v="1605"/>
    <x v="1484"/>
    <x v="5"/>
    <x v="0"/>
    <x v="0"/>
    <x v="2"/>
    <x v="688"/>
    <x v="1"/>
  </r>
  <r>
    <x v="1726"/>
    <x v="1722"/>
    <x v="324"/>
    <x v="0"/>
    <x v="6"/>
    <x v="6"/>
    <x v="3"/>
    <x v="472"/>
    <x v="124"/>
    <x v="102"/>
    <x v="128"/>
    <x v="4"/>
    <x v="222"/>
    <x v="1"/>
    <x v="852"/>
    <x v="1508"/>
    <x v="1614"/>
    <x v="834"/>
    <x v="1606"/>
    <x v="1485"/>
    <x v="0"/>
    <x v="0"/>
    <x v="0"/>
    <x v="0"/>
    <x v="243"/>
    <x v="1"/>
  </r>
  <r>
    <x v="1727"/>
    <x v="1723"/>
    <x v="65"/>
    <x v="0"/>
    <x v="8"/>
    <x v="8"/>
    <x v="3"/>
    <x v="216"/>
    <x v="109"/>
    <x v="149"/>
    <x v="212"/>
    <x v="6"/>
    <x v="844"/>
    <x v="1"/>
    <x v="853"/>
    <x v="1509"/>
    <x v="1615"/>
    <x v="172"/>
    <x v="1607"/>
    <x v="1486"/>
    <x v="3"/>
    <x v="0"/>
    <x v="0"/>
    <x v="0"/>
    <x v="710"/>
    <x v="0"/>
  </r>
  <r>
    <x v="1728"/>
    <x v="1724"/>
    <x v="232"/>
    <x v="1"/>
    <x v="7"/>
    <x v="7"/>
    <x v="1"/>
    <x v="54"/>
    <x v="82"/>
    <x v="94"/>
    <x v="117"/>
    <x v="5"/>
    <x v="845"/>
    <x v="2"/>
    <x v="854"/>
    <x v="1510"/>
    <x v="1616"/>
    <x v="564"/>
    <x v="1608"/>
    <x v="1487"/>
    <x v="5"/>
    <x v="0"/>
    <x v="0"/>
    <x v="0"/>
    <x v="711"/>
    <x v="0"/>
  </r>
  <r>
    <x v="1729"/>
    <x v="1725"/>
    <x v="102"/>
    <x v="0"/>
    <x v="8"/>
    <x v="8"/>
    <x v="3"/>
    <x v="442"/>
    <x v="16"/>
    <x v="40"/>
    <x v="80"/>
    <x v="7"/>
    <x v="846"/>
    <x v="0"/>
    <x v="0"/>
    <x v="1511"/>
    <x v="1617"/>
    <x v="835"/>
    <x v="1609"/>
    <x v="1488"/>
    <x v="2"/>
    <x v="0"/>
    <x v="0"/>
    <x v="0"/>
    <x v="267"/>
    <x v="1"/>
  </r>
  <r>
    <x v="1730"/>
    <x v="1726"/>
    <x v="167"/>
    <x v="1"/>
    <x v="7"/>
    <x v="7"/>
    <x v="1"/>
    <x v="375"/>
    <x v="101"/>
    <x v="124"/>
    <x v="286"/>
    <x v="6"/>
    <x v="847"/>
    <x v="4"/>
    <x v="855"/>
    <x v="1512"/>
    <x v="1618"/>
    <x v="149"/>
    <x v="1610"/>
    <x v="1489"/>
    <x v="2"/>
    <x v="0"/>
    <x v="0"/>
    <x v="0"/>
    <x v="50"/>
    <x v="1"/>
  </r>
  <r>
    <x v="1731"/>
    <x v="1727"/>
    <x v="41"/>
    <x v="1"/>
    <x v="11"/>
    <x v="11"/>
    <x v="1"/>
    <x v="333"/>
    <x v="4"/>
    <x v="121"/>
    <x v="159"/>
    <x v="6"/>
    <x v="213"/>
    <x v="0"/>
    <x v="0"/>
    <x v="491"/>
    <x v="1619"/>
    <x v="412"/>
    <x v="1611"/>
    <x v="519"/>
    <x v="1"/>
    <x v="0"/>
    <x v="0"/>
    <x v="1"/>
    <x v="503"/>
    <x v="0"/>
  </r>
  <r>
    <x v="1732"/>
    <x v="1728"/>
    <x v="345"/>
    <x v="0"/>
    <x v="9"/>
    <x v="9"/>
    <x v="0"/>
    <x v="472"/>
    <x v="122"/>
    <x v="88"/>
    <x v="303"/>
    <x v="2"/>
    <x v="205"/>
    <x v="0"/>
    <x v="0"/>
    <x v="1114"/>
    <x v="1176"/>
    <x v="439"/>
    <x v="1166"/>
    <x v="395"/>
    <x v="3"/>
    <x v="0"/>
    <x v="0"/>
    <x v="0"/>
    <x v="498"/>
    <x v="1"/>
  </r>
  <r>
    <x v="1733"/>
    <x v="1729"/>
    <x v="293"/>
    <x v="0"/>
    <x v="5"/>
    <x v="5"/>
    <x v="0"/>
    <x v="603"/>
    <x v="5"/>
    <x v="42"/>
    <x v="158"/>
    <x v="0"/>
    <x v="139"/>
    <x v="0"/>
    <x v="0"/>
    <x v="1174"/>
    <x v="1241"/>
    <x v="155"/>
    <x v="1231"/>
    <x v="685"/>
    <x v="5"/>
    <x v="0"/>
    <x v="0"/>
    <x v="0"/>
    <x v="308"/>
    <x v="1"/>
  </r>
  <r>
    <x v="1734"/>
    <x v="1730"/>
    <x v="240"/>
    <x v="0"/>
    <x v="9"/>
    <x v="9"/>
    <x v="0"/>
    <x v="331"/>
    <x v="26"/>
    <x v="27"/>
    <x v="28"/>
    <x v="3"/>
    <x v="848"/>
    <x v="4"/>
    <x v="856"/>
    <x v="1513"/>
    <x v="1620"/>
    <x v="797"/>
    <x v="1612"/>
    <x v="1490"/>
    <x v="2"/>
    <x v="0"/>
    <x v="0"/>
    <x v="0"/>
    <x v="386"/>
    <x v="0"/>
  </r>
  <r>
    <x v="1735"/>
    <x v="1731"/>
    <x v="178"/>
    <x v="0"/>
    <x v="10"/>
    <x v="10"/>
    <x v="3"/>
    <x v="390"/>
    <x v="20"/>
    <x v="106"/>
    <x v="132"/>
    <x v="4"/>
    <x v="198"/>
    <x v="3"/>
    <x v="761"/>
    <x v="1343"/>
    <x v="1621"/>
    <x v="783"/>
    <x v="1613"/>
    <x v="1491"/>
    <x v="5"/>
    <x v="0"/>
    <x v="0"/>
    <x v="0"/>
    <x v="401"/>
    <x v="1"/>
  </r>
  <r>
    <x v="1736"/>
    <x v="1732"/>
    <x v="321"/>
    <x v="0"/>
    <x v="9"/>
    <x v="9"/>
    <x v="0"/>
    <x v="540"/>
    <x v="9"/>
    <x v="105"/>
    <x v="243"/>
    <x v="1"/>
    <x v="171"/>
    <x v="3"/>
    <x v="857"/>
    <x v="1514"/>
    <x v="1622"/>
    <x v="423"/>
    <x v="1614"/>
    <x v="1492"/>
    <x v="0"/>
    <x v="0"/>
    <x v="0"/>
    <x v="0"/>
    <x v="712"/>
    <x v="1"/>
  </r>
  <r>
    <x v="1737"/>
    <x v="1733"/>
    <x v="67"/>
    <x v="0"/>
    <x v="8"/>
    <x v="8"/>
    <x v="3"/>
    <x v="604"/>
    <x v="24"/>
    <x v="73"/>
    <x v="218"/>
    <x v="2"/>
    <x v="849"/>
    <x v="0"/>
    <x v="0"/>
    <x v="1515"/>
    <x v="1623"/>
    <x v="319"/>
    <x v="1615"/>
    <x v="1493"/>
    <x v="0"/>
    <x v="0"/>
    <x v="0"/>
    <x v="2"/>
    <x v="475"/>
    <x v="0"/>
  </r>
  <r>
    <x v="1738"/>
    <x v="1734"/>
    <x v="289"/>
    <x v="1"/>
    <x v="1"/>
    <x v="1"/>
    <x v="1"/>
    <x v="321"/>
    <x v="106"/>
    <x v="158"/>
    <x v="235"/>
    <x v="6"/>
    <x v="850"/>
    <x v="0"/>
    <x v="0"/>
    <x v="1516"/>
    <x v="1624"/>
    <x v="694"/>
    <x v="1616"/>
    <x v="1494"/>
    <x v="1"/>
    <x v="0"/>
    <x v="0"/>
    <x v="0"/>
    <x v="294"/>
    <x v="1"/>
  </r>
  <r>
    <x v="1739"/>
    <x v="1735"/>
    <x v="26"/>
    <x v="0"/>
    <x v="8"/>
    <x v="8"/>
    <x v="3"/>
    <x v="269"/>
    <x v="44"/>
    <x v="127"/>
    <x v="165"/>
    <x v="2"/>
    <x v="851"/>
    <x v="0"/>
    <x v="0"/>
    <x v="1517"/>
    <x v="1625"/>
    <x v="49"/>
    <x v="1617"/>
    <x v="1495"/>
    <x v="1"/>
    <x v="0"/>
    <x v="0"/>
    <x v="0"/>
    <x v="464"/>
    <x v="0"/>
  </r>
  <r>
    <x v="1740"/>
    <x v="1736"/>
    <x v="317"/>
    <x v="0"/>
    <x v="9"/>
    <x v="9"/>
    <x v="0"/>
    <x v="345"/>
    <x v="111"/>
    <x v="128"/>
    <x v="278"/>
    <x v="1"/>
    <x v="268"/>
    <x v="0"/>
    <x v="0"/>
    <x v="882"/>
    <x v="922"/>
    <x v="337"/>
    <x v="916"/>
    <x v="869"/>
    <x v="1"/>
    <x v="0"/>
    <x v="0"/>
    <x v="2"/>
    <x v="256"/>
    <x v="1"/>
  </r>
  <r>
    <x v="1741"/>
    <x v="1737"/>
    <x v="95"/>
    <x v="0"/>
    <x v="8"/>
    <x v="8"/>
    <x v="3"/>
    <x v="605"/>
    <x v="119"/>
    <x v="20"/>
    <x v="20"/>
    <x v="0"/>
    <x v="189"/>
    <x v="3"/>
    <x v="432"/>
    <x v="1518"/>
    <x v="1626"/>
    <x v="836"/>
    <x v="1618"/>
    <x v="816"/>
    <x v="0"/>
    <x v="0"/>
    <x v="0"/>
    <x v="0"/>
    <x v="713"/>
    <x v="1"/>
  </r>
  <r>
    <x v="1742"/>
    <x v="1738"/>
    <x v="305"/>
    <x v="0"/>
    <x v="0"/>
    <x v="0"/>
    <x v="0"/>
    <x v="353"/>
    <x v="128"/>
    <x v="130"/>
    <x v="175"/>
    <x v="6"/>
    <x v="852"/>
    <x v="0"/>
    <x v="0"/>
    <x v="1519"/>
    <x v="1627"/>
    <x v="837"/>
    <x v="1619"/>
    <x v="1496"/>
    <x v="5"/>
    <x v="0"/>
    <x v="0"/>
    <x v="0"/>
    <x v="161"/>
    <x v="1"/>
  </r>
  <r>
    <x v="1743"/>
    <x v="1739"/>
    <x v="194"/>
    <x v="0"/>
    <x v="8"/>
    <x v="8"/>
    <x v="3"/>
    <x v="439"/>
    <x v="108"/>
    <x v="1"/>
    <x v="1"/>
    <x v="6"/>
    <x v="147"/>
    <x v="0"/>
    <x v="0"/>
    <x v="471"/>
    <x v="483"/>
    <x v="396"/>
    <x v="479"/>
    <x v="466"/>
    <x v="2"/>
    <x v="0"/>
    <x v="0"/>
    <x v="0"/>
    <x v="599"/>
    <x v="1"/>
  </r>
  <r>
    <x v="1744"/>
    <x v="1740"/>
    <x v="49"/>
    <x v="0"/>
    <x v="0"/>
    <x v="0"/>
    <x v="0"/>
    <x v="360"/>
    <x v="30"/>
    <x v="87"/>
    <x v="92"/>
    <x v="4"/>
    <x v="853"/>
    <x v="3"/>
    <x v="858"/>
    <x v="1520"/>
    <x v="1628"/>
    <x v="838"/>
    <x v="1620"/>
    <x v="1497"/>
    <x v="5"/>
    <x v="0"/>
    <x v="0"/>
    <x v="0"/>
    <x v="354"/>
    <x v="0"/>
  </r>
  <r>
    <x v="1745"/>
    <x v="1741"/>
    <x v="184"/>
    <x v="0"/>
    <x v="4"/>
    <x v="4"/>
    <x v="2"/>
    <x v="483"/>
    <x v="59"/>
    <x v="23"/>
    <x v="178"/>
    <x v="5"/>
    <x v="854"/>
    <x v="0"/>
    <x v="0"/>
    <x v="1521"/>
    <x v="1629"/>
    <x v="665"/>
    <x v="1621"/>
    <x v="1498"/>
    <x v="4"/>
    <x v="0"/>
    <x v="0"/>
    <x v="2"/>
    <x v="424"/>
    <x v="1"/>
  </r>
  <r>
    <x v="1746"/>
    <x v="1742"/>
    <x v="287"/>
    <x v="0"/>
    <x v="0"/>
    <x v="0"/>
    <x v="0"/>
    <x v="165"/>
    <x v="47"/>
    <x v="47"/>
    <x v="51"/>
    <x v="3"/>
    <x v="855"/>
    <x v="1"/>
    <x v="859"/>
    <x v="1522"/>
    <x v="1630"/>
    <x v="839"/>
    <x v="1622"/>
    <x v="1499"/>
    <x v="1"/>
    <x v="0"/>
    <x v="0"/>
    <x v="0"/>
    <x v="576"/>
    <x v="0"/>
  </r>
  <r>
    <x v="1747"/>
    <x v="1743"/>
    <x v="354"/>
    <x v="0"/>
    <x v="4"/>
    <x v="4"/>
    <x v="2"/>
    <x v="606"/>
    <x v="145"/>
    <x v="133"/>
    <x v="186"/>
    <x v="0"/>
    <x v="480"/>
    <x v="1"/>
    <x v="860"/>
    <x v="1523"/>
    <x v="1631"/>
    <x v="657"/>
    <x v="1623"/>
    <x v="1500"/>
    <x v="3"/>
    <x v="0"/>
    <x v="0"/>
    <x v="2"/>
    <x v="481"/>
    <x v="1"/>
  </r>
  <r>
    <x v="1748"/>
    <x v="1744"/>
    <x v="292"/>
    <x v="0"/>
    <x v="4"/>
    <x v="4"/>
    <x v="2"/>
    <x v="333"/>
    <x v="99"/>
    <x v="138"/>
    <x v="310"/>
    <x v="0"/>
    <x v="137"/>
    <x v="1"/>
    <x v="861"/>
    <x v="1524"/>
    <x v="1632"/>
    <x v="531"/>
    <x v="1624"/>
    <x v="223"/>
    <x v="2"/>
    <x v="0"/>
    <x v="0"/>
    <x v="0"/>
    <x v="279"/>
    <x v="1"/>
  </r>
  <r>
    <x v="1749"/>
    <x v="1745"/>
    <x v="267"/>
    <x v="0"/>
    <x v="3"/>
    <x v="3"/>
    <x v="2"/>
    <x v="103"/>
    <x v="102"/>
    <x v="148"/>
    <x v="255"/>
    <x v="3"/>
    <x v="856"/>
    <x v="0"/>
    <x v="0"/>
    <x v="1525"/>
    <x v="1633"/>
    <x v="177"/>
    <x v="1625"/>
    <x v="1501"/>
    <x v="5"/>
    <x v="0"/>
    <x v="0"/>
    <x v="2"/>
    <x v="150"/>
    <x v="1"/>
  </r>
  <r>
    <x v="1750"/>
    <x v="1746"/>
    <x v="270"/>
    <x v="0"/>
    <x v="2"/>
    <x v="2"/>
    <x v="2"/>
    <x v="10"/>
    <x v="10"/>
    <x v="19"/>
    <x v="35"/>
    <x v="0"/>
    <x v="10"/>
    <x v="1"/>
    <x v="862"/>
    <x v="1526"/>
    <x v="1634"/>
    <x v="840"/>
    <x v="1626"/>
    <x v="1502"/>
    <x v="1"/>
    <x v="0"/>
    <x v="0"/>
    <x v="2"/>
    <x v="56"/>
    <x v="1"/>
  </r>
  <r>
    <x v="1751"/>
    <x v="1747"/>
    <x v="277"/>
    <x v="0"/>
    <x v="2"/>
    <x v="2"/>
    <x v="2"/>
    <x v="307"/>
    <x v="2"/>
    <x v="56"/>
    <x v="61"/>
    <x v="6"/>
    <x v="2"/>
    <x v="1"/>
    <x v="513"/>
    <x v="915"/>
    <x v="1635"/>
    <x v="162"/>
    <x v="1627"/>
    <x v="1503"/>
    <x v="5"/>
    <x v="0"/>
    <x v="0"/>
    <x v="1"/>
    <x v="532"/>
    <x v="1"/>
  </r>
  <r>
    <x v="1752"/>
    <x v="1748"/>
    <x v="266"/>
    <x v="0"/>
    <x v="6"/>
    <x v="6"/>
    <x v="3"/>
    <x v="265"/>
    <x v="132"/>
    <x v="83"/>
    <x v="98"/>
    <x v="2"/>
    <x v="278"/>
    <x v="4"/>
    <x v="863"/>
    <x v="1527"/>
    <x v="1636"/>
    <x v="716"/>
    <x v="1628"/>
    <x v="1504"/>
    <x v="5"/>
    <x v="0"/>
    <x v="0"/>
    <x v="0"/>
    <x v="105"/>
    <x v="0"/>
  </r>
  <r>
    <x v="1753"/>
    <x v="1749"/>
    <x v="177"/>
    <x v="0"/>
    <x v="10"/>
    <x v="10"/>
    <x v="3"/>
    <x v="413"/>
    <x v="4"/>
    <x v="51"/>
    <x v="56"/>
    <x v="0"/>
    <x v="213"/>
    <x v="4"/>
    <x v="864"/>
    <x v="1528"/>
    <x v="1637"/>
    <x v="841"/>
    <x v="1629"/>
    <x v="1505"/>
    <x v="1"/>
    <x v="0"/>
    <x v="0"/>
    <x v="0"/>
    <x v="421"/>
    <x v="1"/>
  </r>
  <r>
    <x v="1754"/>
    <x v="1750"/>
    <x v="85"/>
    <x v="0"/>
    <x v="5"/>
    <x v="5"/>
    <x v="0"/>
    <x v="320"/>
    <x v="93"/>
    <x v="29"/>
    <x v="30"/>
    <x v="2"/>
    <x v="323"/>
    <x v="2"/>
    <x v="865"/>
    <x v="1529"/>
    <x v="1638"/>
    <x v="842"/>
    <x v="1630"/>
    <x v="1506"/>
    <x v="1"/>
    <x v="0"/>
    <x v="0"/>
    <x v="2"/>
    <x v="63"/>
    <x v="0"/>
  </r>
  <r>
    <x v="1755"/>
    <x v="1751"/>
    <x v="81"/>
    <x v="0"/>
    <x v="10"/>
    <x v="10"/>
    <x v="3"/>
    <x v="424"/>
    <x v="6"/>
    <x v="9"/>
    <x v="244"/>
    <x v="2"/>
    <x v="6"/>
    <x v="0"/>
    <x v="0"/>
    <x v="6"/>
    <x v="6"/>
    <x v="6"/>
    <x v="6"/>
    <x v="6"/>
    <x v="1"/>
    <x v="0"/>
    <x v="0"/>
    <x v="0"/>
    <x v="714"/>
    <x v="0"/>
  </r>
  <r>
    <x v="1756"/>
    <x v="1752"/>
    <x v="32"/>
    <x v="0"/>
    <x v="8"/>
    <x v="8"/>
    <x v="3"/>
    <x v="607"/>
    <x v="5"/>
    <x v="173"/>
    <x v="93"/>
    <x v="1"/>
    <x v="139"/>
    <x v="0"/>
    <x v="0"/>
    <x v="1062"/>
    <x v="1219"/>
    <x v="735"/>
    <x v="1209"/>
    <x v="685"/>
    <x v="0"/>
    <x v="0"/>
    <x v="0"/>
    <x v="0"/>
    <x v="715"/>
    <x v="1"/>
  </r>
  <r>
    <x v="1757"/>
    <x v="1753"/>
    <x v="79"/>
    <x v="1"/>
    <x v="1"/>
    <x v="1"/>
    <x v="1"/>
    <x v="344"/>
    <x v="5"/>
    <x v="72"/>
    <x v="85"/>
    <x v="0"/>
    <x v="139"/>
    <x v="0"/>
    <x v="0"/>
    <x v="1174"/>
    <x v="1639"/>
    <x v="155"/>
    <x v="1631"/>
    <x v="1507"/>
    <x v="0"/>
    <x v="0"/>
    <x v="0"/>
    <x v="0"/>
    <x v="114"/>
    <x v="0"/>
  </r>
  <r>
    <x v="1758"/>
    <x v="1754"/>
    <x v="50"/>
    <x v="0"/>
    <x v="10"/>
    <x v="10"/>
    <x v="3"/>
    <x v="476"/>
    <x v="35"/>
    <x v="108"/>
    <x v="134"/>
    <x v="2"/>
    <x v="229"/>
    <x v="0"/>
    <x v="0"/>
    <x v="312"/>
    <x v="350"/>
    <x v="275"/>
    <x v="346"/>
    <x v="342"/>
    <x v="5"/>
    <x v="0"/>
    <x v="0"/>
    <x v="0"/>
    <x v="400"/>
    <x v="1"/>
  </r>
  <r>
    <x v="1759"/>
    <x v="1755"/>
    <x v="73"/>
    <x v="0"/>
    <x v="6"/>
    <x v="6"/>
    <x v="3"/>
    <x v="597"/>
    <x v="16"/>
    <x v="124"/>
    <x v="162"/>
    <x v="4"/>
    <x v="106"/>
    <x v="4"/>
    <x v="866"/>
    <x v="1530"/>
    <x v="1640"/>
    <x v="739"/>
    <x v="1632"/>
    <x v="1508"/>
    <x v="2"/>
    <x v="0"/>
    <x v="0"/>
    <x v="2"/>
    <x v="377"/>
    <x v="1"/>
  </r>
  <r>
    <x v="1760"/>
    <x v="1756"/>
    <x v="115"/>
    <x v="0"/>
    <x v="10"/>
    <x v="10"/>
    <x v="3"/>
    <x v="497"/>
    <x v="127"/>
    <x v="147"/>
    <x v="260"/>
    <x v="6"/>
    <x v="335"/>
    <x v="0"/>
    <x v="0"/>
    <x v="1302"/>
    <x v="1383"/>
    <x v="282"/>
    <x v="1373"/>
    <x v="1036"/>
    <x v="5"/>
    <x v="0"/>
    <x v="0"/>
    <x v="0"/>
    <x v="354"/>
    <x v="1"/>
  </r>
  <r>
    <x v="1761"/>
    <x v="1757"/>
    <x v="355"/>
    <x v="0"/>
    <x v="9"/>
    <x v="9"/>
    <x v="0"/>
    <x v="608"/>
    <x v="102"/>
    <x v="62"/>
    <x v="67"/>
    <x v="5"/>
    <x v="857"/>
    <x v="2"/>
    <x v="867"/>
    <x v="1531"/>
    <x v="1641"/>
    <x v="843"/>
    <x v="1633"/>
    <x v="1509"/>
    <x v="2"/>
    <x v="0"/>
    <x v="0"/>
    <x v="0"/>
    <x v="671"/>
    <x v="1"/>
  </r>
  <r>
    <x v="1762"/>
    <x v="1758"/>
    <x v="146"/>
    <x v="0"/>
    <x v="2"/>
    <x v="2"/>
    <x v="2"/>
    <x v="352"/>
    <x v="43"/>
    <x v="135"/>
    <x v="333"/>
    <x v="4"/>
    <x v="380"/>
    <x v="0"/>
    <x v="0"/>
    <x v="1532"/>
    <x v="1642"/>
    <x v="697"/>
    <x v="1634"/>
    <x v="1279"/>
    <x v="1"/>
    <x v="0"/>
    <x v="0"/>
    <x v="0"/>
    <x v="539"/>
    <x v="1"/>
  </r>
  <r>
    <x v="1763"/>
    <x v="1759"/>
    <x v="250"/>
    <x v="0"/>
    <x v="8"/>
    <x v="8"/>
    <x v="3"/>
    <x v="173"/>
    <x v="19"/>
    <x v="129"/>
    <x v="173"/>
    <x v="2"/>
    <x v="19"/>
    <x v="3"/>
    <x v="868"/>
    <x v="1533"/>
    <x v="1643"/>
    <x v="183"/>
    <x v="1635"/>
    <x v="19"/>
    <x v="5"/>
    <x v="0"/>
    <x v="0"/>
    <x v="0"/>
    <x v="230"/>
    <x v="1"/>
  </r>
  <r>
    <x v="1764"/>
    <x v="1760"/>
    <x v="119"/>
    <x v="1"/>
    <x v="7"/>
    <x v="7"/>
    <x v="1"/>
    <x v="225"/>
    <x v="3"/>
    <x v="47"/>
    <x v="51"/>
    <x v="1"/>
    <x v="3"/>
    <x v="1"/>
    <x v="220"/>
    <x v="380"/>
    <x v="190"/>
    <x v="3"/>
    <x v="386"/>
    <x v="186"/>
    <x v="4"/>
    <x v="0"/>
    <x v="0"/>
    <x v="0"/>
    <x v="182"/>
    <x v="1"/>
  </r>
  <r>
    <x v="1765"/>
    <x v="1761"/>
    <x v="126"/>
    <x v="0"/>
    <x v="0"/>
    <x v="0"/>
    <x v="0"/>
    <x v="186"/>
    <x v="71"/>
    <x v="7"/>
    <x v="274"/>
    <x v="6"/>
    <x v="130"/>
    <x v="2"/>
    <x v="869"/>
    <x v="1534"/>
    <x v="1644"/>
    <x v="142"/>
    <x v="1636"/>
    <x v="1190"/>
    <x v="1"/>
    <x v="0"/>
    <x v="0"/>
    <x v="0"/>
    <x v="716"/>
    <x v="1"/>
  </r>
  <r>
    <x v="1766"/>
    <x v="1762"/>
    <x v="133"/>
    <x v="0"/>
    <x v="10"/>
    <x v="10"/>
    <x v="3"/>
    <x v="582"/>
    <x v="3"/>
    <x v="6"/>
    <x v="268"/>
    <x v="2"/>
    <x v="3"/>
    <x v="0"/>
    <x v="0"/>
    <x v="618"/>
    <x v="637"/>
    <x v="262"/>
    <x v="632"/>
    <x v="611"/>
    <x v="1"/>
    <x v="0"/>
    <x v="0"/>
    <x v="1"/>
    <x v="191"/>
    <x v="0"/>
  </r>
  <r>
    <x v="1767"/>
    <x v="1763"/>
    <x v="158"/>
    <x v="0"/>
    <x v="4"/>
    <x v="4"/>
    <x v="2"/>
    <x v="16"/>
    <x v="46"/>
    <x v="95"/>
    <x v="88"/>
    <x v="6"/>
    <x v="858"/>
    <x v="0"/>
    <x v="0"/>
    <x v="1535"/>
    <x v="1645"/>
    <x v="844"/>
    <x v="1637"/>
    <x v="1510"/>
    <x v="5"/>
    <x v="0"/>
    <x v="0"/>
    <x v="0"/>
    <x v="377"/>
    <x v="1"/>
  </r>
  <r>
    <x v="1768"/>
    <x v="1764"/>
    <x v="253"/>
    <x v="0"/>
    <x v="10"/>
    <x v="10"/>
    <x v="3"/>
    <x v="461"/>
    <x v="48"/>
    <x v="6"/>
    <x v="35"/>
    <x v="2"/>
    <x v="53"/>
    <x v="1"/>
    <x v="290"/>
    <x v="1536"/>
    <x v="1646"/>
    <x v="225"/>
    <x v="1638"/>
    <x v="1511"/>
    <x v="5"/>
    <x v="0"/>
    <x v="0"/>
    <x v="1"/>
    <x v="680"/>
    <x v="1"/>
  </r>
  <r>
    <x v="1769"/>
    <x v="1765"/>
    <x v="27"/>
    <x v="0"/>
    <x v="2"/>
    <x v="2"/>
    <x v="2"/>
    <x v="16"/>
    <x v="25"/>
    <x v="19"/>
    <x v="54"/>
    <x v="3"/>
    <x v="859"/>
    <x v="3"/>
    <x v="870"/>
    <x v="1537"/>
    <x v="1647"/>
    <x v="91"/>
    <x v="1639"/>
    <x v="1512"/>
    <x v="5"/>
    <x v="0"/>
    <x v="0"/>
    <x v="0"/>
    <x v="717"/>
    <x v="1"/>
  </r>
  <r>
    <x v="1770"/>
    <x v="1766"/>
    <x v="302"/>
    <x v="0"/>
    <x v="2"/>
    <x v="2"/>
    <x v="2"/>
    <x v="77"/>
    <x v="107"/>
    <x v="124"/>
    <x v="72"/>
    <x v="6"/>
    <x v="860"/>
    <x v="4"/>
    <x v="871"/>
    <x v="1538"/>
    <x v="1648"/>
    <x v="465"/>
    <x v="1640"/>
    <x v="1513"/>
    <x v="0"/>
    <x v="0"/>
    <x v="0"/>
    <x v="0"/>
    <x v="718"/>
    <x v="1"/>
  </r>
  <r>
    <x v="1771"/>
    <x v="1767"/>
    <x v="83"/>
    <x v="1"/>
    <x v="1"/>
    <x v="1"/>
    <x v="1"/>
    <x v="326"/>
    <x v="29"/>
    <x v="85"/>
    <x v="185"/>
    <x v="3"/>
    <x v="861"/>
    <x v="4"/>
    <x v="872"/>
    <x v="1539"/>
    <x v="1649"/>
    <x v="845"/>
    <x v="1641"/>
    <x v="1514"/>
    <x v="0"/>
    <x v="0"/>
    <x v="0"/>
    <x v="0"/>
    <x v="640"/>
    <x v="0"/>
  </r>
  <r>
    <x v="1772"/>
    <x v="1768"/>
    <x v="221"/>
    <x v="0"/>
    <x v="5"/>
    <x v="5"/>
    <x v="0"/>
    <x v="414"/>
    <x v="138"/>
    <x v="100"/>
    <x v="125"/>
    <x v="4"/>
    <x v="344"/>
    <x v="0"/>
    <x v="0"/>
    <x v="1540"/>
    <x v="1650"/>
    <x v="846"/>
    <x v="1642"/>
    <x v="1515"/>
    <x v="0"/>
    <x v="0"/>
    <x v="0"/>
    <x v="0"/>
    <x v="710"/>
    <x v="0"/>
  </r>
  <r>
    <x v="1773"/>
    <x v="1769"/>
    <x v="311"/>
    <x v="0"/>
    <x v="0"/>
    <x v="0"/>
    <x v="0"/>
    <x v="47"/>
    <x v="19"/>
    <x v="130"/>
    <x v="175"/>
    <x v="3"/>
    <x v="862"/>
    <x v="0"/>
    <x v="0"/>
    <x v="1541"/>
    <x v="1651"/>
    <x v="521"/>
    <x v="1643"/>
    <x v="1516"/>
    <x v="1"/>
    <x v="0"/>
    <x v="0"/>
    <x v="0"/>
    <x v="109"/>
    <x v="0"/>
  </r>
  <r>
    <x v="1774"/>
    <x v="1770"/>
    <x v="301"/>
    <x v="0"/>
    <x v="9"/>
    <x v="9"/>
    <x v="0"/>
    <x v="219"/>
    <x v="104"/>
    <x v="112"/>
    <x v="141"/>
    <x v="2"/>
    <x v="863"/>
    <x v="4"/>
    <x v="873"/>
    <x v="1542"/>
    <x v="1652"/>
    <x v="248"/>
    <x v="1644"/>
    <x v="1517"/>
    <x v="4"/>
    <x v="1"/>
    <x v="1"/>
    <x v="0"/>
    <x v="475"/>
    <x v="1"/>
  </r>
  <r>
    <x v="1775"/>
    <x v="1771"/>
    <x v="86"/>
    <x v="0"/>
    <x v="6"/>
    <x v="6"/>
    <x v="3"/>
    <x v="195"/>
    <x v="89"/>
    <x v="130"/>
    <x v="175"/>
    <x v="0"/>
    <x v="118"/>
    <x v="0"/>
    <x v="0"/>
    <x v="375"/>
    <x v="1653"/>
    <x v="298"/>
    <x v="1645"/>
    <x v="1518"/>
    <x v="2"/>
    <x v="0"/>
    <x v="0"/>
    <x v="0"/>
    <x v="41"/>
    <x v="0"/>
  </r>
  <r>
    <x v="1776"/>
    <x v="1772"/>
    <x v="33"/>
    <x v="0"/>
    <x v="8"/>
    <x v="8"/>
    <x v="3"/>
    <x v="14"/>
    <x v="49"/>
    <x v="13"/>
    <x v="114"/>
    <x v="0"/>
    <x v="84"/>
    <x v="3"/>
    <x v="874"/>
    <x v="1543"/>
    <x v="1654"/>
    <x v="301"/>
    <x v="1646"/>
    <x v="87"/>
    <x v="0"/>
    <x v="0"/>
    <x v="0"/>
    <x v="0"/>
    <x v="110"/>
    <x v="0"/>
  </r>
  <r>
    <x v="1777"/>
    <x v="1773"/>
    <x v="187"/>
    <x v="1"/>
    <x v="1"/>
    <x v="1"/>
    <x v="1"/>
    <x v="529"/>
    <x v="89"/>
    <x v="26"/>
    <x v="33"/>
    <x v="0"/>
    <x v="118"/>
    <x v="0"/>
    <x v="0"/>
    <x v="375"/>
    <x v="1653"/>
    <x v="298"/>
    <x v="1645"/>
    <x v="1518"/>
    <x v="4"/>
    <x v="0"/>
    <x v="0"/>
    <x v="2"/>
    <x v="105"/>
    <x v="0"/>
  </r>
  <r>
    <x v="1778"/>
    <x v="1774"/>
    <x v="274"/>
    <x v="0"/>
    <x v="8"/>
    <x v="8"/>
    <x v="3"/>
    <x v="246"/>
    <x v="82"/>
    <x v="155"/>
    <x v="319"/>
    <x v="6"/>
    <x v="107"/>
    <x v="3"/>
    <x v="875"/>
    <x v="1544"/>
    <x v="1655"/>
    <x v="164"/>
    <x v="1647"/>
    <x v="1519"/>
    <x v="5"/>
    <x v="0"/>
    <x v="0"/>
    <x v="0"/>
    <x v="550"/>
    <x v="1"/>
  </r>
  <r>
    <x v="1779"/>
    <x v="1775"/>
    <x v="8"/>
    <x v="0"/>
    <x v="4"/>
    <x v="4"/>
    <x v="2"/>
    <x v="40"/>
    <x v="13"/>
    <x v="66"/>
    <x v="75"/>
    <x v="4"/>
    <x v="13"/>
    <x v="1"/>
    <x v="876"/>
    <x v="1545"/>
    <x v="1656"/>
    <x v="847"/>
    <x v="1648"/>
    <x v="1520"/>
    <x v="4"/>
    <x v="0"/>
    <x v="0"/>
    <x v="0"/>
    <x v="256"/>
    <x v="0"/>
  </r>
  <r>
    <x v="1780"/>
    <x v="1776"/>
    <x v="356"/>
    <x v="1"/>
    <x v="7"/>
    <x v="7"/>
    <x v="1"/>
    <x v="52"/>
    <x v="96"/>
    <x v="37"/>
    <x v="78"/>
    <x v="0"/>
    <x v="126"/>
    <x v="0"/>
    <x v="0"/>
    <x v="147"/>
    <x v="147"/>
    <x v="139"/>
    <x v="143"/>
    <x v="143"/>
    <x v="0"/>
    <x v="0"/>
    <x v="0"/>
    <x v="0"/>
    <x v="130"/>
    <x v="1"/>
  </r>
  <r>
    <x v="1781"/>
    <x v="1777"/>
    <x v="69"/>
    <x v="0"/>
    <x v="8"/>
    <x v="8"/>
    <x v="3"/>
    <x v="37"/>
    <x v="138"/>
    <x v="34"/>
    <x v="176"/>
    <x v="5"/>
    <x v="864"/>
    <x v="0"/>
    <x v="0"/>
    <x v="1546"/>
    <x v="1657"/>
    <x v="848"/>
    <x v="1649"/>
    <x v="1521"/>
    <x v="1"/>
    <x v="0"/>
    <x v="0"/>
    <x v="2"/>
    <x v="471"/>
    <x v="1"/>
  </r>
  <r>
    <x v="1782"/>
    <x v="1778"/>
    <x v="26"/>
    <x v="0"/>
    <x v="8"/>
    <x v="8"/>
    <x v="3"/>
    <x v="367"/>
    <x v="52"/>
    <x v="95"/>
    <x v="119"/>
    <x v="6"/>
    <x v="59"/>
    <x v="2"/>
    <x v="877"/>
    <x v="1066"/>
    <x v="1658"/>
    <x v="314"/>
    <x v="1650"/>
    <x v="1522"/>
    <x v="2"/>
    <x v="0"/>
    <x v="0"/>
    <x v="2"/>
    <x v="4"/>
    <x v="0"/>
  </r>
  <r>
    <x v="1783"/>
    <x v="1779"/>
    <x v="280"/>
    <x v="1"/>
    <x v="1"/>
    <x v="1"/>
    <x v="1"/>
    <x v="363"/>
    <x v="55"/>
    <x v="75"/>
    <x v="174"/>
    <x v="2"/>
    <x v="362"/>
    <x v="3"/>
    <x v="878"/>
    <x v="1547"/>
    <x v="1659"/>
    <x v="64"/>
    <x v="1651"/>
    <x v="1523"/>
    <x v="4"/>
    <x v="0"/>
    <x v="0"/>
    <x v="0"/>
    <x v="642"/>
    <x v="1"/>
  </r>
  <r>
    <x v="1784"/>
    <x v="1780"/>
    <x v="315"/>
    <x v="1"/>
    <x v="11"/>
    <x v="11"/>
    <x v="1"/>
    <x v="453"/>
    <x v="131"/>
    <x v="42"/>
    <x v="307"/>
    <x v="4"/>
    <x v="865"/>
    <x v="3"/>
    <x v="879"/>
    <x v="1548"/>
    <x v="1660"/>
    <x v="849"/>
    <x v="1652"/>
    <x v="1524"/>
    <x v="4"/>
    <x v="0"/>
    <x v="0"/>
    <x v="0"/>
    <x v="400"/>
    <x v="1"/>
  </r>
  <r>
    <x v="1785"/>
    <x v="1781"/>
    <x v="7"/>
    <x v="1"/>
    <x v="1"/>
    <x v="1"/>
    <x v="1"/>
    <x v="331"/>
    <x v="56"/>
    <x v="112"/>
    <x v="141"/>
    <x v="5"/>
    <x v="866"/>
    <x v="0"/>
    <x v="0"/>
    <x v="1549"/>
    <x v="1661"/>
    <x v="503"/>
    <x v="1653"/>
    <x v="1525"/>
    <x v="1"/>
    <x v="0"/>
    <x v="0"/>
    <x v="1"/>
    <x v="45"/>
    <x v="0"/>
  </r>
  <r>
    <x v="1786"/>
    <x v="1782"/>
    <x v="309"/>
    <x v="0"/>
    <x v="3"/>
    <x v="3"/>
    <x v="2"/>
    <x v="500"/>
    <x v="41"/>
    <x v="65"/>
    <x v="74"/>
    <x v="2"/>
    <x v="272"/>
    <x v="0"/>
    <x v="0"/>
    <x v="405"/>
    <x v="414"/>
    <x v="346"/>
    <x v="411"/>
    <x v="402"/>
    <x v="5"/>
    <x v="0"/>
    <x v="0"/>
    <x v="0"/>
    <x v="566"/>
    <x v="1"/>
  </r>
  <r>
    <x v="1787"/>
    <x v="1783"/>
    <x v="157"/>
    <x v="1"/>
    <x v="7"/>
    <x v="7"/>
    <x v="1"/>
    <x v="295"/>
    <x v="118"/>
    <x v="58"/>
    <x v="122"/>
    <x v="2"/>
    <x v="867"/>
    <x v="0"/>
    <x v="0"/>
    <x v="1550"/>
    <x v="1662"/>
    <x v="501"/>
    <x v="1654"/>
    <x v="1526"/>
    <x v="4"/>
    <x v="0"/>
    <x v="0"/>
    <x v="2"/>
    <x v="19"/>
    <x v="1"/>
  </r>
  <r>
    <x v="1788"/>
    <x v="1784"/>
    <x v="228"/>
    <x v="0"/>
    <x v="6"/>
    <x v="6"/>
    <x v="3"/>
    <x v="194"/>
    <x v="137"/>
    <x v="9"/>
    <x v="41"/>
    <x v="1"/>
    <x v="317"/>
    <x v="0"/>
    <x v="0"/>
    <x v="1551"/>
    <x v="1663"/>
    <x v="850"/>
    <x v="1655"/>
    <x v="1382"/>
    <x v="4"/>
    <x v="0"/>
    <x v="0"/>
    <x v="0"/>
    <x v="79"/>
    <x v="0"/>
  </r>
  <r>
    <x v="1789"/>
    <x v="1785"/>
    <x v="229"/>
    <x v="1"/>
    <x v="1"/>
    <x v="1"/>
    <x v="1"/>
    <x v="538"/>
    <x v="21"/>
    <x v="0"/>
    <x v="133"/>
    <x v="0"/>
    <x v="22"/>
    <x v="0"/>
    <x v="0"/>
    <x v="706"/>
    <x v="1519"/>
    <x v="535"/>
    <x v="1510"/>
    <x v="1402"/>
    <x v="4"/>
    <x v="0"/>
    <x v="0"/>
    <x v="2"/>
    <x v="264"/>
    <x v="0"/>
  </r>
  <r>
    <x v="1790"/>
    <x v="1786"/>
    <x v="141"/>
    <x v="0"/>
    <x v="0"/>
    <x v="0"/>
    <x v="0"/>
    <x v="537"/>
    <x v="38"/>
    <x v="19"/>
    <x v="19"/>
    <x v="3"/>
    <x v="868"/>
    <x v="2"/>
    <x v="880"/>
    <x v="1552"/>
    <x v="1664"/>
    <x v="731"/>
    <x v="1656"/>
    <x v="1527"/>
    <x v="1"/>
    <x v="0"/>
    <x v="0"/>
    <x v="0"/>
    <x v="390"/>
    <x v="0"/>
  </r>
  <r>
    <x v="1791"/>
    <x v="1787"/>
    <x v="260"/>
    <x v="0"/>
    <x v="10"/>
    <x v="10"/>
    <x v="3"/>
    <x v="73"/>
    <x v="127"/>
    <x v="154"/>
    <x v="287"/>
    <x v="3"/>
    <x v="869"/>
    <x v="1"/>
    <x v="881"/>
    <x v="1553"/>
    <x v="1665"/>
    <x v="382"/>
    <x v="1657"/>
    <x v="1528"/>
    <x v="4"/>
    <x v="0"/>
    <x v="0"/>
    <x v="2"/>
    <x v="671"/>
    <x v="1"/>
  </r>
  <r>
    <x v="1792"/>
    <x v="1788"/>
    <x v="29"/>
    <x v="0"/>
    <x v="10"/>
    <x v="10"/>
    <x v="3"/>
    <x v="197"/>
    <x v="38"/>
    <x v="66"/>
    <x v="309"/>
    <x v="3"/>
    <x v="870"/>
    <x v="0"/>
    <x v="0"/>
    <x v="1554"/>
    <x v="1666"/>
    <x v="731"/>
    <x v="1658"/>
    <x v="1529"/>
    <x v="0"/>
    <x v="1"/>
    <x v="1"/>
    <x v="0"/>
    <x v="116"/>
    <x v="0"/>
  </r>
  <r>
    <x v="1793"/>
    <x v="1789"/>
    <x v="294"/>
    <x v="0"/>
    <x v="9"/>
    <x v="9"/>
    <x v="0"/>
    <x v="360"/>
    <x v="35"/>
    <x v="52"/>
    <x v="143"/>
    <x v="5"/>
    <x v="871"/>
    <x v="2"/>
    <x v="882"/>
    <x v="1555"/>
    <x v="1667"/>
    <x v="40"/>
    <x v="1659"/>
    <x v="1530"/>
    <x v="0"/>
    <x v="0"/>
    <x v="0"/>
    <x v="2"/>
    <x v="713"/>
    <x v="1"/>
  </r>
  <r>
    <x v="1794"/>
    <x v="1790"/>
    <x v="339"/>
    <x v="1"/>
    <x v="1"/>
    <x v="1"/>
    <x v="1"/>
    <x v="462"/>
    <x v="57"/>
    <x v="144"/>
    <x v="197"/>
    <x v="3"/>
    <x v="872"/>
    <x v="1"/>
    <x v="883"/>
    <x v="1556"/>
    <x v="1668"/>
    <x v="513"/>
    <x v="1660"/>
    <x v="1531"/>
    <x v="2"/>
    <x v="0"/>
    <x v="0"/>
    <x v="0"/>
    <x v="601"/>
    <x v="1"/>
  </r>
  <r>
    <x v="1795"/>
    <x v="1791"/>
    <x v="80"/>
    <x v="0"/>
    <x v="8"/>
    <x v="8"/>
    <x v="3"/>
    <x v="609"/>
    <x v="105"/>
    <x v="9"/>
    <x v="43"/>
    <x v="2"/>
    <x v="119"/>
    <x v="2"/>
    <x v="884"/>
    <x v="1557"/>
    <x v="1669"/>
    <x v="165"/>
    <x v="1661"/>
    <x v="1532"/>
    <x v="4"/>
    <x v="0"/>
    <x v="0"/>
    <x v="0"/>
    <x v="652"/>
    <x v="0"/>
  </r>
  <r>
    <x v="1796"/>
    <x v="1792"/>
    <x v="42"/>
    <x v="0"/>
    <x v="8"/>
    <x v="8"/>
    <x v="3"/>
    <x v="610"/>
    <x v="2"/>
    <x v="66"/>
    <x v="75"/>
    <x v="6"/>
    <x v="2"/>
    <x v="4"/>
    <x v="885"/>
    <x v="1558"/>
    <x v="1670"/>
    <x v="162"/>
    <x v="907"/>
    <x v="1533"/>
    <x v="5"/>
    <x v="0"/>
    <x v="0"/>
    <x v="0"/>
    <x v="618"/>
    <x v="0"/>
  </r>
  <r>
    <x v="1797"/>
    <x v="1793"/>
    <x v="295"/>
    <x v="0"/>
    <x v="4"/>
    <x v="4"/>
    <x v="2"/>
    <x v="378"/>
    <x v="121"/>
    <x v="66"/>
    <x v="75"/>
    <x v="6"/>
    <x v="873"/>
    <x v="1"/>
    <x v="886"/>
    <x v="1559"/>
    <x v="1671"/>
    <x v="290"/>
    <x v="1662"/>
    <x v="1534"/>
    <x v="5"/>
    <x v="0"/>
    <x v="0"/>
    <x v="0"/>
    <x v="432"/>
    <x v="0"/>
  </r>
  <r>
    <x v="1798"/>
    <x v="1794"/>
    <x v="266"/>
    <x v="0"/>
    <x v="6"/>
    <x v="6"/>
    <x v="3"/>
    <x v="388"/>
    <x v="139"/>
    <x v="138"/>
    <x v="199"/>
    <x v="2"/>
    <x v="874"/>
    <x v="0"/>
    <x v="0"/>
    <x v="1560"/>
    <x v="1672"/>
    <x v="619"/>
    <x v="1663"/>
    <x v="1535"/>
    <x v="4"/>
    <x v="0"/>
    <x v="0"/>
    <x v="1"/>
    <x v="107"/>
    <x v="0"/>
  </r>
  <r>
    <x v="1799"/>
    <x v="1795"/>
    <x v="260"/>
    <x v="0"/>
    <x v="10"/>
    <x v="10"/>
    <x v="3"/>
    <x v="85"/>
    <x v="88"/>
    <x v="159"/>
    <x v="315"/>
    <x v="4"/>
    <x v="875"/>
    <x v="0"/>
    <x v="0"/>
    <x v="1561"/>
    <x v="1673"/>
    <x v="219"/>
    <x v="1664"/>
    <x v="1536"/>
    <x v="4"/>
    <x v="0"/>
    <x v="0"/>
    <x v="0"/>
    <x v="203"/>
    <x v="1"/>
  </r>
  <r>
    <x v="1800"/>
    <x v="1796"/>
    <x v="44"/>
    <x v="0"/>
    <x v="8"/>
    <x v="8"/>
    <x v="3"/>
    <x v="474"/>
    <x v="10"/>
    <x v="32"/>
    <x v="34"/>
    <x v="0"/>
    <x v="10"/>
    <x v="3"/>
    <x v="887"/>
    <x v="1562"/>
    <x v="1674"/>
    <x v="840"/>
    <x v="1665"/>
    <x v="1537"/>
    <x v="4"/>
    <x v="0"/>
    <x v="0"/>
    <x v="0"/>
    <x v="426"/>
    <x v="0"/>
  </r>
  <r>
    <x v="1801"/>
    <x v="1797"/>
    <x v="139"/>
    <x v="0"/>
    <x v="10"/>
    <x v="10"/>
    <x v="3"/>
    <x v="61"/>
    <x v="38"/>
    <x v="32"/>
    <x v="170"/>
    <x v="6"/>
    <x v="876"/>
    <x v="3"/>
    <x v="888"/>
    <x v="1563"/>
    <x v="1675"/>
    <x v="263"/>
    <x v="1666"/>
    <x v="1538"/>
    <x v="3"/>
    <x v="0"/>
    <x v="0"/>
    <x v="2"/>
    <x v="149"/>
    <x v="1"/>
  </r>
  <r>
    <x v="1802"/>
    <x v="1798"/>
    <x v="172"/>
    <x v="0"/>
    <x v="10"/>
    <x v="10"/>
    <x v="3"/>
    <x v="587"/>
    <x v="76"/>
    <x v="155"/>
    <x v="101"/>
    <x v="1"/>
    <x v="418"/>
    <x v="4"/>
    <x v="889"/>
    <x v="1564"/>
    <x v="1676"/>
    <x v="725"/>
    <x v="1667"/>
    <x v="1539"/>
    <x v="0"/>
    <x v="0"/>
    <x v="0"/>
    <x v="0"/>
    <x v="500"/>
    <x v="0"/>
  </r>
  <r>
    <x v="1803"/>
    <x v="1799"/>
    <x v="33"/>
    <x v="0"/>
    <x v="8"/>
    <x v="8"/>
    <x v="3"/>
    <x v="153"/>
    <x v="59"/>
    <x v="98"/>
    <x v="152"/>
    <x v="1"/>
    <x v="233"/>
    <x v="1"/>
    <x v="591"/>
    <x v="1565"/>
    <x v="1677"/>
    <x v="554"/>
    <x v="1668"/>
    <x v="1540"/>
    <x v="5"/>
    <x v="0"/>
    <x v="0"/>
    <x v="0"/>
    <x v="640"/>
    <x v="0"/>
  </r>
  <r>
    <x v="1804"/>
    <x v="1800"/>
    <x v="25"/>
    <x v="0"/>
    <x v="2"/>
    <x v="2"/>
    <x v="2"/>
    <x v="477"/>
    <x v="43"/>
    <x v="88"/>
    <x v="231"/>
    <x v="1"/>
    <x v="380"/>
    <x v="0"/>
    <x v="0"/>
    <x v="1301"/>
    <x v="1382"/>
    <x v="777"/>
    <x v="1372"/>
    <x v="1279"/>
    <x v="3"/>
    <x v="0"/>
    <x v="0"/>
    <x v="0"/>
    <x v="70"/>
    <x v="1"/>
  </r>
  <r>
    <x v="1805"/>
    <x v="1801"/>
    <x v="252"/>
    <x v="0"/>
    <x v="6"/>
    <x v="6"/>
    <x v="3"/>
    <x v="371"/>
    <x v="68"/>
    <x v="19"/>
    <x v="35"/>
    <x v="6"/>
    <x v="82"/>
    <x v="0"/>
    <x v="0"/>
    <x v="1566"/>
    <x v="1678"/>
    <x v="403"/>
    <x v="1669"/>
    <x v="701"/>
    <x v="2"/>
    <x v="0"/>
    <x v="0"/>
    <x v="0"/>
    <x v="500"/>
    <x v="1"/>
  </r>
  <r>
    <x v="1806"/>
    <x v="1802"/>
    <x v="40"/>
    <x v="0"/>
    <x v="2"/>
    <x v="2"/>
    <x v="2"/>
    <x v="486"/>
    <x v="14"/>
    <x v="45"/>
    <x v="48"/>
    <x v="3"/>
    <x v="877"/>
    <x v="0"/>
    <x v="0"/>
    <x v="49"/>
    <x v="1679"/>
    <x v="437"/>
    <x v="1670"/>
    <x v="1541"/>
    <x v="3"/>
    <x v="0"/>
    <x v="0"/>
    <x v="0"/>
    <x v="129"/>
    <x v="0"/>
  </r>
  <r>
    <x v="1807"/>
    <x v="1803"/>
    <x v="137"/>
    <x v="1"/>
    <x v="7"/>
    <x v="7"/>
    <x v="1"/>
    <x v="188"/>
    <x v="133"/>
    <x v="12"/>
    <x v="12"/>
    <x v="3"/>
    <x v="878"/>
    <x v="0"/>
    <x v="0"/>
    <x v="1567"/>
    <x v="1680"/>
    <x v="851"/>
    <x v="1671"/>
    <x v="1542"/>
    <x v="0"/>
    <x v="0"/>
    <x v="0"/>
    <x v="0"/>
    <x v="14"/>
    <x v="1"/>
  </r>
  <r>
    <x v="1808"/>
    <x v="1804"/>
    <x v="111"/>
    <x v="0"/>
    <x v="10"/>
    <x v="10"/>
    <x v="3"/>
    <x v="603"/>
    <x v="62"/>
    <x v="146"/>
    <x v="205"/>
    <x v="6"/>
    <x v="192"/>
    <x v="0"/>
    <x v="0"/>
    <x v="1568"/>
    <x v="1681"/>
    <x v="365"/>
    <x v="1672"/>
    <x v="1200"/>
    <x v="5"/>
    <x v="0"/>
    <x v="0"/>
    <x v="0"/>
    <x v="719"/>
    <x v="1"/>
  </r>
  <r>
    <x v="1809"/>
    <x v="1805"/>
    <x v="147"/>
    <x v="0"/>
    <x v="2"/>
    <x v="2"/>
    <x v="2"/>
    <x v="600"/>
    <x v="84"/>
    <x v="52"/>
    <x v="143"/>
    <x v="1"/>
    <x v="109"/>
    <x v="4"/>
    <x v="890"/>
    <x v="1569"/>
    <x v="1682"/>
    <x v="647"/>
    <x v="1673"/>
    <x v="1543"/>
    <x v="5"/>
    <x v="1"/>
    <x v="1"/>
    <x v="0"/>
    <x v="471"/>
    <x v="1"/>
  </r>
  <r>
    <x v="1810"/>
    <x v="1806"/>
    <x v="45"/>
    <x v="1"/>
    <x v="11"/>
    <x v="11"/>
    <x v="1"/>
    <x v="54"/>
    <x v="89"/>
    <x v="10"/>
    <x v="10"/>
    <x v="5"/>
    <x v="879"/>
    <x v="0"/>
    <x v="0"/>
    <x v="1570"/>
    <x v="1683"/>
    <x v="186"/>
    <x v="1674"/>
    <x v="1544"/>
    <x v="5"/>
    <x v="0"/>
    <x v="0"/>
    <x v="0"/>
    <x v="7"/>
    <x v="0"/>
  </r>
  <r>
    <x v="1811"/>
    <x v="1807"/>
    <x v="109"/>
    <x v="1"/>
    <x v="7"/>
    <x v="7"/>
    <x v="1"/>
    <x v="508"/>
    <x v="103"/>
    <x v="150"/>
    <x v="312"/>
    <x v="2"/>
    <x v="224"/>
    <x v="3"/>
    <x v="689"/>
    <x v="1571"/>
    <x v="1684"/>
    <x v="772"/>
    <x v="1675"/>
    <x v="1545"/>
    <x v="0"/>
    <x v="0"/>
    <x v="0"/>
    <x v="0"/>
    <x v="80"/>
    <x v="1"/>
  </r>
  <r>
    <x v="1812"/>
    <x v="1808"/>
    <x v="77"/>
    <x v="0"/>
    <x v="4"/>
    <x v="4"/>
    <x v="2"/>
    <x v="88"/>
    <x v="85"/>
    <x v="113"/>
    <x v="72"/>
    <x v="6"/>
    <x v="110"/>
    <x v="2"/>
    <x v="891"/>
    <x v="1572"/>
    <x v="1685"/>
    <x v="285"/>
    <x v="1676"/>
    <x v="1546"/>
    <x v="3"/>
    <x v="0"/>
    <x v="0"/>
    <x v="0"/>
    <x v="192"/>
    <x v="1"/>
  </r>
  <r>
    <x v="1813"/>
    <x v="1809"/>
    <x v="240"/>
    <x v="0"/>
    <x v="9"/>
    <x v="9"/>
    <x v="0"/>
    <x v="346"/>
    <x v="102"/>
    <x v="165"/>
    <x v="182"/>
    <x v="6"/>
    <x v="136"/>
    <x v="0"/>
    <x v="0"/>
    <x v="853"/>
    <x v="890"/>
    <x v="610"/>
    <x v="884"/>
    <x v="842"/>
    <x v="4"/>
    <x v="0"/>
    <x v="0"/>
    <x v="2"/>
    <x v="590"/>
    <x v="0"/>
  </r>
  <r>
    <x v="1814"/>
    <x v="1810"/>
    <x v="232"/>
    <x v="1"/>
    <x v="7"/>
    <x v="7"/>
    <x v="1"/>
    <x v="305"/>
    <x v="0"/>
    <x v="7"/>
    <x v="274"/>
    <x v="6"/>
    <x v="0"/>
    <x v="4"/>
    <x v="892"/>
    <x v="1573"/>
    <x v="1686"/>
    <x v="852"/>
    <x v="1677"/>
    <x v="1547"/>
    <x v="4"/>
    <x v="0"/>
    <x v="0"/>
    <x v="2"/>
    <x v="200"/>
    <x v="0"/>
  </r>
  <r>
    <x v="1815"/>
    <x v="1811"/>
    <x v="139"/>
    <x v="0"/>
    <x v="10"/>
    <x v="10"/>
    <x v="3"/>
    <x v="142"/>
    <x v="38"/>
    <x v="18"/>
    <x v="18"/>
    <x v="0"/>
    <x v="43"/>
    <x v="0"/>
    <x v="0"/>
    <x v="1574"/>
    <x v="1687"/>
    <x v="43"/>
    <x v="773"/>
    <x v="630"/>
    <x v="3"/>
    <x v="0"/>
    <x v="0"/>
    <x v="0"/>
    <x v="233"/>
    <x v="1"/>
  </r>
  <r>
    <x v="1816"/>
    <x v="1812"/>
    <x v="62"/>
    <x v="0"/>
    <x v="10"/>
    <x v="10"/>
    <x v="3"/>
    <x v="35"/>
    <x v="12"/>
    <x v="16"/>
    <x v="62"/>
    <x v="2"/>
    <x v="12"/>
    <x v="0"/>
    <x v="0"/>
    <x v="152"/>
    <x v="152"/>
    <x v="143"/>
    <x v="148"/>
    <x v="148"/>
    <x v="2"/>
    <x v="0"/>
    <x v="0"/>
    <x v="1"/>
    <x v="139"/>
    <x v="1"/>
  </r>
  <r>
    <x v="1817"/>
    <x v="1813"/>
    <x v="162"/>
    <x v="0"/>
    <x v="8"/>
    <x v="8"/>
    <x v="3"/>
    <x v="188"/>
    <x v="4"/>
    <x v="52"/>
    <x v="143"/>
    <x v="4"/>
    <x v="880"/>
    <x v="3"/>
    <x v="893"/>
    <x v="1575"/>
    <x v="1688"/>
    <x v="430"/>
    <x v="1678"/>
    <x v="1548"/>
    <x v="5"/>
    <x v="0"/>
    <x v="0"/>
    <x v="0"/>
    <x v="659"/>
    <x v="0"/>
  </r>
  <r>
    <x v="1818"/>
    <x v="1814"/>
    <x v="110"/>
    <x v="1"/>
    <x v="1"/>
    <x v="1"/>
    <x v="1"/>
    <x v="611"/>
    <x v="35"/>
    <x v="68"/>
    <x v="209"/>
    <x v="0"/>
    <x v="229"/>
    <x v="0"/>
    <x v="0"/>
    <x v="1576"/>
    <x v="1689"/>
    <x v="732"/>
    <x v="1679"/>
    <x v="1549"/>
    <x v="2"/>
    <x v="0"/>
    <x v="0"/>
    <x v="0"/>
    <x v="264"/>
    <x v="0"/>
  </r>
  <r>
    <x v="1819"/>
    <x v="1815"/>
    <x v="260"/>
    <x v="0"/>
    <x v="10"/>
    <x v="10"/>
    <x v="3"/>
    <x v="459"/>
    <x v="133"/>
    <x v="19"/>
    <x v="54"/>
    <x v="1"/>
    <x v="333"/>
    <x v="0"/>
    <x v="0"/>
    <x v="1577"/>
    <x v="1690"/>
    <x v="824"/>
    <x v="1680"/>
    <x v="1163"/>
    <x v="0"/>
    <x v="0"/>
    <x v="0"/>
    <x v="2"/>
    <x v="720"/>
    <x v="1"/>
  </r>
  <r>
    <x v="1820"/>
    <x v="1816"/>
    <x v="27"/>
    <x v="0"/>
    <x v="2"/>
    <x v="2"/>
    <x v="2"/>
    <x v="288"/>
    <x v="44"/>
    <x v="70"/>
    <x v="80"/>
    <x v="7"/>
    <x v="881"/>
    <x v="0"/>
    <x v="0"/>
    <x v="1578"/>
    <x v="1691"/>
    <x v="530"/>
    <x v="1681"/>
    <x v="1550"/>
    <x v="3"/>
    <x v="0"/>
    <x v="0"/>
    <x v="0"/>
    <x v="577"/>
    <x v="1"/>
  </r>
  <r>
    <x v="1821"/>
    <x v="1817"/>
    <x v="145"/>
    <x v="0"/>
    <x v="9"/>
    <x v="9"/>
    <x v="0"/>
    <x v="360"/>
    <x v="52"/>
    <x v="26"/>
    <x v="239"/>
    <x v="7"/>
    <x v="882"/>
    <x v="3"/>
    <x v="894"/>
    <x v="1579"/>
    <x v="1692"/>
    <x v="404"/>
    <x v="1682"/>
    <x v="1551"/>
    <x v="1"/>
    <x v="0"/>
    <x v="0"/>
    <x v="0"/>
    <x v="678"/>
    <x v="1"/>
  </r>
  <r>
    <x v="1822"/>
    <x v="1818"/>
    <x v="201"/>
    <x v="1"/>
    <x v="7"/>
    <x v="7"/>
    <x v="1"/>
    <x v="325"/>
    <x v="36"/>
    <x v="17"/>
    <x v="17"/>
    <x v="5"/>
    <x v="883"/>
    <x v="0"/>
    <x v="0"/>
    <x v="1580"/>
    <x v="1693"/>
    <x v="853"/>
    <x v="1683"/>
    <x v="1552"/>
    <x v="0"/>
    <x v="0"/>
    <x v="0"/>
    <x v="0"/>
    <x v="143"/>
    <x v="1"/>
  </r>
  <r>
    <x v="1823"/>
    <x v="1819"/>
    <x v="342"/>
    <x v="1"/>
    <x v="11"/>
    <x v="11"/>
    <x v="1"/>
    <x v="207"/>
    <x v="84"/>
    <x v="20"/>
    <x v="20"/>
    <x v="2"/>
    <x v="884"/>
    <x v="4"/>
    <x v="895"/>
    <x v="1581"/>
    <x v="1694"/>
    <x v="407"/>
    <x v="1684"/>
    <x v="1553"/>
    <x v="5"/>
    <x v="0"/>
    <x v="0"/>
    <x v="2"/>
    <x v="253"/>
    <x v="1"/>
  </r>
  <r>
    <x v="1824"/>
    <x v="1820"/>
    <x v="98"/>
    <x v="0"/>
    <x v="6"/>
    <x v="6"/>
    <x v="3"/>
    <x v="308"/>
    <x v="101"/>
    <x v="150"/>
    <x v="35"/>
    <x v="1"/>
    <x v="134"/>
    <x v="3"/>
    <x v="896"/>
    <x v="1582"/>
    <x v="1695"/>
    <x v="854"/>
    <x v="1685"/>
    <x v="1554"/>
    <x v="5"/>
    <x v="0"/>
    <x v="0"/>
    <x v="1"/>
    <x v="349"/>
    <x v="1"/>
  </r>
  <r>
    <x v="1825"/>
    <x v="1821"/>
    <x v="80"/>
    <x v="0"/>
    <x v="8"/>
    <x v="8"/>
    <x v="3"/>
    <x v="295"/>
    <x v="24"/>
    <x v="137"/>
    <x v="73"/>
    <x v="7"/>
    <x v="885"/>
    <x v="0"/>
    <x v="0"/>
    <x v="1583"/>
    <x v="1696"/>
    <x v="855"/>
    <x v="1686"/>
    <x v="1555"/>
    <x v="0"/>
    <x v="0"/>
    <x v="0"/>
    <x v="2"/>
    <x v="146"/>
    <x v="0"/>
  </r>
  <r>
    <x v="1826"/>
    <x v="1822"/>
    <x v="133"/>
    <x v="0"/>
    <x v="10"/>
    <x v="10"/>
    <x v="3"/>
    <x v="197"/>
    <x v="5"/>
    <x v="151"/>
    <x v="215"/>
    <x v="4"/>
    <x v="886"/>
    <x v="0"/>
    <x v="0"/>
    <x v="1584"/>
    <x v="1697"/>
    <x v="274"/>
    <x v="1687"/>
    <x v="1556"/>
    <x v="3"/>
    <x v="0"/>
    <x v="0"/>
    <x v="0"/>
    <x v="616"/>
    <x v="0"/>
  </r>
  <r>
    <x v="1827"/>
    <x v="1823"/>
    <x v="132"/>
    <x v="1"/>
    <x v="1"/>
    <x v="1"/>
    <x v="1"/>
    <x v="315"/>
    <x v="105"/>
    <x v="122"/>
    <x v="45"/>
    <x v="2"/>
    <x v="119"/>
    <x v="0"/>
    <x v="0"/>
    <x v="178"/>
    <x v="1698"/>
    <x v="165"/>
    <x v="1688"/>
    <x v="1557"/>
    <x v="2"/>
    <x v="0"/>
    <x v="0"/>
    <x v="0"/>
    <x v="46"/>
    <x v="0"/>
  </r>
  <r>
    <x v="1828"/>
    <x v="1824"/>
    <x v="143"/>
    <x v="1"/>
    <x v="1"/>
    <x v="1"/>
    <x v="1"/>
    <x v="55"/>
    <x v="45"/>
    <x v="75"/>
    <x v="174"/>
    <x v="3"/>
    <x v="887"/>
    <x v="0"/>
    <x v="0"/>
    <x v="1585"/>
    <x v="1699"/>
    <x v="50"/>
    <x v="1689"/>
    <x v="1558"/>
    <x v="2"/>
    <x v="0"/>
    <x v="0"/>
    <x v="2"/>
    <x v="350"/>
    <x v="1"/>
  </r>
  <r>
    <x v="1829"/>
    <x v="1825"/>
    <x v="206"/>
    <x v="0"/>
    <x v="10"/>
    <x v="10"/>
    <x v="3"/>
    <x v="76"/>
    <x v="106"/>
    <x v="15"/>
    <x v="292"/>
    <x v="3"/>
    <x v="888"/>
    <x v="0"/>
    <x v="0"/>
    <x v="1586"/>
    <x v="1700"/>
    <x v="856"/>
    <x v="1690"/>
    <x v="1559"/>
    <x v="5"/>
    <x v="0"/>
    <x v="0"/>
    <x v="0"/>
    <x v="353"/>
    <x v="1"/>
  </r>
  <r>
    <x v="1830"/>
    <x v="1826"/>
    <x v="305"/>
    <x v="0"/>
    <x v="0"/>
    <x v="0"/>
    <x v="0"/>
    <x v="70"/>
    <x v="87"/>
    <x v="34"/>
    <x v="32"/>
    <x v="6"/>
    <x v="324"/>
    <x v="4"/>
    <x v="897"/>
    <x v="1587"/>
    <x v="1701"/>
    <x v="857"/>
    <x v="1691"/>
    <x v="1560"/>
    <x v="1"/>
    <x v="0"/>
    <x v="0"/>
    <x v="0"/>
    <x v="518"/>
    <x v="1"/>
  </r>
  <r>
    <x v="1831"/>
    <x v="1827"/>
    <x v="61"/>
    <x v="0"/>
    <x v="6"/>
    <x v="6"/>
    <x v="3"/>
    <x v="517"/>
    <x v="111"/>
    <x v="100"/>
    <x v="255"/>
    <x v="2"/>
    <x v="268"/>
    <x v="4"/>
    <x v="227"/>
    <x v="1588"/>
    <x v="1702"/>
    <x v="312"/>
    <x v="1692"/>
    <x v="1561"/>
    <x v="1"/>
    <x v="0"/>
    <x v="0"/>
    <x v="0"/>
    <x v="107"/>
    <x v="1"/>
  </r>
  <r>
    <x v="1832"/>
    <x v="1828"/>
    <x v="104"/>
    <x v="1"/>
    <x v="7"/>
    <x v="7"/>
    <x v="1"/>
    <x v="70"/>
    <x v="25"/>
    <x v="130"/>
    <x v="175"/>
    <x v="4"/>
    <x v="28"/>
    <x v="0"/>
    <x v="0"/>
    <x v="1589"/>
    <x v="1703"/>
    <x v="135"/>
    <x v="1693"/>
    <x v="1562"/>
    <x v="0"/>
    <x v="0"/>
    <x v="0"/>
    <x v="0"/>
    <x v="235"/>
    <x v="0"/>
  </r>
  <r>
    <x v="1833"/>
    <x v="1829"/>
    <x v="102"/>
    <x v="0"/>
    <x v="8"/>
    <x v="8"/>
    <x v="3"/>
    <x v="196"/>
    <x v="39"/>
    <x v="35"/>
    <x v="36"/>
    <x v="3"/>
    <x v="889"/>
    <x v="0"/>
    <x v="0"/>
    <x v="1590"/>
    <x v="1704"/>
    <x v="858"/>
    <x v="1131"/>
    <x v="1563"/>
    <x v="5"/>
    <x v="0"/>
    <x v="0"/>
    <x v="0"/>
    <x v="537"/>
    <x v="1"/>
  </r>
  <r>
    <x v="1834"/>
    <x v="1830"/>
    <x v="293"/>
    <x v="0"/>
    <x v="5"/>
    <x v="5"/>
    <x v="0"/>
    <x v="304"/>
    <x v="80"/>
    <x v="33"/>
    <x v="86"/>
    <x v="6"/>
    <x v="102"/>
    <x v="0"/>
    <x v="0"/>
    <x v="1591"/>
    <x v="1705"/>
    <x v="277"/>
    <x v="1694"/>
    <x v="1564"/>
    <x v="5"/>
    <x v="0"/>
    <x v="0"/>
    <x v="0"/>
    <x v="643"/>
    <x v="1"/>
  </r>
  <r>
    <x v="1835"/>
    <x v="1831"/>
    <x v="122"/>
    <x v="0"/>
    <x v="10"/>
    <x v="10"/>
    <x v="3"/>
    <x v="180"/>
    <x v="145"/>
    <x v="5"/>
    <x v="106"/>
    <x v="6"/>
    <x v="890"/>
    <x v="0"/>
    <x v="0"/>
    <x v="1592"/>
    <x v="1706"/>
    <x v="740"/>
    <x v="1695"/>
    <x v="1565"/>
    <x v="2"/>
    <x v="0"/>
    <x v="0"/>
    <x v="2"/>
    <x v="213"/>
    <x v="1"/>
  </r>
  <r>
    <x v="1836"/>
    <x v="1832"/>
    <x v="63"/>
    <x v="0"/>
    <x v="9"/>
    <x v="9"/>
    <x v="0"/>
    <x v="565"/>
    <x v="71"/>
    <x v="41"/>
    <x v="44"/>
    <x v="6"/>
    <x v="130"/>
    <x v="2"/>
    <x v="869"/>
    <x v="1534"/>
    <x v="1707"/>
    <x v="142"/>
    <x v="1696"/>
    <x v="1566"/>
    <x v="4"/>
    <x v="0"/>
    <x v="0"/>
    <x v="0"/>
    <x v="248"/>
    <x v="0"/>
  </r>
  <r>
    <x v="1837"/>
    <x v="1833"/>
    <x v="238"/>
    <x v="0"/>
    <x v="3"/>
    <x v="3"/>
    <x v="2"/>
    <x v="23"/>
    <x v="121"/>
    <x v="134"/>
    <x v="308"/>
    <x v="6"/>
    <x v="196"/>
    <x v="0"/>
    <x v="0"/>
    <x v="333"/>
    <x v="1708"/>
    <x v="290"/>
    <x v="1697"/>
    <x v="421"/>
    <x v="5"/>
    <x v="0"/>
    <x v="0"/>
    <x v="0"/>
    <x v="665"/>
    <x v="1"/>
  </r>
  <r>
    <x v="1838"/>
    <x v="1834"/>
    <x v="115"/>
    <x v="0"/>
    <x v="10"/>
    <x v="10"/>
    <x v="3"/>
    <x v="120"/>
    <x v="21"/>
    <x v="31"/>
    <x v="227"/>
    <x v="5"/>
    <x v="891"/>
    <x v="3"/>
    <x v="898"/>
    <x v="1593"/>
    <x v="1709"/>
    <x v="859"/>
    <x v="1698"/>
    <x v="1567"/>
    <x v="4"/>
    <x v="0"/>
    <x v="0"/>
    <x v="0"/>
    <x v="249"/>
    <x v="1"/>
  </r>
  <r>
    <x v="1839"/>
    <x v="1835"/>
    <x v="282"/>
    <x v="0"/>
    <x v="2"/>
    <x v="2"/>
    <x v="2"/>
    <x v="229"/>
    <x v="51"/>
    <x v="151"/>
    <x v="215"/>
    <x v="6"/>
    <x v="161"/>
    <x v="0"/>
    <x v="0"/>
    <x v="1594"/>
    <x v="1710"/>
    <x v="718"/>
    <x v="1699"/>
    <x v="1568"/>
    <x v="4"/>
    <x v="0"/>
    <x v="0"/>
    <x v="2"/>
    <x v="175"/>
    <x v="0"/>
  </r>
  <r>
    <x v="1840"/>
    <x v="1836"/>
    <x v="130"/>
    <x v="0"/>
    <x v="2"/>
    <x v="2"/>
    <x v="2"/>
    <x v="462"/>
    <x v="62"/>
    <x v="4"/>
    <x v="76"/>
    <x v="2"/>
    <x v="892"/>
    <x v="0"/>
    <x v="0"/>
    <x v="1595"/>
    <x v="1711"/>
    <x v="729"/>
    <x v="1700"/>
    <x v="1569"/>
    <x v="5"/>
    <x v="0"/>
    <x v="0"/>
    <x v="0"/>
    <x v="466"/>
    <x v="0"/>
  </r>
  <r>
    <x v="1841"/>
    <x v="1837"/>
    <x v="69"/>
    <x v="0"/>
    <x v="8"/>
    <x v="8"/>
    <x v="3"/>
    <x v="208"/>
    <x v="75"/>
    <x v="159"/>
    <x v="124"/>
    <x v="1"/>
    <x v="92"/>
    <x v="4"/>
    <x v="899"/>
    <x v="1596"/>
    <x v="1712"/>
    <x v="98"/>
    <x v="1701"/>
    <x v="1570"/>
    <x v="0"/>
    <x v="0"/>
    <x v="0"/>
    <x v="1"/>
    <x v="112"/>
    <x v="1"/>
  </r>
  <r>
    <x v="1842"/>
    <x v="914"/>
    <x v="254"/>
    <x v="1"/>
    <x v="7"/>
    <x v="7"/>
    <x v="1"/>
    <x v="390"/>
    <x v="31"/>
    <x v="27"/>
    <x v="28"/>
    <x v="2"/>
    <x v="35"/>
    <x v="4"/>
    <x v="731"/>
    <x v="1597"/>
    <x v="1713"/>
    <x v="356"/>
    <x v="1702"/>
    <x v="1571"/>
    <x v="1"/>
    <x v="0"/>
    <x v="0"/>
    <x v="1"/>
    <x v="385"/>
    <x v="1"/>
  </r>
  <r>
    <x v="1843"/>
    <x v="1838"/>
    <x v="40"/>
    <x v="0"/>
    <x v="2"/>
    <x v="2"/>
    <x v="2"/>
    <x v="565"/>
    <x v="118"/>
    <x v="122"/>
    <x v="45"/>
    <x v="6"/>
    <x v="188"/>
    <x v="0"/>
    <x v="0"/>
    <x v="1598"/>
    <x v="1714"/>
    <x v="229"/>
    <x v="1703"/>
    <x v="1415"/>
    <x v="4"/>
    <x v="0"/>
    <x v="0"/>
    <x v="0"/>
    <x v="684"/>
    <x v="0"/>
  </r>
  <r>
    <x v="1844"/>
    <x v="1839"/>
    <x v="247"/>
    <x v="0"/>
    <x v="5"/>
    <x v="5"/>
    <x v="0"/>
    <x v="108"/>
    <x v="116"/>
    <x v="116"/>
    <x v="147"/>
    <x v="6"/>
    <x v="893"/>
    <x v="3"/>
    <x v="900"/>
    <x v="1599"/>
    <x v="1715"/>
    <x v="331"/>
    <x v="1704"/>
    <x v="1572"/>
    <x v="0"/>
    <x v="0"/>
    <x v="0"/>
    <x v="0"/>
    <x v="721"/>
    <x v="0"/>
  </r>
  <r>
    <x v="1845"/>
    <x v="1840"/>
    <x v="130"/>
    <x v="0"/>
    <x v="2"/>
    <x v="2"/>
    <x v="2"/>
    <x v="118"/>
    <x v="66"/>
    <x v="31"/>
    <x v="282"/>
    <x v="0"/>
    <x v="80"/>
    <x v="0"/>
    <x v="0"/>
    <x v="533"/>
    <x v="557"/>
    <x v="435"/>
    <x v="553"/>
    <x v="534"/>
    <x v="5"/>
    <x v="0"/>
    <x v="0"/>
    <x v="2"/>
    <x v="326"/>
    <x v="0"/>
  </r>
  <r>
    <x v="1846"/>
    <x v="1841"/>
    <x v="149"/>
    <x v="0"/>
    <x v="3"/>
    <x v="3"/>
    <x v="2"/>
    <x v="342"/>
    <x v="71"/>
    <x v="98"/>
    <x v="123"/>
    <x v="6"/>
    <x v="130"/>
    <x v="1"/>
    <x v="901"/>
    <x v="1600"/>
    <x v="1716"/>
    <x v="142"/>
    <x v="1705"/>
    <x v="1082"/>
    <x v="4"/>
    <x v="0"/>
    <x v="0"/>
    <x v="0"/>
    <x v="448"/>
    <x v="0"/>
  </r>
  <r>
    <x v="1847"/>
    <x v="1842"/>
    <x v="57"/>
    <x v="0"/>
    <x v="10"/>
    <x v="10"/>
    <x v="3"/>
    <x v="19"/>
    <x v="121"/>
    <x v="49"/>
    <x v="334"/>
    <x v="0"/>
    <x v="196"/>
    <x v="1"/>
    <x v="902"/>
    <x v="1601"/>
    <x v="1717"/>
    <x v="362"/>
    <x v="1706"/>
    <x v="1573"/>
    <x v="4"/>
    <x v="0"/>
    <x v="0"/>
    <x v="0"/>
    <x v="182"/>
    <x v="0"/>
  </r>
  <r>
    <x v="1848"/>
    <x v="1843"/>
    <x v="96"/>
    <x v="0"/>
    <x v="3"/>
    <x v="3"/>
    <x v="2"/>
    <x v="217"/>
    <x v="31"/>
    <x v="25"/>
    <x v="26"/>
    <x v="7"/>
    <x v="894"/>
    <x v="0"/>
    <x v="0"/>
    <x v="1602"/>
    <x v="1718"/>
    <x v="311"/>
    <x v="1707"/>
    <x v="1574"/>
    <x v="4"/>
    <x v="0"/>
    <x v="0"/>
    <x v="2"/>
    <x v="476"/>
    <x v="0"/>
  </r>
  <r>
    <x v="1849"/>
    <x v="1844"/>
    <x v="35"/>
    <x v="0"/>
    <x v="8"/>
    <x v="8"/>
    <x v="3"/>
    <x v="358"/>
    <x v="52"/>
    <x v="99"/>
    <x v="246"/>
    <x v="2"/>
    <x v="59"/>
    <x v="2"/>
    <x v="903"/>
    <x v="1603"/>
    <x v="1719"/>
    <x v="309"/>
    <x v="1708"/>
    <x v="1575"/>
    <x v="1"/>
    <x v="0"/>
    <x v="0"/>
    <x v="2"/>
    <x v="606"/>
    <x v="1"/>
  </r>
  <r>
    <x v="1850"/>
    <x v="1845"/>
    <x v="35"/>
    <x v="0"/>
    <x v="8"/>
    <x v="8"/>
    <x v="3"/>
    <x v="297"/>
    <x v="141"/>
    <x v="144"/>
    <x v="197"/>
    <x v="6"/>
    <x v="428"/>
    <x v="0"/>
    <x v="0"/>
    <x v="728"/>
    <x v="754"/>
    <x v="544"/>
    <x v="750"/>
    <x v="716"/>
    <x v="5"/>
    <x v="0"/>
    <x v="0"/>
    <x v="0"/>
    <x v="577"/>
    <x v="1"/>
  </r>
  <r>
    <x v="1851"/>
    <x v="1846"/>
    <x v="143"/>
    <x v="1"/>
    <x v="1"/>
    <x v="1"/>
    <x v="1"/>
    <x v="608"/>
    <x v="120"/>
    <x v="10"/>
    <x v="10"/>
    <x v="2"/>
    <x v="895"/>
    <x v="4"/>
    <x v="904"/>
    <x v="1604"/>
    <x v="1720"/>
    <x v="560"/>
    <x v="1709"/>
    <x v="1576"/>
    <x v="5"/>
    <x v="0"/>
    <x v="0"/>
    <x v="0"/>
    <x v="320"/>
    <x v="1"/>
  </r>
  <r>
    <x v="1852"/>
    <x v="1847"/>
    <x v="10"/>
    <x v="0"/>
    <x v="6"/>
    <x v="6"/>
    <x v="3"/>
    <x v="442"/>
    <x v="67"/>
    <x v="78"/>
    <x v="312"/>
    <x v="7"/>
    <x v="896"/>
    <x v="1"/>
    <x v="905"/>
    <x v="1605"/>
    <x v="1721"/>
    <x v="390"/>
    <x v="1710"/>
    <x v="1577"/>
    <x v="5"/>
    <x v="0"/>
    <x v="0"/>
    <x v="0"/>
    <x v="169"/>
    <x v="1"/>
  </r>
  <r>
    <x v="1853"/>
    <x v="1848"/>
    <x v="104"/>
    <x v="1"/>
    <x v="7"/>
    <x v="7"/>
    <x v="1"/>
    <x v="365"/>
    <x v="38"/>
    <x v="27"/>
    <x v="28"/>
    <x v="2"/>
    <x v="897"/>
    <x v="0"/>
    <x v="0"/>
    <x v="1606"/>
    <x v="1722"/>
    <x v="126"/>
    <x v="1711"/>
    <x v="1578"/>
    <x v="0"/>
    <x v="0"/>
    <x v="0"/>
    <x v="0"/>
    <x v="276"/>
    <x v="0"/>
  </r>
  <r>
    <x v="1854"/>
    <x v="1849"/>
    <x v="99"/>
    <x v="0"/>
    <x v="6"/>
    <x v="6"/>
    <x v="3"/>
    <x v="122"/>
    <x v="19"/>
    <x v="144"/>
    <x v="197"/>
    <x v="1"/>
    <x v="19"/>
    <x v="1"/>
    <x v="120"/>
    <x v="619"/>
    <x v="638"/>
    <x v="121"/>
    <x v="633"/>
    <x v="612"/>
    <x v="0"/>
    <x v="0"/>
    <x v="0"/>
    <x v="0"/>
    <x v="465"/>
    <x v="0"/>
  </r>
  <r>
    <x v="1855"/>
    <x v="1850"/>
    <x v="240"/>
    <x v="0"/>
    <x v="9"/>
    <x v="9"/>
    <x v="0"/>
    <x v="148"/>
    <x v="101"/>
    <x v="63"/>
    <x v="70"/>
    <x v="2"/>
    <x v="134"/>
    <x v="0"/>
    <x v="0"/>
    <x v="908"/>
    <x v="950"/>
    <x v="633"/>
    <x v="943"/>
    <x v="896"/>
    <x v="3"/>
    <x v="0"/>
    <x v="0"/>
    <x v="1"/>
    <x v="664"/>
    <x v="0"/>
  </r>
  <r>
    <x v="1856"/>
    <x v="1851"/>
    <x v="133"/>
    <x v="0"/>
    <x v="10"/>
    <x v="10"/>
    <x v="3"/>
    <x v="93"/>
    <x v="133"/>
    <x v="167"/>
    <x v="285"/>
    <x v="6"/>
    <x v="898"/>
    <x v="0"/>
    <x v="0"/>
    <x v="1607"/>
    <x v="1723"/>
    <x v="600"/>
    <x v="1712"/>
    <x v="1579"/>
    <x v="3"/>
    <x v="0"/>
    <x v="0"/>
    <x v="0"/>
    <x v="265"/>
    <x v="0"/>
  </r>
  <r>
    <x v="1857"/>
    <x v="1852"/>
    <x v="37"/>
    <x v="0"/>
    <x v="5"/>
    <x v="5"/>
    <x v="0"/>
    <x v="462"/>
    <x v="72"/>
    <x v="150"/>
    <x v="256"/>
    <x v="7"/>
    <x v="899"/>
    <x v="0"/>
    <x v="0"/>
    <x v="1608"/>
    <x v="1724"/>
    <x v="582"/>
    <x v="1713"/>
    <x v="1580"/>
    <x v="4"/>
    <x v="0"/>
    <x v="0"/>
    <x v="2"/>
    <x v="722"/>
    <x v="0"/>
  </r>
  <r>
    <x v="1858"/>
    <x v="1853"/>
    <x v="20"/>
    <x v="1"/>
    <x v="1"/>
    <x v="1"/>
    <x v="1"/>
    <x v="361"/>
    <x v="109"/>
    <x v="49"/>
    <x v="53"/>
    <x v="1"/>
    <x v="150"/>
    <x v="0"/>
    <x v="0"/>
    <x v="435"/>
    <x v="1725"/>
    <x v="170"/>
    <x v="1714"/>
    <x v="181"/>
    <x v="2"/>
    <x v="0"/>
    <x v="0"/>
    <x v="0"/>
    <x v="245"/>
    <x v="1"/>
  </r>
  <r>
    <x v="1859"/>
    <x v="1854"/>
    <x v="317"/>
    <x v="0"/>
    <x v="9"/>
    <x v="9"/>
    <x v="0"/>
    <x v="456"/>
    <x v="124"/>
    <x v="120"/>
    <x v="216"/>
    <x v="4"/>
    <x v="222"/>
    <x v="2"/>
    <x v="906"/>
    <x v="1609"/>
    <x v="1726"/>
    <x v="834"/>
    <x v="1715"/>
    <x v="1581"/>
    <x v="3"/>
    <x v="0"/>
    <x v="0"/>
    <x v="0"/>
    <x v="597"/>
    <x v="1"/>
  </r>
  <r>
    <x v="1860"/>
    <x v="1855"/>
    <x v="85"/>
    <x v="0"/>
    <x v="5"/>
    <x v="5"/>
    <x v="0"/>
    <x v="413"/>
    <x v="68"/>
    <x v="47"/>
    <x v="51"/>
    <x v="1"/>
    <x v="82"/>
    <x v="0"/>
    <x v="0"/>
    <x v="713"/>
    <x v="1727"/>
    <x v="538"/>
    <x v="1716"/>
    <x v="195"/>
    <x v="0"/>
    <x v="0"/>
    <x v="0"/>
    <x v="2"/>
    <x v="651"/>
    <x v="0"/>
  </r>
  <r>
    <x v="1861"/>
    <x v="1856"/>
    <x v="256"/>
    <x v="0"/>
    <x v="3"/>
    <x v="3"/>
    <x v="2"/>
    <x v="219"/>
    <x v="102"/>
    <x v="68"/>
    <x v="209"/>
    <x v="5"/>
    <x v="900"/>
    <x v="3"/>
    <x v="907"/>
    <x v="1610"/>
    <x v="190"/>
    <x v="843"/>
    <x v="1717"/>
    <x v="186"/>
    <x v="2"/>
    <x v="0"/>
    <x v="0"/>
    <x v="0"/>
    <x v="396"/>
    <x v="0"/>
  </r>
  <r>
    <x v="1862"/>
    <x v="1857"/>
    <x v="287"/>
    <x v="0"/>
    <x v="0"/>
    <x v="0"/>
    <x v="0"/>
    <x v="77"/>
    <x v="71"/>
    <x v="133"/>
    <x v="35"/>
    <x v="2"/>
    <x v="901"/>
    <x v="1"/>
    <x v="908"/>
    <x v="1611"/>
    <x v="1728"/>
    <x v="734"/>
    <x v="1718"/>
    <x v="1582"/>
    <x v="5"/>
    <x v="0"/>
    <x v="0"/>
    <x v="2"/>
    <x v="720"/>
    <x v="0"/>
  </r>
  <r>
    <x v="1863"/>
    <x v="1858"/>
    <x v="248"/>
    <x v="0"/>
    <x v="5"/>
    <x v="5"/>
    <x v="0"/>
    <x v="5"/>
    <x v="14"/>
    <x v="27"/>
    <x v="28"/>
    <x v="5"/>
    <x v="902"/>
    <x v="4"/>
    <x v="909"/>
    <x v="1612"/>
    <x v="1729"/>
    <x v="812"/>
    <x v="1719"/>
    <x v="1583"/>
    <x v="3"/>
    <x v="0"/>
    <x v="0"/>
    <x v="0"/>
    <x v="607"/>
    <x v="1"/>
  </r>
  <r>
    <x v="1864"/>
    <x v="1859"/>
    <x v="331"/>
    <x v="1"/>
    <x v="1"/>
    <x v="1"/>
    <x v="1"/>
    <x v="89"/>
    <x v="40"/>
    <x v="150"/>
    <x v="256"/>
    <x v="2"/>
    <x v="903"/>
    <x v="0"/>
    <x v="0"/>
    <x v="1613"/>
    <x v="1730"/>
    <x v="733"/>
    <x v="1720"/>
    <x v="1584"/>
    <x v="1"/>
    <x v="0"/>
    <x v="0"/>
    <x v="0"/>
    <x v="162"/>
    <x v="1"/>
  </r>
  <r>
    <x v="1865"/>
    <x v="1860"/>
    <x v="25"/>
    <x v="0"/>
    <x v="2"/>
    <x v="2"/>
    <x v="2"/>
    <x v="550"/>
    <x v="68"/>
    <x v="142"/>
    <x v="276"/>
    <x v="5"/>
    <x v="904"/>
    <x v="3"/>
    <x v="910"/>
    <x v="1614"/>
    <x v="1731"/>
    <x v="546"/>
    <x v="1721"/>
    <x v="1585"/>
    <x v="3"/>
    <x v="0"/>
    <x v="0"/>
    <x v="0"/>
    <x v="314"/>
    <x v="1"/>
  </r>
  <r>
    <x v="1866"/>
    <x v="1861"/>
    <x v="210"/>
    <x v="0"/>
    <x v="3"/>
    <x v="3"/>
    <x v="2"/>
    <x v="179"/>
    <x v="26"/>
    <x v="15"/>
    <x v="39"/>
    <x v="7"/>
    <x v="905"/>
    <x v="4"/>
    <x v="911"/>
    <x v="1615"/>
    <x v="1732"/>
    <x v="860"/>
    <x v="1722"/>
    <x v="1586"/>
    <x v="3"/>
    <x v="0"/>
    <x v="0"/>
    <x v="2"/>
    <x v="109"/>
    <x v="1"/>
  </r>
  <r>
    <x v="1867"/>
    <x v="1862"/>
    <x v="229"/>
    <x v="1"/>
    <x v="1"/>
    <x v="1"/>
    <x v="1"/>
    <x v="274"/>
    <x v="12"/>
    <x v="26"/>
    <x v="301"/>
    <x v="4"/>
    <x v="270"/>
    <x v="2"/>
    <x v="912"/>
    <x v="1616"/>
    <x v="1733"/>
    <x v="25"/>
    <x v="1723"/>
    <x v="1587"/>
    <x v="5"/>
    <x v="0"/>
    <x v="0"/>
    <x v="0"/>
    <x v="650"/>
    <x v="0"/>
  </r>
  <r>
    <x v="1868"/>
    <x v="1863"/>
    <x v="279"/>
    <x v="1"/>
    <x v="1"/>
    <x v="1"/>
    <x v="1"/>
    <x v="137"/>
    <x v="103"/>
    <x v="47"/>
    <x v="51"/>
    <x v="6"/>
    <x v="224"/>
    <x v="0"/>
    <x v="0"/>
    <x v="1617"/>
    <x v="1734"/>
    <x v="415"/>
    <x v="1724"/>
    <x v="301"/>
    <x v="5"/>
    <x v="0"/>
    <x v="0"/>
    <x v="0"/>
    <x v="58"/>
    <x v="1"/>
  </r>
  <r>
    <x v="1869"/>
    <x v="1864"/>
    <x v="188"/>
    <x v="0"/>
    <x v="4"/>
    <x v="4"/>
    <x v="2"/>
    <x v="612"/>
    <x v="105"/>
    <x v="62"/>
    <x v="291"/>
    <x v="1"/>
    <x v="119"/>
    <x v="0"/>
    <x v="0"/>
    <x v="1618"/>
    <x v="1735"/>
    <x v="131"/>
    <x v="1725"/>
    <x v="1557"/>
    <x v="5"/>
    <x v="0"/>
    <x v="0"/>
    <x v="0"/>
    <x v="387"/>
    <x v="0"/>
  </r>
  <r>
    <x v="1870"/>
    <x v="1865"/>
    <x v="274"/>
    <x v="0"/>
    <x v="8"/>
    <x v="8"/>
    <x v="3"/>
    <x v="516"/>
    <x v="108"/>
    <x v="119"/>
    <x v="293"/>
    <x v="2"/>
    <x v="147"/>
    <x v="4"/>
    <x v="109"/>
    <x v="63"/>
    <x v="1736"/>
    <x v="588"/>
    <x v="1726"/>
    <x v="1588"/>
    <x v="4"/>
    <x v="0"/>
    <x v="0"/>
    <x v="0"/>
    <x v="55"/>
    <x v="1"/>
  </r>
  <r>
    <x v="1871"/>
    <x v="1866"/>
    <x v="229"/>
    <x v="1"/>
    <x v="1"/>
    <x v="1"/>
    <x v="1"/>
    <x v="586"/>
    <x v="37"/>
    <x v="32"/>
    <x v="34"/>
    <x v="0"/>
    <x v="99"/>
    <x v="3"/>
    <x v="913"/>
    <x v="1619"/>
    <x v="1737"/>
    <x v="445"/>
    <x v="1727"/>
    <x v="1589"/>
    <x v="0"/>
    <x v="0"/>
    <x v="0"/>
    <x v="0"/>
    <x v="269"/>
    <x v="0"/>
  </r>
  <r>
    <x v="1872"/>
    <x v="1867"/>
    <x v="115"/>
    <x v="0"/>
    <x v="10"/>
    <x v="10"/>
    <x v="3"/>
    <x v="98"/>
    <x v="78"/>
    <x v="51"/>
    <x v="56"/>
    <x v="2"/>
    <x v="906"/>
    <x v="2"/>
    <x v="914"/>
    <x v="1620"/>
    <x v="1738"/>
    <x v="103"/>
    <x v="1728"/>
    <x v="1590"/>
    <x v="0"/>
    <x v="0"/>
    <x v="0"/>
    <x v="0"/>
    <x v="659"/>
    <x v="1"/>
  </r>
  <r>
    <x v="1873"/>
    <x v="1868"/>
    <x v="336"/>
    <x v="0"/>
    <x v="0"/>
    <x v="0"/>
    <x v="0"/>
    <x v="147"/>
    <x v="11"/>
    <x v="18"/>
    <x v="18"/>
    <x v="4"/>
    <x v="907"/>
    <x v="3"/>
    <x v="915"/>
    <x v="1621"/>
    <x v="1739"/>
    <x v="384"/>
    <x v="1729"/>
    <x v="1591"/>
    <x v="1"/>
    <x v="1"/>
    <x v="1"/>
    <x v="0"/>
    <x v="300"/>
    <x v="1"/>
  </r>
  <r>
    <x v="1874"/>
    <x v="1869"/>
    <x v="284"/>
    <x v="0"/>
    <x v="10"/>
    <x v="10"/>
    <x v="3"/>
    <x v="613"/>
    <x v="46"/>
    <x v="38"/>
    <x v="335"/>
    <x v="2"/>
    <x v="100"/>
    <x v="0"/>
    <x v="0"/>
    <x v="1622"/>
    <x v="1740"/>
    <x v="392"/>
    <x v="1730"/>
    <x v="1592"/>
    <x v="5"/>
    <x v="0"/>
    <x v="0"/>
    <x v="0"/>
    <x v="243"/>
    <x v="1"/>
  </r>
  <r>
    <x v="1875"/>
    <x v="1870"/>
    <x v="0"/>
    <x v="0"/>
    <x v="0"/>
    <x v="0"/>
    <x v="0"/>
    <x v="286"/>
    <x v="76"/>
    <x v="165"/>
    <x v="105"/>
    <x v="6"/>
    <x v="418"/>
    <x v="0"/>
    <x v="0"/>
    <x v="1623"/>
    <x v="1741"/>
    <x v="656"/>
    <x v="1731"/>
    <x v="1593"/>
    <x v="2"/>
    <x v="0"/>
    <x v="0"/>
    <x v="2"/>
    <x v="710"/>
    <x v="0"/>
  </r>
  <r>
    <x v="1876"/>
    <x v="1871"/>
    <x v="187"/>
    <x v="1"/>
    <x v="1"/>
    <x v="1"/>
    <x v="1"/>
    <x v="604"/>
    <x v="89"/>
    <x v="16"/>
    <x v="62"/>
    <x v="6"/>
    <x v="908"/>
    <x v="0"/>
    <x v="0"/>
    <x v="1624"/>
    <x v="1742"/>
    <x v="308"/>
    <x v="1732"/>
    <x v="1594"/>
    <x v="0"/>
    <x v="0"/>
    <x v="0"/>
    <x v="0"/>
    <x v="452"/>
    <x v="0"/>
  </r>
  <r>
    <x v="1877"/>
    <x v="1872"/>
    <x v="353"/>
    <x v="0"/>
    <x v="6"/>
    <x v="6"/>
    <x v="3"/>
    <x v="524"/>
    <x v="15"/>
    <x v="130"/>
    <x v="175"/>
    <x v="2"/>
    <x v="15"/>
    <x v="3"/>
    <x v="96"/>
    <x v="163"/>
    <x v="1743"/>
    <x v="15"/>
    <x v="1733"/>
    <x v="1595"/>
    <x v="1"/>
    <x v="0"/>
    <x v="0"/>
    <x v="0"/>
    <x v="511"/>
    <x v="1"/>
  </r>
  <r>
    <x v="1878"/>
    <x v="1873"/>
    <x v="22"/>
    <x v="0"/>
    <x v="3"/>
    <x v="3"/>
    <x v="2"/>
    <x v="553"/>
    <x v="93"/>
    <x v="5"/>
    <x v="106"/>
    <x v="1"/>
    <x v="323"/>
    <x v="4"/>
    <x v="608"/>
    <x v="1625"/>
    <x v="1744"/>
    <x v="814"/>
    <x v="1734"/>
    <x v="1596"/>
    <x v="3"/>
    <x v="0"/>
    <x v="0"/>
    <x v="0"/>
    <x v="723"/>
    <x v="1"/>
  </r>
  <r>
    <x v="1879"/>
    <x v="1874"/>
    <x v="221"/>
    <x v="0"/>
    <x v="5"/>
    <x v="5"/>
    <x v="0"/>
    <x v="613"/>
    <x v="65"/>
    <x v="167"/>
    <x v="285"/>
    <x v="1"/>
    <x v="307"/>
    <x v="0"/>
    <x v="0"/>
    <x v="1626"/>
    <x v="1745"/>
    <x v="861"/>
    <x v="1735"/>
    <x v="1322"/>
    <x v="1"/>
    <x v="0"/>
    <x v="0"/>
    <x v="0"/>
    <x v="166"/>
    <x v="0"/>
  </r>
  <r>
    <x v="1880"/>
    <x v="1875"/>
    <x v="307"/>
    <x v="1"/>
    <x v="7"/>
    <x v="7"/>
    <x v="1"/>
    <x v="564"/>
    <x v="22"/>
    <x v="66"/>
    <x v="75"/>
    <x v="6"/>
    <x v="23"/>
    <x v="4"/>
    <x v="266"/>
    <x v="1627"/>
    <x v="1746"/>
    <x v="320"/>
    <x v="1736"/>
    <x v="1597"/>
    <x v="2"/>
    <x v="0"/>
    <x v="0"/>
    <x v="1"/>
    <x v="476"/>
    <x v="0"/>
  </r>
  <r>
    <x v="1881"/>
    <x v="1876"/>
    <x v="276"/>
    <x v="1"/>
    <x v="7"/>
    <x v="7"/>
    <x v="1"/>
    <x v="442"/>
    <x v="103"/>
    <x v="54"/>
    <x v="126"/>
    <x v="3"/>
    <x v="909"/>
    <x v="0"/>
    <x v="0"/>
    <x v="1628"/>
    <x v="1747"/>
    <x v="862"/>
    <x v="1737"/>
    <x v="1598"/>
    <x v="1"/>
    <x v="0"/>
    <x v="0"/>
    <x v="0"/>
    <x v="123"/>
    <x v="1"/>
  </r>
  <r>
    <x v="1882"/>
    <x v="1877"/>
    <x v="200"/>
    <x v="0"/>
    <x v="9"/>
    <x v="9"/>
    <x v="0"/>
    <x v="258"/>
    <x v="67"/>
    <x v="63"/>
    <x v="70"/>
    <x v="2"/>
    <x v="81"/>
    <x v="3"/>
    <x v="916"/>
    <x v="1629"/>
    <x v="1748"/>
    <x v="86"/>
    <x v="1738"/>
    <x v="1599"/>
    <x v="2"/>
    <x v="0"/>
    <x v="0"/>
    <x v="1"/>
    <x v="684"/>
    <x v="1"/>
  </r>
  <r>
    <x v="1883"/>
    <x v="1878"/>
    <x v="22"/>
    <x v="0"/>
    <x v="3"/>
    <x v="3"/>
    <x v="2"/>
    <x v="614"/>
    <x v="60"/>
    <x v="130"/>
    <x v="175"/>
    <x v="1"/>
    <x v="68"/>
    <x v="2"/>
    <x v="917"/>
    <x v="1630"/>
    <x v="1749"/>
    <x v="70"/>
    <x v="1739"/>
    <x v="941"/>
    <x v="3"/>
    <x v="0"/>
    <x v="0"/>
    <x v="1"/>
    <x v="177"/>
    <x v="1"/>
  </r>
  <r>
    <x v="1884"/>
    <x v="1879"/>
    <x v="96"/>
    <x v="0"/>
    <x v="3"/>
    <x v="3"/>
    <x v="2"/>
    <x v="218"/>
    <x v="68"/>
    <x v="115"/>
    <x v="146"/>
    <x v="2"/>
    <x v="910"/>
    <x v="0"/>
    <x v="0"/>
    <x v="1631"/>
    <x v="1750"/>
    <x v="87"/>
    <x v="1740"/>
    <x v="1600"/>
    <x v="1"/>
    <x v="0"/>
    <x v="0"/>
    <x v="2"/>
    <x v="327"/>
    <x v="0"/>
  </r>
  <r>
    <x v="1885"/>
    <x v="1880"/>
    <x v="321"/>
    <x v="0"/>
    <x v="9"/>
    <x v="9"/>
    <x v="0"/>
    <x v="306"/>
    <x v="91"/>
    <x v="72"/>
    <x v="85"/>
    <x v="3"/>
    <x v="911"/>
    <x v="0"/>
    <x v="0"/>
    <x v="1632"/>
    <x v="1751"/>
    <x v="863"/>
    <x v="1741"/>
    <x v="1601"/>
    <x v="5"/>
    <x v="0"/>
    <x v="0"/>
    <x v="1"/>
    <x v="235"/>
    <x v="1"/>
  </r>
  <r>
    <x v="1886"/>
    <x v="1881"/>
    <x v="357"/>
    <x v="0"/>
    <x v="6"/>
    <x v="6"/>
    <x v="3"/>
    <x v="173"/>
    <x v="54"/>
    <x v="85"/>
    <x v="185"/>
    <x v="6"/>
    <x v="111"/>
    <x v="1"/>
    <x v="918"/>
    <x v="1633"/>
    <x v="1752"/>
    <x v="122"/>
    <x v="1742"/>
    <x v="1602"/>
    <x v="3"/>
    <x v="0"/>
    <x v="0"/>
    <x v="1"/>
    <x v="141"/>
    <x v="1"/>
  </r>
  <r>
    <x v="1887"/>
    <x v="1882"/>
    <x v="217"/>
    <x v="0"/>
    <x v="4"/>
    <x v="4"/>
    <x v="2"/>
    <x v="521"/>
    <x v="69"/>
    <x v="31"/>
    <x v="36"/>
    <x v="6"/>
    <x v="141"/>
    <x v="0"/>
    <x v="0"/>
    <x v="1634"/>
    <x v="1753"/>
    <x v="766"/>
    <x v="1743"/>
    <x v="1603"/>
    <x v="1"/>
    <x v="1"/>
    <x v="1"/>
    <x v="0"/>
    <x v="259"/>
    <x v="0"/>
  </r>
  <r>
    <x v="1888"/>
    <x v="1883"/>
    <x v="145"/>
    <x v="0"/>
    <x v="9"/>
    <x v="9"/>
    <x v="0"/>
    <x v="43"/>
    <x v="7"/>
    <x v="82"/>
    <x v="169"/>
    <x v="3"/>
    <x v="912"/>
    <x v="2"/>
    <x v="919"/>
    <x v="1635"/>
    <x v="1754"/>
    <x v="864"/>
    <x v="1744"/>
    <x v="1604"/>
    <x v="4"/>
    <x v="0"/>
    <x v="0"/>
    <x v="1"/>
    <x v="307"/>
    <x v="1"/>
  </r>
  <r>
    <x v="1889"/>
    <x v="1884"/>
    <x v="30"/>
    <x v="0"/>
    <x v="6"/>
    <x v="6"/>
    <x v="3"/>
    <x v="615"/>
    <x v="93"/>
    <x v="4"/>
    <x v="240"/>
    <x v="6"/>
    <x v="323"/>
    <x v="3"/>
    <x v="289"/>
    <x v="511"/>
    <x v="931"/>
    <x v="422"/>
    <x v="923"/>
    <x v="877"/>
    <x v="3"/>
    <x v="0"/>
    <x v="0"/>
    <x v="2"/>
    <x v="598"/>
    <x v="0"/>
  </r>
  <r>
    <x v="1890"/>
    <x v="1885"/>
    <x v="331"/>
    <x v="1"/>
    <x v="1"/>
    <x v="1"/>
    <x v="1"/>
    <x v="210"/>
    <x v="6"/>
    <x v="65"/>
    <x v="74"/>
    <x v="0"/>
    <x v="6"/>
    <x v="0"/>
    <x v="0"/>
    <x v="1636"/>
    <x v="1755"/>
    <x v="617"/>
    <x v="1745"/>
    <x v="837"/>
    <x v="4"/>
    <x v="0"/>
    <x v="0"/>
    <x v="0"/>
    <x v="151"/>
    <x v="1"/>
  </r>
  <r>
    <x v="1891"/>
    <x v="1886"/>
    <x v="45"/>
    <x v="1"/>
    <x v="11"/>
    <x v="11"/>
    <x v="1"/>
    <x v="302"/>
    <x v="138"/>
    <x v="26"/>
    <x v="33"/>
    <x v="2"/>
    <x v="344"/>
    <x v="4"/>
    <x v="920"/>
    <x v="1637"/>
    <x v="1756"/>
    <x v="478"/>
    <x v="1746"/>
    <x v="1605"/>
    <x v="4"/>
    <x v="0"/>
    <x v="0"/>
    <x v="0"/>
    <x v="64"/>
    <x v="0"/>
  </r>
  <r>
    <x v="1892"/>
    <x v="1887"/>
    <x v="346"/>
    <x v="0"/>
    <x v="6"/>
    <x v="6"/>
    <x v="3"/>
    <x v="492"/>
    <x v="56"/>
    <x v="130"/>
    <x v="175"/>
    <x v="0"/>
    <x v="64"/>
    <x v="1"/>
    <x v="921"/>
    <x v="1638"/>
    <x v="1757"/>
    <x v="357"/>
    <x v="1747"/>
    <x v="1606"/>
    <x v="5"/>
    <x v="0"/>
    <x v="0"/>
    <x v="2"/>
    <x v="675"/>
    <x v="1"/>
  </r>
  <r>
    <x v="1893"/>
    <x v="1888"/>
    <x v="142"/>
    <x v="0"/>
    <x v="8"/>
    <x v="8"/>
    <x v="3"/>
    <x v="30"/>
    <x v="44"/>
    <x v="81"/>
    <x v="144"/>
    <x v="7"/>
    <x v="913"/>
    <x v="0"/>
    <x v="0"/>
    <x v="1639"/>
    <x v="1758"/>
    <x v="530"/>
    <x v="1748"/>
    <x v="1607"/>
    <x v="2"/>
    <x v="0"/>
    <x v="0"/>
    <x v="0"/>
    <x v="608"/>
    <x v="1"/>
  </r>
  <r>
    <x v="1894"/>
    <x v="1889"/>
    <x v="34"/>
    <x v="0"/>
    <x v="9"/>
    <x v="9"/>
    <x v="0"/>
    <x v="48"/>
    <x v="4"/>
    <x v="169"/>
    <x v="273"/>
    <x v="6"/>
    <x v="914"/>
    <x v="1"/>
    <x v="922"/>
    <x v="1640"/>
    <x v="1759"/>
    <x v="412"/>
    <x v="1749"/>
    <x v="1608"/>
    <x v="1"/>
    <x v="0"/>
    <x v="0"/>
    <x v="0"/>
    <x v="124"/>
    <x v="0"/>
  </r>
  <r>
    <x v="1895"/>
    <x v="1890"/>
    <x v="190"/>
    <x v="0"/>
    <x v="4"/>
    <x v="4"/>
    <x v="2"/>
    <x v="147"/>
    <x v="145"/>
    <x v="139"/>
    <x v="98"/>
    <x v="6"/>
    <x v="915"/>
    <x v="1"/>
    <x v="923"/>
    <x v="1641"/>
    <x v="1760"/>
    <x v="740"/>
    <x v="1750"/>
    <x v="1609"/>
    <x v="4"/>
    <x v="0"/>
    <x v="0"/>
    <x v="1"/>
    <x v="183"/>
    <x v="0"/>
  </r>
  <r>
    <x v="1896"/>
    <x v="1891"/>
    <x v="145"/>
    <x v="0"/>
    <x v="9"/>
    <x v="9"/>
    <x v="0"/>
    <x v="259"/>
    <x v="64"/>
    <x v="21"/>
    <x v="98"/>
    <x v="4"/>
    <x v="74"/>
    <x v="1"/>
    <x v="924"/>
    <x v="1642"/>
    <x v="1761"/>
    <x v="77"/>
    <x v="297"/>
    <x v="1610"/>
    <x v="1"/>
    <x v="0"/>
    <x v="0"/>
    <x v="1"/>
    <x v="724"/>
    <x v="1"/>
  </r>
  <r>
    <x v="1897"/>
    <x v="1892"/>
    <x v="178"/>
    <x v="0"/>
    <x v="10"/>
    <x v="10"/>
    <x v="3"/>
    <x v="276"/>
    <x v="84"/>
    <x v="34"/>
    <x v="176"/>
    <x v="7"/>
    <x v="916"/>
    <x v="0"/>
    <x v="0"/>
    <x v="1643"/>
    <x v="1762"/>
    <x v="865"/>
    <x v="1751"/>
    <x v="1611"/>
    <x v="3"/>
    <x v="0"/>
    <x v="0"/>
    <x v="0"/>
    <x v="295"/>
    <x v="1"/>
  </r>
  <r>
    <x v="1898"/>
    <x v="1893"/>
    <x v="123"/>
    <x v="0"/>
    <x v="8"/>
    <x v="8"/>
    <x v="3"/>
    <x v="178"/>
    <x v="5"/>
    <x v="89"/>
    <x v="108"/>
    <x v="0"/>
    <x v="139"/>
    <x v="0"/>
    <x v="0"/>
    <x v="1174"/>
    <x v="1241"/>
    <x v="155"/>
    <x v="1231"/>
    <x v="685"/>
    <x v="3"/>
    <x v="0"/>
    <x v="0"/>
    <x v="0"/>
    <x v="546"/>
    <x v="1"/>
  </r>
  <r>
    <x v="1899"/>
    <x v="1894"/>
    <x v="350"/>
    <x v="1"/>
    <x v="1"/>
    <x v="1"/>
    <x v="1"/>
    <x v="377"/>
    <x v="130"/>
    <x v="112"/>
    <x v="141"/>
    <x v="6"/>
    <x v="359"/>
    <x v="0"/>
    <x v="0"/>
    <x v="1644"/>
    <x v="1763"/>
    <x v="334"/>
    <x v="1752"/>
    <x v="1364"/>
    <x v="0"/>
    <x v="0"/>
    <x v="0"/>
    <x v="0"/>
    <x v="460"/>
    <x v="1"/>
  </r>
  <r>
    <x v="1900"/>
    <x v="1895"/>
    <x v="324"/>
    <x v="0"/>
    <x v="6"/>
    <x v="6"/>
    <x v="3"/>
    <x v="214"/>
    <x v="68"/>
    <x v="122"/>
    <x v="45"/>
    <x v="6"/>
    <x v="917"/>
    <x v="4"/>
    <x v="925"/>
    <x v="1645"/>
    <x v="1764"/>
    <x v="403"/>
    <x v="1753"/>
    <x v="1612"/>
    <x v="0"/>
    <x v="0"/>
    <x v="0"/>
    <x v="0"/>
    <x v="312"/>
    <x v="1"/>
  </r>
  <r>
    <x v="1901"/>
    <x v="1896"/>
    <x v="45"/>
    <x v="1"/>
    <x v="11"/>
    <x v="11"/>
    <x v="1"/>
    <x v="272"/>
    <x v="124"/>
    <x v="41"/>
    <x v="35"/>
    <x v="6"/>
    <x v="222"/>
    <x v="4"/>
    <x v="181"/>
    <x v="1646"/>
    <x v="1765"/>
    <x v="805"/>
    <x v="1754"/>
    <x v="1613"/>
    <x v="3"/>
    <x v="0"/>
    <x v="0"/>
    <x v="0"/>
    <x v="725"/>
    <x v="0"/>
  </r>
  <r>
    <x v="1902"/>
    <x v="1897"/>
    <x v="105"/>
    <x v="0"/>
    <x v="6"/>
    <x v="6"/>
    <x v="3"/>
    <x v="274"/>
    <x v="11"/>
    <x v="91"/>
    <x v="110"/>
    <x v="5"/>
    <x v="918"/>
    <x v="0"/>
    <x v="0"/>
    <x v="1647"/>
    <x v="1766"/>
    <x v="11"/>
    <x v="1755"/>
    <x v="1614"/>
    <x v="3"/>
    <x v="0"/>
    <x v="0"/>
    <x v="1"/>
    <x v="363"/>
    <x v="0"/>
  </r>
  <r>
    <x v="1903"/>
    <x v="1898"/>
    <x v="87"/>
    <x v="0"/>
    <x v="10"/>
    <x v="10"/>
    <x v="3"/>
    <x v="300"/>
    <x v="56"/>
    <x v="92"/>
    <x v="300"/>
    <x v="2"/>
    <x v="64"/>
    <x v="0"/>
    <x v="0"/>
    <x v="308"/>
    <x v="1767"/>
    <x v="203"/>
    <x v="1756"/>
    <x v="887"/>
    <x v="2"/>
    <x v="0"/>
    <x v="0"/>
    <x v="2"/>
    <x v="554"/>
    <x v="0"/>
  </r>
  <r>
    <x v="1904"/>
    <x v="1899"/>
    <x v="102"/>
    <x v="0"/>
    <x v="8"/>
    <x v="8"/>
    <x v="3"/>
    <x v="54"/>
    <x v="96"/>
    <x v="8"/>
    <x v="8"/>
    <x v="7"/>
    <x v="919"/>
    <x v="4"/>
    <x v="926"/>
    <x v="1648"/>
    <x v="1768"/>
    <x v="785"/>
    <x v="1757"/>
    <x v="1615"/>
    <x v="4"/>
    <x v="0"/>
    <x v="0"/>
    <x v="2"/>
    <x v="447"/>
    <x v="1"/>
  </r>
  <r>
    <x v="1905"/>
    <x v="1900"/>
    <x v="35"/>
    <x v="0"/>
    <x v="8"/>
    <x v="8"/>
    <x v="3"/>
    <x v="386"/>
    <x v="15"/>
    <x v="128"/>
    <x v="232"/>
    <x v="4"/>
    <x v="920"/>
    <x v="3"/>
    <x v="927"/>
    <x v="1649"/>
    <x v="1769"/>
    <x v="181"/>
    <x v="1758"/>
    <x v="1616"/>
    <x v="1"/>
    <x v="0"/>
    <x v="0"/>
    <x v="0"/>
    <x v="584"/>
    <x v="1"/>
  </r>
  <r>
    <x v="1906"/>
    <x v="1901"/>
    <x v="289"/>
    <x v="1"/>
    <x v="1"/>
    <x v="1"/>
    <x v="1"/>
    <x v="430"/>
    <x v="66"/>
    <x v="61"/>
    <x v="108"/>
    <x v="6"/>
    <x v="921"/>
    <x v="0"/>
    <x v="0"/>
    <x v="1650"/>
    <x v="1770"/>
    <x v="136"/>
    <x v="1759"/>
    <x v="1617"/>
    <x v="0"/>
    <x v="0"/>
    <x v="0"/>
    <x v="0"/>
    <x v="148"/>
    <x v="1"/>
  </r>
  <r>
    <x v="1907"/>
    <x v="1902"/>
    <x v="26"/>
    <x v="0"/>
    <x v="8"/>
    <x v="8"/>
    <x v="3"/>
    <x v="595"/>
    <x v="116"/>
    <x v="133"/>
    <x v="318"/>
    <x v="0"/>
    <x v="178"/>
    <x v="0"/>
    <x v="0"/>
    <x v="1651"/>
    <x v="1771"/>
    <x v="637"/>
    <x v="1760"/>
    <x v="1618"/>
    <x v="4"/>
    <x v="0"/>
    <x v="0"/>
    <x v="0"/>
    <x v="508"/>
    <x v="0"/>
  </r>
  <r>
    <x v="1908"/>
    <x v="1903"/>
    <x v="62"/>
    <x v="0"/>
    <x v="10"/>
    <x v="10"/>
    <x v="3"/>
    <x v="380"/>
    <x v="64"/>
    <x v="72"/>
    <x v="85"/>
    <x v="1"/>
    <x v="74"/>
    <x v="3"/>
    <x v="420"/>
    <x v="1652"/>
    <x v="1772"/>
    <x v="355"/>
    <x v="1761"/>
    <x v="1619"/>
    <x v="3"/>
    <x v="0"/>
    <x v="0"/>
    <x v="0"/>
    <x v="114"/>
    <x v="1"/>
  </r>
  <r>
    <x v="1909"/>
    <x v="1904"/>
    <x v="111"/>
    <x v="0"/>
    <x v="10"/>
    <x v="10"/>
    <x v="3"/>
    <x v="616"/>
    <x v="56"/>
    <x v="80"/>
    <x v="290"/>
    <x v="4"/>
    <x v="64"/>
    <x v="0"/>
    <x v="0"/>
    <x v="1108"/>
    <x v="1170"/>
    <x v="717"/>
    <x v="1160"/>
    <x v="304"/>
    <x v="0"/>
    <x v="0"/>
    <x v="0"/>
    <x v="2"/>
    <x v="332"/>
    <x v="1"/>
  </r>
  <r>
    <x v="1910"/>
    <x v="1905"/>
    <x v="116"/>
    <x v="0"/>
    <x v="8"/>
    <x v="8"/>
    <x v="3"/>
    <x v="274"/>
    <x v="68"/>
    <x v="38"/>
    <x v="335"/>
    <x v="3"/>
    <x v="922"/>
    <x v="0"/>
    <x v="0"/>
    <x v="1653"/>
    <x v="1773"/>
    <x v="581"/>
    <x v="1762"/>
    <x v="1620"/>
    <x v="2"/>
    <x v="0"/>
    <x v="0"/>
    <x v="2"/>
    <x v="97"/>
    <x v="1"/>
  </r>
  <r>
    <x v="1911"/>
    <x v="1906"/>
    <x v="160"/>
    <x v="0"/>
    <x v="2"/>
    <x v="2"/>
    <x v="2"/>
    <x v="550"/>
    <x v="91"/>
    <x v="102"/>
    <x v="128"/>
    <x v="5"/>
    <x v="923"/>
    <x v="1"/>
    <x v="928"/>
    <x v="1654"/>
    <x v="1774"/>
    <x v="550"/>
    <x v="1763"/>
    <x v="1621"/>
    <x v="4"/>
    <x v="0"/>
    <x v="0"/>
    <x v="2"/>
    <x v="240"/>
    <x v="0"/>
  </r>
  <r>
    <x v="1912"/>
    <x v="1907"/>
    <x v="81"/>
    <x v="0"/>
    <x v="10"/>
    <x v="10"/>
    <x v="3"/>
    <x v="253"/>
    <x v="52"/>
    <x v="35"/>
    <x v="36"/>
    <x v="7"/>
    <x v="924"/>
    <x v="0"/>
    <x v="0"/>
    <x v="1655"/>
    <x v="1775"/>
    <x v="404"/>
    <x v="1764"/>
    <x v="1622"/>
    <x v="2"/>
    <x v="0"/>
    <x v="0"/>
    <x v="1"/>
    <x v="213"/>
    <x v="0"/>
  </r>
  <r>
    <x v="1913"/>
    <x v="1908"/>
    <x v="266"/>
    <x v="0"/>
    <x v="6"/>
    <x v="6"/>
    <x v="3"/>
    <x v="185"/>
    <x v="25"/>
    <x v="8"/>
    <x v="8"/>
    <x v="3"/>
    <x v="925"/>
    <x v="1"/>
    <x v="929"/>
    <x v="1656"/>
    <x v="1776"/>
    <x v="91"/>
    <x v="1765"/>
    <x v="1623"/>
    <x v="5"/>
    <x v="0"/>
    <x v="0"/>
    <x v="0"/>
    <x v="483"/>
    <x v="0"/>
  </r>
  <r>
    <x v="1914"/>
    <x v="1909"/>
    <x v="134"/>
    <x v="1"/>
    <x v="7"/>
    <x v="7"/>
    <x v="1"/>
    <x v="108"/>
    <x v="137"/>
    <x v="4"/>
    <x v="29"/>
    <x v="5"/>
    <x v="926"/>
    <x v="2"/>
    <x v="930"/>
    <x v="1657"/>
    <x v="1777"/>
    <x v="807"/>
    <x v="1766"/>
    <x v="1624"/>
    <x v="3"/>
    <x v="0"/>
    <x v="0"/>
    <x v="0"/>
    <x v="33"/>
    <x v="1"/>
  </r>
  <r>
    <x v="1915"/>
    <x v="1910"/>
    <x v="110"/>
    <x v="1"/>
    <x v="1"/>
    <x v="1"/>
    <x v="1"/>
    <x v="165"/>
    <x v="91"/>
    <x v="75"/>
    <x v="174"/>
    <x v="5"/>
    <x v="927"/>
    <x v="0"/>
    <x v="0"/>
    <x v="1658"/>
    <x v="1778"/>
    <x v="550"/>
    <x v="1767"/>
    <x v="1625"/>
    <x v="1"/>
    <x v="0"/>
    <x v="0"/>
    <x v="0"/>
    <x v="191"/>
    <x v="0"/>
  </r>
  <r>
    <x v="1916"/>
    <x v="1911"/>
    <x v="352"/>
    <x v="1"/>
    <x v="1"/>
    <x v="1"/>
    <x v="1"/>
    <x v="525"/>
    <x v="84"/>
    <x v="22"/>
    <x v="22"/>
    <x v="6"/>
    <x v="109"/>
    <x v="0"/>
    <x v="0"/>
    <x v="1659"/>
    <x v="1779"/>
    <x v="119"/>
    <x v="1768"/>
    <x v="364"/>
    <x v="5"/>
    <x v="0"/>
    <x v="0"/>
    <x v="2"/>
    <x v="726"/>
    <x v="1"/>
  </r>
  <r>
    <x v="1917"/>
    <x v="1912"/>
    <x v="332"/>
    <x v="0"/>
    <x v="9"/>
    <x v="9"/>
    <x v="0"/>
    <x v="362"/>
    <x v="51"/>
    <x v="70"/>
    <x v="80"/>
    <x v="2"/>
    <x v="161"/>
    <x v="0"/>
    <x v="0"/>
    <x v="221"/>
    <x v="849"/>
    <x v="59"/>
    <x v="845"/>
    <x v="204"/>
    <x v="4"/>
    <x v="0"/>
    <x v="0"/>
    <x v="0"/>
    <x v="687"/>
    <x v="1"/>
  </r>
  <r>
    <x v="1918"/>
    <x v="1913"/>
    <x v="97"/>
    <x v="0"/>
    <x v="4"/>
    <x v="4"/>
    <x v="2"/>
    <x v="285"/>
    <x v="125"/>
    <x v="44"/>
    <x v="47"/>
    <x v="7"/>
    <x v="928"/>
    <x v="2"/>
    <x v="931"/>
    <x v="1660"/>
    <x v="1780"/>
    <x v="813"/>
    <x v="1769"/>
    <x v="1626"/>
    <x v="2"/>
    <x v="0"/>
    <x v="0"/>
    <x v="0"/>
    <x v="639"/>
    <x v="1"/>
  </r>
  <r>
    <x v="1919"/>
    <x v="1914"/>
    <x v="78"/>
    <x v="0"/>
    <x v="8"/>
    <x v="8"/>
    <x v="3"/>
    <x v="304"/>
    <x v="76"/>
    <x v="6"/>
    <x v="154"/>
    <x v="1"/>
    <x v="418"/>
    <x v="0"/>
    <x v="0"/>
    <x v="1123"/>
    <x v="1186"/>
    <x v="725"/>
    <x v="1176"/>
    <x v="696"/>
    <x v="4"/>
    <x v="0"/>
    <x v="0"/>
    <x v="0"/>
    <x v="427"/>
    <x v="1"/>
  </r>
  <r>
    <x v="1920"/>
    <x v="1915"/>
    <x v="28"/>
    <x v="0"/>
    <x v="9"/>
    <x v="9"/>
    <x v="0"/>
    <x v="490"/>
    <x v="50"/>
    <x v="139"/>
    <x v="221"/>
    <x v="0"/>
    <x v="57"/>
    <x v="3"/>
    <x v="932"/>
    <x v="1216"/>
    <x v="1781"/>
    <x v="58"/>
    <x v="1770"/>
    <x v="1627"/>
    <x v="4"/>
    <x v="0"/>
    <x v="0"/>
    <x v="0"/>
    <x v="380"/>
    <x v="1"/>
  </r>
  <r>
    <x v="1921"/>
    <x v="1916"/>
    <x v="329"/>
    <x v="1"/>
    <x v="7"/>
    <x v="7"/>
    <x v="1"/>
    <x v="324"/>
    <x v="33"/>
    <x v="81"/>
    <x v="95"/>
    <x v="6"/>
    <x v="241"/>
    <x v="4"/>
    <x v="933"/>
    <x v="1661"/>
    <x v="1782"/>
    <x v="524"/>
    <x v="1771"/>
    <x v="1628"/>
    <x v="3"/>
    <x v="0"/>
    <x v="0"/>
    <x v="0"/>
    <x v="393"/>
    <x v="0"/>
  </r>
  <r>
    <x v="1922"/>
    <x v="1917"/>
    <x v="168"/>
    <x v="0"/>
    <x v="6"/>
    <x v="6"/>
    <x v="3"/>
    <x v="179"/>
    <x v="122"/>
    <x v="41"/>
    <x v="328"/>
    <x v="2"/>
    <x v="929"/>
    <x v="2"/>
    <x v="934"/>
    <x v="1662"/>
    <x v="1783"/>
    <x v="439"/>
    <x v="1772"/>
    <x v="1629"/>
    <x v="5"/>
    <x v="0"/>
    <x v="0"/>
    <x v="0"/>
    <x v="692"/>
    <x v="0"/>
  </r>
  <r>
    <x v="1923"/>
    <x v="1918"/>
    <x v="289"/>
    <x v="1"/>
    <x v="1"/>
    <x v="1"/>
    <x v="1"/>
    <x v="233"/>
    <x v="54"/>
    <x v="69"/>
    <x v="79"/>
    <x v="4"/>
    <x v="111"/>
    <x v="0"/>
    <x v="0"/>
    <x v="1663"/>
    <x v="1784"/>
    <x v="74"/>
    <x v="1773"/>
    <x v="122"/>
    <x v="2"/>
    <x v="0"/>
    <x v="0"/>
    <x v="0"/>
    <x v="414"/>
    <x v="1"/>
  </r>
  <r>
    <x v="1924"/>
    <x v="1919"/>
    <x v="123"/>
    <x v="0"/>
    <x v="8"/>
    <x v="8"/>
    <x v="3"/>
    <x v="617"/>
    <x v="63"/>
    <x v="41"/>
    <x v="328"/>
    <x v="0"/>
    <x v="187"/>
    <x v="4"/>
    <x v="935"/>
    <x v="1664"/>
    <x v="1785"/>
    <x v="866"/>
    <x v="1774"/>
    <x v="1630"/>
    <x v="4"/>
    <x v="0"/>
    <x v="0"/>
    <x v="0"/>
    <x v="420"/>
    <x v="1"/>
  </r>
  <r>
    <x v="1925"/>
    <x v="1920"/>
    <x v="80"/>
    <x v="0"/>
    <x v="8"/>
    <x v="8"/>
    <x v="3"/>
    <x v="551"/>
    <x v="54"/>
    <x v="0"/>
    <x v="336"/>
    <x v="6"/>
    <x v="111"/>
    <x v="3"/>
    <x v="936"/>
    <x v="1665"/>
    <x v="1786"/>
    <x v="122"/>
    <x v="1775"/>
    <x v="1631"/>
    <x v="3"/>
    <x v="0"/>
    <x v="0"/>
    <x v="0"/>
    <x v="471"/>
    <x v="0"/>
  </r>
  <r>
    <x v="1926"/>
    <x v="1921"/>
    <x v="252"/>
    <x v="0"/>
    <x v="6"/>
    <x v="6"/>
    <x v="3"/>
    <x v="67"/>
    <x v="44"/>
    <x v="104"/>
    <x v="221"/>
    <x v="5"/>
    <x v="930"/>
    <x v="0"/>
    <x v="0"/>
    <x v="1666"/>
    <x v="1787"/>
    <x v="448"/>
    <x v="1776"/>
    <x v="1632"/>
    <x v="0"/>
    <x v="0"/>
    <x v="0"/>
    <x v="0"/>
    <x v="578"/>
    <x v="1"/>
  </r>
  <r>
    <x v="1927"/>
    <x v="1922"/>
    <x v="302"/>
    <x v="0"/>
    <x v="2"/>
    <x v="2"/>
    <x v="2"/>
    <x v="342"/>
    <x v="103"/>
    <x v="112"/>
    <x v="141"/>
    <x v="1"/>
    <x v="224"/>
    <x v="0"/>
    <x v="0"/>
    <x v="305"/>
    <x v="309"/>
    <x v="271"/>
    <x v="305"/>
    <x v="301"/>
    <x v="5"/>
    <x v="0"/>
    <x v="0"/>
    <x v="0"/>
    <x v="176"/>
    <x v="1"/>
  </r>
  <r>
    <x v="1928"/>
    <x v="1923"/>
    <x v="96"/>
    <x v="0"/>
    <x v="3"/>
    <x v="3"/>
    <x v="2"/>
    <x v="179"/>
    <x v="13"/>
    <x v="48"/>
    <x v="90"/>
    <x v="4"/>
    <x v="931"/>
    <x v="2"/>
    <x v="937"/>
    <x v="1667"/>
    <x v="1788"/>
    <x v="847"/>
    <x v="1777"/>
    <x v="1633"/>
    <x v="1"/>
    <x v="0"/>
    <x v="0"/>
    <x v="0"/>
    <x v="246"/>
    <x v="0"/>
  </r>
  <r>
    <x v="1929"/>
    <x v="1924"/>
    <x v="30"/>
    <x v="0"/>
    <x v="6"/>
    <x v="6"/>
    <x v="3"/>
    <x v="601"/>
    <x v="104"/>
    <x v="38"/>
    <x v="321"/>
    <x v="6"/>
    <x v="202"/>
    <x v="0"/>
    <x v="0"/>
    <x v="1668"/>
    <x v="1789"/>
    <x v="292"/>
    <x v="1778"/>
    <x v="1634"/>
    <x v="1"/>
    <x v="0"/>
    <x v="0"/>
    <x v="0"/>
    <x v="278"/>
    <x v="0"/>
  </r>
  <r>
    <x v="1930"/>
    <x v="1925"/>
    <x v="284"/>
    <x v="0"/>
    <x v="10"/>
    <x v="10"/>
    <x v="3"/>
    <x v="359"/>
    <x v="61"/>
    <x v="144"/>
    <x v="197"/>
    <x v="6"/>
    <x v="932"/>
    <x v="2"/>
    <x v="938"/>
    <x v="1669"/>
    <x v="1790"/>
    <x v="256"/>
    <x v="1779"/>
    <x v="1635"/>
    <x v="1"/>
    <x v="0"/>
    <x v="0"/>
    <x v="0"/>
    <x v="637"/>
    <x v="1"/>
  </r>
  <r>
    <x v="1931"/>
    <x v="1926"/>
    <x v="185"/>
    <x v="0"/>
    <x v="8"/>
    <x v="8"/>
    <x v="3"/>
    <x v="94"/>
    <x v="145"/>
    <x v="169"/>
    <x v="166"/>
    <x v="5"/>
    <x v="933"/>
    <x v="2"/>
    <x v="939"/>
    <x v="1670"/>
    <x v="1791"/>
    <x v="867"/>
    <x v="1780"/>
    <x v="1636"/>
    <x v="4"/>
    <x v="0"/>
    <x v="0"/>
    <x v="2"/>
    <x v="431"/>
    <x v="1"/>
  </r>
  <r>
    <x v="1932"/>
    <x v="1927"/>
    <x v="164"/>
    <x v="0"/>
    <x v="6"/>
    <x v="6"/>
    <x v="3"/>
    <x v="359"/>
    <x v="149"/>
    <x v="7"/>
    <x v="274"/>
    <x v="2"/>
    <x v="934"/>
    <x v="0"/>
    <x v="0"/>
    <x v="1671"/>
    <x v="1792"/>
    <x v="868"/>
    <x v="1781"/>
    <x v="1637"/>
    <x v="5"/>
    <x v="0"/>
    <x v="0"/>
    <x v="0"/>
    <x v="524"/>
    <x v="1"/>
  </r>
  <r>
    <x v="1933"/>
    <x v="1928"/>
    <x v="222"/>
    <x v="0"/>
    <x v="3"/>
    <x v="3"/>
    <x v="2"/>
    <x v="552"/>
    <x v="5"/>
    <x v="114"/>
    <x v="250"/>
    <x v="2"/>
    <x v="110"/>
    <x v="2"/>
    <x v="940"/>
    <x v="1672"/>
    <x v="1793"/>
    <x v="428"/>
    <x v="1782"/>
    <x v="1638"/>
    <x v="1"/>
    <x v="0"/>
    <x v="0"/>
    <x v="0"/>
    <x v="727"/>
    <x v="1"/>
  </r>
  <r>
    <x v="1934"/>
    <x v="1929"/>
    <x v="71"/>
    <x v="1"/>
    <x v="11"/>
    <x v="11"/>
    <x v="1"/>
    <x v="618"/>
    <x v="22"/>
    <x v="74"/>
    <x v="325"/>
    <x v="0"/>
    <x v="23"/>
    <x v="0"/>
    <x v="0"/>
    <x v="1673"/>
    <x v="1794"/>
    <x v="393"/>
    <x v="935"/>
    <x v="1639"/>
    <x v="5"/>
    <x v="0"/>
    <x v="0"/>
    <x v="0"/>
    <x v="128"/>
    <x v="0"/>
  </r>
  <r>
    <x v="1935"/>
    <x v="1930"/>
    <x v="102"/>
    <x v="0"/>
    <x v="8"/>
    <x v="8"/>
    <x v="3"/>
    <x v="165"/>
    <x v="38"/>
    <x v="56"/>
    <x v="186"/>
    <x v="7"/>
    <x v="935"/>
    <x v="2"/>
    <x v="941"/>
    <x v="1674"/>
    <x v="1795"/>
    <x v="288"/>
    <x v="1783"/>
    <x v="1640"/>
    <x v="5"/>
    <x v="1"/>
    <x v="1"/>
    <x v="2"/>
    <x v="711"/>
    <x v="1"/>
  </r>
  <r>
    <x v="1936"/>
    <x v="1931"/>
    <x v="131"/>
    <x v="0"/>
    <x v="6"/>
    <x v="6"/>
    <x v="3"/>
    <x v="476"/>
    <x v="37"/>
    <x v="35"/>
    <x v="36"/>
    <x v="6"/>
    <x v="99"/>
    <x v="4"/>
    <x v="913"/>
    <x v="1675"/>
    <x v="1796"/>
    <x v="158"/>
    <x v="1784"/>
    <x v="1641"/>
    <x v="0"/>
    <x v="0"/>
    <x v="0"/>
    <x v="0"/>
    <x v="301"/>
    <x v="0"/>
  </r>
  <r>
    <x v="1937"/>
    <x v="1932"/>
    <x v="197"/>
    <x v="0"/>
    <x v="10"/>
    <x v="10"/>
    <x v="3"/>
    <x v="74"/>
    <x v="22"/>
    <x v="22"/>
    <x v="22"/>
    <x v="5"/>
    <x v="936"/>
    <x v="2"/>
    <x v="942"/>
    <x v="1676"/>
    <x v="1797"/>
    <x v="431"/>
    <x v="1785"/>
    <x v="1642"/>
    <x v="2"/>
    <x v="0"/>
    <x v="0"/>
    <x v="0"/>
    <x v="444"/>
    <x v="1"/>
  </r>
  <r>
    <x v="1938"/>
    <x v="1933"/>
    <x v="257"/>
    <x v="0"/>
    <x v="3"/>
    <x v="3"/>
    <x v="2"/>
    <x v="181"/>
    <x v="93"/>
    <x v="83"/>
    <x v="277"/>
    <x v="2"/>
    <x v="323"/>
    <x v="3"/>
    <x v="943"/>
    <x v="1677"/>
    <x v="1798"/>
    <x v="842"/>
    <x v="1786"/>
    <x v="1643"/>
    <x v="4"/>
    <x v="0"/>
    <x v="0"/>
    <x v="0"/>
    <x v="523"/>
    <x v="1"/>
  </r>
  <r>
    <x v="1939"/>
    <x v="1934"/>
    <x v="237"/>
    <x v="0"/>
    <x v="3"/>
    <x v="3"/>
    <x v="2"/>
    <x v="348"/>
    <x v="32"/>
    <x v="130"/>
    <x v="175"/>
    <x v="1"/>
    <x v="36"/>
    <x v="1"/>
    <x v="202"/>
    <x v="343"/>
    <x v="1799"/>
    <x v="325"/>
    <x v="1787"/>
    <x v="1644"/>
    <x v="4"/>
    <x v="0"/>
    <x v="0"/>
    <x v="0"/>
    <x v="431"/>
    <x v="0"/>
  </r>
  <r>
    <x v="1940"/>
    <x v="1935"/>
    <x v="79"/>
    <x v="1"/>
    <x v="1"/>
    <x v="1"/>
    <x v="1"/>
    <x v="310"/>
    <x v="105"/>
    <x v="165"/>
    <x v="269"/>
    <x v="6"/>
    <x v="119"/>
    <x v="0"/>
    <x v="0"/>
    <x v="1455"/>
    <x v="1800"/>
    <x v="395"/>
    <x v="1788"/>
    <x v="1645"/>
    <x v="3"/>
    <x v="0"/>
    <x v="0"/>
    <x v="0"/>
    <x v="728"/>
    <x v="0"/>
  </r>
  <r>
    <x v="1941"/>
    <x v="1936"/>
    <x v="194"/>
    <x v="0"/>
    <x v="8"/>
    <x v="8"/>
    <x v="3"/>
    <x v="392"/>
    <x v="9"/>
    <x v="143"/>
    <x v="200"/>
    <x v="6"/>
    <x v="937"/>
    <x v="0"/>
    <x v="0"/>
    <x v="1678"/>
    <x v="1801"/>
    <x v="434"/>
    <x v="1789"/>
    <x v="1646"/>
    <x v="2"/>
    <x v="0"/>
    <x v="0"/>
    <x v="0"/>
    <x v="579"/>
    <x v="1"/>
  </r>
  <r>
    <x v="1942"/>
    <x v="1937"/>
    <x v="87"/>
    <x v="0"/>
    <x v="10"/>
    <x v="10"/>
    <x v="3"/>
    <x v="392"/>
    <x v="94"/>
    <x v="27"/>
    <x v="107"/>
    <x v="7"/>
    <x v="938"/>
    <x v="0"/>
    <x v="0"/>
    <x v="1679"/>
    <x v="1802"/>
    <x v="579"/>
    <x v="1790"/>
    <x v="1647"/>
    <x v="3"/>
    <x v="0"/>
    <x v="0"/>
    <x v="0"/>
    <x v="604"/>
    <x v="0"/>
  </r>
  <r>
    <x v="1943"/>
    <x v="1938"/>
    <x v="290"/>
    <x v="1"/>
    <x v="1"/>
    <x v="1"/>
    <x v="1"/>
    <x v="103"/>
    <x v="104"/>
    <x v="102"/>
    <x v="128"/>
    <x v="6"/>
    <x v="939"/>
    <x v="2"/>
    <x v="944"/>
    <x v="1680"/>
    <x v="1803"/>
    <x v="292"/>
    <x v="1791"/>
    <x v="1648"/>
    <x v="5"/>
    <x v="0"/>
    <x v="0"/>
    <x v="0"/>
    <x v="729"/>
    <x v="1"/>
  </r>
  <r>
    <x v="1944"/>
    <x v="1939"/>
    <x v="78"/>
    <x v="0"/>
    <x v="8"/>
    <x v="8"/>
    <x v="3"/>
    <x v="94"/>
    <x v="27"/>
    <x v="86"/>
    <x v="102"/>
    <x v="5"/>
    <x v="940"/>
    <x v="0"/>
    <x v="0"/>
    <x v="1681"/>
    <x v="1804"/>
    <x v="754"/>
    <x v="1792"/>
    <x v="1649"/>
    <x v="5"/>
    <x v="0"/>
    <x v="0"/>
    <x v="1"/>
    <x v="386"/>
    <x v="1"/>
  </r>
  <r>
    <x v="1945"/>
    <x v="1940"/>
    <x v="41"/>
    <x v="1"/>
    <x v="11"/>
    <x v="11"/>
    <x v="1"/>
    <x v="188"/>
    <x v="128"/>
    <x v="1"/>
    <x v="1"/>
    <x v="3"/>
    <x v="941"/>
    <x v="0"/>
    <x v="0"/>
    <x v="1682"/>
    <x v="1805"/>
    <x v="303"/>
    <x v="1793"/>
    <x v="1650"/>
    <x v="0"/>
    <x v="0"/>
    <x v="0"/>
    <x v="1"/>
    <x v="145"/>
    <x v="0"/>
  </r>
  <r>
    <x v="1946"/>
    <x v="1941"/>
    <x v="16"/>
    <x v="0"/>
    <x v="6"/>
    <x v="6"/>
    <x v="3"/>
    <x v="265"/>
    <x v="54"/>
    <x v="161"/>
    <x v="254"/>
    <x v="4"/>
    <x v="111"/>
    <x v="4"/>
    <x v="945"/>
    <x v="1683"/>
    <x v="1806"/>
    <x v="74"/>
    <x v="1794"/>
    <x v="1651"/>
    <x v="0"/>
    <x v="0"/>
    <x v="0"/>
    <x v="0"/>
    <x v="198"/>
    <x v="0"/>
  </r>
  <r>
    <x v="1947"/>
    <x v="1942"/>
    <x v="91"/>
    <x v="1"/>
    <x v="1"/>
    <x v="1"/>
    <x v="1"/>
    <x v="619"/>
    <x v="11"/>
    <x v="21"/>
    <x v="54"/>
    <x v="1"/>
    <x v="87"/>
    <x v="0"/>
    <x v="0"/>
    <x v="947"/>
    <x v="992"/>
    <x v="202"/>
    <x v="985"/>
    <x v="854"/>
    <x v="0"/>
    <x v="0"/>
    <x v="0"/>
    <x v="0"/>
    <x v="23"/>
    <x v="1"/>
  </r>
  <r>
    <x v="1948"/>
    <x v="1943"/>
    <x v="127"/>
    <x v="0"/>
    <x v="5"/>
    <x v="5"/>
    <x v="0"/>
    <x v="601"/>
    <x v="44"/>
    <x v="132"/>
    <x v="109"/>
    <x v="4"/>
    <x v="242"/>
    <x v="3"/>
    <x v="558"/>
    <x v="983"/>
    <x v="1807"/>
    <x v="373"/>
    <x v="1795"/>
    <x v="1652"/>
    <x v="2"/>
    <x v="0"/>
    <x v="0"/>
    <x v="0"/>
    <x v="730"/>
    <x v="0"/>
  </r>
  <r>
    <x v="1949"/>
    <x v="1944"/>
    <x v="164"/>
    <x v="0"/>
    <x v="6"/>
    <x v="6"/>
    <x v="3"/>
    <x v="360"/>
    <x v="14"/>
    <x v="88"/>
    <x v="287"/>
    <x v="6"/>
    <x v="942"/>
    <x v="0"/>
    <x v="0"/>
    <x v="1684"/>
    <x v="1808"/>
    <x v="82"/>
    <x v="1796"/>
    <x v="1653"/>
    <x v="3"/>
    <x v="0"/>
    <x v="0"/>
    <x v="0"/>
    <x v="719"/>
    <x v="1"/>
  </r>
  <r>
    <x v="1950"/>
    <x v="1945"/>
    <x v="188"/>
    <x v="0"/>
    <x v="4"/>
    <x v="4"/>
    <x v="2"/>
    <x v="156"/>
    <x v="138"/>
    <x v="114"/>
    <x v="53"/>
    <x v="5"/>
    <x v="943"/>
    <x v="3"/>
    <x v="946"/>
    <x v="1685"/>
    <x v="1809"/>
    <x v="848"/>
    <x v="1797"/>
    <x v="1654"/>
    <x v="0"/>
    <x v="0"/>
    <x v="0"/>
    <x v="2"/>
    <x v="175"/>
    <x v="0"/>
  </r>
  <r>
    <x v="1951"/>
    <x v="1946"/>
    <x v="200"/>
    <x v="0"/>
    <x v="9"/>
    <x v="9"/>
    <x v="0"/>
    <x v="526"/>
    <x v="30"/>
    <x v="148"/>
    <x v="233"/>
    <x v="1"/>
    <x v="34"/>
    <x v="1"/>
    <x v="76"/>
    <x v="129"/>
    <x v="129"/>
    <x v="125"/>
    <x v="125"/>
    <x v="125"/>
    <x v="3"/>
    <x v="0"/>
    <x v="0"/>
    <x v="0"/>
    <x v="155"/>
    <x v="1"/>
  </r>
  <r>
    <x v="1952"/>
    <x v="1947"/>
    <x v="275"/>
    <x v="0"/>
    <x v="2"/>
    <x v="2"/>
    <x v="2"/>
    <x v="457"/>
    <x v="57"/>
    <x v="21"/>
    <x v="103"/>
    <x v="2"/>
    <x v="65"/>
    <x v="2"/>
    <x v="947"/>
    <x v="1686"/>
    <x v="1810"/>
    <x v="67"/>
    <x v="1798"/>
    <x v="817"/>
    <x v="4"/>
    <x v="0"/>
    <x v="0"/>
    <x v="0"/>
    <x v="495"/>
    <x v="1"/>
  </r>
  <r>
    <x v="1953"/>
    <x v="1948"/>
    <x v="227"/>
    <x v="0"/>
    <x v="8"/>
    <x v="8"/>
    <x v="3"/>
    <x v="393"/>
    <x v="102"/>
    <x v="84"/>
    <x v="160"/>
    <x v="0"/>
    <x v="136"/>
    <x v="0"/>
    <x v="0"/>
    <x v="592"/>
    <x v="610"/>
    <x v="473"/>
    <x v="606"/>
    <x v="584"/>
    <x v="5"/>
    <x v="0"/>
    <x v="0"/>
    <x v="2"/>
    <x v="51"/>
    <x v="1"/>
  </r>
  <r>
    <x v="1954"/>
    <x v="1949"/>
    <x v="358"/>
    <x v="1"/>
    <x v="11"/>
    <x v="11"/>
    <x v="1"/>
    <x v="338"/>
    <x v="37"/>
    <x v="95"/>
    <x v="88"/>
    <x v="6"/>
    <x v="99"/>
    <x v="2"/>
    <x v="101"/>
    <x v="169"/>
    <x v="1811"/>
    <x v="158"/>
    <x v="1799"/>
    <x v="1655"/>
    <x v="1"/>
    <x v="0"/>
    <x v="0"/>
    <x v="0"/>
    <x v="34"/>
    <x v="0"/>
  </r>
  <r>
    <x v="1955"/>
    <x v="1950"/>
    <x v="104"/>
    <x v="1"/>
    <x v="7"/>
    <x v="7"/>
    <x v="1"/>
    <x v="259"/>
    <x v="55"/>
    <x v="13"/>
    <x v="270"/>
    <x v="1"/>
    <x v="362"/>
    <x v="4"/>
    <x v="948"/>
    <x v="1687"/>
    <x v="1812"/>
    <x v="768"/>
    <x v="1800"/>
    <x v="1656"/>
    <x v="3"/>
    <x v="0"/>
    <x v="0"/>
    <x v="0"/>
    <x v="384"/>
    <x v="0"/>
  </r>
  <r>
    <x v="1956"/>
    <x v="1951"/>
    <x v="35"/>
    <x v="0"/>
    <x v="8"/>
    <x v="8"/>
    <x v="3"/>
    <x v="317"/>
    <x v="113"/>
    <x v="86"/>
    <x v="116"/>
    <x v="1"/>
    <x v="166"/>
    <x v="0"/>
    <x v="0"/>
    <x v="1606"/>
    <x v="1813"/>
    <x v="869"/>
    <x v="1750"/>
    <x v="490"/>
    <x v="4"/>
    <x v="0"/>
    <x v="0"/>
    <x v="0"/>
    <x v="300"/>
    <x v="1"/>
  </r>
  <r>
    <x v="1957"/>
    <x v="1952"/>
    <x v="277"/>
    <x v="0"/>
    <x v="2"/>
    <x v="2"/>
    <x v="2"/>
    <x v="423"/>
    <x v="54"/>
    <x v="52"/>
    <x v="289"/>
    <x v="6"/>
    <x v="111"/>
    <x v="0"/>
    <x v="0"/>
    <x v="126"/>
    <x v="126"/>
    <x v="122"/>
    <x v="122"/>
    <x v="122"/>
    <x v="1"/>
    <x v="0"/>
    <x v="0"/>
    <x v="0"/>
    <x v="634"/>
    <x v="1"/>
  </r>
  <r>
    <x v="1958"/>
    <x v="1953"/>
    <x v="291"/>
    <x v="0"/>
    <x v="8"/>
    <x v="8"/>
    <x v="3"/>
    <x v="85"/>
    <x v="52"/>
    <x v="141"/>
    <x v="315"/>
    <x v="3"/>
    <x v="944"/>
    <x v="2"/>
    <x v="949"/>
    <x v="1688"/>
    <x v="1814"/>
    <x v="870"/>
    <x v="1801"/>
    <x v="1657"/>
    <x v="3"/>
    <x v="0"/>
    <x v="0"/>
    <x v="2"/>
    <x v="431"/>
    <x v="1"/>
  </r>
  <r>
    <x v="1959"/>
    <x v="1954"/>
    <x v="221"/>
    <x v="0"/>
    <x v="5"/>
    <x v="5"/>
    <x v="0"/>
    <x v="369"/>
    <x v="105"/>
    <x v="46"/>
    <x v="138"/>
    <x v="0"/>
    <x v="119"/>
    <x v="3"/>
    <x v="950"/>
    <x v="1689"/>
    <x v="1815"/>
    <x v="820"/>
    <x v="1802"/>
    <x v="1658"/>
    <x v="3"/>
    <x v="0"/>
    <x v="0"/>
    <x v="0"/>
    <x v="136"/>
    <x v="0"/>
  </r>
  <r>
    <x v="1960"/>
    <x v="1955"/>
    <x v="132"/>
    <x v="1"/>
    <x v="1"/>
    <x v="1"/>
    <x v="1"/>
    <x v="89"/>
    <x v="54"/>
    <x v="115"/>
    <x v="247"/>
    <x v="7"/>
    <x v="945"/>
    <x v="4"/>
    <x v="951"/>
    <x v="1690"/>
    <x v="1816"/>
    <x v="871"/>
    <x v="1803"/>
    <x v="1659"/>
    <x v="0"/>
    <x v="0"/>
    <x v="0"/>
    <x v="0"/>
    <x v="731"/>
    <x v="0"/>
  </r>
  <r>
    <x v="1961"/>
    <x v="1956"/>
    <x v="340"/>
    <x v="1"/>
    <x v="1"/>
    <x v="1"/>
    <x v="1"/>
    <x v="440"/>
    <x v="111"/>
    <x v="156"/>
    <x v="168"/>
    <x v="4"/>
    <x v="268"/>
    <x v="0"/>
    <x v="0"/>
    <x v="1691"/>
    <x v="1817"/>
    <x v="398"/>
    <x v="1804"/>
    <x v="869"/>
    <x v="4"/>
    <x v="0"/>
    <x v="0"/>
    <x v="0"/>
    <x v="8"/>
    <x v="1"/>
  </r>
  <r>
    <x v="1962"/>
    <x v="1957"/>
    <x v="105"/>
    <x v="0"/>
    <x v="6"/>
    <x v="6"/>
    <x v="3"/>
    <x v="232"/>
    <x v="148"/>
    <x v="136"/>
    <x v="142"/>
    <x v="7"/>
    <x v="946"/>
    <x v="3"/>
    <x v="952"/>
    <x v="1692"/>
    <x v="1818"/>
    <x v="872"/>
    <x v="1805"/>
    <x v="1660"/>
    <x v="0"/>
    <x v="0"/>
    <x v="0"/>
    <x v="1"/>
    <x v="318"/>
    <x v="0"/>
  </r>
  <r>
    <x v="1963"/>
    <x v="1958"/>
    <x v="30"/>
    <x v="0"/>
    <x v="6"/>
    <x v="6"/>
    <x v="3"/>
    <x v="213"/>
    <x v="63"/>
    <x v="8"/>
    <x v="8"/>
    <x v="2"/>
    <x v="187"/>
    <x v="3"/>
    <x v="535"/>
    <x v="1693"/>
    <x v="1819"/>
    <x v="873"/>
    <x v="1806"/>
    <x v="1661"/>
    <x v="0"/>
    <x v="0"/>
    <x v="0"/>
    <x v="0"/>
    <x v="447"/>
    <x v="0"/>
  </r>
  <r>
    <x v="1964"/>
    <x v="1959"/>
    <x v="59"/>
    <x v="1"/>
    <x v="11"/>
    <x v="11"/>
    <x v="1"/>
    <x v="469"/>
    <x v="15"/>
    <x v="45"/>
    <x v="227"/>
    <x v="6"/>
    <x v="15"/>
    <x v="4"/>
    <x v="334"/>
    <x v="1694"/>
    <x v="1820"/>
    <x v="459"/>
    <x v="1807"/>
    <x v="1662"/>
    <x v="5"/>
    <x v="0"/>
    <x v="0"/>
    <x v="0"/>
    <x v="435"/>
    <x v="0"/>
  </r>
  <r>
    <x v="1965"/>
    <x v="1960"/>
    <x v="59"/>
    <x v="1"/>
    <x v="11"/>
    <x v="11"/>
    <x v="1"/>
    <x v="246"/>
    <x v="124"/>
    <x v="32"/>
    <x v="34"/>
    <x v="6"/>
    <x v="222"/>
    <x v="0"/>
    <x v="0"/>
    <x v="1695"/>
    <x v="1821"/>
    <x v="805"/>
    <x v="1808"/>
    <x v="1663"/>
    <x v="1"/>
    <x v="0"/>
    <x v="0"/>
    <x v="0"/>
    <x v="122"/>
    <x v="0"/>
  </r>
  <r>
    <x v="1966"/>
    <x v="1961"/>
    <x v="63"/>
    <x v="0"/>
    <x v="9"/>
    <x v="9"/>
    <x v="0"/>
    <x v="285"/>
    <x v="48"/>
    <x v="111"/>
    <x v="337"/>
    <x v="4"/>
    <x v="947"/>
    <x v="3"/>
    <x v="953"/>
    <x v="1696"/>
    <x v="1822"/>
    <x v="817"/>
    <x v="1809"/>
    <x v="1664"/>
    <x v="1"/>
    <x v="0"/>
    <x v="0"/>
    <x v="0"/>
    <x v="531"/>
    <x v="0"/>
  </r>
  <r>
    <x v="1967"/>
    <x v="1962"/>
    <x v="82"/>
    <x v="0"/>
    <x v="4"/>
    <x v="4"/>
    <x v="2"/>
    <x v="464"/>
    <x v="109"/>
    <x v="16"/>
    <x v="62"/>
    <x v="2"/>
    <x v="948"/>
    <x v="3"/>
    <x v="954"/>
    <x v="1697"/>
    <x v="190"/>
    <x v="227"/>
    <x v="1810"/>
    <x v="186"/>
    <x v="3"/>
    <x v="0"/>
    <x v="0"/>
    <x v="1"/>
    <x v="123"/>
    <x v="0"/>
  </r>
  <r>
    <x v="1968"/>
    <x v="1963"/>
    <x v="1"/>
    <x v="1"/>
    <x v="1"/>
    <x v="1"/>
    <x v="1"/>
    <x v="321"/>
    <x v="74"/>
    <x v="80"/>
    <x v="193"/>
    <x v="5"/>
    <x v="949"/>
    <x v="0"/>
    <x v="0"/>
    <x v="691"/>
    <x v="1823"/>
    <x v="789"/>
    <x v="1811"/>
    <x v="1665"/>
    <x v="5"/>
    <x v="0"/>
    <x v="0"/>
    <x v="0"/>
    <x v="518"/>
    <x v="0"/>
  </r>
  <r>
    <x v="1969"/>
    <x v="636"/>
    <x v="196"/>
    <x v="0"/>
    <x v="5"/>
    <x v="5"/>
    <x v="0"/>
    <x v="591"/>
    <x v="35"/>
    <x v="17"/>
    <x v="246"/>
    <x v="2"/>
    <x v="229"/>
    <x v="0"/>
    <x v="0"/>
    <x v="312"/>
    <x v="316"/>
    <x v="275"/>
    <x v="312"/>
    <x v="308"/>
    <x v="1"/>
    <x v="0"/>
    <x v="0"/>
    <x v="0"/>
    <x v="250"/>
    <x v="0"/>
  </r>
  <r>
    <x v="1970"/>
    <x v="1964"/>
    <x v="162"/>
    <x v="0"/>
    <x v="8"/>
    <x v="8"/>
    <x v="3"/>
    <x v="608"/>
    <x v="110"/>
    <x v="137"/>
    <x v="189"/>
    <x v="7"/>
    <x v="950"/>
    <x v="1"/>
    <x v="955"/>
    <x v="1698"/>
    <x v="1824"/>
    <x v="874"/>
    <x v="1812"/>
    <x v="1666"/>
    <x v="1"/>
    <x v="0"/>
    <x v="0"/>
    <x v="0"/>
    <x v="732"/>
    <x v="0"/>
  </r>
  <r>
    <x v="1971"/>
    <x v="1965"/>
    <x v="175"/>
    <x v="0"/>
    <x v="0"/>
    <x v="0"/>
    <x v="0"/>
    <x v="132"/>
    <x v="39"/>
    <x v="141"/>
    <x v="4"/>
    <x v="1"/>
    <x v="273"/>
    <x v="0"/>
    <x v="0"/>
    <x v="1699"/>
    <x v="1825"/>
    <x v="875"/>
    <x v="382"/>
    <x v="404"/>
    <x v="3"/>
    <x v="0"/>
    <x v="0"/>
    <x v="0"/>
    <x v="668"/>
    <x v="1"/>
  </r>
  <r>
    <x v="1972"/>
    <x v="1966"/>
    <x v="127"/>
    <x v="0"/>
    <x v="5"/>
    <x v="5"/>
    <x v="0"/>
    <x v="184"/>
    <x v="108"/>
    <x v="135"/>
    <x v="180"/>
    <x v="2"/>
    <x v="951"/>
    <x v="0"/>
    <x v="0"/>
    <x v="1700"/>
    <x v="1826"/>
    <x v="588"/>
    <x v="1813"/>
    <x v="1667"/>
    <x v="1"/>
    <x v="0"/>
    <x v="0"/>
    <x v="0"/>
    <x v="415"/>
    <x v="0"/>
  </r>
  <r>
    <x v="1973"/>
    <x v="1967"/>
    <x v="298"/>
    <x v="0"/>
    <x v="0"/>
    <x v="0"/>
    <x v="0"/>
    <x v="359"/>
    <x v="51"/>
    <x v="84"/>
    <x v="160"/>
    <x v="2"/>
    <x v="952"/>
    <x v="0"/>
    <x v="0"/>
    <x v="1701"/>
    <x v="1827"/>
    <x v="59"/>
    <x v="1814"/>
    <x v="1668"/>
    <x v="1"/>
    <x v="0"/>
    <x v="0"/>
    <x v="0"/>
    <x v="90"/>
    <x v="1"/>
  </r>
  <r>
    <x v="1974"/>
    <x v="1968"/>
    <x v="299"/>
    <x v="1"/>
    <x v="11"/>
    <x v="11"/>
    <x v="1"/>
    <x v="242"/>
    <x v="64"/>
    <x v="81"/>
    <x v="95"/>
    <x v="0"/>
    <x v="74"/>
    <x v="0"/>
    <x v="0"/>
    <x v="1702"/>
    <x v="1452"/>
    <x v="876"/>
    <x v="1815"/>
    <x v="473"/>
    <x v="2"/>
    <x v="0"/>
    <x v="0"/>
    <x v="0"/>
    <x v="652"/>
    <x v="1"/>
  </r>
  <r>
    <x v="1975"/>
    <x v="1969"/>
    <x v="344"/>
    <x v="0"/>
    <x v="3"/>
    <x v="3"/>
    <x v="2"/>
    <x v="231"/>
    <x v="21"/>
    <x v="138"/>
    <x v="199"/>
    <x v="4"/>
    <x v="953"/>
    <x v="4"/>
    <x v="956"/>
    <x v="1703"/>
    <x v="1828"/>
    <x v="599"/>
    <x v="1816"/>
    <x v="1669"/>
    <x v="4"/>
    <x v="0"/>
    <x v="0"/>
    <x v="2"/>
    <x v="480"/>
    <x v="1"/>
  </r>
  <r>
    <x v="1976"/>
    <x v="1970"/>
    <x v="170"/>
    <x v="0"/>
    <x v="3"/>
    <x v="3"/>
    <x v="2"/>
    <x v="95"/>
    <x v="34"/>
    <x v="82"/>
    <x v="115"/>
    <x v="6"/>
    <x v="954"/>
    <x v="0"/>
    <x v="0"/>
    <x v="1704"/>
    <x v="1829"/>
    <x v="39"/>
    <x v="56"/>
    <x v="1670"/>
    <x v="0"/>
    <x v="0"/>
    <x v="0"/>
    <x v="1"/>
    <x v="69"/>
    <x v="1"/>
  </r>
  <r>
    <x v="1977"/>
    <x v="1971"/>
    <x v="168"/>
    <x v="0"/>
    <x v="6"/>
    <x v="6"/>
    <x v="3"/>
    <x v="445"/>
    <x v="78"/>
    <x v="59"/>
    <x v="112"/>
    <x v="0"/>
    <x v="211"/>
    <x v="2"/>
    <x v="957"/>
    <x v="189"/>
    <x v="1830"/>
    <x v="345"/>
    <x v="1817"/>
    <x v="1671"/>
    <x v="1"/>
    <x v="0"/>
    <x v="0"/>
    <x v="0"/>
    <x v="563"/>
    <x v="0"/>
  </r>
  <r>
    <x v="1978"/>
    <x v="1972"/>
    <x v="130"/>
    <x v="0"/>
    <x v="2"/>
    <x v="2"/>
    <x v="2"/>
    <x v="12"/>
    <x v="55"/>
    <x v="19"/>
    <x v="54"/>
    <x v="5"/>
    <x v="955"/>
    <x v="2"/>
    <x v="958"/>
    <x v="1705"/>
    <x v="1831"/>
    <x v="877"/>
    <x v="1818"/>
    <x v="1672"/>
    <x v="0"/>
    <x v="0"/>
    <x v="0"/>
    <x v="0"/>
    <x v="733"/>
    <x v="0"/>
  </r>
  <r>
    <x v="1979"/>
    <x v="1973"/>
    <x v="346"/>
    <x v="0"/>
    <x v="6"/>
    <x v="6"/>
    <x v="3"/>
    <x v="74"/>
    <x v="44"/>
    <x v="113"/>
    <x v="185"/>
    <x v="7"/>
    <x v="956"/>
    <x v="2"/>
    <x v="959"/>
    <x v="1706"/>
    <x v="1832"/>
    <x v="530"/>
    <x v="1819"/>
    <x v="1673"/>
    <x v="1"/>
    <x v="0"/>
    <x v="0"/>
    <x v="0"/>
    <x v="615"/>
    <x v="1"/>
  </r>
  <r>
    <x v="1980"/>
    <x v="1974"/>
    <x v="142"/>
    <x v="0"/>
    <x v="8"/>
    <x v="8"/>
    <x v="3"/>
    <x v="457"/>
    <x v="44"/>
    <x v="137"/>
    <x v="73"/>
    <x v="6"/>
    <x v="242"/>
    <x v="4"/>
    <x v="668"/>
    <x v="1707"/>
    <x v="1833"/>
    <x v="335"/>
    <x v="1820"/>
    <x v="1674"/>
    <x v="0"/>
    <x v="0"/>
    <x v="0"/>
    <x v="0"/>
    <x v="130"/>
    <x v="1"/>
  </r>
  <r>
    <x v="1981"/>
    <x v="1975"/>
    <x v="145"/>
    <x v="0"/>
    <x v="9"/>
    <x v="9"/>
    <x v="0"/>
    <x v="560"/>
    <x v="10"/>
    <x v="172"/>
    <x v="329"/>
    <x v="6"/>
    <x v="10"/>
    <x v="1"/>
    <x v="960"/>
    <x v="1708"/>
    <x v="1834"/>
    <x v="511"/>
    <x v="1821"/>
    <x v="1675"/>
    <x v="3"/>
    <x v="1"/>
    <x v="1"/>
    <x v="0"/>
    <x v="361"/>
    <x v="1"/>
  </r>
  <r>
    <x v="1982"/>
    <x v="1976"/>
    <x v="133"/>
    <x v="0"/>
    <x v="10"/>
    <x v="10"/>
    <x v="3"/>
    <x v="182"/>
    <x v="57"/>
    <x v="124"/>
    <x v="286"/>
    <x v="2"/>
    <x v="957"/>
    <x v="0"/>
    <x v="0"/>
    <x v="1709"/>
    <x v="1835"/>
    <x v="67"/>
    <x v="1822"/>
    <x v="1676"/>
    <x v="5"/>
    <x v="0"/>
    <x v="0"/>
    <x v="2"/>
    <x v="329"/>
    <x v="0"/>
  </r>
  <r>
    <x v="1983"/>
    <x v="1977"/>
    <x v="65"/>
    <x v="0"/>
    <x v="8"/>
    <x v="8"/>
    <x v="3"/>
    <x v="620"/>
    <x v="66"/>
    <x v="104"/>
    <x v="35"/>
    <x v="2"/>
    <x v="80"/>
    <x v="2"/>
    <x v="961"/>
    <x v="1710"/>
    <x v="1836"/>
    <x v="85"/>
    <x v="1823"/>
    <x v="1677"/>
    <x v="5"/>
    <x v="0"/>
    <x v="0"/>
    <x v="1"/>
    <x v="668"/>
    <x v="0"/>
  </r>
  <r>
    <x v="1984"/>
    <x v="1978"/>
    <x v="76"/>
    <x v="0"/>
    <x v="9"/>
    <x v="9"/>
    <x v="0"/>
    <x v="484"/>
    <x v="107"/>
    <x v="93"/>
    <x v="113"/>
    <x v="6"/>
    <x v="190"/>
    <x v="4"/>
    <x v="962"/>
    <x v="1711"/>
    <x v="1837"/>
    <x v="465"/>
    <x v="1824"/>
    <x v="1678"/>
    <x v="1"/>
    <x v="0"/>
    <x v="0"/>
    <x v="0"/>
    <x v="181"/>
    <x v="0"/>
  </r>
  <r>
    <x v="1985"/>
    <x v="1979"/>
    <x v="160"/>
    <x v="0"/>
    <x v="2"/>
    <x v="2"/>
    <x v="2"/>
    <x v="133"/>
    <x v="5"/>
    <x v="25"/>
    <x v="26"/>
    <x v="2"/>
    <x v="958"/>
    <x v="3"/>
    <x v="963"/>
    <x v="1712"/>
    <x v="1838"/>
    <x v="428"/>
    <x v="1825"/>
    <x v="1679"/>
    <x v="3"/>
    <x v="0"/>
    <x v="0"/>
    <x v="0"/>
    <x v="252"/>
    <x v="0"/>
  </r>
  <r>
    <x v="1986"/>
    <x v="1980"/>
    <x v="101"/>
    <x v="0"/>
    <x v="0"/>
    <x v="0"/>
    <x v="0"/>
    <x v="578"/>
    <x v="69"/>
    <x v="110"/>
    <x v="136"/>
    <x v="2"/>
    <x v="141"/>
    <x v="1"/>
    <x v="964"/>
    <x v="1713"/>
    <x v="1839"/>
    <x v="353"/>
    <x v="1826"/>
    <x v="1680"/>
    <x v="4"/>
    <x v="0"/>
    <x v="0"/>
    <x v="0"/>
    <x v="94"/>
    <x v="0"/>
  </r>
  <r>
    <x v="1987"/>
    <x v="1981"/>
    <x v="291"/>
    <x v="0"/>
    <x v="8"/>
    <x v="8"/>
    <x v="3"/>
    <x v="470"/>
    <x v="119"/>
    <x v="131"/>
    <x v="49"/>
    <x v="6"/>
    <x v="959"/>
    <x v="3"/>
    <x v="965"/>
    <x v="1714"/>
    <x v="1840"/>
    <x v="231"/>
    <x v="1827"/>
    <x v="1681"/>
    <x v="5"/>
    <x v="0"/>
    <x v="0"/>
    <x v="2"/>
    <x v="122"/>
    <x v="1"/>
  </r>
  <r>
    <x v="1988"/>
    <x v="1982"/>
    <x v="231"/>
    <x v="0"/>
    <x v="5"/>
    <x v="5"/>
    <x v="0"/>
    <x v="33"/>
    <x v="117"/>
    <x v="123"/>
    <x v="161"/>
    <x v="2"/>
    <x v="378"/>
    <x v="0"/>
    <x v="0"/>
    <x v="1232"/>
    <x v="1308"/>
    <x v="191"/>
    <x v="1297"/>
    <x v="626"/>
    <x v="0"/>
    <x v="0"/>
    <x v="0"/>
    <x v="0"/>
    <x v="115"/>
    <x v="1"/>
  </r>
  <r>
    <x v="1989"/>
    <x v="1983"/>
    <x v="228"/>
    <x v="0"/>
    <x v="6"/>
    <x v="6"/>
    <x v="3"/>
    <x v="281"/>
    <x v="50"/>
    <x v="56"/>
    <x v="186"/>
    <x v="6"/>
    <x v="57"/>
    <x v="2"/>
    <x v="966"/>
    <x v="1715"/>
    <x v="1841"/>
    <x v="736"/>
    <x v="1828"/>
    <x v="1682"/>
    <x v="5"/>
    <x v="0"/>
    <x v="0"/>
    <x v="1"/>
    <x v="151"/>
    <x v="0"/>
  </r>
  <r>
    <x v="1990"/>
    <x v="1984"/>
    <x v="79"/>
    <x v="1"/>
    <x v="1"/>
    <x v="1"/>
    <x v="1"/>
    <x v="36"/>
    <x v="134"/>
    <x v="93"/>
    <x v="113"/>
    <x v="7"/>
    <x v="960"/>
    <x v="0"/>
    <x v="0"/>
    <x v="1716"/>
    <x v="1842"/>
    <x v="878"/>
    <x v="1829"/>
    <x v="1683"/>
    <x v="3"/>
    <x v="0"/>
    <x v="0"/>
    <x v="0"/>
    <x v="332"/>
    <x v="0"/>
  </r>
  <r>
    <x v="1991"/>
    <x v="1985"/>
    <x v="359"/>
    <x v="0"/>
    <x v="4"/>
    <x v="4"/>
    <x v="2"/>
    <x v="327"/>
    <x v="6"/>
    <x v="60"/>
    <x v="66"/>
    <x v="2"/>
    <x v="961"/>
    <x v="2"/>
    <x v="967"/>
    <x v="124"/>
    <x v="1843"/>
    <x v="6"/>
    <x v="1830"/>
    <x v="1684"/>
    <x v="0"/>
    <x v="0"/>
    <x v="0"/>
    <x v="2"/>
    <x v="664"/>
    <x v="1"/>
  </r>
  <r>
    <x v="1992"/>
    <x v="1986"/>
    <x v="34"/>
    <x v="0"/>
    <x v="9"/>
    <x v="9"/>
    <x v="0"/>
    <x v="37"/>
    <x v="1"/>
    <x v="99"/>
    <x v="10"/>
    <x v="2"/>
    <x v="962"/>
    <x v="0"/>
    <x v="0"/>
    <x v="1717"/>
    <x v="1844"/>
    <x v="226"/>
    <x v="1831"/>
    <x v="1685"/>
    <x v="3"/>
    <x v="0"/>
    <x v="0"/>
    <x v="0"/>
    <x v="685"/>
    <x v="0"/>
  </r>
  <r>
    <x v="1993"/>
    <x v="1987"/>
    <x v="293"/>
    <x v="0"/>
    <x v="5"/>
    <x v="5"/>
    <x v="0"/>
    <x v="619"/>
    <x v="64"/>
    <x v="66"/>
    <x v="75"/>
    <x v="1"/>
    <x v="74"/>
    <x v="4"/>
    <x v="968"/>
    <x v="1718"/>
    <x v="190"/>
    <x v="355"/>
    <x v="1832"/>
    <x v="186"/>
    <x v="0"/>
    <x v="0"/>
    <x v="0"/>
    <x v="0"/>
    <x v="254"/>
    <x v="1"/>
  </r>
  <r>
    <x v="1994"/>
    <x v="1988"/>
    <x v="79"/>
    <x v="1"/>
    <x v="1"/>
    <x v="1"/>
    <x v="1"/>
    <x v="48"/>
    <x v="18"/>
    <x v="163"/>
    <x v="303"/>
    <x v="7"/>
    <x v="963"/>
    <x v="0"/>
    <x v="0"/>
    <x v="1719"/>
    <x v="1845"/>
    <x v="879"/>
    <x v="1833"/>
    <x v="1686"/>
    <x v="5"/>
    <x v="0"/>
    <x v="0"/>
    <x v="0"/>
    <x v="362"/>
    <x v="0"/>
  </r>
  <r>
    <x v="1995"/>
    <x v="1989"/>
    <x v="61"/>
    <x v="0"/>
    <x v="6"/>
    <x v="6"/>
    <x v="3"/>
    <x v="149"/>
    <x v="150"/>
    <x v="95"/>
    <x v="88"/>
    <x v="4"/>
    <x v="614"/>
    <x v="4"/>
    <x v="969"/>
    <x v="1720"/>
    <x v="1846"/>
    <x v="880"/>
    <x v="1834"/>
    <x v="1687"/>
    <x v="5"/>
    <x v="0"/>
    <x v="0"/>
    <x v="1"/>
    <x v="213"/>
    <x v="1"/>
  </r>
  <r>
    <x v="1996"/>
    <x v="1990"/>
    <x v="5"/>
    <x v="0"/>
    <x v="0"/>
    <x v="0"/>
    <x v="0"/>
    <x v="621"/>
    <x v="72"/>
    <x v="46"/>
    <x v="138"/>
    <x v="1"/>
    <x v="116"/>
    <x v="0"/>
    <x v="0"/>
    <x v="1022"/>
    <x v="1075"/>
    <x v="683"/>
    <x v="1067"/>
    <x v="246"/>
    <x v="5"/>
    <x v="0"/>
    <x v="0"/>
    <x v="1"/>
    <x v="603"/>
    <x v="1"/>
  </r>
  <r>
    <x v="1997"/>
    <x v="1991"/>
    <x v="329"/>
    <x v="1"/>
    <x v="7"/>
    <x v="7"/>
    <x v="1"/>
    <x v="480"/>
    <x v="102"/>
    <x v="16"/>
    <x v="62"/>
    <x v="4"/>
    <x v="136"/>
    <x v="0"/>
    <x v="0"/>
    <x v="670"/>
    <x v="1847"/>
    <x v="499"/>
    <x v="1835"/>
    <x v="1688"/>
    <x v="5"/>
    <x v="0"/>
    <x v="0"/>
    <x v="0"/>
    <x v="162"/>
    <x v="0"/>
  </r>
  <r>
    <x v="1998"/>
    <x v="1992"/>
    <x v="326"/>
    <x v="1"/>
    <x v="11"/>
    <x v="11"/>
    <x v="1"/>
    <x v="107"/>
    <x v="84"/>
    <x v="83"/>
    <x v="98"/>
    <x v="6"/>
    <x v="109"/>
    <x v="1"/>
    <x v="139"/>
    <x v="231"/>
    <x v="1848"/>
    <x v="119"/>
    <x v="1836"/>
    <x v="1689"/>
    <x v="1"/>
    <x v="0"/>
    <x v="0"/>
    <x v="2"/>
    <x v="45"/>
    <x v="1"/>
  </r>
  <r>
    <x v="1999"/>
    <x v="1993"/>
    <x v="74"/>
    <x v="0"/>
    <x v="8"/>
    <x v="8"/>
    <x v="3"/>
    <x v="556"/>
    <x v="127"/>
    <x v="151"/>
    <x v="216"/>
    <x v="1"/>
    <x v="335"/>
    <x v="0"/>
    <x v="0"/>
    <x v="1009"/>
    <x v="1849"/>
    <x v="676"/>
    <x v="1837"/>
    <x v="1036"/>
    <x v="3"/>
    <x v="0"/>
    <x v="0"/>
    <x v="0"/>
    <x v="327"/>
    <x v="1"/>
  </r>
  <r>
    <x v="2000"/>
    <x v="1994"/>
    <x v="29"/>
    <x v="0"/>
    <x v="10"/>
    <x v="10"/>
    <x v="3"/>
    <x v="312"/>
    <x v="9"/>
    <x v="49"/>
    <x v="53"/>
    <x v="2"/>
    <x v="171"/>
    <x v="2"/>
    <x v="970"/>
    <x v="1721"/>
    <x v="1850"/>
    <x v="215"/>
    <x v="1838"/>
    <x v="1690"/>
    <x v="1"/>
    <x v="0"/>
    <x v="0"/>
    <x v="0"/>
    <x v="2"/>
    <x v="0"/>
  </r>
  <r>
    <x v="2001"/>
    <x v="1995"/>
    <x v="57"/>
    <x v="0"/>
    <x v="10"/>
    <x v="10"/>
    <x v="3"/>
    <x v="44"/>
    <x v="1"/>
    <x v="10"/>
    <x v="10"/>
    <x v="5"/>
    <x v="964"/>
    <x v="4"/>
    <x v="971"/>
    <x v="1722"/>
    <x v="1851"/>
    <x v="479"/>
    <x v="1839"/>
    <x v="1691"/>
    <x v="4"/>
    <x v="0"/>
    <x v="0"/>
    <x v="0"/>
    <x v="583"/>
    <x v="0"/>
  </r>
  <r>
    <x v="2002"/>
    <x v="1996"/>
    <x v="355"/>
    <x v="0"/>
    <x v="9"/>
    <x v="9"/>
    <x v="0"/>
    <x v="535"/>
    <x v="94"/>
    <x v="30"/>
    <x v="31"/>
    <x v="1"/>
    <x v="349"/>
    <x v="2"/>
    <x v="677"/>
    <x v="1723"/>
    <x v="1852"/>
    <x v="830"/>
    <x v="1840"/>
    <x v="1692"/>
    <x v="3"/>
    <x v="0"/>
    <x v="0"/>
    <x v="0"/>
    <x v="327"/>
    <x v="1"/>
  </r>
  <r>
    <x v="2003"/>
    <x v="1997"/>
    <x v="161"/>
    <x v="1"/>
    <x v="1"/>
    <x v="1"/>
    <x v="1"/>
    <x v="190"/>
    <x v="86"/>
    <x v="41"/>
    <x v="44"/>
    <x v="1"/>
    <x v="112"/>
    <x v="0"/>
    <x v="0"/>
    <x v="1724"/>
    <x v="1853"/>
    <x v="632"/>
    <x v="1841"/>
    <x v="1693"/>
    <x v="2"/>
    <x v="0"/>
    <x v="0"/>
    <x v="0"/>
    <x v="512"/>
    <x v="0"/>
  </r>
  <r>
    <x v="2004"/>
    <x v="1998"/>
    <x v="262"/>
    <x v="0"/>
    <x v="4"/>
    <x v="4"/>
    <x v="2"/>
    <x v="140"/>
    <x v="145"/>
    <x v="178"/>
    <x v="217"/>
    <x v="6"/>
    <x v="480"/>
    <x v="3"/>
    <x v="972"/>
    <x v="1725"/>
    <x v="1854"/>
    <x v="740"/>
    <x v="1842"/>
    <x v="804"/>
    <x v="5"/>
    <x v="0"/>
    <x v="0"/>
    <x v="0"/>
    <x v="475"/>
    <x v="1"/>
  </r>
  <r>
    <x v="2005"/>
    <x v="1999"/>
    <x v="271"/>
    <x v="1"/>
    <x v="7"/>
    <x v="7"/>
    <x v="1"/>
    <x v="421"/>
    <x v="109"/>
    <x v="94"/>
    <x v="117"/>
    <x v="0"/>
    <x v="150"/>
    <x v="2"/>
    <x v="610"/>
    <x v="1251"/>
    <x v="1326"/>
    <x v="339"/>
    <x v="1316"/>
    <x v="1229"/>
    <x v="2"/>
    <x v="0"/>
    <x v="0"/>
    <x v="0"/>
    <x v="132"/>
    <x v="1"/>
  </r>
  <r>
    <x v="2006"/>
    <x v="2000"/>
    <x v="85"/>
    <x v="0"/>
    <x v="5"/>
    <x v="5"/>
    <x v="0"/>
    <x v="265"/>
    <x v="89"/>
    <x v="16"/>
    <x v="100"/>
    <x v="6"/>
    <x v="118"/>
    <x v="4"/>
    <x v="973"/>
    <x v="1726"/>
    <x v="1855"/>
    <x v="308"/>
    <x v="1843"/>
    <x v="1694"/>
    <x v="0"/>
    <x v="0"/>
    <x v="0"/>
    <x v="2"/>
    <x v="607"/>
    <x v="0"/>
  </r>
  <r>
    <x v="2007"/>
    <x v="2001"/>
    <x v="118"/>
    <x v="0"/>
    <x v="5"/>
    <x v="5"/>
    <x v="0"/>
    <x v="552"/>
    <x v="36"/>
    <x v="65"/>
    <x v="257"/>
    <x v="2"/>
    <x v="965"/>
    <x v="0"/>
    <x v="0"/>
    <x v="1002"/>
    <x v="1856"/>
    <x v="881"/>
    <x v="1844"/>
    <x v="1695"/>
    <x v="2"/>
    <x v="0"/>
    <x v="0"/>
    <x v="0"/>
    <x v="150"/>
    <x v="0"/>
  </r>
  <r>
    <x v="2008"/>
    <x v="2002"/>
    <x v="7"/>
    <x v="1"/>
    <x v="1"/>
    <x v="1"/>
    <x v="1"/>
    <x v="172"/>
    <x v="52"/>
    <x v="61"/>
    <x v="86"/>
    <x v="7"/>
    <x v="966"/>
    <x v="1"/>
    <x v="974"/>
    <x v="1727"/>
    <x v="1857"/>
    <x v="404"/>
    <x v="1845"/>
    <x v="1696"/>
    <x v="5"/>
    <x v="0"/>
    <x v="0"/>
    <x v="2"/>
    <x v="486"/>
    <x v="0"/>
  </r>
  <r>
    <x v="2009"/>
    <x v="2003"/>
    <x v="131"/>
    <x v="0"/>
    <x v="6"/>
    <x v="6"/>
    <x v="3"/>
    <x v="622"/>
    <x v="63"/>
    <x v="72"/>
    <x v="85"/>
    <x v="1"/>
    <x v="187"/>
    <x v="0"/>
    <x v="0"/>
    <x v="667"/>
    <x v="1858"/>
    <x v="514"/>
    <x v="1846"/>
    <x v="1697"/>
    <x v="3"/>
    <x v="0"/>
    <x v="0"/>
    <x v="0"/>
    <x v="318"/>
    <x v="0"/>
  </r>
  <r>
    <x v="2010"/>
    <x v="2004"/>
    <x v="16"/>
    <x v="0"/>
    <x v="6"/>
    <x v="6"/>
    <x v="3"/>
    <x v="485"/>
    <x v="68"/>
    <x v="25"/>
    <x v="248"/>
    <x v="7"/>
    <x v="967"/>
    <x v="0"/>
    <x v="0"/>
    <x v="1728"/>
    <x v="1859"/>
    <x v="882"/>
    <x v="1847"/>
    <x v="1698"/>
    <x v="2"/>
    <x v="0"/>
    <x v="0"/>
    <x v="0"/>
    <x v="535"/>
    <x v="0"/>
  </r>
  <r>
    <x v="2011"/>
    <x v="2005"/>
    <x v="127"/>
    <x v="0"/>
    <x v="5"/>
    <x v="5"/>
    <x v="0"/>
    <x v="623"/>
    <x v="81"/>
    <x v="33"/>
    <x v="338"/>
    <x v="2"/>
    <x v="103"/>
    <x v="0"/>
    <x v="0"/>
    <x v="1729"/>
    <x v="1860"/>
    <x v="323"/>
    <x v="1848"/>
    <x v="1699"/>
    <x v="3"/>
    <x v="0"/>
    <x v="0"/>
    <x v="0"/>
    <x v="734"/>
    <x v="0"/>
  </r>
  <r>
    <x v="2012"/>
    <x v="2006"/>
    <x v="176"/>
    <x v="0"/>
    <x v="5"/>
    <x v="5"/>
    <x v="0"/>
    <x v="624"/>
    <x v="33"/>
    <x v="76"/>
    <x v="90"/>
    <x v="4"/>
    <x v="241"/>
    <x v="3"/>
    <x v="975"/>
    <x v="1730"/>
    <x v="1861"/>
    <x v="294"/>
    <x v="1849"/>
    <x v="1700"/>
    <x v="3"/>
    <x v="0"/>
    <x v="0"/>
    <x v="2"/>
    <x v="484"/>
    <x v="0"/>
  </r>
  <r>
    <x v="2013"/>
    <x v="2007"/>
    <x v="67"/>
    <x v="0"/>
    <x v="8"/>
    <x v="8"/>
    <x v="3"/>
    <x v="624"/>
    <x v="8"/>
    <x v="105"/>
    <x v="131"/>
    <x v="2"/>
    <x v="8"/>
    <x v="0"/>
    <x v="0"/>
    <x v="883"/>
    <x v="1862"/>
    <x v="8"/>
    <x v="1850"/>
    <x v="581"/>
    <x v="2"/>
    <x v="0"/>
    <x v="0"/>
    <x v="2"/>
    <x v="155"/>
    <x v="0"/>
  </r>
  <r>
    <x v="2014"/>
    <x v="2008"/>
    <x v="143"/>
    <x v="1"/>
    <x v="1"/>
    <x v="1"/>
    <x v="1"/>
    <x v="527"/>
    <x v="56"/>
    <x v="133"/>
    <x v="137"/>
    <x v="4"/>
    <x v="968"/>
    <x v="4"/>
    <x v="976"/>
    <x v="1731"/>
    <x v="1863"/>
    <x v="717"/>
    <x v="1851"/>
    <x v="1701"/>
    <x v="1"/>
    <x v="0"/>
    <x v="0"/>
    <x v="2"/>
    <x v="51"/>
    <x v="1"/>
  </r>
  <r>
    <x v="2015"/>
    <x v="2009"/>
    <x v="155"/>
    <x v="0"/>
    <x v="8"/>
    <x v="8"/>
    <x v="3"/>
    <x v="360"/>
    <x v="51"/>
    <x v="139"/>
    <x v="145"/>
    <x v="4"/>
    <x v="969"/>
    <x v="0"/>
    <x v="0"/>
    <x v="1732"/>
    <x v="1864"/>
    <x v="257"/>
    <x v="1852"/>
    <x v="1702"/>
    <x v="1"/>
    <x v="0"/>
    <x v="0"/>
    <x v="1"/>
    <x v="651"/>
    <x v="1"/>
  </r>
  <r>
    <x v="2016"/>
    <x v="2010"/>
    <x v="233"/>
    <x v="0"/>
    <x v="4"/>
    <x v="4"/>
    <x v="2"/>
    <x v="625"/>
    <x v="50"/>
    <x v="86"/>
    <x v="116"/>
    <x v="6"/>
    <x v="57"/>
    <x v="0"/>
    <x v="0"/>
    <x v="1733"/>
    <x v="1865"/>
    <x v="736"/>
    <x v="1853"/>
    <x v="81"/>
    <x v="4"/>
    <x v="0"/>
    <x v="0"/>
    <x v="0"/>
    <x v="126"/>
    <x v="1"/>
  </r>
  <r>
    <x v="2017"/>
    <x v="2011"/>
    <x v="136"/>
    <x v="0"/>
    <x v="10"/>
    <x v="10"/>
    <x v="3"/>
    <x v="329"/>
    <x v="48"/>
    <x v="11"/>
    <x v="11"/>
    <x v="6"/>
    <x v="53"/>
    <x v="2"/>
    <x v="977"/>
    <x v="1734"/>
    <x v="1866"/>
    <x v="400"/>
    <x v="1854"/>
    <x v="507"/>
    <x v="5"/>
    <x v="0"/>
    <x v="0"/>
    <x v="0"/>
    <x v="638"/>
    <x v="0"/>
  </r>
  <r>
    <x v="2018"/>
    <x v="2012"/>
    <x v="293"/>
    <x v="0"/>
    <x v="5"/>
    <x v="5"/>
    <x v="0"/>
    <x v="28"/>
    <x v="80"/>
    <x v="60"/>
    <x v="172"/>
    <x v="6"/>
    <x v="102"/>
    <x v="0"/>
    <x v="0"/>
    <x v="1591"/>
    <x v="1705"/>
    <x v="277"/>
    <x v="1694"/>
    <x v="1564"/>
    <x v="4"/>
    <x v="0"/>
    <x v="0"/>
    <x v="0"/>
    <x v="281"/>
    <x v="1"/>
  </r>
  <r>
    <x v="2019"/>
    <x v="2013"/>
    <x v="182"/>
    <x v="0"/>
    <x v="9"/>
    <x v="9"/>
    <x v="0"/>
    <x v="283"/>
    <x v="143"/>
    <x v="45"/>
    <x v="48"/>
    <x v="7"/>
    <x v="970"/>
    <x v="1"/>
    <x v="978"/>
    <x v="1735"/>
    <x v="1867"/>
    <x v="821"/>
    <x v="1855"/>
    <x v="1703"/>
    <x v="1"/>
    <x v="0"/>
    <x v="0"/>
    <x v="0"/>
    <x v="645"/>
    <x v="1"/>
  </r>
  <r>
    <x v="2020"/>
    <x v="2014"/>
    <x v="130"/>
    <x v="0"/>
    <x v="2"/>
    <x v="2"/>
    <x v="2"/>
    <x v="164"/>
    <x v="24"/>
    <x v="112"/>
    <x v="141"/>
    <x v="1"/>
    <x v="27"/>
    <x v="4"/>
    <x v="502"/>
    <x v="1736"/>
    <x v="1868"/>
    <x v="27"/>
    <x v="1856"/>
    <x v="1704"/>
    <x v="4"/>
    <x v="0"/>
    <x v="0"/>
    <x v="2"/>
    <x v="131"/>
    <x v="0"/>
  </r>
  <r>
    <x v="2021"/>
    <x v="2015"/>
    <x v="312"/>
    <x v="1"/>
    <x v="11"/>
    <x v="11"/>
    <x v="1"/>
    <x v="73"/>
    <x v="44"/>
    <x v="66"/>
    <x v="75"/>
    <x v="4"/>
    <x v="971"/>
    <x v="4"/>
    <x v="979"/>
    <x v="1737"/>
    <x v="1869"/>
    <x v="373"/>
    <x v="1857"/>
    <x v="1705"/>
    <x v="0"/>
    <x v="0"/>
    <x v="0"/>
    <x v="0"/>
    <x v="310"/>
    <x v="1"/>
  </r>
  <r>
    <x v="2022"/>
    <x v="2016"/>
    <x v="8"/>
    <x v="0"/>
    <x v="4"/>
    <x v="4"/>
    <x v="2"/>
    <x v="342"/>
    <x v="24"/>
    <x v="123"/>
    <x v="161"/>
    <x v="6"/>
    <x v="27"/>
    <x v="1"/>
    <x v="980"/>
    <x v="1738"/>
    <x v="1870"/>
    <x v="484"/>
    <x v="1858"/>
    <x v="1706"/>
    <x v="2"/>
    <x v="0"/>
    <x v="0"/>
    <x v="2"/>
    <x v="735"/>
    <x v="0"/>
  </r>
  <r>
    <x v="2023"/>
    <x v="2017"/>
    <x v="65"/>
    <x v="0"/>
    <x v="8"/>
    <x v="8"/>
    <x v="3"/>
    <x v="386"/>
    <x v="96"/>
    <x v="52"/>
    <x v="143"/>
    <x v="4"/>
    <x v="972"/>
    <x v="0"/>
    <x v="0"/>
    <x v="1739"/>
    <x v="1871"/>
    <x v="500"/>
    <x v="1859"/>
    <x v="1707"/>
    <x v="2"/>
    <x v="0"/>
    <x v="0"/>
    <x v="1"/>
    <x v="396"/>
    <x v="0"/>
  </r>
  <r>
    <x v="2024"/>
    <x v="2018"/>
    <x v="208"/>
    <x v="0"/>
    <x v="4"/>
    <x v="4"/>
    <x v="2"/>
    <x v="328"/>
    <x v="102"/>
    <x v="114"/>
    <x v="112"/>
    <x v="0"/>
    <x v="136"/>
    <x v="0"/>
    <x v="0"/>
    <x v="592"/>
    <x v="610"/>
    <x v="473"/>
    <x v="606"/>
    <x v="584"/>
    <x v="2"/>
    <x v="0"/>
    <x v="0"/>
    <x v="0"/>
    <x v="706"/>
    <x v="1"/>
  </r>
  <r>
    <x v="2025"/>
    <x v="2019"/>
    <x v="185"/>
    <x v="0"/>
    <x v="8"/>
    <x v="8"/>
    <x v="3"/>
    <x v="20"/>
    <x v="14"/>
    <x v="14"/>
    <x v="14"/>
    <x v="5"/>
    <x v="973"/>
    <x v="1"/>
    <x v="981"/>
    <x v="1740"/>
    <x v="1872"/>
    <x v="812"/>
    <x v="1860"/>
    <x v="1708"/>
    <x v="3"/>
    <x v="0"/>
    <x v="0"/>
    <x v="0"/>
    <x v="543"/>
    <x v="1"/>
  </r>
  <r>
    <x v="2026"/>
    <x v="2020"/>
    <x v="217"/>
    <x v="0"/>
    <x v="4"/>
    <x v="4"/>
    <x v="2"/>
    <x v="178"/>
    <x v="68"/>
    <x v="57"/>
    <x v="327"/>
    <x v="0"/>
    <x v="82"/>
    <x v="0"/>
    <x v="0"/>
    <x v="319"/>
    <x v="323"/>
    <x v="279"/>
    <x v="319"/>
    <x v="315"/>
    <x v="0"/>
    <x v="0"/>
    <x v="0"/>
    <x v="2"/>
    <x v="670"/>
    <x v="0"/>
  </r>
  <r>
    <x v="2027"/>
    <x v="2021"/>
    <x v="185"/>
    <x v="0"/>
    <x v="8"/>
    <x v="8"/>
    <x v="3"/>
    <x v="237"/>
    <x v="146"/>
    <x v="125"/>
    <x v="163"/>
    <x v="0"/>
    <x v="974"/>
    <x v="0"/>
    <x v="0"/>
    <x v="1741"/>
    <x v="1873"/>
    <x v="883"/>
    <x v="1861"/>
    <x v="1709"/>
    <x v="2"/>
    <x v="0"/>
    <x v="0"/>
    <x v="2"/>
    <x v="630"/>
    <x v="1"/>
  </r>
  <r>
    <x v="2028"/>
    <x v="2022"/>
    <x v="176"/>
    <x v="0"/>
    <x v="5"/>
    <x v="5"/>
    <x v="0"/>
    <x v="488"/>
    <x v="102"/>
    <x v="52"/>
    <x v="57"/>
    <x v="6"/>
    <x v="136"/>
    <x v="0"/>
    <x v="0"/>
    <x v="853"/>
    <x v="890"/>
    <x v="610"/>
    <x v="884"/>
    <x v="842"/>
    <x v="2"/>
    <x v="0"/>
    <x v="0"/>
    <x v="0"/>
    <x v="326"/>
    <x v="0"/>
  </r>
  <r>
    <x v="2029"/>
    <x v="2023"/>
    <x v="194"/>
    <x v="0"/>
    <x v="8"/>
    <x v="8"/>
    <x v="3"/>
    <x v="260"/>
    <x v="79"/>
    <x v="115"/>
    <x v="247"/>
    <x v="0"/>
    <x v="258"/>
    <x v="3"/>
    <x v="276"/>
    <x v="486"/>
    <x v="1874"/>
    <x v="408"/>
    <x v="1862"/>
    <x v="1710"/>
    <x v="2"/>
    <x v="0"/>
    <x v="0"/>
    <x v="2"/>
    <x v="736"/>
    <x v="1"/>
  </r>
  <r>
    <x v="2030"/>
    <x v="2024"/>
    <x v="132"/>
    <x v="1"/>
    <x v="1"/>
    <x v="1"/>
    <x v="1"/>
    <x v="62"/>
    <x v="21"/>
    <x v="141"/>
    <x v="315"/>
    <x v="2"/>
    <x v="975"/>
    <x v="0"/>
    <x v="0"/>
    <x v="1742"/>
    <x v="1875"/>
    <x v="719"/>
    <x v="1863"/>
    <x v="1711"/>
    <x v="5"/>
    <x v="0"/>
    <x v="0"/>
    <x v="2"/>
    <x v="460"/>
    <x v="0"/>
  </r>
  <r>
    <x v="2031"/>
    <x v="2025"/>
    <x v="135"/>
    <x v="1"/>
    <x v="7"/>
    <x v="7"/>
    <x v="1"/>
    <x v="532"/>
    <x v="4"/>
    <x v="136"/>
    <x v="142"/>
    <x v="2"/>
    <x v="213"/>
    <x v="4"/>
    <x v="982"/>
    <x v="1743"/>
    <x v="1876"/>
    <x v="4"/>
    <x v="1864"/>
    <x v="1712"/>
    <x v="1"/>
    <x v="0"/>
    <x v="0"/>
    <x v="0"/>
    <x v="560"/>
    <x v="0"/>
  </r>
  <r>
    <x v="2032"/>
    <x v="2026"/>
    <x v="83"/>
    <x v="1"/>
    <x v="1"/>
    <x v="1"/>
    <x v="1"/>
    <x v="380"/>
    <x v="135"/>
    <x v="2"/>
    <x v="316"/>
    <x v="2"/>
    <x v="286"/>
    <x v="3"/>
    <x v="385"/>
    <x v="1066"/>
    <x v="1658"/>
    <x v="699"/>
    <x v="1865"/>
    <x v="1713"/>
    <x v="4"/>
    <x v="0"/>
    <x v="0"/>
    <x v="0"/>
    <x v="188"/>
    <x v="0"/>
  </r>
  <r>
    <x v="2033"/>
    <x v="2027"/>
    <x v="4"/>
    <x v="0"/>
    <x v="3"/>
    <x v="3"/>
    <x v="2"/>
    <x v="256"/>
    <x v="68"/>
    <x v="132"/>
    <x v="78"/>
    <x v="4"/>
    <x v="976"/>
    <x v="0"/>
    <x v="0"/>
    <x v="1744"/>
    <x v="1877"/>
    <x v="884"/>
    <x v="1866"/>
    <x v="1714"/>
    <x v="1"/>
    <x v="0"/>
    <x v="0"/>
    <x v="0"/>
    <x v="493"/>
    <x v="0"/>
  </r>
  <r>
    <x v="2034"/>
    <x v="2028"/>
    <x v="20"/>
    <x v="1"/>
    <x v="1"/>
    <x v="1"/>
    <x v="1"/>
    <x v="624"/>
    <x v="83"/>
    <x v="39"/>
    <x v="35"/>
    <x v="6"/>
    <x v="108"/>
    <x v="2"/>
    <x v="114"/>
    <x v="1745"/>
    <x v="1878"/>
    <x v="118"/>
    <x v="1867"/>
    <x v="1715"/>
    <x v="4"/>
    <x v="0"/>
    <x v="0"/>
    <x v="0"/>
    <x v="435"/>
    <x v="1"/>
  </r>
  <r>
    <x v="2035"/>
    <x v="2029"/>
    <x v="171"/>
    <x v="1"/>
    <x v="7"/>
    <x v="7"/>
    <x v="1"/>
    <x v="357"/>
    <x v="80"/>
    <x v="5"/>
    <x v="5"/>
    <x v="5"/>
    <x v="977"/>
    <x v="0"/>
    <x v="0"/>
    <x v="1746"/>
    <x v="1879"/>
    <x v="885"/>
    <x v="1868"/>
    <x v="1716"/>
    <x v="3"/>
    <x v="0"/>
    <x v="0"/>
    <x v="1"/>
    <x v="204"/>
    <x v="1"/>
  </r>
  <r>
    <x v="2036"/>
    <x v="2030"/>
    <x v="228"/>
    <x v="0"/>
    <x v="6"/>
    <x v="6"/>
    <x v="3"/>
    <x v="331"/>
    <x v="82"/>
    <x v="18"/>
    <x v="69"/>
    <x v="2"/>
    <x v="978"/>
    <x v="3"/>
    <x v="983"/>
    <x v="1747"/>
    <x v="1880"/>
    <x v="299"/>
    <x v="1869"/>
    <x v="1717"/>
    <x v="1"/>
    <x v="0"/>
    <x v="0"/>
    <x v="0"/>
    <x v="574"/>
    <x v="0"/>
  </r>
  <r>
    <x v="2037"/>
    <x v="2031"/>
    <x v="263"/>
    <x v="0"/>
    <x v="2"/>
    <x v="2"/>
    <x v="2"/>
    <x v="20"/>
    <x v="17"/>
    <x v="0"/>
    <x v="294"/>
    <x v="7"/>
    <x v="979"/>
    <x v="4"/>
    <x v="984"/>
    <x v="1748"/>
    <x v="1881"/>
    <x v="886"/>
    <x v="1870"/>
    <x v="1718"/>
    <x v="3"/>
    <x v="1"/>
    <x v="1"/>
    <x v="2"/>
    <x v="736"/>
    <x v="1"/>
  </r>
  <r>
    <x v="2038"/>
    <x v="2032"/>
    <x v="64"/>
    <x v="0"/>
    <x v="2"/>
    <x v="2"/>
    <x v="2"/>
    <x v="313"/>
    <x v="101"/>
    <x v="74"/>
    <x v="177"/>
    <x v="2"/>
    <x v="134"/>
    <x v="2"/>
    <x v="985"/>
    <x v="77"/>
    <x v="1882"/>
    <x v="633"/>
    <x v="1871"/>
    <x v="1719"/>
    <x v="0"/>
    <x v="0"/>
    <x v="0"/>
    <x v="0"/>
    <x v="40"/>
    <x v="1"/>
  </r>
  <r>
    <x v="2039"/>
    <x v="2033"/>
    <x v="173"/>
    <x v="1"/>
    <x v="11"/>
    <x v="11"/>
    <x v="1"/>
    <x v="231"/>
    <x v="52"/>
    <x v="67"/>
    <x v="76"/>
    <x v="2"/>
    <x v="980"/>
    <x v="3"/>
    <x v="986"/>
    <x v="1749"/>
    <x v="1883"/>
    <x v="309"/>
    <x v="1872"/>
    <x v="1720"/>
    <x v="2"/>
    <x v="0"/>
    <x v="0"/>
    <x v="0"/>
    <x v="45"/>
    <x v="1"/>
  </r>
  <r>
    <x v="2040"/>
    <x v="2034"/>
    <x v="79"/>
    <x v="1"/>
    <x v="1"/>
    <x v="1"/>
    <x v="1"/>
    <x v="626"/>
    <x v="51"/>
    <x v="2"/>
    <x v="30"/>
    <x v="0"/>
    <x v="161"/>
    <x v="4"/>
    <x v="403"/>
    <x v="721"/>
    <x v="1884"/>
    <x v="193"/>
    <x v="1873"/>
    <x v="1721"/>
    <x v="4"/>
    <x v="0"/>
    <x v="0"/>
    <x v="2"/>
    <x v="355"/>
    <x v="0"/>
  </r>
  <r>
    <x v="2041"/>
    <x v="2035"/>
    <x v="215"/>
    <x v="0"/>
    <x v="10"/>
    <x v="10"/>
    <x v="3"/>
    <x v="627"/>
    <x v="20"/>
    <x v="109"/>
    <x v="252"/>
    <x v="6"/>
    <x v="198"/>
    <x v="4"/>
    <x v="987"/>
    <x v="1750"/>
    <x v="1885"/>
    <x v="349"/>
    <x v="1874"/>
    <x v="1722"/>
    <x v="4"/>
    <x v="0"/>
    <x v="0"/>
    <x v="2"/>
    <x v="12"/>
    <x v="0"/>
  </r>
  <r>
    <x v="2042"/>
    <x v="2036"/>
    <x v="63"/>
    <x v="0"/>
    <x v="9"/>
    <x v="9"/>
    <x v="0"/>
    <x v="353"/>
    <x v="5"/>
    <x v="90"/>
    <x v="308"/>
    <x v="4"/>
    <x v="981"/>
    <x v="0"/>
    <x v="0"/>
    <x v="1751"/>
    <x v="1886"/>
    <x v="274"/>
    <x v="1875"/>
    <x v="1723"/>
    <x v="1"/>
    <x v="0"/>
    <x v="0"/>
    <x v="2"/>
    <x v="231"/>
    <x v="0"/>
  </r>
  <r>
    <x v="2043"/>
    <x v="2037"/>
    <x v="286"/>
    <x v="0"/>
    <x v="4"/>
    <x v="4"/>
    <x v="2"/>
    <x v="604"/>
    <x v="97"/>
    <x v="42"/>
    <x v="184"/>
    <x v="5"/>
    <x v="982"/>
    <x v="0"/>
    <x v="0"/>
    <x v="1752"/>
    <x v="1887"/>
    <x v="887"/>
    <x v="1876"/>
    <x v="1724"/>
    <x v="2"/>
    <x v="0"/>
    <x v="0"/>
    <x v="2"/>
    <x v="737"/>
    <x v="1"/>
  </r>
  <r>
    <x v="2044"/>
    <x v="2038"/>
    <x v="65"/>
    <x v="0"/>
    <x v="8"/>
    <x v="8"/>
    <x v="3"/>
    <x v="114"/>
    <x v="31"/>
    <x v="16"/>
    <x v="16"/>
    <x v="4"/>
    <x v="35"/>
    <x v="4"/>
    <x v="738"/>
    <x v="1299"/>
    <x v="1380"/>
    <x v="179"/>
    <x v="1370"/>
    <x v="1277"/>
    <x v="2"/>
    <x v="0"/>
    <x v="0"/>
    <x v="0"/>
    <x v="396"/>
    <x v="0"/>
  </r>
  <r>
    <x v="2045"/>
    <x v="2039"/>
    <x v="112"/>
    <x v="0"/>
    <x v="10"/>
    <x v="10"/>
    <x v="3"/>
    <x v="149"/>
    <x v="30"/>
    <x v="80"/>
    <x v="290"/>
    <x v="0"/>
    <x v="34"/>
    <x v="3"/>
    <x v="988"/>
    <x v="1753"/>
    <x v="1888"/>
    <x v="161"/>
    <x v="1877"/>
    <x v="1725"/>
    <x v="2"/>
    <x v="0"/>
    <x v="0"/>
    <x v="2"/>
    <x v="289"/>
    <x v="1"/>
  </r>
  <r>
    <x v="2046"/>
    <x v="2040"/>
    <x v="84"/>
    <x v="0"/>
    <x v="9"/>
    <x v="9"/>
    <x v="0"/>
    <x v="266"/>
    <x v="20"/>
    <x v="27"/>
    <x v="28"/>
    <x v="6"/>
    <x v="983"/>
    <x v="4"/>
    <x v="989"/>
    <x v="1498"/>
    <x v="1889"/>
    <x v="349"/>
    <x v="1878"/>
    <x v="1726"/>
    <x v="2"/>
    <x v="0"/>
    <x v="0"/>
    <x v="1"/>
    <x v="407"/>
    <x v="1"/>
  </r>
  <r>
    <x v="2047"/>
    <x v="2041"/>
    <x v="296"/>
    <x v="1"/>
    <x v="11"/>
    <x v="11"/>
    <x v="1"/>
    <x v="512"/>
    <x v="51"/>
    <x v="40"/>
    <x v="49"/>
    <x v="4"/>
    <x v="161"/>
    <x v="2"/>
    <x v="790"/>
    <x v="221"/>
    <x v="849"/>
    <x v="257"/>
    <x v="1879"/>
    <x v="1727"/>
    <x v="4"/>
    <x v="0"/>
    <x v="0"/>
    <x v="1"/>
    <x v="560"/>
    <x v="1"/>
  </r>
  <r>
    <x v="2048"/>
    <x v="2042"/>
    <x v="48"/>
    <x v="0"/>
    <x v="0"/>
    <x v="0"/>
    <x v="0"/>
    <x v="177"/>
    <x v="56"/>
    <x v="174"/>
    <x v="158"/>
    <x v="7"/>
    <x v="984"/>
    <x v="2"/>
    <x v="990"/>
    <x v="1754"/>
    <x v="1890"/>
    <x v="156"/>
    <x v="1880"/>
    <x v="1728"/>
    <x v="3"/>
    <x v="0"/>
    <x v="0"/>
    <x v="0"/>
    <x v="693"/>
    <x v="1"/>
  </r>
  <r>
    <x v="2049"/>
    <x v="2043"/>
    <x v="86"/>
    <x v="0"/>
    <x v="6"/>
    <x v="6"/>
    <x v="3"/>
    <x v="228"/>
    <x v="74"/>
    <x v="123"/>
    <x v="161"/>
    <x v="2"/>
    <x v="985"/>
    <x v="0"/>
    <x v="0"/>
    <x v="1755"/>
    <x v="1891"/>
    <x v="112"/>
    <x v="1881"/>
    <x v="1729"/>
    <x v="1"/>
    <x v="0"/>
    <x v="0"/>
    <x v="0"/>
    <x v="50"/>
    <x v="0"/>
  </r>
  <r>
    <x v="2050"/>
    <x v="2044"/>
    <x v="2"/>
    <x v="0"/>
    <x v="2"/>
    <x v="2"/>
    <x v="2"/>
    <x v="196"/>
    <x v="131"/>
    <x v="130"/>
    <x v="175"/>
    <x v="2"/>
    <x v="986"/>
    <x v="0"/>
    <x v="0"/>
    <x v="887"/>
    <x v="1892"/>
    <x v="705"/>
    <x v="1882"/>
    <x v="1730"/>
    <x v="1"/>
    <x v="0"/>
    <x v="0"/>
    <x v="0"/>
    <x v="373"/>
    <x v="0"/>
  </r>
  <r>
    <x v="2051"/>
    <x v="2045"/>
    <x v="191"/>
    <x v="0"/>
    <x v="6"/>
    <x v="6"/>
    <x v="3"/>
    <x v="302"/>
    <x v="15"/>
    <x v="150"/>
    <x v="256"/>
    <x v="6"/>
    <x v="15"/>
    <x v="3"/>
    <x v="739"/>
    <x v="1300"/>
    <x v="1388"/>
    <x v="459"/>
    <x v="1378"/>
    <x v="1284"/>
    <x v="1"/>
    <x v="1"/>
    <x v="1"/>
    <x v="2"/>
    <x v="275"/>
    <x v="1"/>
  </r>
  <r>
    <x v="2052"/>
    <x v="2046"/>
    <x v="358"/>
    <x v="1"/>
    <x v="11"/>
    <x v="11"/>
    <x v="1"/>
    <x v="358"/>
    <x v="63"/>
    <x v="127"/>
    <x v="242"/>
    <x v="4"/>
    <x v="187"/>
    <x v="0"/>
    <x v="0"/>
    <x v="1756"/>
    <x v="1893"/>
    <x v="228"/>
    <x v="1883"/>
    <x v="1731"/>
    <x v="0"/>
    <x v="0"/>
    <x v="0"/>
    <x v="0"/>
    <x v="613"/>
    <x v="0"/>
  </r>
  <r>
    <x v="2053"/>
    <x v="2047"/>
    <x v="116"/>
    <x v="0"/>
    <x v="8"/>
    <x v="8"/>
    <x v="3"/>
    <x v="45"/>
    <x v="1"/>
    <x v="4"/>
    <x v="291"/>
    <x v="6"/>
    <x v="987"/>
    <x v="4"/>
    <x v="991"/>
    <x v="1757"/>
    <x v="1894"/>
    <x v="681"/>
    <x v="1884"/>
    <x v="1732"/>
    <x v="1"/>
    <x v="0"/>
    <x v="0"/>
    <x v="0"/>
    <x v="669"/>
    <x v="1"/>
  </r>
  <r>
    <x v="2054"/>
    <x v="2048"/>
    <x v="24"/>
    <x v="1"/>
    <x v="7"/>
    <x v="7"/>
    <x v="1"/>
    <x v="176"/>
    <x v="139"/>
    <x v="32"/>
    <x v="241"/>
    <x v="3"/>
    <x v="988"/>
    <x v="2"/>
    <x v="992"/>
    <x v="1758"/>
    <x v="1895"/>
    <x v="726"/>
    <x v="1885"/>
    <x v="1733"/>
    <x v="1"/>
    <x v="0"/>
    <x v="0"/>
    <x v="0"/>
    <x v="270"/>
    <x v="0"/>
  </r>
  <r>
    <x v="2055"/>
    <x v="2049"/>
    <x v="236"/>
    <x v="0"/>
    <x v="3"/>
    <x v="3"/>
    <x v="2"/>
    <x v="150"/>
    <x v="30"/>
    <x v="45"/>
    <x v="48"/>
    <x v="6"/>
    <x v="34"/>
    <x v="0"/>
    <x v="0"/>
    <x v="34"/>
    <x v="1896"/>
    <x v="34"/>
    <x v="1886"/>
    <x v="1734"/>
    <x v="0"/>
    <x v="0"/>
    <x v="0"/>
    <x v="0"/>
    <x v="74"/>
    <x v="1"/>
  </r>
  <r>
    <x v="2056"/>
    <x v="2050"/>
    <x v="47"/>
    <x v="0"/>
    <x v="5"/>
    <x v="5"/>
    <x v="0"/>
    <x v="219"/>
    <x v="66"/>
    <x v="2"/>
    <x v="240"/>
    <x v="6"/>
    <x v="989"/>
    <x v="0"/>
    <x v="0"/>
    <x v="1759"/>
    <x v="1897"/>
    <x v="136"/>
    <x v="1887"/>
    <x v="1735"/>
    <x v="2"/>
    <x v="0"/>
    <x v="0"/>
    <x v="0"/>
    <x v="239"/>
    <x v="0"/>
  </r>
  <r>
    <x v="2057"/>
    <x v="2051"/>
    <x v="148"/>
    <x v="1"/>
    <x v="1"/>
    <x v="1"/>
    <x v="1"/>
    <x v="278"/>
    <x v="93"/>
    <x v="25"/>
    <x v="26"/>
    <x v="1"/>
    <x v="323"/>
    <x v="3"/>
    <x v="812"/>
    <x v="1433"/>
    <x v="1532"/>
    <x v="814"/>
    <x v="1028"/>
    <x v="1411"/>
    <x v="0"/>
    <x v="0"/>
    <x v="0"/>
    <x v="0"/>
    <x v="423"/>
    <x v="1"/>
  </r>
  <r>
    <x v="2058"/>
    <x v="2052"/>
    <x v="226"/>
    <x v="0"/>
    <x v="0"/>
    <x v="0"/>
    <x v="0"/>
    <x v="389"/>
    <x v="114"/>
    <x v="9"/>
    <x v="43"/>
    <x v="6"/>
    <x v="990"/>
    <x v="2"/>
    <x v="993"/>
    <x v="1760"/>
    <x v="1898"/>
    <x v="888"/>
    <x v="1888"/>
    <x v="1736"/>
    <x v="3"/>
    <x v="0"/>
    <x v="0"/>
    <x v="0"/>
    <x v="84"/>
    <x v="1"/>
  </r>
  <r>
    <x v="2059"/>
    <x v="2053"/>
    <x v="264"/>
    <x v="1"/>
    <x v="7"/>
    <x v="7"/>
    <x v="1"/>
    <x v="127"/>
    <x v="134"/>
    <x v="81"/>
    <x v="144"/>
    <x v="2"/>
    <x v="450"/>
    <x v="0"/>
    <x v="0"/>
    <x v="1087"/>
    <x v="1899"/>
    <x v="361"/>
    <x v="1889"/>
    <x v="760"/>
    <x v="1"/>
    <x v="0"/>
    <x v="0"/>
    <x v="0"/>
    <x v="155"/>
    <x v="1"/>
  </r>
  <r>
    <x v="2060"/>
    <x v="2054"/>
    <x v="300"/>
    <x v="0"/>
    <x v="0"/>
    <x v="0"/>
    <x v="0"/>
    <x v="447"/>
    <x v="4"/>
    <x v="1"/>
    <x v="1"/>
    <x v="1"/>
    <x v="213"/>
    <x v="1"/>
    <x v="982"/>
    <x v="1761"/>
    <x v="1900"/>
    <x v="889"/>
    <x v="1890"/>
    <x v="1737"/>
    <x v="4"/>
    <x v="0"/>
    <x v="0"/>
    <x v="2"/>
    <x v="232"/>
    <x v="1"/>
  </r>
  <r>
    <x v="2061"/>
    <x v="2055"/>
    <x v="343"/>
    <x v="0"/>
    <x v="9"/>
    <x v="9"/>
    <x v="0"/>
    <x v="36"/>
    <x v="3"/>
    <x v="97"/>
    <x v="273"/>
    <x v="5"/>
    <x v="991"/>
    <x v="0"/>
    <x v="0"/>
    <x v="1762"/>
    <x v="1901"/>
    <x v="690"/>
    <x v="1891"/>
    <x v="1738"/>
    <x v="0"/>
    <x v="0"/>
    <x v="0"/>
    <x v="1"/>
    <x v="502"/>
    <x v="1"/>
  </r>
  <r>
    <x v="2062"/>
    <x v="2056"/>
    <x v="13"/>
    <x v="0"/>
    <x v="2"/>
    <x v="2"/>
    <x v="2"/>
    <x v="358"/>
    <x v="5"/>
    <x v="153"/>
    <x v="220"/>
    <x v="4"/>
    <x v="139"/>
    <x v="3"/>
    <x v="297"/>
    <x v="521"/>
    <x v="535"/>
    <x v="274"/>
    <x v="531"/>
    <x v="515"/>
    <x v="4"/>
    <x v="0"/>
    <x v="0"/>
    <x v="2"/>
    <x v="28"/>
    <x v="1"/>
  </r>
  <r>
    <x v="2063"/>
    <x v="2057"/>
    <x v="349"/>
    <x v="0"/>
    <x v="0"/>
    <x v="0"/>
    <x v="0"/>
    <x v="63"/>
    <x v="101"/>
    <x v="21"/>
    <x v="264"/>
    <x v="6"/>
    <x v="134"/>
    <x v="1"/>
    <x v="896"/>
    <x v="1763"/>
    <x v="1902"/>
    <x v="149"/>
    <x v="1892"/>
    <x v="1739"/>
    <x v="5"/>
    <x v="0"/>
    <x v="0"/>
    <x v="1"/>
    <x v="424"/>
    <x v="1"/>
  </r>
  <r>
    <x v="2064"/>
    <x v="2058"/>
    <x v="172"/>
    <x v="0"/>
    <x v="10"/>
    <x v="10"/>
    <x v="3"/>
    <x v="56"/>
    <x v="16"/>
    <x v="154"/>
    <x v="319"/>
    <x v="4"/>
    <x v="992"/>
    <x v="2"/>
    <x v="994"/>
    <x v="1764"/>
    <x v="1903"/>
    <x v="739"/>
    <x v="1893"/>
    <x v="1740"/>
    <x v="2"/>
    <x v="0"/>
    <x v="0"/>
    <x v="0"/>
    <x v="496"/>
    <x v="0"/>
  </r>
  <r>
    <x v="2065"/>
    <x v="2059"/>
    <x v="275"/>
    <x v="0"/>
    <x v="2"/>
    <x v="2"/>
    <x v="2"/>
    <x v="202"/>
    <x v="78"/>
    <x v="34"/>
    <x v="176"/>
    <x v="7"/>
    <x v="993"/>
    <x v="0"/>
    <x v="0"/>
    <x v="1765"/>
    <x v="1904"/>
    <x v="194"/>
    <x v="1894"/>
    <x v="1741"/>
    <x v="2"/>
    <x v="0"/>
    <x v="0"/>
    <x v="2"/>
    <x v="155"/>
    <x v="1"/>
  </r>
  <r>
    <x v="2066"/>
    <x v="2060"/>
    <x v="67"/>
    <x v="0"/>
    <x v="8"/>
    <x v="8"/>
    <x v="3"/>
    <x v="43"/>
    <x v="94"/>
    <x v="113"/>
    <x v="179"/>
    <x v="4"/>
    <x v="994"/>
    <x v="0"/>
    <x v="0"/>
    <x v="1766"/>
    <x v="1905"/>
    <x v="555"/>
    <x v="1895"/>
    <x v="1742"/>
    <x v="0"/>
    <x v="0"/>
    <x v="0"/>
    <x v="0"/>
    <x v="733"/>
    <x v="0"/>
  </r>
  <r>
    <x v="2067"/>
    <x v="2061"/>
    <x v="347"/>
    <x v="1"/>
    <x v="11"/>
    <x v="11"/>
    <x v="1"/>
    <x v="361"/>
    <x v="17"/>
    <x v="112"/>
    <x v="141"/>
    <x v="1"/>
    <x v="17"/>
    <x v="3"/>
    <x v="995"/>
    <x v="1767"/>
    <x v="1906"/>
    <x v="828"/>
    <x v="1896"/>
    <x v="1743"/>
    <x v="0"/>
    <x v="0"/>
    <x v="0"/>
    <x v="0"/>
    <x v="32"/>
    <x v="1"/>
  </r>
  <r>
    <x v="2068"/>
    <x v="2062"/>
    <x v="329"/>
    <x v="1"/>
    <x v="7"/>
    <x v="7"/>
    <x v="1"/>
    <x v="14"/>
    <x v="96"/>
    <x v="61"/>
    <x v="20"/>
    <x v="0"/>
    <x v="126"/>
    <x v="0"/>
    <x v="0"/>
    <x v="147"/>
    <x v="1907"/>
    <x v="139"/>
    <x v="1897"/>
    <x v="1744"/>
    <x v="1"/>
    <x v="0"/>
    <x v="0"/>
    <x v="0"/>
    <x v="302"/>
    <x v="0"/>
  </r>
  <r>
    <x v="2069"/>
    <x v="2063"/>
    <x v="67"/>
    <x v="0"/>
    <x v="8"/>
    <x v="8"/>
    <x v="3"/>
    <x v="196"/>
    <x v="119"/>
    <x v="124"/>
    <x v="183"/>
    <x v="3"/>
    <x v="995"/>
    <x v="3"/>
    <x v="996"/>
    <x v="1768"/>
    <x v="1908"/>
    <x v="240"/>
    <x v="1898"/>
    <x v="1745"/>
    <x v="1"/>
    <x v="0"/>
    <x v="0"/>
    <x v="0"/>
    <x v="738"/>
    <x v="0"/>
  </r>
  <r>
    <x v="2070"/>
    <x v="2064"/>
    <x v="114"/>
    <x v="1"/>
    <x v="1"/>
    <x v="1"/>
    <x v="1"/>
    <x v="569"/>
    <x v="12"/>
    <x v="43"/>
    <x v="176"/>
    <x v="6"/>
    <x v="12"/>
    <x v="0"/>
    <x v="0"/>
    <x v="12"/>
    <x v="12"/>
    <x v="12"/>
    <x v="12"/>
    <x v="12"/>
    <x v="2"/>
    <x v="0"/>
    <x v="0"/>
    <x v="0"/>
    <x v="225"/>
    <x v="1"/>
  </r>
  <r>
    <x v="2071"/>
    <x v="2065"/>
    <x v="162"/>
    <x v="0"/>
    <x v="8"/>
    <x v="8"/>
    <x v="3"/>
    <x v="36"/>
    <x v="21"/>
    <x v="54"/>
    <x v="59"/>
    <x v="5"/>
    <x v="996"/>
    <x v="0"/>
    <x v="0"/>
    <x v="1769"/>
    <x v="1909"/>
    <x v="859"/>
    <x v="1899"/>
    <x v="1746"/>
    <x v="1"/>
    <x v="0"/>
    <x v="0"/>
    <x v="1"/>
    <x v="324"/>
    <x v="0"/>
  </r>
  <r>
    <x v="2072"/>
    <x v="2066"/>
    <x v="348"/>
    <x v="0"/>
    <x v="4"/>
    <x v="4"/>
    <x v="2"/>
    <x v="628"/>
    <x v="47"/>
    <x v="173"/>
    <x v="15"/>
    <x v="0"/>
    <x v="52"/>
    <x v="3"/>
    <x v="29"/>
    <x v="1770"/>
    <x v="1910"/>
    <x v="72"/>
    <x v="1900"/>
    <x v="1747"/>
    <x v="5"/>
    <x v="0"/>
    <x v="0"/>
    <x v="0"/>
    <x v="568"/>
    <x v="1"/>
  </r>
  <r>
    <x v="2073"/>
    <x v="2067"/>
    <x v="260"/>
    <x v="0"/>
    <x v="10"/>
    <x v="10"/>
    <x v="3"/>
    <x v="23"/>
    <x v="20"/>
    <x v="107"/>
    <x v="15"/>
    <x v="4"/>
    <x v="198"/>
    <x v="1"/>
    <x v="997"/>
    <x v="1771"/>
    <x v="1911"/>
    <x v="783"/>
    <x v="1901"/>
    <x v="1748"/>
    <x v="3"/>
    <x v="0"/>
    <x v="0"/>
    <x v="0"/>
    <x v="135"/>
    <x v="1"/>
  </r>
  <r>
    <x v="2074"/>
    <x v="2068"/>
    <x v="248"/>
    <x v="0"/>
    <x v="5"/>
    <x v="5"/>
    <x v="0"/>
    <x v="502"/>
    <x v="47"/>
    <x v="36"/>
    <x v="37"/>
    <x v="1"/>
    <x v="52"/>
    <x v="1"/>
    <x v="998"/>
    <x v="1772"/>
    <x v="1912"/>
    <x v="890"/>
    <x v="1902"/>
    <x v="1749"/>
    <x v="1"/>
    <x v="0"/>
    <x v="0"/>
    <x v="0"/>
    <x v="556"/>
    <x v="1"/>
  </r>
  <r>
    <x v="2075"/>
    <x v="2069"/>
    <x v="100"/>
    <x v="0"/>
    <x v="4"/>
    <x v="4"/>
    <x v="2"/>
    <x v="134"/>
    <x v="12"/>
    <x v="35"/>
    <x v="36"/>
    <x v="2"/>
    <x v="12"/>
    <x v="0"/>
    <x v="0"/>
    <x v="152"/>
    <x v="1913"/>
    <x v="143"/>
    <x v="1903"/>
    <x v="1750"/>
    <x v="5"/>
    <x v="0"/>
    <x v="0"/>
    <x v="0"/>
    <x v="374"/>
    <x v="0"/>
  </r>
  <r>
    <x v="2076"/>
    <x v="2070"/>
    <x v="67"/>
    <x v="0"/>
    <x v="8"/>
    <x v="8"/>
    <x v="3"/>
    <x v="521"/>
    <x v="88"/>
    <x v="154"/>
    <x v="287"/>
    <x v="2"/>
    <x v="117"/>
    <x v="2"/>
    <x v="999"/>
    <x v="1773"/>
    <x v="1914"/>
    <x v="128"/>
    <x v="1904"/>
    <x v="1751"/>
    <x v="5"/>
    <x v="0"/>
    <x v="0"/>
    <x v="2"/>
    <x v="558"/>
    <x v="0"/>
  </r>
  <r>
    <x v="2077"/>
    <x v="2071"/>
    <x v="132"/>
    <x v="1"/>
    <x v="1"/>
    <x v="1"/>
    <x v="1"/>
    <x v="374"/>
    <x v="53"/>
    <x v="69"/>
    <x v="318"/>
    <x v="2"/>
    <x v="60"/>
    <x v="0"/>
    <x v="0"/>
    <x v="1340"/>
    <x v="1427"/>
    <x v="476"/>
    <x v="1418"/>
    <x v="1319"/>
    <x v="2"/>
    <x v="0"/>
    <x v="0"/>
    <x v="0"/>
    <x v="109"/>
    <x v="0"/>
  </r>
  <r>
    <x v="2078"/>
    <x v="2072"/>
    <x v="151"/>
    <x v="0"/>
    <x v="6"/>
    <x v="6"/>
    <x v="3"/>
    <x v="229"/>
    <x v="85"/>
    <x v="106"/>
    <x v="132"/>
    <x v="6"/>
    <x v="110"/>
    <x v="0"/>
    <x v="0"/>
    <x v="328"/>
    <x v="333"/>
    <x v="285"/>
    <x v="329"/>
    <x v="325"/>
    <x v="0"/>
    <x v="0"/>
    <x v="0"/>
    <x v="0"/>
    <x v="492"/>
    <x v="1"/>
  </r>
  <r>
    <x v="2079"/>
    <x v="2073"/>
    <x v="37"/>
    <x v="0"/>
    <x v="5"/>
    <x v="5"/>
    <x v="0"/>
    <x v="16"/>
    <x v="121"/>
    <x v="140"/>
    <x v="277"/>
    <x v="5"/>
    <x v="997"/>
    <x v="0"/>
    <x v="0"/>
    <x v="1774"/>
    <x v="1915"/>
    <x v="891"/>
    <x v="1905"/>
    <x v="1752"/>
    <x v="0"/>
    <x v="0"/>
    <x v="0"/>
    <x v="0"/>
    <x v="222"/>
    <x v="0"/>
  </r>
  <r>
    <x v="2080"/>
    <x v="2074"/>
    <x v="281"/>
    <x v="0"/>
    <x v="2"/>
    <x v="2"/>
    <x v="2"/>
    <x v="20"/>
    <x v="11"/>
    <x v="117"/>
    <x v="248"/>
    <x v="4"/>
    <x v="998"/>
    <x v="0"/>
    <x v="0"/>
    <x v="1775"/>
    <x v="1916"/>
    <x v="384"/>
    <x v="1906"/>
    <x v="1753"/>
    <x v="1"/>
    <x v="0"/>
    <x v="0"/>
    <x v="0"/>
    <x v="620"/>
    <x v="1"/>
  </r>
  <r>
    <x v="2081"/>
    <x v="2075"/>
    <x v="102"/>
    <x v="0"/>
    <x v="8"/>
    <x v="8"/>
    <x v="3"/>
    <x v="215"/>
    <x v="46"/>
    <x v="127"/>
    <x v="165"/>
    <x v="1"/>
    <x v="100"/>
    <x v="1"/>
    <x v="666"/>
    <x v="1776"/>
    <x v="1917"/>
    <x v="107"/>
    <x v="1907"/>
    <x v="1754"/>
    <x v="5"/>
    <x v="0"/>
    <x v="0"/>
    <x v="0"/>
    <x v="117"/>
    <x v="1"/>
  </r>
  <r>
    <x v="2082"/>
    <x v="2076"/>
    <x v="169"/>
    <x v="0"/>
    <x v="0"/>
    <x v="0"/>
    <x v="0"/>
    <x v="314"/>
    <x v="20"/>
    <x v="114"/>
    <x v="274"/>
    <x v="4"/>
    <x v="999"/>
    <x v="1"/>
    <x v="1000"/>
    <x v="1777"/>
    <x v="1918"/>
    <x v="783"/>
    <x v="1908"/>
    <x v="1755"/>
    <x v="3"/>
    <x v="0"/>
    <x v="0"/>
    <x v="0"/>
    <x v="678"/>
    <x v="0"/>
  </r>
  <r>
    <x v="2083"/>
    <x v="2077"/>
    <x v="86"/>
    <x v="0"/>
    <x v="6"/>
    <x v="6"/>
    <x v="3"/>
    <x v="374"/>
    <x v="71"/>
    <x v="56"/>
    <x v="61"/>
    <x v="6"/>
    <x v="130"/>
    <x v="1"/>
    <x v="901"/>
    <x v="1600"/>
    <x v="1716"/>
    <x v="142"/>
    <x v="1705"/>
    <x v="1082"/>
    <x v="2"/>
    <x v="0"/>
    <x v="0"/>
    <x v="0"/>
    <x v="6"/>
    <x v="0"/>
  </r>
  <r>
    <x v="2084"/>
    <x v="2078"/>
    <x v="266"/>
    <x v="0"/>
    <x v="6"/>
    <x v="6"/>
    <x v="3"/>
    <x v="578"/>
    <x v="65"/>
    <x v="124"/>
    <x v="183"/>
    <x v="1"/>
    <x v="307"/>
    <x v="2"/>
    <x v="1001"/>
    <x v="1778"/>
    <x v="1919"/>
    <x v="861"/>
    <x v="1909"/>
    <x v="773"/>
    <x v="2"/>
    <x v="0"/>
    <x v="0"/>
    <x v="0"/>
    <x v="50"/>
    <x v="0"/>
  </r>
  <r>
    <x v="2085"/>
    <x v="2079"/>
    <x v="263"/>
    <x v="0"/>
    <x v="2"/>
    <x v="2"/>
    <x v="2"/>
    <x v="510"/>
    <x v="74"/>
    <x v="57"/>
    <x v="63"/>
    <x v="6"/>
    <x v="104"/>
    <x v="3"/>
    <x v="1002"/>
    <x v="1585"/>
    <x v="1920"/>
    <x v="171"/>
    <x v="1910"/>
    <x v="1756"/>
    <x v="2"/>
    <x v="0"/>
    <x v="0"/>
    <x v="0"/>
    <x v="96"/>
    <x v="1"/>
  </r>
  <r>
    <x v="2086"/>
    <x v="2080"/>
    <x v="280"/>
    <x v="1"/>
    <x v="1"/>
    <x v="1"/>
    <x v="1"/>
    <x v="181"/>
    <x v="35"/>
    <x v="167"/>
    <x v="285"/>
    <x v="0"/>
    <x v="229"/>
    <x v="1"/>
    <x v="1003"/>
    <x v="1779"/>
    <x v="1921"/>
    <x v="732"/>
    <x v="1911"/>
    <x v="1757"/>
    <x v="0"/>
    <x v="0"/>
    <x v="0"/>
    <x v="0"/>
    <x v="594"/>
    <x v="1"/>
  </r>
  <r>
    <x v="2087"/>
    <x v="2081"/>
    <x v="194"/>
    <x v="0"/>
    <x v="8"/>
    <x v="8"/>
    <x v="3"/>
    <x v="93"/>
    <x v="1"/>
    <x v="65"/>
    <x v="257"/>
    <x v="7"/>
    <x v="1000"/>
    <x v="0"/>
    <x v="0"/>
    <x v="1780"/>
    <x v="1922"/>
    <x v="892"/>
    <x v="1912"/>
    <x v="1758"/>
    <x v="5"/>
    <x v="0"/>
    <x v="0"/>
    <x v="0"/>
    <x v="541"/>
    <x v="1"/>
  </r>
  <r>
    <x v="2088"/>
    <x v="2082"/>
    <x v="297"/>
    <x v="0"/>
    <x v="8"/>
    <x v="8"/>
    <x v="3"/>
    <x v="165"/>
    <x v="145"/>
    <x v="165"/>
    <x v="147"/>
    <x v="5"/>
    <x v="1001"/>
    <x v="1"/>
    <x v="1004"/>
    <x v="1781"/>
    <x v="1923"/>
    <x v="867"/>
    <x v="1913"/>
    <x v="1759"/>
    <x v="2"/>
    <x v="0"/>
    <x v="0"/>
    <x v="0"/>
    <x v="165"/>
    <x v="1"/>
  </r>
  <r>
    <x v="2089"/>
    <x v="2083"/>
    <x v="25"/>
    <x v="0"/>
    <x v="2"/>
    <x v="2"/>
    <x v="2"/>
    <x v="507"/>
    <x v="5"/>
    <x v="80"/>
    <x v="94"/>
    <x v="1"/>
    <x v="139"/>
    <x v="2"/>
    <x v="680"/>
    <x v="1782"/>
    <x v="1924"/>
    <x v="735"/>
    <x v="1914"/>
    <x v="1760"/>
    <x v="3"/>
    <x v="0"/>
    <x v="0"/>
    <x v="0"/>
    <x v="18"/>
    <x v="1"/>
  </r>
  <r>
    <x v="2090"/>
    <x v="2084"/>
    <x v="4"/>
    <x v="0"/>
    <x v="3"/>
    <x v="3"/>
    <x v="2"/>
    <x v="201"/>
    <x v="110"/>
    <x v="54"/>
    <x v="126"/>
    <x v="4"/>
    <x v="1002"/>
    <x v="0"/>
    <x v="0"/>
    <x v="1783"/>
    <x v="1925"/>
    <x v="283"/>
    <x v="1915"/>
    <x v="1761"/>
    <x v="0"/>
    <x v="0"/>
    <x v="0"/>
    <x v="0"/>
    <x v="227"/>
    <x v="0"/>
  </r>
  <r>
    <x v="2091"/>
    <x v="2085"/>
    <x v="146"/>
    <x v="0"/>
    <x v="2"/>
    <x v="2"/>
    <x v="2"/>
    <x v="67"/>
    <x v="8"/>
    <x v="57"/>
    <x v="327"/>
    <x v="3"/>
    <x v="1003"/>
    <x v="0"/>
    <x v="0"/>
    <x v="1784"/>
    <x v="1926"/>
    <x v="264"/>
    <x v="1916"/>
    <x v="1762"/>
    <x v="4"/>
    <x v="0"/>
    <x v="0"/>
    <x v="0"/>
    <x v="428"/>
    <x v="1"/>
  </r>
  <r>
    <x v="2092"/>
    <x v="2086"/>
    <x v="44"/>
    <x v="0"/>
    <x v="8"/>
    <x v="8"/>
    <x v="3"/>
    <x v="325"/>
    <x v="147"/>
    <x v="41"/>
    <x v="44"/>
    <x v="6"/>
    <x v="1004"/>
    <x v="0"/>
    <x v="0"/>
    <x v="1785"/>
    <x v="1927"/>
    <x v="893"/>
    <x v="1917"/>
    <x v="1763"/>
    <x v="1"/>
    <x v="0"/>
    <x v="0"/>
    <x v="0"/>
    <x v="565"/>
    <x v="0"/>
  </r>
  <r>
    <x v="2093"/>
    <x v="2087"/>
    <x v="33"/>
    <x v="0"/>
    <x v="8"/>
    <x v="8"/>
    <x v="3"/>
    <x v="350"/>
    <x v="72"/>
    <x v="18"/>
    <x v="18"/>
    <x v="2"/>
    <x v="116"/>
    <x v="1"/>
    <x v="425"/>
    <x v="754"/>
    <x v="783"/>
    <x v="558"/>
    <x v="779"/>
    <x v="743"/>
    <x v="3"/>
    <x v="0"/>
    <x v="0"/>
    <x v="0"/>
    <x v="530"/>
    <x v="0"/>
  </r>
  <r>
    <x v="2094"/>
    <x v="2088"/>
    <x v="331"/>
    <x v="1"/>
    <x v="1"/>
    <x v="1"/>
    <x v="1"/>
    <x v="549"/>
    <x v="26"/>
    <x v="139"/>
    <x v="47"/>
    <x v="5"/>
    <x v="1005"/>
    <x v="0"/>
    <x v="0"/>
    <x v="1786"/>
    <x v="1928"/>
    <x v="894"/>
    <x v="1918"/>
    <x v="1764"/>
    <x v="5"/>
    <x v="0"/>
    <x v="0"/>
    <x v="0"/>
    <x v="317"/>
    <x v="1"/>
  </r>
  <r>
    <x v="2095"/>
    <x v="2089"/>
    <x v="4"/>
    <x v="0"/>
    <x v="3"/>
    <x v="3"/>
    <x v="2"/>
    <x v="379"/>
    <x v="121"/>
    <x v="136"/>
    <x v="142"/>
    <x v="2"/>
    <x v="196"/>
    <x v="3"/>
    <x v="1005"/>
    <x v="1787"/>
    <x v="1929"/>
    <x v="239"/>
    <x v="1919"/>
    <x v="1765"/>
    <x v="2"/>
    <x v="0"/>
    <x v="0"/>
    <x v="0"/>
    <x v="465"/>
    <x v="0"/>
  </r>
  <r>
    <x v="2096"/>
    <x v="2090"/>
    <x v="0"/>
    <x v="0"/>
    <x v="0"/>
    <x v="0"/>
    <x v="0"/>
    <x v="414"/>
    <x v="105"/>
    <x v="155"/>
    <x v="309"/>
    <x v="1"/>
    <x v="119"/>
    <x v="3"/>
    <x v="1006"/>
    <x v="1788"/>
    <x v="1930"/>
    <x v="131"/>
    <x v="1920"/>
    <x v="1766"/>
    <x v="5"/>
    <x v="0"/>
    <x v="0"/>
    <x v="0"/>
    <x v="449"/>
    <x v="0"/>
  </r>
  <r>
    <x v="2097"/>
    <x v="2091"/>
    <x v="101"/>
    <x v="0"/>
    <x v="0"/>
    <x v="0"/>
    <x v="0"/>
    <x v="125"/>
    <x v="0"/>
    <x v="19"/>
    <x v="19"/>
    <x v="2"/>
    <x v="0"/>
    <x v="2"/>
    <x v="100"/>
    <x v="168"/>
    <x v="167"/>
    <x v="157"/>
    <x v="164"/>
    <x v="163"/>
    <x v="5"/>
    <x v="0"/>
    <x v="0"/>
    <x v="2"/>
    <x v="722"/>
    <x v="0"/>
  </r>
  <r>
    <x v="2098"/>
    <x v="2092"/>
    <x v="29"/>
    <x v="0"/>
    <x v="10"/>
    <x v="10"/>
    <x v="3"/>
    <x v="577"/>
    <x v="129"/>
    <x v="105"/>
    <x v="243"/>
    <x v="1"/>
    <x v="249"/>
    <x v="1"/>
    <x v="1007"/>
    <x v="1789"/>
    <x v="1931"/>
    <x v="895"/>
    <x v="1921"/>
    <x v="934"/>
    <x v="1"/>
    <x v="0"/>
    <x v="0"/>
    <x v="1"/>
    <x v="179"/>
    <x v="0"/>
  </r>
  <r>
    <x v="2099"/>
    <x v="2093"/>
    <x v="188"/>
    <x v="0"/>
    <x v="4"/>
    <x v="4"/>
    <x v="2"/>
    <x v="207"/>
    <x v="63"/>
    <x v="56"/>
    <x v="61"/>
    <x v="7"/>
    <x v="1006"/>
    <x v="0"/>
    <x v="0"/>
    <x v="1790"/>
    <x v="1932"/>
    <x v="896"/>
    <x v="1922"/>
    <x v="1767"/>
    <x v="0"/>
    <x v="0"/>
    <x v="0"/>
    <x v="0"/>
    <x v="709"/>
    <x v="0"/>
  </r>
  <r>
    <x v="2100"/>
    <x v="2094"/>
    <x v="224"/>
    <x v="1"/>
    <x v="11"/>
    <x v="11"/>
    <x v="1"/>
    <x v="440"/>
    <x v="76"/>
    <x v="174"/>
    <x v="158"/>
    <x v="6"/>
    <x v="418"/>
    <x v="0"/>
    <x v="0"/>
    <x v="1623"/>
    <x v="1933"/>
    <x v="656"/>
    <x v="1923"/>
    <x v="696"/>
    <x v="2"/>
    <x v="0"/>
    <x v="0"/>
    <x v="0"/>
    <x v="666"/>
    <x v="1"/>
  </r>
  <r>
    <x v="2101"/>
    <x v="2095"/>
    <x v="242"/>
    <x v="1"/>
    <x v="7"/>
    <x v="7"/>
    <x v="1"/>
    <x v="629"/>
    <x v="125"/>
    <x v="17"/>
    <x v="118"/>
    <x v="1"/>
    <x v="226"/>
    <x v="3"/>
    <x v="184"/>
    <x v="307"/>
    <x v="311"/>
    <x v="272"/>
    <x v="307"/>
    <x v="303"/>
    <x v="4"/>
    <x v="0"/>
    <x v="0"/>
    <x v="0"/>
    <x v="654"/>
    <x v="0"/>
  </r>
  <r>
    <x v="2102"/>
    <x v="2096"/>
    <x v="16"/>
    <x v="0"/>
    <x v="6"/>
    <x v="6"/>
    <x v="3"/>
    <x v="630"/>
    <x v="47"/>
    <x v="0"/>
    <x v="245"/>
    <x v="2"/>
    <x v="52"/>
    <x v="4"/>
    <x v="998"/>
    <x v="1791"/>
    <x v="1934"/>
    <x v="654"/>
    <x v="1924"/>
    <x v="1768"/>
    <x v="2"/>
    <x v="0"/>
    <x v="0"/>
    <x v="0"/>
    <x v="490"/>
    <x v="0"/>
  </r>
  <r>
    <x v="2103"/>
    <x v="2097"/>
    <x v="206"/>
    <x v="0"/>
    <x v="10"/>
    <x v="10"/>
    <x v="3"/>
    <x v="5"/>
    <x v="68"/>
    <x v="37"/>
    <x v="38"/>
    <x v="4"/>
    <x v="1007"/>
    <x v="4"/>
    <x v="1008"/>
    <x v="1792"/>
    <x v="1935"/>
    <x v="884"/>
    <x v="1925"/>
    <x v="1769"/>
    <x v="1"/>
    <x v="0"/>
    <x v="0"/>
    <x v="0"/>
    <x v="38"/>
    <x v="1"/>
  </r>
  <r>
    <x v="2104"/>
    <x v="2098"/>
    <x v="144"/>
    <x v="0"/>
    <x v="2"/>
    <x v="2"/>
    <x v="2"/>
    <x v="47"/>
    <x v="19"/>
    <x v="46"/>
    <x v="138"/>
    <x v="2"/>
    <x v="1008"/>
    <x v="2"/>
    <x v="1009"/>
    <x v="1793"/>
    <x v="1936"/>
    <x v="183"/>
    <x v="1926"/>
    <x v="1770"/>
    <x v="3"/>
    <x v="0"/>
    <x v="0"/>
    <x v="0"/>
    <x v="449"/>
    <x v="1"/>
  </r>
  <r>
    <x v="2105"/>
    <x v="2099"/>
    <x v="199"/>
    <x v="0"/>
    <x v="2"/>
    <x v="2"/>
    <x v="2"/>
    <x v="87"/>
    <x v="63"/>
    <x v="160"/>
    <x v="249"/>
    <x v="4"/>
    <x v="187"/>
    <x v="4"/>
    <x v="1010"/>
    <x v="1794"/>
    <x v="1937"/>
    <x v="228"/>
    <x v="1927"/>
    <x v="1771"/>
    <x v="2"/>
    <x v="0"/>
    <x v="0"/>
    <x v="0"/>
    <x v="715"/>
    <x v="1"/>
  </r>
  <r>
    <x v="2106"/>
    <x v="2100"/>
    <x v="113"/>
    <x v="0"/>
    <x v="4"/>
    <x v="4"/>
    <x v="2"/>
    <x v="279"/>
    <x v="28"/>
    <x v="49"/>
    <x v="53"/>
    <x v="6"/>
    <x v="32"/>
    <x v="1"/>
    <x v="73"/>
    <x v="1795"/>
    <x v="1938"/>
    <x v="318"/>
    <x v="1928"/>
    <x v="1772"/>
    <x v="0"/>
    <x v="0"/>
    <x v="0"/>
    <x v="0"/>
    <x v="305"/>
    <x v="1"/>
  </r>
  <r>
    <x v="2107"/>
    <x v="2101"/>
    <x v="140"/>
    <x v="0"/>
    <x v="9"/>
    <x v="9"/>
    <x v="0"/>
    <x v="89"/>
    <x v="118"/>
    <x v="90"/>
    <x v="240"/>
    <x v="7"/>
    <x v="1009"/>
    <x v="0"/>
    <x v="0"/>
    <x v="1796"/>
    <x v="1939"/>
    <x v="897"/>
    <x v="1929"/>
    <x v="1773"/>
    <x v="3"/>
    <x v="0"/>
    <x v="0"/>
    <x v="0"/>
    <x v="418"/>
    <x v="1"/>
  </r>
  <r>
    <x v="2108"/>
    <x v="2102"/>
    <x v="107"/>
    <x v="0"/>
    <x v="8"/>
    <x v="8"/>
    <x v="3"/>
    <x v="296"/>
    <x v="134"/>
    <x v="56"/>
    <x v="186"/>
    <x v="6"/>
    <x v="450"/>
    <x v="1"/>
    <x v="828"/>
    <x v="1797"/>
    <x v="1940"/>
    <x v="646"/>
    <x v="1930"/>
    <x v="1774"/>
    <x v="4"/>
    <x v="0"/>
    <x v="0"/>
    <x v="0"/>
    <x v="120"/>
    <x v="1"/>
  </r>
  <r>
    <x v="2109"/>
    <x v="2103"/>
    <x v="101"/>
    <x v="0"/>
    <x v="0"/>
    <x v="0"/>
    <x v="0"/>
    <x v="196"/>
    <x v="71"/>
    <x v="137"/>
    <x v="189"/>
    <x v="4"/>
    <x v="1010"/>
    <x v="1"/>
    <x v="1011"/>
    <x v="1798"/>
    <x v="1941"/>
    <x v="898"/>
    <x v="1931"/>
    <x v="1775"/>
    <x v="1"/>
    <x v="0"/>
    <x v="0"/>
    <x v="0"/>
    <x v="559"/>
    <x v="0"/>
  </r>
  <r>
    <x v="2110"/>
    <x v="2104"/>
    <x v="26"/>
    <x v="0"/>
    <x v="8"/>
    <x v="8"/>
    <x v="3"/>
    <x v="37"/>
    <x v="26"/>
    <x v="47"/>
    <x v="51"/>
    <x v="6"/>
    <x v="1011"/>
    <x v="2"/>
    <x v="1012"/>
    <x v="1799"/>
    <x v="1942"/>
    <x v="650"/>
    <x v="1932"/>
    <x v="1776"/>
    <x v="0"/>
    <x v="0"/>
    <x v="0"/>
    <x v="1"/>
    <x v="164"/>
    <x v="0"/>
  </r>
  <r>
    <x v="2111"/>
    <x v="2105"/>
    <x v="224"/>
    <x v="1"/>
    <x v="11"/>
    <x v="11"/>
    <x v="1"/>
    <x v="183"/>
    <x v="78"/>
    <x v="90"/>
    <x v="134"/>
    <x v="2"/>
    <x v="211"/>
    <x v="0"/>
    <x v="0"/>
    <x v="1800"/>
    <x v="1943"/>
    <x v="103"/>
    <x v="1933"/>
    <x v="575"/>
    <x v="5"/>
    <x v="0"/>
    <x v="0"/>
    <x v="0"/>
    <x v="548"/>
    <x v="1"/>
  </r>
  <r>
    <x v="2112"/>
    <x v="2106"/>
    <x v="298"/>
    <x v="0"/>
    <x v="0"/>
    <x v="0"/>
    <x v="0"/>
    <x v="170"/>
    <x v="15"/>
    <x v="114"/>
    <x v="64"/>
    <x v="6"/>
    <x v="15"/>
    <x v="1"/>
    <x v="1013"/>
    <x v="1801"/>
    <x v="1944"/>
    <x v="459"/>
    <x v="1934"/>
    <x v="1777"/>
    <x v="4"/>
    <x v="0"/>
    <x v="0"/>
    <x v="0"/>
    <x v="71"/>
    <x v="1"/>
  </r>
  <r>
    <x v="2113"/>
    <x v="2107"/>
    <x v="170"/>
    <x v="0"/>
    <x v="3"/>
    <x v="3"/>
    <x v="2"/>
    <x v="581"/>
    <x v="78"/>
    <x v="42"/>
    <x v="197"/>
    <x v="0"/>
    <x v="211"/>
    <x v="0"/>
    <x v="0"/>
    <x v="1457"/>
    <x v="1557"/>
    <x v="345"/>
    <x v="1549"/>
    <x v="575"/>
    <x v="0"/>
    <x v="0"/>
    <x v="0"/>
    <x v="0"/>
    <x v="610"/>
    <x v="1"/>
  </r>
  <r>
    <x v="2114"/>
    <x v="2108"/>
    <x v="30"/>
    <x v="0"/>
    <x v="6"/>
    <x v="6"/>
    <x v="3"/>
    <x v="265"/>
    <x v="72"/>
    <x v="140"/>
    <x v="32"/>
    <x v="0"/>
    <x v="116"/>
    <x v="3"/>
    <x v="1014"/>
    <x v="1802"/>
    <x v="1945"/>
    <x v="899"/>
    <x v="1935"/>
    <x v="1778"/>
    <x v="0"/>
    <x v="0"/>
    <x v="0"/>
    <x v="0"/>
    <x v="94"/>
    <x v="0"/>
  </r>
  <r>
    <x v="2115"/>
    <x v="2109"/>
    <x v="107"/>
    <x v="0"/>
    <x v="8"/>
    <x v="8"/>
    <x v="3"/>
    <x v="165"/>
    <x v="19"/>
    <x v="83"/>
    <x v="98"/>
    <x v="5"/>
    <x v="1012"/>
    <x v="0"/>
    <x v="0"/>
    <x v="1803"/>
    <x v="1946"/>
    <x v="20"/>
    <x v="1936"/>
    <x v="1779"/>
    <x v="4"/>
    <x v="0"/>
    <x v="0"/>
    <x v="1"/>
    <x v="203"/>
    <x v="1"/>
  </r>
  <r>
    <x v="2116"/>
    <x v="2110"/>
    <x v="294"/>
    <x v="0"/>
    <x v="9"/>
    <x v="9"/>
    <x v="0"/>
    <x v="505"/>
    <x v="79"/>
    <x v="1"/>
    <x v="1"/>
    <x v="4"/>
    <x v="258"/>
    <x v="3"/>
    <x v="1015"/>
    <x v="1804"/>
    <x v="1947"/>
    <x v="900"/>
    <x v="1937"/>
    <x v="1780"/>
    <x v="0"/>
    <x v="0"/>
    <x v="0"/>
    <x v="0"/>
    <x v="469"/>
    <x v="1"/>
  </r>
  <r>
    <x v="2117"/>
    <x v="2111"/>
    <x v="254"/>
    <x v="1"/>
    <x v="7"/>
    <x v="7"/>
    <x v="1"/>
    <x v="70"/>
    <x v="42"/>
    <x v="30"/>
    <x v="31"/>
    <x v="0"/>
    <x v="47"/>
    <x v="0"/>
    <x v="0"/>
    <x v="278"/>
    <x v="1160"/>
    <x v="251"/>
    <x v="1150"/>
    <x v="196"/>
    <x v="4"/>
    <x v="0"/>
    <x v="0"/>
    <x v="1"/>
    <x v="134"/>
    <x v="1"/>
  </r>
  <r>
    <x v="2118"/>
    <x v="2112"/>
    <x v="56"/>
    <x v="0"/>
    <x v="0"/>
    <x v="0"/>
    <x v="0"/>
    <x v="92"/>
    <x v="10"/>
    <x v="117"/>
    <x v="248"/>
    <x v="1"/>
    <x v="10"/>
    <x v="3"/>
    <x v="960"/>
    <x v="1805"/>
    <x v="1948"/>
    <x v="10"/>
    <x v="1938"/>
    <x v="1781"/>
    <x v="3"/>
    <x v="0"/>
    <x v="0"/>
    <x v="0"/>
    <x v="269"/>
    <x v="1"/>
  </r>
  <r>
    <x v="2119"/>
    <x v="2113"/>
    <x v="221"/>
    <x v="0"/>
    <x v="5"/>
    <x v="5"/>
    <x v="0"/>
    <x v="231"/>
    <x v="82"/>
    <x v="159"/>
    <x v="48"/>
    <x v="2"/>
    <x v="1013"/>
    <x v="0"/>
    <x v="0"/>
    <x v="1806"/>
    <x v="1949"/>
    <x v="299"/>
    <x v="1939"/>
    <x v="1782"/>
    <x v="1"/>
    <x v="0"/>
    <x v="0"/>
    <x v="0"/>
    <x v="253"/>
    <x v="0"/>
  </r>
  <r>
    <x v="2120"/>
    <x v="2114"/>
    <x v="123"/>
    <x v="0"/>
    <x v="8"/>
    <x v="8"/>
    <x v="3"/>
    <x v="49"/>
    <x v="71"/>
    <x v="150"/>
    <x v="312"/>
    <x v="7"/>
    <x v="1014"/>
    <x v="0"/>
    <x v="0"/>
    <x v="1807"/>
    <x v="1950"/>
    <x v="769"/>
    <x v="1940"/>
    <x v="1783"/>
    <x v="4"/>
    <x v="1"/>
    <x v="1"/>
    <x v="0"/>
    <x v="350"/>
    <x v="1"/>
  </r>
  <r>
    <x v="2121"/>
    <x v="2115"/>
    <x v="157"/>
    <x v="1"/>
    <x v="7"/>
    <x v="7"/>
    <x v="1"/>
    <x v="303"/>
    <x v="102"/>
    <x v="108"/>
    <x v="330"/>
    <x v="1"/>
    <x v="136"/>
    <x v="4"/>
    <x v="1016"/>
    <x v="1808"/>
    <x v="1951"/>
    <x v="901"/>
    <x v="1941"/>
    <x v="1784"/>
    <x v="0"/>
    <x v="0"/>
    <x v="0"/>
    <x v="0"/>
    <x v="2"/>
    <x v="1"/>
  </r>
  <r>
    <x v="2122"/>
    <x v="2116"/>
    <x v="92"/>
    <x v="0"/>
    <x v="4"/>
    <x v="4"/>
    <x v="2"/>
    <x v="360"/>
    <x v="56"/>
    <x v="20"/>
    <x v="289"/>
    <x v="2"/>
    <x v="1015"/>
    <x v="2"/>
    <x v="1017"/>
    <x v="878"/>
    <x v="1952"/>
    <x v="203"/>
    <x v="903"/>
    <x v="1785"/>
    <x v="4"/>
    <x v="0"/>
    <x v="0"/>
    <x v="0"/>
    <x v="208"/>
    <x v="0"/>
  </r>
  <r>
    <x v="2123"/>
    <x v="2117"/>
    <x v="140"/>
    <x v="0"/>
    <x v="9"/>
    <x v="9"/>
    <x v="0"/>
    <x v="62"/>
    <x v="61"/>
    <x v="149"/>
    <x v="262"/>
    <x v="4"/>
    <x v="1016"/>
    <x v="1"/>
    <x v="1018"/>
    <x v="1809"/>
    <x v="1953"/>
    <x v="902"/>
    <x v="1942"/>
    <x v="1786"/>
    <x v="3"/>
    <x v="0"/>
    <x v="0"/>
    <x v="0"/>
    <x v="190"/>
    <x v="1"/>
  </r>
  <r>
    <x v="2124"/>
    <x v="2118"/>
    <x v="29"/>
    <x v="0"/>
    <x v="10"/>
    <x v="10"/>
    <x v="3"/>
    <x v="549"/>
    <x v="124"/>
    <x v="162"/>
    <x v="0"/>
    <x v="6"/>
    <x v="1017"/>
    <x v="1"/>
    <x v="1019"/>
    <x v="1810"/>
    <x v="1954"/>
    <x v="805"/>
    <x v="1943"/>
    <x v="1787"/>
    <x v="0"/>
    <x v="0"/>
    <x v="0"/>
    <x v="2"/>
    <x v="377"/>
    <x v="0"/>
  </r>
  <r>
    <x v="2125"/>
    <x v="2119"/>
    <x v="54"/>
    <x v="0"/>
    <x v="5"/>
    <x v="5"/>
    <x v="0"/>
    <x v="590"/>
    <x v="60"/>
    <x v="47"/>
    <x v="51"/>
    <x v="0"/>
    <x v="68"/>
    <x v="0"/>
    <x v="0"/>
    <x v="242"/>
    <x v="243"/>
    <x v="221"/>
    <x v="240"/>
    <x v="238"/>
    <x v="5"/>
    <x v="0"/>
    <x v="0"/>
    <x v="1"/>
    <x v="282"/>
    <x v="1"/>
  </r>
  <r>
    <x v="2126"/>
    <x v="2120"/>
    <x v="6"/>
    <x v="0"/>
    <x v="3"/>
    <x v="3"/>
    <x v="2"/>
    <x v="240"/>
    <x v="25"/>
    <x v="155"/>
    <x v="280"/>
    <x v="4"/>
    <x v="28"/>
    <x v="0"/>
    <x v="0"/>
    <x v="1589"/>
    <x v="1703"/>
    <x v="135"/>
    <x v="1693"/>
    <x v="1562"/>
    <x v="4"/>
    <x v="0"/>
    <x v="0"/>
    <x v="0"/>
    <x v="556"/>
    <x v="0"/>
  </r>
  <r>
    <x v="2127"/>
    <x v="2121"/>
    <x v="90"/>
    <x v="1"/>
    <x v="7"/>
    <x v="7"/>
    <x v="1"/>
    <x v="544"/>
    <x v="28"/>
    <x v="98"/>
    <x v="152"/>
    <x v="2"/>
    <x v="32"/>
    <x v="2"/>
    <x v="1020"/>
    <x v="1811"/>
    <x v="1955"/>
    <x v="350"/>
    <x v="1944"/>
    <x v="1788"/>
    <x v="1"/>
    <x v="0"/>
    <x v="0"/>
    <x v="0"/>
    <x v="479"/>
    <x v="1"/>
  </r>
  <r>
    <x v="2128"/>
    <x v="2122"/>
    <x v="123"/>
    <x v="0"/>
    <x v="8"/>
    <x v="8"/>
    <x v="3"/>
    <x v="155"/>
    <x v="54"/>
    <x v="159"/>
    <x v="290"/>
    <x v="6"/>
    <x v="1018"/>
    <x v="2"/>
    <x v="1021"/>
    <x v="1812"/>
    <x v="1956"/>
    <x v="122"/>
    <x v="1945"/>
    <x v="1789"/>
    <x v="5"/>
    <x v="0"/>
    <x v="0"/>
    <x v="0"/>
    <x v="522"/>
    <x v="1"/>
  </r>
  <r>
    <x v="2129"/>
    <x v="2123"/>
    <x v="88"/>
    <x v="1"/>
    <x v="7"/>
    <x v="7"/>
    <x v="1"/>
    <x v="214"/>
    <x v="19"/>
    <x v="127"/>
    <x v="89"/>
    <x v="3"/>
    <x v="1019"/>
    <x v="4"/>
    <x v="1022"/>
    <x v="1813"/>
    <x v="1957"/>
    <x v="521"/>
    <x v="1946"/>
    <x v="1790"/>
    <x v="2"/>
    <x v="0"/>
    <x v="0"/>
    <x v="2"/>
    <x v="108"/>
    <x v="1"/>
  </r>
  <r>
    <x v="2130"/>
    <x v="2124"/>
    <x v="339"/>
    <x v="1"/>
    <x v="1"/>
    <x v="1"/>
    <x v="1"/>
    <x v="123"/>
    <x v="30"/>
    <x v="173"/>
    <x v="186"/>
    <x v="6"/>
    <x v="1020"/>
    <x v="0"/>
    <x v="0"/>
    <x v="1814"/>
    <x v="1958"/>
    <x v="34"/>
    <x v="1947"/>
    <x v="1791"/>
    <x v="5"/>
    <x v="0"/>
    <x v="0"/>
    <x v="0"/>
    <x v="250"/>
    <x v="1"/>
  </r>
  <r>
    <x v="2131"/>
    <x v="2125"/>
    <x v="142"/>
    <x v="0"/>
    <x v="8"/>
    <x v="8"/>
    <x v="3"/>
    <x v="47"/>
    <x v="137"/>
    <x v="75"/>
    <x v="174"/>
    <x v="4"/>
    <x v="1021"/>
    <x v="3"/>
    <x v="1023"/>
    <x v="1815"/>
    <x v="1959"/>
    <x v="903"/>
    <x v="1948"/>
    <x v="1792"/>
    <x v="1"/>
    <x v="0"/>
    <x v="0"/>
    <x v="2"/>
    <x v="420"/>
    <x v="1"/>
  </r>
  <r>
    <x v="2132"/>
    <x v="699"/>
    <x v="335"/>
    <x v="0"/>
    <x v="8"/>
    <x v="8"/>
    <x v="3"/>
    <x v="226"/>
    <x v="24"/>
    <x v="43"/>
    <x v="46"/>
    <x v="0"/>
    <x v="27"/>
    <x v="3"/>
    <x v="645"/>
    <x v="1138"/>
    <x v="1960"/>
    <x v="178"/>
    <x v="1949"/>
    <x v="1793"/>
    <x v="2"/>
    <x v="0"/>
    <x v="0"/>
    <x v="2"/>
    <x v="523"/>
    <x v="1"/>
  </r>
  <r>
    <x v="2133"/>
    <x v="2126"/>
    <x v="77"/>
    <x v="0"/>
    <x v="4"/>
    <x v="4"/>
    <x v="2"/>
    <x v="631"/>
    <x v="84"/>
    <x v="79"/>
    <x v="194"/>
    <x v="0"/>
    <x v="109"/>
    <x v="0"/>
    <x v="0"/>
    <x v="366"/>
    <x v="374"/>
    <x v="316"/>
    <x v="370"/>
    <x v="364"/>
    <x v="4"/>
    <x v="0"/>
    <x v="0"/>
    <x v="0"/>
    <x v="505"/>
    <x v="1"/>
  </r>
  <r>
    <x v="2134"/>
    <x v="2127"/>
    <x v="194"/>
    <x v="0"/>
    <x v="8"/>
    <x v="8"/>
    <x v="3"/>
    <x v="269"/>
    <x v="33"/>
    <x v="115"/>
    <x v="146"/>
    <x v="7"/>
    <x v="1022"/>
    <x v="2"/>
    <x v="1024"/>
    <x v="1816"/>
    <x v="1961"/>
    <x v="487"/>
    <x v="1950"/>
    <x v="1794"/>
    <x v="4"/>
    <x v="0"/>
    <x v="0"/>
    <x v="2"/>
    <x v="372"/>
    <x v="1"/>
  </r>
  <r>
    <x v="2135"/>
    <x v="2128"/>
    <x v="29"/>
    <x v="0"/>
    <x v="10"/>
    <x v="10"/>
    <x v="3"/>
    <x v="371"/>
    <x v="24"/>
    <x v="55"/>
    <x v="339"/>
    <x v="0"/>
    <x v="27"/>
    <x v="0"/>
    <x v="0"/>
    <x v="192"/>
    <x v="192"/>
    <x v="178"/>
    <x v="189"/>
    <x v="188"/>
    <x v="5"/>
    <x v="0"/>
    <x v="0"/>
    <x v="0"/>
    <x v="144"/>
    <x v="0"/>
  </r>
  <r>
    <x v="2136"/>
    <x v="2129"/>
    <x v="189"/>
    <x v="0"/>
    <x v="6"/>
    <x v="6"/>
    <x v="3"/>
    <x v="425"/>
    <x v="16"/>
    <x v="9"/>
    <x v="288"/>
    <x v="2"/>
    <x v="106"/>
    <x v="4"/>
    <x v="1025"/>
    <x v="1817"/>
    <x v="1962"/>
    <x v="16"/>
    <x v="1951"/>
    <x v="1795"/>
    <x v="0"/>
    <x v="0"/>
    <x v="0"/>
    <x v="2"/>
    <x v="11"/>
    <x v="1"/>
  </r>
  <r>
    <x v="2137"/>
    <x v="2130"/>
    <x v="29"/>
    <x v="0"/>
    <x v="10"/>
    <x v="10"/>
    <x v="3"/>
    <x v="406"/>
    <x v="36"/>
    <x v="54"/>
    <x v="59"/>
    <x v="6"/>
    <x v="41"/>
    <x v="4"/>
    <x v="1026"/>
    <x v="1818"/>
    <x v="1963"/>
    <x v="689"/>
    <x v="1952"/>
    <x v="1796"/>
    <x v="4"/>
    <x v="0"/>
    <x v="0"/>
    <x v="0"/>
    <x v="296"/>
    <x v="0"/>
  </r>
  <r>
    <x v="2138"/>
    <x v="2131"/>
    <x v="6"/>
    <x v="0"/>
    <x v="3"/>
    <x v="3"/>
    <x v="2"/>
    <x v="78"/>
    <x v="37"/>
    <x v="18"/>
    <x v="18"/>
    <x v="7"/>
    <x v="1023"/>
    <x v="0"/>
    <x v="0"/>
    <x v="1819"/>
    <x v="443"/>
    <x v="904"/>
    <x v="1953"/>
    <x v="1797"/>
    <x v="2"/>
    <x v="0"/>
    <x v="0"/>
    <x v="0"/>
    <x v="728"/>
    <x v="0"/>
  </r>
  <r>
    <x v="2139"/>
    <x v="2132"/>
    <x v="58"/>
    <x v="1"/>
    <x v="1"/>
    <x v="1"/>
    <x v="1"/>
    <x v="360"/>
    <x v="46"/>
    <x v="169"/>
    <x v="166"/>
    <x v="7"/>
    <x v="1024"/>
    <x v="3"/>
    <x v="1027"/>
    <x v="1820"/>
    <x v="1964"/>
    <x v="615"/>
    <x v="321"/>
    <x v="1798"/>
    <x v="5"/>
    <x v="0"/>
    <x v="0"/>
    <x v="0"/>
    <x v="384"/>
    <x v="1"/>
  </r>
  <r>
    <x v="2140"/>
    <x v="2133"/>
    <x v="315"/>
    <x v="1"/>
    <x v="11"/>
    <x v="11"/>
    <x v="1"/>
    <x v="269"/>
    <x v="71"/>
    <x v="147"/>
    <x v="340"/>
    <x v="5"/>
    <x v="1025"/>
    <x v="4"/>
    <x v="855"/>
    <x v="1821"/>
    <x v="1965"/>
    <x v="905"/>
    <x v="1954"/>
    <x v="1799"/>
    <x v="0"/>
    <x v="0"/>
    <x v="0"/>
    <x v="0"/>
    <x v="596"/>
    <x v="1"/>
  </r>
  <r>
    <x v="2141"/>
    <x v="2134"/>
    <x v="72"/>
    <x v="1"/>
    <x v="1"/>
    <x v="1"/>
    <x v="1"/>
    <x v="407"/>
    <x v="76"/>
    <x v="144"/>
    <x v="197"/>
    <x v="2"/>
    <x v="418"/>
    <x v="0"/>
    <x v="0"/>
    <x v="981"/>
    <x v="1966"/>
    <x v="100"/>
    <x v="1955"/>
    <x v="696"/>
    <x v="3"/>
    <x v="1"/>
    <x v="1"/>
    <x v="0"/>
    <x v="532"/>
    <x v="1"/>
  </r>
  <r>
    <x v="2142"/>
    <x v="2135"/>
    <x v="300"/>
    <x v="0"/>
    <x v="0"/>
    <x v="0"/>
    <x v="0"/>
    <x v="179"/>
    <x v="23"/>
    <x v="131"/>
    <x v="14"/>
    <x v="5"/>
    <x v="1026"/>
    <x v="0"/>
    <x v="0"/>
    <x v="1822"/>
    <x v="1967"/>
    <x v="906"/>
    <x v="1956"/>
    <x v="1800"/>
    <x v="2"/>
    <x v="0"/>
    <x v="0"/>
    <x v="2"/>
    <x v="482"/>
    <x v="1"/>
  </r>
  <r>
    <x v="2143"/>
    <x v="2136"/>
    <x v="55"/>
    <x v="0"/>
    <x v="9"/>
    <x v="9"/>
    <x v="0"/>
    <x v="490"/>
    <x v="63"/>
    <x v="84"/>
    <x v="341"/>
    <x v="6"/>
    <x v="187"/>
    <x v="0"/>
    <x v="0"/>
    <x v="1080"/>
    <x v="1968"/>
    <x v="76"/>
    <x v="1957"/>
    <x v="1801"/>
    <x v="3"/>
    <x v="0"/>
    <x v="0"/>
    <x v="0"/>
    <x v="739"/>
    <x v="0"/>
  </r>
  <r>
    <x v="2144"/>
    <x v="2137"/>
    <x v="153"/>
    <x v="0"/>
    <x v="10"/>
    <x v="10"/>
    <x v="3"/>
    <x v="225"/>
    <x v="39"/>
    <x v="172"/>
    <x v="261"/>
    <x v="6"/>
    <x v="273"/>
    <x v="0"/>
    <x v="0"/>
    <x v="1823"/>
    <x v="1969"/>
    <x v="907"/>
    <x v="1958"/>
    <x v="404"/>
    <x v="4"/>
    <x v="0"/>
    <x v="0"/>
    <x v="1"/>
    <x v="92"/>
    <x v="1"/>
  </r>
  <r>
    <x v="2145"/>
    <x v="2138"/>
    <x v="36"/>
    <x v="1"/>
    <x v="7"/>
    <x v="7"/>
    <x v="1"/>
    <x v="427"/>
    <x v="53"/>
    <x v="136"/>
    <x v="142"/>
    <x v="1"/>
    <x v="60"/>
    <x v="3"/>
    <x v="1028"/>
    <x v="1824"/>
    <x v="1970"/>
    <x v="908"/>
    <x v="1959"/>
    <x v="589"/>
    <x v="3"/>
    <x v="0"/>
    <x v="0"/>
    <x v="1"/>
    <x v="480"/>
    <x v="1"/>
  </r>
  <r>
    <x v="2146"/>
    <x v="2139"/>
    <x v="41"/>
    <x v="1"/>
    <x v="11"/>
    <x v="11"/>
    <x v="1"/>
    <x v="179"/>
    <x v="75"/>
    <x v="72"/>
    <x v="85"/>
    <x v="3"/>
    <x v="1027"/>
    <x v="0"/>
    <x v="0"/>
    <x v="1825"/>
    <x v="1971"/>
    <x v="909"/>
    <x v="1960"/>
    <x v="1802"/>
    <x v="0"/>
    <x v="0"/>
    <x v="0"/>
    <x v="0"/>
    <x v="447"/>
    <x v="0"/>
  </r>
  <r>
    <x v="2147"/>
    <x v="2140"/>
    <x v="136"/>
    <x v="0"/>
    <x v="10"/>
    <x v="10"/>
    <x v="3"/>
    <x v="302"/>
    <x v="63"/>
    <x v="48"/>
    <x v="52"/>
    <x v="4"/>
    <x v="187"/>
    <x v="3"/>
    <x v="1029"/>
    <x v="1826"/>
    <x v="1972"/>
    <x v="228"/>
    <x v="1961"/>
    <x v="1803"/>
    <x v="3"/>
    <x v="0"/>
    <x v="0"/>
    <x v="2"/>
    <x v="701"/>
    <x v="0"/>
  </r>
  <r>
    <x v="2148"/>
    <x v="2141"/>
    <x v="216"/>
    <x v="0"/>
    <x v="8"/>
    <x v="8"/>
    <x v="3"/>
    <x v="3"/>
    <x v="131"/>
    <x v="1"/>
    <x v="1"/>
    <x v="1"/>
    <x v="276"/>
    <x v="1"/>
    <x v="111"/>
    <x v="1827"/>
    <x v="1973"/>
    <x v="910"/>
    <x v="1962"/>
    <x v="1062"/>
    <x v="2"/>
    <x v="0"/>
    <x v="0"/>
    <x v="2"/>
    <x v="641"/>
    <x v="1"/>
  </r>
  <r>
    <x v="2149"/>
    <x v="2142"/>
    <x v="20"/>
    <x v="1"/>
    <x v="1"/>
    <x v="1"/>
    <x v="1"/>
    <x v="235"/>
    <x v="122"/>
    <x v="123"/>
    <x v="161"/>
    <x v="1"/>
    <x v="205"/>
    <x v="4"/>
    <x v="1030"/>
    <x v="1828"/>
    <x v="1974"/>
    <x v="491"/>
    <x v="1963"/>
    <x v="532"/>
    <x v="4"/>
    <x v="0"/>
    <x v="0"/>
    <x v="2"/>
    <x v="740"/>
    <x v="1"/>
  </r>
  <r>
    <x v="2150"/>
    <x v="2143"/>
    <x v="1"/>
    <x v="1"/>
    <x v="1"/>
    <x v="1"/>
    <x v="1"/>
    <x v="537"/>
    <x v="104"/>
    <x v="165"/>
    <x v="332"/>
    <x v="5"/>
    <x v="1028"/>
    <x v="3"/>
    <x v="1031"/>
    <x v="1829"/>
    <x v="1975"/>
    <x v="911"/>
    <x v="1964"/>
    <x v="1804"/>
    <x v="0"/>
    <x v="0"/>
    <x v="0"/>
    <x v="0"/>
    <x v="206"/>
    <x v="0"/>
  </r>
  <r>
    <x v="2151"/>
    <x v="2144"/>
    <x v="0"/>
    <x v="0"/>
    <x v="0"/>
    <x v="0"/>
    <x v="0"/>
    <x v="486"/>
    <x v="83"/>
    <x v="39"/>
    <x v="103"/>
    <x v="4"/>
    <x v="1029"/>
    <x v="1"/>
    <x v="1032"/>
    <x v="1830"/>
    <x v="1976"/>
    <x v="222"/>
    <x v="1965"/>
    <x v="1805"/>
    <x v="1"/>
    <x v="0"/>
    <x v="0"/>
    <x v="2"/>
    <x v="536"/>
    <x v="0"/>
  </r>
  <r>
    <x v="2152"/>
    <x v="2145"/>
    <x v="297"/>
    <x v="0"/>
    <x v="8"/>
    <x v="8"/>
    <x v="3"/>
    <x v="102"/>
    <x v="119"/>
    <x v="82"/>
    <x v="115"/>
    <x v="1"/>
    <x v="189"/>
    <x v="0"/>
    <x v="0"/>
    <x v="1831"/>
    <x v="1977"/>
    <x v="597"/>
    <x v="1966"/>
    <x v="1806"/>
    <x v="1"/>
    <x v="0"/>
    <x v="0"/>
    <x v="0"/>
    <x v="125"/>
    <x v="1"/>
  </r>
  <r>
    <x v="2153"/>
    <x v="2146"/>
    <x v="266"/>
    <x v="0"/>
    <x v="6"/>
    <x v="6"/>
    <x v="3"/>
    <x v="12"/>
    <x v="52"/>
    <x v="54"/>
    <x v="126"/>
    <x v="5"/>
    <x v="1030"/>
    <x v="0"/>
    <x v="0"/>
    <x v="1832"/>
    <x v="1978"/>
    <x v="912"/>
    <x v="848"/>
    <x v="1807"/>
    <x v="0"/>
    <x v="0"/>
    <x v="0"/>
    <x v="0"/>
    <x v="283"/>
    <x v="0"/>
  </r>
  <r>
    <x v="2154"/>
    <x v="2147"/>
    <x v="304"/>
    <x v="0"/>
    <x v="5"/>
    <x v="5"/>
    <x v="0"/>
    <x v="197"/>
    <x v="52"/>
    <x v="11"/>
    <x v="35"/>
    <x v="4"/>
    <x v="1031"/>
    <x v="1"/>
    <x v="1033"/>
    <x v="1833"/>
    <x v="1979"/>
    <x v="602"/>
    <x v="1967"/>
    <x v="1808"/>
    <x v="3"/>
    <x v="0"/>
    <x v="0"/>
    <x v="0"/>
    <x v="290"/>
    <x v="1"/>
  </r>
  <r>
    <x v="2155"/>
    <x v="2148"/>
    <x v="44"/>
    <x v="0"/>
    <x v="8"/>
    <x v="8"/>
    <x v="3"/>
    <x v="115"/>
    <x v="131"/>
    <x v="2"/>
    <x v="304"/>
    <x v="6"/>
    <x v="276"/>
    <x v="0"/>
    <x v="0"/>
    <x v="693"/>
    <x v="717"/>
    <x v="525"/>
    <x v="713"/>
    <x v="410"/>
    <x v="4"/>
    <x v="0"/>
    <x v="0"/>
    <x v="0"/>
    <x v="448"/>
    <x v="0"/>
  </r>
  <r>
    <x v="2156"/>
    <x v="2149"/>
    <x v="323"/>
    <x v="0"/>
    <x v="5"/>
    <x v="5"/>
    <x v="0"/>
    <x v="330"/>
    <x v="23"/>
    <x v="162"/>
    <x v="195"/>
    <x v="2"/>
    <x v="24"/>
    <x v="0"/>
    <x v="0"/>
    <x v="625"/>
    <x v="644"/>
    <x v="488"/>
    <x v="639"/>
    <x v="618"/>
    <x v="2"/>
    <x v="0"/>
    <x v="0"/>
    <x v="0"/>
    <x v="223"/>
    <x v="1"/>
  </r>
  <r>
    <x v="2157"/>
    <x v="2150"/>
    <x v="169"/>
    <x v="0"/>
    <x v="0"/>
    <x v="0"/>
    <x v="0"/>
    <x v="3"/>
    <x v="64"/>
    <x v="104"/>
    <x v="130"/>
    <x v="4"/>
    <x v="74"/>
    <x v="0"/>
    <x v="0"/>
    <x v="1834"/>
    <x v="1980"/>
    <x v="77"/>
    <x v="1968"/>
    <x v="1809"/>
    <x v="2"/>
    <x v="0"/>
    <x v="0"/>
    <x v="2"/>
    <x v="246"/>
    <x v="0"/>
  </r>
  <r>
    <x v="2158"/>
    <x v="2151"/>
    <x v="25"/>
    <x v="0"/>
    <x v="2"/>
    <x v="2"/>
    <x v="2"/>
    <x v="393"/>
    <x v="110"/>
    <x v="76"/>
    <x v="294"/>
    <x v="6"/>
    <x v="152"/>
    <x v="0"/>
    <x v="0"/>
    <x v="1835"/>
    <x v="1981"/>
    <x v="913"/>
    <x v="1969"/>
    <x v="1810"/>
    <x v="4"/>
    <x v="0"/>
    <x v="0"/>
    <x v="0"/>
    <x v="625"/>
    <x v="1"/>
  </r>
  <r>
    <x v="2159"/>
    <x v="2152"/>
    <x v="68"/>
    <x v="0"/>
    <x v="6"/>
    <x v="6"/>
    <x v="3"/>
    <x v="624"/>
    <x v="114"/>
    <x v="78"/>
    <x v="299"/>
    <x v="0"/>
    <x v="206"/>
    <x v="0"/>
    <x v="0"/>
    <x v="1836"/>
    <x v="1982"/>
    <x v="914"/>
    <x v="1970"/>
    <x v="274"/>
    <x v="4"/>
    <x v="0"/>
    <x v="0"/>
    <x v="0"/>
    <x v="123"/>
    <x v="1"/>
  </r>
  <r>
    <x v="2160"/>
    <x v="2153"/>
    <x v="162"/>
    <x v="0"/>
    <x v="8"/>
    <x v="8"/>
    <x v="3"/>
    <x v="205"/>
    <x v="127"/>
    <x v="1"/>
    <x v="1"/>
    <x v="2"/>
    <x v="1032"/>
    <x v="1"/>
    <x v="1034"/>
    <x v="1837"/>
    <x v="1983"/>
    <x v="366"/>
    <x v="1971"/>
    <x v="1811"/>
    <x v="0"/>
    <x v="0"/>
    <x v="0"/>
    <x v="0"/>
    <x v="558"/>
    <x v="0"/>
  </r>
  <r>
    <x v="2161"/>
    <x v="2154"/>
    <x v="266"/>
    <x v="0"/>
    <x v="6"/>
    <x v="6"/>
    <x v="3"/>
    <x v="632"/>
    <x v="134"/>
    <x v="95"/>
    <x v="88"/>
    <x v="0"/>
    <x v="450"/>
    <x v="0"/>
    <x v="0"/>
    <x v="1838"/>
    <x v="1984"/>
    <x v="792"/>
    <x v="1972"/>
    <x v="1067"/>
    <x v="5"/>
    <x v="0"/>
    <x v="0"/>
    <x v="0"/>
    <x v="144"/>
    <x v="0"/>
  </r>
  <r>
    <x v="2162"/>
    <x v="2155"/>
    <x v="168"/>
    <x v="0"/>
    <x v="6"/>
    <x v="6"/>
    <x v="3"/>
    <x v="135"/>
    <x v="141"/>
    <x v="11"/>
    <x v="11"/>
    <x v="7"/>
    <x v="1033"/>
    <x v="3"/>
    <x v="1035"/>
    <x v="1839"/>
    <x v="1985"/>
    <x v="486"/>
    <x v="1973"/>
    <x v="1812"/>
    <x v="3"/>
    <x v="0"/>
    <x v="0"/>
    <x v="0"/>
    <x v="523"/>
    <x v="0"/>
  </r>
  <r>
    <x v="2163"/>
    <x v="2156"/>
    <x v="48"/>
    <x v="0"/>
    <x v="0"/>
    <x v="0"/>
    <x v="0"/>
    <x v="633"/>
    <x v="106"/>
    <x v="76"/>
    <x v="294"/>
    <x v="6"/>
    <x v="145"/>
    <x v="1"/>
    <x v="1036"/>
    <x v="425"/>
    <x v="1986"/>
    <x v="694"/>
    <x v="1974"/>
    <x v="1813"/>
    <x v="2"/>
    <x v="0"/>
    <x v="0"/>
    <x v="2"/>
    <x v="92"/>
    <x v="1"/>
  </r>
  <r>
    <x v="2164"/>
    <x v="2157"/>
    <x v="190"/>
    <x v="0"/>
    <x v="4"/>
    <x v="4"/>
    <x v="2"/>
    <x v="359"/>
    <x v="35"/>
    <x v="137"/>
    <x v="73"/>
    <x v="3"/>
    <x v="1034"/>
    <x v="3"/>
    <x v="1037"/>
    <x v="1840"/>
    <x v="1987"/>
    <x v="625"/>
    <x v="1975"/>
    <x v="1814"/>
    <x v="2"/>
    <x v="0"/>
    <x v="0"/>
    <x v="0"/>
    <x v="212"/>
    <x v="0"/>
  </r>
  <r>
    <x v="2165"/>
    <x v="2158"/>
    <x v="246"/>
    <x v="0"/>
    <x v="5"/>
    <x v="5"/>
    <x v="0"/>
    <x v="109"/>
    <x v="139"/>
    <x v="72"/>
    <x v="85"/>
    <x v="6"/>
    <x v="357"/>
    <x v="0"/>
    <x v="0"/>
    <x v="1841"/>
    <x v="1988"/>
    <x v="603"/>
    <x v="1976"/>
    <x v="1815"/>
    <x v="4"/>
    <x v="0"/>
    <x v="0"/>
    <x v="0"/>
    <x v="553"/>
    <x v="1"/>
  </r>
  <r>
    <x v="2166"/>
    <x v="2159"/>
    <x v="71"/>
    <x v="1"/>
    <x v="11"/>
    <x v="11"/>
    <x v="1"/>
    <x v="402"/>
    <x v="7"/>
    <x v="58"/>
    <x v="122"/>
    <x v="0"/>
    <x v="7"/>
    <x v="3"/>
    <x v="115"/>
    <x v="189"/>
    <x v="188"/>
    <x v="175"/>
    <x v="185"/>
    <x v="184"/>
    <x v="1"/>
    <x v="0"/>
    <x v="0"/>
    <x v="0"/>
    <x v="276"/>
    <x v="0"/>
  </r>
  <r>
    <x v="2167"/>
    <x v="2160"/>
    <x v="24"/>
    <x v="1"/>
    <x v="7"/>
    <x v="7"/>
    <x v="1"/>
    <x v="541"/>
    <x v="111"/>
    <x v="119"/>
    <x v="253"/>
    <x v="2"/>
    <x v="268"/>
    <x v="1"/>
    <x v="1038"/>
    <x v="1842"/>
    <x v="1989"/>
    <x v="312"/>
    <x v="1977"/>
    <x v="1816"/>
    <x v="5"/>
    <x v="0"/>
    <x v="0"/>
    <x v="0"/>
    <x v="399"/>
    <x v="0"/>
  </r>
  <r>
    <x v="2168"/>
    <x v="2161"/>
    <x v="259"/>
    <x v="0"/>
    <x v="9"/>
    <x v="9"/>
    <x v="0"/>
    <x v="634"/>
    <x v="86"/>
    <x v="56"/>
    <x v="186"/>
    <x v="0"/>
    <x v="112"/>
    <x v="3"/>
    <x v="605"/>
    <x v="1075"/>
    <x v="1133"/>
    <x v="703"/>
    <x v="1124"/>
    <x v="1056"/>
    <x v="4"/>
    <x v="0"/>
    <x v="0"/>
    <x v="1"/>
    <x v="707"/>
    <x v="1"/>
  </r>
  <r>
    <x v="2169"/>
    <x v="2162"/>
    <x v="340"/>
    <x v="1"/>
    <x v="1"/>
    <x v="1"/>
    <x v="1"/>
    <x v="550"/>
    <x v="135"/>
    <x v="169"/>
    <x v="166"/>
    <x v="4"/>
    <x v="1035"/>
    <x v="0"/>
    <x v="0"/>
    <x v="1843"/>
    <x v="1990"/>
    <x v="915"/>
    <x v="1978"/>
    <x v="1817"/>
    <x v="3"/>
    <x v="0"/>
    <x v="0"/>
    <x v="0"/>
    <x v="661"/>
    <x v="1"/>
  </r>
  <r>
    <x v="2170"/>
    <x v="2163"/>
    <x v="63"/>
    <x v="0"/>
    <x v="9"/>
    <x v="9"/>
    <x v="0"/>
    <x v="325"/>
    <x v="7"/>
    <x v="2"/>
    <x v="281"/>
    <x v="7"/>
    <x v="1036"/>
    <x v="0"/>
    <x v="0"/>
    <x v="1844"/>
    <x v="1991"/>
    <x v="639"/>
    <x v="1979"/>
    <x v="1818"/>
    <x v="2"/>
    <x v="0"/>
    <x v="0"/>
    <x v="2"/>
    <x v="327"/>
    <x v="0"/>
  </r>
  <r>
    <x v="2171"/>
    <x v="2164"/>
    <x v="78"/>
    <x v="0"/>
    <x v="8"/>
    <x v="8"/>
    <x v="3"/>
    <x v="259"/>
    <x v="29"/>
    <x v="70"/>
    <x v="80"/>
    <x v="0"/>
    <x v="33"/>
    <x v="0"/>
    <x v="0"/>
    <x v="33"/>
    <x v="1992"/>
    <x v="33"/>
    <x v="1952"/>
    <x v="1819"/>
    <x v="5"/>
    <x v="0"/>
    <x v="0"/>
    <x v="2"/>
    <x v="497"/>
    <x v="1"/>
  </r>
  <r>
    <x v="2172"/>
    <x v="2165"/>
    <x v="18"/>
    <x v="0"/>
    <x v="2"/>
    <x v="2"/>
    <x v="2"/>
    <x v="165"/>
    <x v="55"/>
    <x v="165"/>
    <x v="41"/>
    <x v="6"/>
    <x v="1037"/>
    <x v="1"/>
    <x v="1039"/>
    <x v="1845"/>
    <x v="1993"/>
    <x v="474"/>
    <x v="1980"/>
    <x v="1820"/>
    <x v="5"/>
    <x v="0"/>
    <x v="0"/>
    <x v="2"/>
    <x v="276"/>
    <x v="1"/>
  </r>
  <r>
    <x v="2173"/>
    <x v="2166"/>
    <x v="284"/>
    <x v="0"/>
    <x v="10"/>
    <x v="10"/>
    <x v="3"/>
    <x v="601"/>
    <x v="35"/>
    <x v="34"/>
    <x v="32"/>
    <x v="6"/>
    <x v="229"/>
    <x v="2"/>
    <x v="203"/>
    <x v="348"/>
    <x v="356"/>
    <x v="302"/>
    <x v="352"/>
    <x v="348"/>
    <x v="4"/>
    <x v="1"/>
    <x v="1"/>
    <x v="2"/>
    <x v="201"/>
    <x v="1"/>
  </r>
  <r>
    <x v="2174"/>
    <x v="2167"/>
    <x v="171"/>
    <x v="1"/>
    <x v="7"/>
    <x v="7"/>
    <x v="1"/>
    <x v="201"/>
    <x v="15"/>
    <x v="93"/>
    <x v="113"/>
    <x v="2"/>
    <x v="1038"/>
    <x v="4"/>
    <x v="1040"/>
    <x v="1846"/>
    <x v="1994"/>
    <x v="15"/>
    <x v="1981"/>
    <x v="1821"/>
    <x v="0"/>
    <x v="0"/>
    <x v="0"/>
    <x v="0"/>
    <x v="292"/>
    <x v="1"/>
  </r>
  <r>
    <x v="2175"/>
    <x v="2168"/>
    <x v="320"/>
    <x v="0"/>
    <x v="3"/>
    <x v="3"/>
    <x v="2"/>
    <x v="10"/>
    <x v="3"/>
    <x v="109"/>
    <x v="135"/>
    <x v="2"/>
    <x v="3"/>
    <x v="1"/>
    <x v="2"/>
    <x v="1847"/>
    <x v="1995"/>
    <x v="262"/>
    <x v="1982"/>
    <x v="1822"/>
    <x v="0"/>
    <x v="0"/>
    <x v="0"/>
    <x v="2"/>
    <x v="134"/>
    <x v="0"/>
  </r>
  <r>
    <x v="2176"/>
    <x v="2169"/>
    <x v="133"/>
    <x v="0"/>
    <x v="10"/>
    <x v="10"/>
    <x v="3"/>
    <x v="155"/>
    <x v="85"/>
    <x v="40"/>
    <x v="24"/>
    <x v="6"/>
    <x v="1039"/>
    <x v="0"/>
    <x v="0"/>
    <x v="1848"/>
    <x v="1996"/>
    <x v="285"/>
    <x v="1983"/>
    <x v="1823"/>
    <x v="2"/>
    <x v="0"/>
    <x v="0"/>
    <x v="0"/>
    <x v="357"/>
    <x v="0"/>
  </r>
  <r>
    <x v="2177"/>
    <x v="2170"/>
    <x v="198"/>
    <x v="0"/>
    <x v="5"/>
    <x v="5"/>
    <x v="0"/>
    <x v="308"/>
    <x v="110"/>
    <x v="170"/>
    <x v="322"/>
    <x v="1"/>
    <x v="152"/>
    <x v="0"/>
    <x v="0"/>
    <x v="1849"/>
    <x v="1997"/>
    <x v="916"/>
    <x v="1984"/>
    <x v="1810"/>
    <x v="3"/>
    <x v="0"/>
    <x v="0"/>
    <x v="0"/>
    <x v="354"/>
    <x v="1"/>
  </r>
  <r>
    <x v="2178"/>
    <x v="2171"/>
    <x v="86"/>
    <x v="0"/>
    <x v="6"/>
    <x v="6"/>
    <x v="3"/>
    <x v="428"/>
    <x v="78"/>
    <x v="119"/>
    <x v="157"/>
    <x v="1"/>
    <x v="211"/>
    <x v="1"/>
    <x v="957"/>
    <x v="1850"/>
    <x v="1998"/>
    <x v="468"/>
    <x v="1985"/>
    <x v="1824"/>
    <x v="2"/>
    <x v="0"/>
    <x v="0"/>
    <x v="0"/>
    <x v="740"/>
    <x v="0"/>
  </r>
  <r>
    <x v="2179"/>
    <x v="2172"/>
    <x v="96"/>
    <x v="0"/>
    <x v="3"/>
    <x v="3"/>
    <x v="2"/>
    <x v="215"/>
    <x v="102"/>
    <x v="55"/>
    <x v="60"/>
    <x v="2"/>
    <x v="136"/>
    <x v="3"/>
    <x v="1041"/>
    <x v="1851"/>
    <x v="1999"/>
    <x v="152"/>
    <x v="1986"/>
    <x v="1825"/>
    <x v="0"/>
    <x v="0"/>
    <x v="0"/>
    <x v="2"/>
    <x v="139"/>
    <x v="0"/>
  </r>
  <r>
    <x v="2180"/>
    <x v="2173"/>
    <x v="263"/>
    <x v="0"/>
    <x v="2"/>
    <x v="2"/>
    <x v="2"/>
    <x v="300"/>
    <x v="86"/>
    <x v="36"/>
    <x v="37"/>
    <x v="6"/>
    <x v="112"/>
    <x v="2"/>
    <x v="1042"/>
    <x v="1852"/>
    <x v="2000"/>
    <x v="123"/>
    <x v="1987"/>
    <x v="1826"/>
    <x v="4"/>
    <x v="0"/>
    <x v="0"/>
    <x v="0"/>
    <x v="164"/>
    <x v="1"/>
  </r>
  <r>
    <x v="2181"/>
    <x v="2174"/>
    <x v="324"/>
    <x v="0"/>
    <x v="6"/>
    <x v="6"/>
    <x v="3"/>
    <x v="91"/>
    <x v="80"/>
    <x v="74"/>
    <x v="4"/>
    <x v="7"/>
    <x v="1040"/>
    <x v="0"/>
    <x v="0"/>
    <x v="1853"/>
    <x v="2001"/>
    <x v="917"/>
    <x v="1988"/>
    <x v="1827"/>
    <x v="0"/>
    <x v="0"/>
    <x v="0"/>
    <x v="0"/>
    <x v="665"/>
    <x v="1"/>
  </r>
  <r>
    <x v="2182"/>
    <x v="2175"/>
    <x v="253"/>
    <x v="0"/>
    <x v="10"/>
    <x v="10"/>
    <x v="3"/>
    <x v="48"/>
    <x v="145"/>
    <x v="29"/>
    <x v="30"/>
    <x v="6"/>
    <x v="1041"/>
    <x v="0"/>
    <x v="0"/>
    <x v="1854"/>
    <x v="2002"/>
    <x v="740"/>
    <x v="1989"/>
    <x v="1828"/>
    <x v="3"/>
    <x v="0"/>
    <x v="0"/>
    <x v="2"/>
    <x v="646"/>
    <x v="1"/>
  </r>
  <r>
    <x v="2183"/>
    <x v="2176"/>
    <x v="238"/>
    <x v="0"/>
    <x v="3"/>
    <x v="3"/>
    <x v="2"/>
    <x v="479"/>
    <x v="24"/>
    <x v="13"/>
    <x v="270"/>
    <x v="1"/>
    <x v="27"/>
    <x v="0"/>
    <x v="0"/>
    <x v="27"/>
    <x v="27"/>
    <x v="27"/>
    <x v="26"/>
    <x v="27"/>
    <x v="4"/>
    <x v="0"/>
    <x v="0"/>
    <x v="0"/>
    <x v="125"/>
    <x v="1"/>
  </r>
  <r>
    <x v="2184"/>
    <x v="2177"/>
    <x v="360"/>
    <x v="1"/>
    <x v="11"/>
    <x v="11"/>
    <x v="1"/>
    <x v="131"/>
    <x v="57"/>
    <x v="84"/>
    <x v="156"/>
    <x v="4"/>
    <x v="65"/>
    <x v="3"/>
    <x v="793"/>
    <x v="1398"/>
    <x v="1492"/>
    <x v="261"/>
    <x v="1484"/>
    <x v="1380"/>
    <x v="2"/>
    <x v="0"/>
    <x v="0"/>
    <x v="0"/>
    <x v="372"/>
    <x v="1"/>
  </r>
  <r>
    <x v="2185"/>
    <x v="2178"/>
    <x v="35"/>
    <x v="0"/>
    <x v="8"/>
    <x v="8"/>
    <x v="3"/>
    <x v="219"/>
    <x v="147"/>
    <x v="76"/>
    <x v="90"/>
    <x v="7"/>
    <x v="1042"/>
    <x v="0"/>
    <x v="0"/>
    <x v="1855"/>
    <x v="2003"/>
    <x v="918"/>
    <x v="1656"/>
    <x v="1829"/>
    <x v="1"/>
    <x v="0"/>
    <x v="0"/>
    <x v="1"/>
    <x v="135"/>
    <x v="1"/>
  </r>
  <r>
    <x v="2186"/>
    <x v="2179"/>
    <x v="154"/>
    <x v="0"/>
    <x v="5"/>
    <x v="5"/>
    <x v="0"/>
    <x v="49"/>
    <x v="142"/>
    <x v="89"/>
    <x v="108"/>
    <x v="7"/>
    <x v="1043"/>
    <x v="2"/>
    <x v="12"/>
    <x v="726"/>
    <x v="2004"/>
    <x v="919"/>
    <x v="1990"/>
    <x v="1830"/>
    <x v="3"/>
    <x v="0"/>
    <x v="0"/>
    <x v="2"/>
    <x v="188"/>
    <x v="1"/>
  </r>
  <r>
    <x v="2187"/>
    <x v="2180"/>
    <x v="89"/>
    <x v="0"/>
    <x v="4"/>
    <x v="4"/>
    <x v="2"/>
    <x v="562"/>
    <x v="15"/>
    <x v="39"/>
    <x v="42"/>
    <x v="6"/>
    <x v="15"/>
    <x v="1"/>
    <x v="1013"/>
    <x v="1801"/>
    <x v="2005"/>
    <x v="459"/>
    <x v="1991"/>
    <x v="1831"/>
    <x v="5"/>
    <x v="0"/>
    <x v="0"/>
    <x v="2"/>
    <x v="340"/>
    <x v="0"/>
  </r>
  <r>
    <x v="2188"/>
    <x v="2181"/>
    <x v="322"/>
    <x v="1"/>
    <x v="11"/>
    <x v="11"/>
    <x v="1"/>
    <x v="83"/>
    <x v="90"/>
    <x v="107"/>
    <x v="15"/>
    <x v="2"/>
    <x v="82"/>
    <x v="2"/>
    <x v="48"/>
    <x v="88"/>
    <x v="1374"/>
    <x v="87"/>
    <x v="1363"/>
    <x v="1272"/>
    <x v="1"/>
    <x v="0"/>
    <x v="0"/>
    <x v="0"/>
    <x v="432"/>
    <x v="1"/>
  </r>
  <r>
    <x v="2189"/>
    <x v="2182"/>
    <x v="80"/>
    <x v="0"/>
    <x v="8"/>
    <x v="8"/>
    <x v="3"/>
    <x v="635"/>
    <x v="144"/>
    <x v="29"/>
    <x v="30"/>
    <x v="0"/>
    <x v="476"/>
    <x v="0"/>
    <x v="0"/>
    <x v="1856"/>
    <x v="2006"/>
    <x v="920"/>
    <x v="1992"/>
    <x v="1832"/>
    <x v="4"/>
    <x v="0"/>
    <x v="0"/>
    <x v="0"/>
    <x v="689"/>
    <x v="0"/>
  </r>
  <r>
    <x v="2190"/>
    <x v="2183"/>
    <x v="25"/>
    <x v="0"/>
    <x v="2"/>
    <x v="2"/>
    <x v="2"/>
    <x v="95"/>
    <x v="58"/>
    <x v="136"/>
    <x v="142"/>
    <x v="5"/>
    <x v="1044"/>
    <x v="0"/>
    <x v="0"/>
    <x v="1857"/>
    <x v="2007"/>
    <x v="921"/>
    <x v="1993"/>
    <x v="1833"/>
    <x v="0"/>
    <x v="0"/>
    <x v="0"/>
    <x v="0"/>
    <x v="740"/>
    <x v="1"/>
  </r>
  <r>
    <x v="2191"/>
    <x v="2184"/>
    <x v="239"/>
    <x v="0"/>
    <x v="9"/>
    <x v="9"/>
    <x v="0"/>
    <x v="23"/>
    <x v="31"/>
    <x v="172"/>
    <x v="262"/>
    <x v="0"/>
    <x v="35"/>
    <x v="1"/>
    <x v="1043"/>
    <x v="1858"/>
    <x v="2008"/>
    <x v="643"/>
    <x v="1994"/>
    <x v="1834"/>
    <x v="5"/>
    <x v="0"/>
    <x v="0"/>
    <x v="0"/>
    <x v="373"/>
    <x v="1"/>
  </r>
  <r>
    <x v="2192"/>
    <x v="2185"/>
    <x v="127"/>
    <x v="0"/>
    <x v="5"/>
    <x v="5"/>
    <x v="0"/>
    <x v="133"/>
    <x v="19"/>
    <x v="117"/>
    <x v="181"/>
    <x v="3"/>
    <x v="1045"/>
    <x v="0"/>
    <x v="0"/>
    <x v="1859"/>
    <x v="2009"/>
    <x v="521"/>
    <x v="1995"/>
    <x v="1835"/>
    <x v="5"/>
    <x v="0"/>
    <x v="0"/>
    <x v="0"/>
    <x v="292"/>
    <x v="0"/>
  </r>
  <r>
    <x v="2193"/>
    <x v="2186"/>
    <x v="330"/>
    <x v="0"/>
    <x v="3"/>
    <x v="3"/>
    <x v="2"/>
    <x v="42"/>
    <x v="128"/>
    <x v="136"/>
    <x v="142"/>
    <x v="2"/>
    <x v="341"/>
    <x v="4"/>
    <x v="379"/>
    <x v="665"/>
    <x v="687"/>
    <x v="510"/>
    <x v="682"/>
    <x v="658"/>
    <x v="2"/>
    <x v="1"/>
    <x v="1"/>
    <x v="0"/>
    <x v="717"/>
    <x v="1"/>
  </r>
  <r>
    <x v="2194"/>
    <x v="2187"/>
    <x v="65"/>
    <x v="0"/>
    <x v="8"/>
    <x v="8"/>
    <x v="3"/>
    <x v="428"/>
    <x v="89"/>
    <x v="88"/>
    <x v="35"/>
    <x v="2"/>
    <x v="118"/>
    <x v="4"/>
    <x v="1044"/>
    <x v="1860"/>
    <x v="2010"/>
    <x v="129"/>
    <x v="1371"/>
    <x v="1836"/>
    <x v="0"/>
    <x v="0"/>
    <x v="0"/>
    <x v="1"/>
    <x v="181"/>
    <x v="0"/>
  </r>
  <r>
    <x v="2195"/>
    <x v="2188"/>
    <x v="101"/>
    <x v="0"/>
    <x v="0"/>
    <x v="0"/>
    <x v="0"/>
    <x v="613"/>
    <x v="71"/>
    <x v="137"/>
    <x v="73"/>
    <x v="2"/>
    <x v="130"/>
    <x v="2"/>
    <x v="686"/>
    <x v="1208"/>
    <x v="2011"/>
    <x v="734"/>
    <x v="1996"/>
    <x v="1837"/>
    <x v="5"/>
    <x v="0"/>
    <x v="0"/>
    <x v="2"/>
    <x v="295"/>
    <x v="0"/>
  </r>
  <r>
    <x v="2196"/>
    <x v="2189"/>
    <x v="361"/>
    <x v="0"/>
    <x v="8"/>
    <x v="8"/>
    <x v="3"/>
    <x v="326"/>
    <x v="92"/>
    <x v="36"/>
    <x v="37"/>
    <x v="5"/>
    <x v="1046"/>
    <x v="4"/>
    <x v="1045"/>
    <x v="1861"/>
    <x v="2012"/>
    <x v="655"/>
    <x v="1997"/>
    <x v="1838"/>
    <x v="1"/>
    <x v="0"/>
    <x v="0"/>
    <x v="0"/>
    <x v="75"/>
    <x v="1"/>
  </r>
  <r>
    <x v="2197"/>
    <x v="2190"/>
    <x v="101"/>
    <x v="0"/>
    <x v="0"/>
    <x v="0"/>
    <x v="0"/>
    <x v="592"/>
    <x v="141"/>
    <x v="128"/>
    <x v="278"/>
    <x v="0"/>
    <x v="428"/>
    <x v="3"/>
    <x v="1046"/>
    <x v="1862"/>
    <x v="2013"/>
    <x v="634"/>
    <x v="1998"/>
    <x v="1839"/>
    <x v="0"/>
    <x v="0"/>
    <x v="0"/>
    <x v="0"/>
    <x v="524"/>
    <x v="0"/>
  </r>
  <r>
    <x v="2198"/>
    <x v="2191"/>
    <x v="69"/>
    <x v="0"/>
    <x v="8"/>
    <x v="8"/>
    <x v="3"/>
    <x v="117"/>
    <x v="19"/>
    <x v="96"/>
    <x v="120"/>
    <x v="0"/>
    <x v="19"/>
    <x v="2"/>
    <x v="120"/>
    <x v="386"/>
    <x v="395"/>
    <x v="332"/>
    <x v="392"/>
    <x v="384"/>
    <x v="3"/>
    <x v="0"/>
    <x v="0"/>
    <x v="0"/>
    <x v="623"/>
    <x v="1"/>
  </r>
  <r>
    <x v="2199"/>
    <x v="2192"/>
    <x v="313"/>
    <x v="0"/>
    <x v="2"/>
    <x v="2"/>
    <x v="2"/>
    <x v="303"/>
    <x v="17"/>
    <x v="41"/>
    <x v="44"/>
    <x v="0"/>
    <x v="17"/>
    <x v="4"/>
    <x v="1047"/>
    <x v="1863"/>
    <x v="2014"/>
    <x v="17"/>
    <x v="1999"/>
    <x v="1840"/>
    <x v="0"/>
    <x v="0"/>
    <x v="0"/>
    <x v="0"/>
    <x v="523"/>
    <x v="0"/>
  </r>
  <r>
    <x v="2200"/>
    <x v="2193"/>
    <x v="247"/>
    <x v="0"/>
    <x v="5"/>
    <x v="5"/>
    <x v="0"/>
    <x v="7"/>
    <x v="103"/>
    <x v="102"/>
    <x v="128"/>
    <x v="1"/>
    <x v="224"/>
    <x v="0"/>
    <x v="0"/>
    <x v="305"/>
    <x v="2015"/>
    <x v="271"/>
    <x v="2000"/>
    <x v="1841"/>
    <x v="0"/>
    <x v="0"/>
    <x v="0"/>
    <x v="0"/>
    <x v="215"/>
    <x v="0"/>
  </r>
  <r>
    <x v="2201"/>
    <x v="2194"/>
    <x v="37"/>
    <x v="0"/>
    <x v="5"/>
    <x v="5"/>
    <x v="0"/>
    <x v="447"/>
    <x v="73"/>
    <x v="118"/>
    <x v="149"/>
    <x v="0"/>
    <x v="469"/>
    <x v="4"/>
    <x v="1048"/>
    <x v="1864"/>
    <x v="2016"/>
    <x v="922"/>
    <x v="2001"/>
    <x v="1842"/>
    <x v="4"/>
    <x v="0"/>
    <x v="0"/>
    <x v="2"/>
    <x v="131"/>
    <x v="0"/>
  </r>
  <r>
    <x v="2202"/>
    <x v="2195"/>
    <x v="112"/>
    <x v="0"/>
    <x v="10"/>
    <x v="10"/>
    <x v="3"/>
    <x v="244"/>
    <x v="48"/>
    <x v="72"/>
    <x v="85"/>
    <x v="0"/>
    <x v="53"/>
    <x v="3"/>
    <x v="269"/>
    <x v="1865"/>
    <x v="2017"/>
    <x v="923"/>
    <x v="2002"/>
    <x v="1843"/>
    <x v="1"/>
    <x v="0"/>
    <x v="0"/>
    <x v="0"/>
    <x v="395"/>
    <x v="1"/>
  </r>
  <r>
    <x v="2203"/>
    <x v="2196"/>
    <x v="136"/>
    <x v="0"/>
    <x v="10"/>
    <x v="10"/>
    <x v="3"/>
    <x v="375"/>
    <x v="121"/>
    <x v="12"/>
    <x v="12"/>
    <x v="6"/>
    <x v="1047"/>
    <x v="0"/>
    <x v="0"/>
    <x v="1866"/>
    <x v="2018"/>
    <x v="290"/>
    <x v="2003"/>
    <x v="1844"/>
    <x v="5"/>
    <x v="0"/>
    <x v="0"/>
    <x v="0"/>
    <x v="171"/>
    <x v="0"/>
  </r>
  <r>
    <x v="2204"/>
    <x v="2197"/>
    <x v="93"/>
    <x v="0"/>
    <x v="9"/>
    <x v="9"/>
    <x v="0"/>
    <x v="65"/>
    <x v="42"/>
    <x v="32"/>
    <x v="34"/>
    <x v="1"/>
    <x v="47"/>
    <x v="0"/>
    <x v="0"/>
    <x v="876"/>
    <x v="916"/>
    <x v="47"/>
    <x v="910"/>
    <x v="864"/>
    <x v="3"/>
    <x v="0"/>
    <x v="0"/>
    <x v="0"/>
    <x v="510"/>
    <x v="0"/>
  </r>
  <r>
    <x v="2205"/>
    <x v="2198"/>
    <x v="145"/>
    <x v="0"/>
    <x v="9"/>
    <x v="9"/>
    <x v="0"/>
    <x v="133"/>
    <x v="134"/>
    <x v="24"/>
    <x v="50"/>
    <x v="6"/>
    <x v="1048"/>
    <x v="0"/>
    <x v="0"/>
    <x v="1867"/>
    <x v="2019"/>
    <x v="646"/>
    <x v="2004"/>
    <x v="1845"/>
    <x v="1"/>
    <x v="0"/>
    <x v="0"/>
    <x v="0"/>
    <x v="29"/>
    <x v="1"/>
  </r>
  <r>
    <x v="2206"/>
    <x v="2199"/>
    <x v="16"/>
    <x v="0"/>
    <x v="6"/>
    <x v="6"/>
    <x v="3"/>
    <x v="217"/>
    <x v="63"/>
    <x v="43"/>
    <x v="68"/>
    <x v="5"/>
    <x v="1049"/>
    <x v="0"/>
    <x v="0"/>
    <x v="1868"/>
    <x v="2020"/>
    <x v="800"/>
    <x v="2005"/>
    <x v="1846"/>
    <x v="2"/>
    <x v="0"/>
    <x v="0"/>
    <x v="0"/>
    <x v="501"/>
    <x v="0"/>
  </r>
  <r>
    <x v="2207"/>
    <x v="2200"/>
    <x v="135"/>
    <x v="1"/>
    <x v="7"/>
    <x v="7"/>
    <x v="1"/>
    <x v="92"/>
    <x v="127"/>
    <x v="137"/>
    <x v="189"/>
    <x v="4"/>
    <x v="335"/>
    <x v="4"/>
    <x v="1049"/>
    <x v="1869"/>
    <x v="2021"/>
    <x v="329"/>
    <x v="2006"/>
    <x v="1847"/>
    <x v="1"/>
    <x v="0"/>
    <x v="0"/>
    <x v="0"/>
    <x v="519"/>
    <x v="0"/>
  </r>
  <r>
    <x v="2208"/>
    <x v="2201"/>
    <x v="26"/>
    <x v="0"/>
    <x v="8"/>
    <x v="8"/>
    <x v="3"/>
    <x v="120"/>
    <x v="9"/>
    <x v="38"/>
    <x v="316"/>
    <x v="5"/>
    <x v="1050"/>
    <x v="0"/>
    <x v="0"/>
    <x v="1870"/>
    <x v="2022"/>
    <x v="711"/>
    <x v="2007"/>
    <x v="1848"/>
    <x v="0"/>
    <x v="0"/>
    <x v="0"/>
    <x v="0"/>
    <x v="90"/>
    <x v="0"/>
  </r>
  <r>
    <x v="2209"/>
    <x v="2202"/>
    <x v="330"/>
    <x v="0"/>
    <x v="3"/>
    <x v="3"/>
    <x v="2"/>
    <x v="527"/>
    <x v="53"/>
    <x v="75"/>
    <x v="174"/>
    <x v="2"/>
    <x v="1051"/>
    <x v="0"/>
    <x v="0"/>
    <x v="1871"/>
    <x v="2023"/>
    <x v="476"/>
    <x v="2008"/>
    <x v="1849"/>
    <x v="1"/>
    <x v="0"/>
    <x v="0"/>
    <x v="0"/>
    <x v="410"/>
    <x v="1"/>
  </r>
  <r>
    <x v="2210"/>
    <x v="2203"/>
    <x v="239"/>
    <x v="0"/>
    <x v="9"/>
    <x v="9"/>
    <x v="0"/>
    <x v="169"/>
    <x v="66"/>
    <x v="137"/>
    <x v="73"/>
    <x v="5"/>
    <x v="1052"/>
    <x v="0"/>
    <x v="0"/>
    <x v="1872"/>
    <x v="2024"/>
    <x v="539"/>
    <x v="2009"/>
    <x v="1850"/>
    <x v="4"/>
    <x v="0"/>
    <x v="0"/>
    <x v="0"/>
    <x v="43"/>
    <x v="1"/>
  </r>
  <r>
    <x v="2211"/>
    <x v="2204"/>
    <x v="229"/>
    <x v="1"/>
    <x v="1"/>
    <x v="1"/>
    <x v="1"/>
    <x v="62"/>
    <x v="81"/>
    <x v="30"/>
    <x v="31"/>
    <x v="8"/>
    <x v="1053"/>
    <x v="0"/>
    <x v="0"/>
    <x v="89"/>
    <x v="2025"/>
    <x v="454"/>
    <x v="2010"/>
    <x v="1851"/>
    <x v="3"/>
    <x v="0"/>
    <x v="0"/>
    <x v="2"/>
    <x v="741"/>
    <x v="0"/>
  </r>
  <r>
    <x v="2212"/>
    <x v="2205"/>
    <x v="156"/>
    <x v="0"/>
    <x v="2"/>
    <x v="2"/>
    <x v="2"/>
    <x v="91"/>
    <x v="113"/>
    <x v="92"/>
    <x v="300"/>
    <x v="3"/>
    <x v="1054"/>
    <x v="2"/>
    <x v="1050"/>
    <x v="1873"/>
    <x v="2026"/>
    <x v="924"/>
    <x v="2011"/>
    <x v="1852"/>
    <x v="5"/>
    <x v="0"/>
    <x v="0"/>
    <x v="0"/>
    <x v="648"/>
    <x v="0"/>
  </r>
  <r>
    <x v="2213"/>
    <x v="2206"/>
    <x v="49"/>
    <x v="0"/>
    <x v="0"/>
    <x v="0"/>
    <x v="0"/>
    <x v="73"/>
    <x v="87"/>
    <x v="146"/>
    <x v="306"/>
    <x v="5"/>
    <x v="1055"/>
    <x v="1"/>
    <x v="1051"/>
    <x v="1874"/>
    <x v="2027"/>
    <x v="124"/>
    <x v="2012"/>
    <x v="1853"/>
    <x v="1"/>
    <x v="0"/>
    <x v="0"/>
    <x v="1"/>
    <x v="227"/>
    <x v="0"/>
  </r>
  <r>
    <x v="2214"/>
    <x v="2207"/>
    <x v="228"/>
    <x v="0"/>
    <x v="6"/>
    <x v="6"/>
    <x v="3"/>
    <x v="501"/>
    <x v="34"/>
    <x v="45"/>
    <x v="227"/>
    <x v="2"/>
    <x v="219"/>
    <x v="4"/>
    <x v="492"/>
    <x v="1875"/>
    <x v="2028"/>
    <x v="529"/>
    <x v="2013"/>
    <x v="1854"/>
    <x v="0"/>
    <x v="0"/>
    <x v="0"/>
    <x v="0"/>
    <x v="566"/>
    <x v="0"/>
  </r>
  <r>
    <x v="2215"/>
    <x v="2208"/>
    <x v="139"/>
    <x v="0"/>
    <x v="10"/>
    <x v="10"/>
    <x v="3"/>
    <x v="61"/>
    <x v="117"/>
    <x v="137"/>
    <x v="73"/>
    <x v="6"/>
    <x v="1056"/>
    <x v="0"/>
    <x v="0"/>
    <x v="1876"/>
    <x v="2029"/>
    <x v="250"/>
    <x v="273"/>
    <x v="1855"/>
    <x v="5"/>
    <x v="0"/>
    <x v="0"/>
    <x v="2"/>
    <x v="302"/>
    <x v="1"/>
  </r>
  <r>
    <x v="2216"/>
    <x v="2209"/>
    <x v="21"/>
    <x v="0"/>
    <x v="2"/>
    <x v="2"/>
    <x v="2"/>
    <x v="598"/>
    <x v="36"/>
    <x v="103"/>
    <x v="129"/>
    <x v="4"/>
    <x v="41"/>
    <x v="2"/>
    <x v="1052"/>
    <x v="1877"/>
    <x v="2030"/>
    <x v="706"/>
    <x v="2014"/>
    <x v="1856"/>
    <x v="2"/>
    <x v="0"/>
    <x v="0"/>
    <x v="0"/>
    <x v="158"/>
    <x v="1"/>
  </r>
  <r>
    <x v="2217"/>
    <x v="2210"/>
    <x v="164"/>
    <x v="0"/>
    <x v="6"/>
    <x v="6"/>
    <x v="3"/>
    <x v="594"/>
    <x v="14"/>
    <x v="105"/>
    <x v="131"/>
    <x v="1"/>
    <x v="14"/>
    <x v="1"/>
    <x v="196"/>
    <x v="1878"/>
    <x v="2031"/>
    <x v="54"/>
    <x v="2015"/>
    <x v="1857"/>
    <x v="5"/>
    <x v="0"/>
    <x v="0"/>
    <x v="0"/>
    <x v="106"/>
    <x v="1"/>
  </r>
  <r>
    <x v="2218"/>
    <x v="2211"/>
    <x v="338"/>
    <x v="1"/>
    <x v="7"/>
    <x v="7"/>
    <x v="1"/>
    <x v="401"/>
    <x v="37"/>
    <x v="52"/>
    <x v="143"/>
    <x v="1"/>
    <x v="99"/>
    <x v="0"/>
    <x v="0"/>
    <x v="338"/>
    <x v="2032"/>
    <x v="295"/>
    <x v="2016"/>
    <x v="105"/>
    <x v="0"/>
    <x v="0"/>
    <x v="0"/>
    <x v="2"/>
    <x v="490"/>
    <x v="1"/>
  </r>
  <r>
    <x v="2219"/>
    <x v="2212"/>
    <x v="321"/>
    <x v="0"/>
    <x v="9"/>
    <x v="9"/>
    <x v="0"/>
    <x v="264"/>
    <x v="109"/>
    <x v="39"/>
    <x v="103"/>
    <x v="2"/>
    <x v="1057"/>
    <x v="4"/>
    <x v="1053"/>
    <x v="1879"/>
    <x v="2033"/>
    <x v="227"/>
    <x v="2017"/>
    <x v="1858"/>
    <x v="0"/>
    <x v="0"/>
    <x v="0"/>
    <x v="2"/>
    <x v="640"/>
    <x v="1"/>
  </r>
  <r>
    <x v="2220"/>
    <x v="2213"/>
    <x v="162"/>
    <x v="0"/>
    <x v="8"/>
    <x v="8"/>
    <x v="3"/>
    <x v="221"/>
    <x v="76"/>
    <x v="66"/>
    <x v="75"/>
    <x v="4"/>
    <x v="418"/>
    <x v="0"/>
    <x v="0"/>
    <x v="1880"/>
    <x v="2034"/>
    <x v="925"/>
    <x v="2018"/>
    <x v="1859"/>
    <x v="5"/>
    <x v="0"/>
    <x v="0"/>
    <x v="0"/>
    <x v="325"/>
    <x v="0"/>
  </r>
  <r>
    <x v="2221"/>
    <x v="2214"/>
    <x v="173"/>
    <x v="1"/>
    <x v="11"/>
    <x v="11"/>
    <x v="1"/>
    <x v="604"/>
    <x v="34"/>
    <x v="96"/>
    <x v="120"/>
    <x v="2"/>
    <x v="1058"/>
    <x v="0"/>
    <x v="0"/>
    <x v="1881"/>
    <x v="2035"/>
    <x v="529"/>
    <x v="2019"/>
    <x v="1860"/>
    <x v="4"/>
    <x v="0"/>
    <x v="0"/>
    <x v="1"/>
    <x v="474"/>
    <x v="1"/>
  </r>
  <r>
    <x v="2222"/>
    <x v="2215"/>
    <x v="57"/>
    <x v="0"/>
    <x v="10"/>
    <x v="10"/>
    <x v="3"/>
    <x v="353"/>
    <x v="60"/>
    <x v="59"/>
    <x v="112"/>
    <x v="2"/>
    <x v="1059"/>
    <x v="0"/>
    <x v="0"/>
    <x v="1882"/>
    <x v="2036"/>
    <x v="188"/>
    <x v="2020"/>
    <x v="1861"/>
    <x v="4"/>
    <x v="0"/>
    <x v="0"/>
    <x v="0"/>
    <x v="696"/>
    <x v="0"/>
  </r>
  <r>
    <x v="2223"/>
    <x v="2216"/>
    <x v="87"/>
    <x v="0"/>
    <x v="10"/>
    <x v="10"/>
    <x v="3"/>
    <x v="120"/>
    <x v="38"/>
    <x v="72"/>
    <x v="85"/>
    <x v="7"/>
    <x v="1060"/>
    <x v="0"/>
    <x v="0"/>
    <x v="1883"/>
    <x v="190"/>
    <x v="288"/>
    <x v="2021"/>
    <x v="186"/>
    <x v="3"/>
    <x v="0"/>
    <x v="0"/>
    <x v="0"/>
    <x v="500"/>
    <x v="0"/>
  </r>
  <r>
    <x v="2224"/>
    <x v="2217"/>
    <x v="67"/>
    <x v="0"/>
    <x v="8"/>
    <x v="8"/>
    <x v="3"/>
    <x v="292"/>
    <x v="122"/>
    <x v="32"/>
    <x v="170"/>
    <x v="4"/>
    <x v="1061"/>
    <x v="0"/>
    <x v="0"/>
    <x v="761"/>
    <x v="2037"/>
    <x v="249"/>
    <x v="2022"/>
    <x v="1862"/>
    <x v="0"/>
    <x v="0"/>
    <x v="0"/>
    <x v="0"/>
    <x v="666"/>
    <x v="0"/>
  </r>
  <r>
    <x v="2225"/>
    <x v="2218"/>
    <x v="287"/>
    <x v="0"/>
    <x v="0"/>
    <x v="0"/>
    <x v="0"/>
    <x v="176"/>
    <x v="54"/>
    <x v="79"/>
    <x v="93"/>
    <x v="5"/>
    <x v="178"/>
    <x v="1"/>
    <x v="1054"/>
    <x v="1884"/>
    <x v="2038"/>
    <x v="666"/>
    <x v="2023"/>
    <x v="1863"/>
    <x v="5"/>
    <x v="0"/>
    <x v="0"/>
    <x v="0"/>
    <x v="183"/>
    <x v="0"/>
  </r>
  <r>
    <x v="2226"/>
    <x v="2219"/>
    <x v="65"/>
    <x v="0"/>
    <x v="8"/>
    <x v="8"/>
    <x v="3"/>
    <x v="274"/>
    <x v="114"/>
    <x v="29"/>
    <x v="30"/>
    <x v="4"/>
    <x v="1062"/>
    <x v="1"/>
    <x v="1055"/>
    <x v="1885"/>
    <x v="2039"/>
    <x v="823"/>
    <x v="2024"/>
    <x v="1864"/>
    <x v="1"/>
    <x v="0"/>
    <x v="0"/>
    <x v="1"/>
    <x v="171"/>
    <x v="0"/>
  </r>
  <r>
    <x v="2227"/>
    <x v="2220"/>
    <x v="100"/>
    <x v="0"/>
    <x v="4"/>
    <x v="4"/>
    <x v="2"/>
    <x v="304"/>
    <x v="2"/>
    <x v="33"/>
    <x v="241"/>
    <x v="1"/>
    <x v="2"/>
    <x v="1"/>
    <x v="1056"/>
    <x v="1886"/>
    <x v="2040"/>
    <x v="926"/>
    <x v="2025"/>
    <x v="2"/>
    <x v="3"/>
    <x v="0"/>
    <x v="0"/>
    <x v="1"/>
    <x v="389"/>
    <x v="0"/>
  </r>
  <r>
    <x v="2228"/>
    <x v="2221"/>
    <x v="212"/>
    <x v="1"/>
    <x v="1"/>
    <x v="1"/>
    <x v="1"/>
    <x v="121"/>
    <x v="65"/>
    <x v="75"/>
    <x v="89"/>
    <x v="4"/>
    <x v="307"/>
    <x v="2"/>
    <x v="1057"/>
    <x v="1236"/>
    <x v="2041"/>
    <x v="79"/>
    <x v="2026"/>
    <x v="1865"/>
    <x v="1"/>
    <x v="0"/>
    <x v="0"/>
    <x v="2"/>
    <x v="36"/>
    <x v="1"/>
  </r>
  <r>
    <x v="2229"/>
    <x v="2222"/>
    <x v="19"/>
    <x v="0"/>
    <x v="5"/>
    <x v="5"/>
    <x v="0"/>
    <x v="305"/>
    <x v="118"/>
    <x v="54"/>
    <x v="126"/>
    <x v="6"/>
    <x v="188"/>
    <x v="4"/>
    <x v="1058"/>
    <x v="1887"/>
    <x v="2042"/>
    <x v="229"/>
    <x v="2027"/>
    <x v="1866"/>
    <x v="3"/>
    <x v="0"/>
    <x v="0"/>
    <x v="0"/>
    <x v="593"/>
    <x v="1"/>
  </r>
  <r>
    <x v="2230"/>
    <x v="2223"/>
    <x v="89"/>
    <x v="0"/>
    <x v="4"/>
    <x v="4"/>
    <x v="2"/>
    <x v="54"/>
    <x v="35"/>
    <x v="93"/>
    <x v="113"/>
    <x v="4"/>
    <x v="1063"/>
    <x v="0"/>
    <x v="0"/>
    <x v="1888"/>
    <x v="2043"/>
    <x v="563"/>
    <x v="2028"/>
    <x v="1867"/>
    <x v="1"/>
    <x v="0"/>
    <x v="0"/>
    <x v="0"/>
    <x v="280"/>
    <x v="0"/>
  </r>
  <r>
    <x v="2231"/>
    <x v="2224"/>
    <x v="215"/>
    <x v="0"/>
    <x v="10"/>
    <x v="10"/>
    <x v="3"/>
    <x v="422"/>
    <x v="140"/>
    <x v="118"/>
    <x v="247"/>
    <x v="0"/>
    <x v="654"/>
    <x v="2"/>
    <x v="1059"/>
    <x v="1889"/>
    <x v="2044"/>
    <x v="927"/>
    <x v="2029"/>
    <x v="1868"/>
    <x v="0"/>
    <x v="0"/>
    <x v="0"/>
    <x v="0"/>
    <x v="577"/>
    <x v="0"/>
  </r>
  <r>
    <x v="2232"/>
    <x v="2225"/>
    <x v="153"/>
    <x v="0"/>
    <x v="10"/>
    <x v="10"/>
    <x v="3"/>
    <x v="11"/>
    <x v="68"/>
    <x v="15"/>
    <x v="225"/>
    <x v="2"/>
    <x v="82"/>
    <x v="2"/>
    <x v="48"/>
    <x v="88"/>
    <x v="1374"/>
    <x v="87"/>
    <x v="1363"/>
    <x v="1272"/>
    <x v="3"/>
    <x v="0"/>
    <x v="0"/>
    <x v="0"/>
    <x v="521"/>
    <x v="1"/>
  </r>
  <r>
    <x v="2233"/>
    <x v="2226"/>
    <x v="96"/>
    <x v="0"/>
    <x v="3"/>
    <x v="3"/>
    <x v="2"/>
    <x v="183"/>
    <x v="115"/>
    <x v="122"/>
    <x v="45"/>
    <x v="0"/>
    <x v="298"/>
    <x v="1"/>
    <x v="1060"/>
    <x v="1616"/>
    <x v="2045"/>
    <x v="387"/>
    <x v="2030"/>
    <x v="1869"/>
    <x v="4"/>
    <x v="0"/>
    <x v="0"/>
    <x v="2"/>
    <x v="378"/>
    <x v="0"/>
  </r>
  <r>
    <x v="2234"/>
    <x v="2227"/>
    <x v="162"/>
    <x v="0"/>
    <x v="8"/>
    <x v="8"/>
    <x v="3"/>
    <x v="612"/>
    <x v="5"/>
    <x v="106"/>
    <x v="132"/>
    <x v="0"/>
    <x v="139"/>
    <x v="0"/>
    <x v="0"/>
    <x v="1174"/>
    <x v="1639"/>
    <x v="155"/>
    <x v="1631"/>
    <x v="1507"/>
    <x v="1"/>
    <x v="0"/>
    <x v="0"/>
    <x v="0"/>
    <x v="312"/>
    <x v="0"/>
  </r>
  <r>
    <x v="2235"/>
    <x v="2228"/>
    <x v="93"/>
    <x v="0"/>
    <x v="9"/>
    <x v="9"/>
    <x v="0"/>
    <x v="20"/>
    <x v="32"/>
    <x v="38"/>
    <x v="68"/>
    <x v="7"/>
    <x v="1064"/>
    <x v="2"/>
    <x v="77"/>
    <x v="1890"/>
    <x v="2046"/>
    <x v="928"/>
    <x v="2031"/>
    <x v="1870"/>
    <x v="3"/>
    <x v="0"/>
    <x v="0"/>
    <x v="2"/>
    <x v="320"/>
    <x v="0"/>
  </r>
  <r>
    <x v="2236"/>
    <x v="2229"/>
    <x v="188"/>
    <x v="0"/>
    <x v="4"/>
    <x v="4"/>
    <x v="2"/>
    <x v="552"/>
    <x v="83"/>
    <x v="15"/>
    <x v="272"/>
    <x v="5"/>
    <x v="1065"/>
    <x v="0"/>
    <x v="0"/>
    <x v="1891"/>
    <x v="2047"/>
    <x v="548"/>
    <x v="2032"/>
    <x v="1871"/>
    <x v="5"/>
    <x v="0"/>
    <x v="0"/>
    <x v="0"/>
    <x v="742"/>
    <x v="0"/>
  </r>
  <r>
    <x v="2237"/>
    <x v="2230"/>
    <x v="109"/>
    <x v="1"/>
    <x v="7"/>
    <x v="7"/>
    <x v="1"/>
    <x v="436"/>
    <x v="79"/>
    <x v="33"/>
    <x v="72"/>
    <x v="7"/>
    <x v="1066"/>
    <x v="2"/>
    <x v="1061"/>
    <x v="1371"/>
    <x v="2048"/>
    <x v="498"/>
    <x v="2033"/>
    <x v="1872"/>
    <x v="0"/>
    <x v="0"/>
    <x v="0"/>
    <x v="0"/>
    <x v="419"/>
    <x v="1"/>
  </r>
  <r>
    <x v="2238"/>
    <x v="2231"/>
    <x v="33"/>
    <x v="0"/>
    <x v="8"/>
    <x v="8"/>
    <x v="3"/>
    <x v="598"/>
    <x v="30"/>
    <x v="79"/>
    <x v="97"/>
    <x v="6"/>
    <x v="34"/>
    <x v="4"/>
    <x v="988"/>
    <x v="1892"/>
    <x v="2049"/>
    <x v="34"/>
    <x v="2034"/>
    <x v="1873"/>
    <x v="1"/>
    <x v="0"/>
    <x v="0"/>
    <x v="0"/>
    <x v="546"/>
    <x v="0"/>
  </r>
  <r>
    <x v="2239"/>
    <x v="2232"/>
    <x v="54"/>
    <x v="0"/>
    <x v="5"/>
    <x v="5"/>
    <x v="0"/>
    <x v="536"/>
    <x v="44"/>
    <x v="13"/>
    <x v="105"/>
    <x v="6"/>
    <x v="242"/>
    <x v="0"/>
    <x v="0"/>
    <x v="1893"/>
    <x v="2050"/>
    <x v="335"/>
    <x v="2035"/>
    <x v="966"/>
    <x v="3"/>
    <x v="0"/>
    <x v="0"/>
    <x v="2"/>
    <x v="448"/>
    <x v="1"/>
  </r>
  <r>
    <x v="2240"/>
    <x v="2233"/>
    <x v="105"/>
    <x v="0"/>
    <x v="6"/>
    <x v="6"/>
    <x v="3"/>
    <x v="590"/>
    <x v="31"/>
    <x v="110"/>
    <x v="136"/>
    <x v="2"/>
    <x v="35"/>
    <x v="3"/>
    <x v="17"/>
    <x v="1894"/>
    <x v="2051"/>
    <x v="356"/>
    <x v="2036"/>
    <x v="1874"/>
    <x v="4"/>
    <x v="0"/>
    <x v="0"/>
    <x v="2"/>
    <x v="705"/>
    <x v="0"/>
  </r>
  <r>
    <x v="2241"/>
    <x v="2234"/>
    <x v="302"/>
    <x v="0"/>
    <x v="2"/>
    <x v="2"/>
    <x v="2"/>
    <x v="598"/>
    <x v="103"/>
    <x v="133"/>
    <x v="59"/>
    <x v="2"/>
    <x v="224"/>
    <x v="4"/>
    <x v="1062"/>
    <x v="1895"/>
    <x v="2052"/>
    <x v="772"/>
    <x v="2037"/>
    <x v="1875"/>
    <x v="3"/>
    <x v="0"/>
    <x v="0"/>
    <x v="2"/>
    <x v="278"/>
    <x v="1"/>
  </r>
  <r>
    <x v="2242"/>
    <x v="2235"/>
    <x v="307"/>
    <x v="1"/>
    <x v="7"/>
    <x v="7"/>
    <x v="1"/>
    <x v="44"/>
    <x v="89"/>
    <x v="124"/>
    <x v="162"/>
    <x v="7"/>
    <x v="1067"/>
    <x v="3"/>
    <x v="1063"/>
    <x v="1896"/>
    <x v="2053"/>
    <x v="929"/>
    <x v="2038"/>
    <x v="1876"/>
    <x v="1"/>
    <x v="0"/>
    <x v="0"/>
    <x v="0"/>
    <x v="570"/>
    <x v="0"/>
  </r>
  <r>
    <x v="2243"/>
    <x v="2236"/>
    <x v="155"/>
    <x v="0"/>
    <x v="8"/>
    <x v="8"/>
    <x v="3"/>
    <x v="270"/>
    <x v="102"/>
    <x v="118"/>
    <x v="149"/>
    <x v="0"/>
    <x v="136"/>
    <x v="0"/>
    <x v="0"/>
    <x v="592"/>
    <x v="610"/>
    <x v="473"/>
    <x v="606"/>
    <x v="584"/>
    <x v="5"/>
    <x v="0"/>
    <x v="0"/>
    <x v="0"/>
    <x v="692"/>
    <x v="1"/>
  </r>
  <r>
    <x v="2244"/>
    <x v="2237"/>
    <x v="136"/>
    <x v="0"/>
    <x v="10"/>
    <x v="10"/>
    <x v="3"/>
    <x v="66"/>
    <x v="38"/>
    <x v="160"/>
    <x v="249"/>
    <x v="2"/>
    <x v="43"/>
    <x v="4"/>
    <x v="21"/>
    <x v="1897"/>
    <x v="2054"/>
    <x v="126"/>
    <x v="2039"/>
    <x v="1877"/>
    <x v="0"/>
    <x v="1"/>
    <x v="1"/>
    <x v="0"/>
    <x v="207"/>
    <x v="0"/>
  </r>
  <r>
    <x v="2245"/>
    <x v="2238"/>
    <x v="122"/>
    <x v="0"/>
    <x v="10"/>
    <x v="10"/>
    <x v="3"/>
    <x v="626"/>
    <x v="82"/>
    <x v="136"/>
    <x v="142"/>
    <x v="6"/>
    <x v="107"/>
    <x v="2"/>
    <x v="1064"/>
    <x v="1831"/>
    <x v="2055"/>
    <x v="164"/>
    <x v="2040"/>
    <x v="1878"/>
    <x v="1"/>
    <x v="0"/>
    <x v="0"/>
    <x v="0"/>
    <x v="743"/>
    <x v="1"/>
  </r>
  <r>
    <x v="2246"/>
    <x v="2239"/>
    <x v="192"/>
    <x v="0"/>
    <x v="3"/>
    <x v="3"/>
    <x v="2"/>
    <x v="538"/>
    <x v="16"/>
    <x v="52"/>
    <x v="289"/>
    <x v="6"/>
    <x v="106"/>
    <x v="2"/>
    <x v="1065"/>
    <x v="1898"/>
    <x v="2056"/>
    <x v="223"/>
    <x v="2041"/>
    <x v="1879"/>
    <x v="0"/>
    <x v="0"/>
    <x v="0"/>
    <x v="0"/>
    <x v="493"/>
    <x v="0"/>
  </r>
  <r>
    <x v="2247"/>
    <x v="2240"/>
    <x v="10"/>
    <x v="0"/>
    <x v="6"/>
    <x v="6"/>
    <x v="3"/>
    <x v="25"/>
    <x v="150"/>
    <x v="78"/>
    <x v="24"/>
    <x v="2"/>
    <x v="1068"/>
    <x v="0"/>
    <x v="0"/>
    <x v="1899"/>
    <x v="2057"/>
    <x v="930"/>
    <x v="2042"/>
    <x v="1880"/>
    <x v="2"/>
    <x v="0"/>
    <x v="0"/>
    <x v="2"/>
    <x v="480"/>
    <x v="1"/>
  </r>
  <r>
    <x v="2248"/>
    <x v="2241"/>
    <x v="266"/>
    <x v="0"/>
    <x v="6"/>
    <x v="6"/>
    <x v="3"/>
    <x v="182"/>
    <x v="100"/>
    <x v="142"/>
    <x v="196"/>
    <x v="7"/>
    <x v="1069"/>
    <x v="4"/>
    <x v="1066"/>
    <x v="1900"/>
    <x v="2058"/>
    <x v="781"/>
    <x v="2043"/>
    <x v="1881"/>
    <x v="0"/>
    <x v="0"/>
    <x v="0"/>
    <x v="2"/>
    <x v="92"/>
    <x v="0"/>
  </r>
  <r>
    <x v="2249"/>
    <x v="2242"/>
    <x v="80"/>
    <x v="0"/>
    <x v="8"/>
    <x v="8"/>
    <x v="3"/>
    <x v="504"/>
    <x v="100"/>
    <x v="119"/>
    <x v="293"/>
    <x v="6"/>
    <x v="132"/>
    <x v="3"/>
    <x v="1067"/>
    <x v="1901"/>
    <x v="2059"/>
    <x v="752"/>
    <x v="2044"/>
    <x v="1882"/>
    <x v="0"/>
    <x v="0"/>
    <x v="0"/>
    <x v="0"/>
    <x v="263"/>
    <x v="0"/>
  </r>
  <r>
    <x v="2250"/>
    <x v="2243"/>
    <x v="347"/>
    <x v="1"/>
    <x v="11"/>
    <x v="11"/>
    <x v="1"/>
    <x v="386"/>
    <x v="98"/>
    <x v="42"/>
    <x v="176"/>
    <x v="3"/>
    <x v="1070"/>
    <x v="3"/>
    <x v="1068"/>
    <x v="1902"/>
    <x v="2060"/>
    <x v="710"/>
    <x v="2045"/>
    <x v="1883"/>
    <x v="4"/>
    <x v="0"/>
    <x v="0"/>
    <x v="2"/>
    <x v="516"/>
    <x v="1"/>
  </r>
  <r>
    <x v="2251"/>
    <x v="2244"/>
    <x v="38"/>
    <x v="1"/>
    <x v="11"/>
    <x v="11"/>
    <x v="1"/>
    <x v="367"/>
    <x v="58"/>
    <x v="56"/>
    <x v="61"/>
    <x v="1"/>
    <x v="66"/>
    <x v="0"/>
    <x v="0"/>
    <x v="890"/>
    <x v="1393"/>
    <x v="68"/>
    <x v="1383"/>
    <x v="463"/>
    <x v="3"/>
    <x v="0"/>
    <x v="0"/>
    <x v="0"/>
    <x v="598"/>
    <x v="0"/>
  </r>
  <r>
    <x v="2252"/>
    <x v="2245"/>
    <x v="263"/>
    <x v="0"/>
    <x v="2"/>
    <x v="2"/>
    <x v="2"/>
    <x v="636"/>
    <x v="115"/>
    <x v="167"/>
    <x v="177"/>
    <x v="6"/>
    <x v="298"/>
    <x v="0"/>
    <x v="0"/>
    <x v="1903"/>
    <x v="2061"/>
    <x v="931"/>
    <x v="2046"/>
    <x v="1884"/>
    <x v="4"/>
    <x v="1"/>
    <x v="1"/>
    <x v="0"/>
    <x v="230"/>
    <x v="1"/>
  </r>
  <r>
    <x v="2253"/>
    <x v="2246"/>
    <x v="311"/>
    <x v="0"/>
    <x v="0"/>
    <x v="0"/>
    <x v="0"/>
    <x v="620"/>
    <x v="19"/>
    <x v="42"/>
    <x v="340"/>
    <x v="6"/>
    <x v="19"/>
    <x v="4"/>
    <x v="1069"/>
    <x v="1904"/>
    <x v="2062"/>
    <x v="151"/>
    <x v="2047"/>
    <x v="1885"/>
    <x v="5"/>
    <x v="0"/>
    <x v="0"/>
    <x v="0"/>
    <x v="37"/>
    <x v="0"/>
  </r>
  <r>
    <x v="2254"/>
    <x v="2247"/>
    <x v="290"/>
    <x v="1"/>
    <x v="1"/>
    <x v="1"/>
    <x v="1"/>
    <x v="73"/>
    <x v="6"/>
    <x v="114"/>
    <x v="235"/>
    <x v="4"/>
    <x v="1071"/>
    <x v="0"/>
    <x v="0"/>
    <x v="1905"/>
    <x v="2063"/>
    <x v="793"/>
    <x v="2048"/>
    <x v="1886"/>
    <x v="4"/>
    <x v="0"/>
    <x v="0"/>
    <x v="0"/>
    <x v="744"/>
    <x v="1"/>
  </r>
  <r>
    <x v="2255"/>
    <x v="2248"/>
    <x v="234"/>
    <x v="0"/>
    <x v="6"/>
    <x v="6"/>
    <x v="3"/>
    <x v="347"/>
    <x v="133"/>
    <x v="92"/>
    <x v="266"/>
    <x v="1"/>
    <x v="333"/>
    <x v="0"/>
    <x v="0"/>
    <x v="1577"/>
    <x v="2064"/>
    <x v="824"/>
    <x v="2049"/>
    <x v="1887"/>
    <x v="4"/>
    <x v="0"/>
    <x v="0"/>
    <x v="0"/>
    <x v="698"/>
    <x v="0"/>
  </r>
  <r>
    <x v="2256"/>
    <x v="2249"/>
    <x v="166"/>
    <x v="0"/>
    <x v="4"/>
    <x v="4"/>
    <x v="2"/>
    <x v="217"/>
    <x v="24"/>
    <x v="172"/>
    <x v="198"/>
    <x v="4"/>
    <x v="1072"/>
    <x v="2"/>
    <x v="1070"/>
    <x v="1906"/>
    <x v="2065"/>
    <x v="450"/>
    <x v="2050"/>
    <x v="1888"/>
    <x v="2"/>
    <x v="0"/>
    <x v="0"/>
    <x v="0"/>
    <x v="513"/>
    <x v="1"/>
  </r>
  <r>
    <x v="2257"/>
    <x v="2250"/>
    <x v="231"/>
    <x v="0"/>
    <x v="5"/>
    <x v="5"/>
    <x v="0"/>
    <x v="591"/>
    <x v="81"/>
    <x v="132"/>
    <x v="118"/>
    <x v="1"/>
    <x v="103"/>
    <x v="2"/>
    <x v="1071"/>
    <x v="1907"/>
    <x v="2066"/>
    <x v="472"/>
    <x v="2051"/>
    <x v="1889"/>
    <x v="0"/>
    <x v="0"/>
    <x v="0"/>
    <x v="0"/>
    <x v="193"/>
    <x v="1"/>
  </r>
  <r>
    <x v="2258"/>
    <x v="2251"/>
    <x v="56"/>
    <x v="0"/>
    <x v="0"/>
    <x v="0"/>
    <x v="0"/>
    <x v="324"/>
    <x v="6"/>
    <x v="6"/>
    <x v="196"/>
    <x v="1"/>
    <x v="6"/>
    <x v="4"/>
    <x v="516"/>
    <x v="650"/>
    <x v="2067"/>
    <x v="145"/>
    <x v="2052"/>
    <x v="1890"/>
    <x v="0"/>
    <x v="0"/>
    <x v="0"/>
    <x v="0"/>
    <x v="726"/>
    <x v="1"/>
  </r>
  <r>
    <x v="2259"/>
    <x v="2252"/>
    <x v="340"/>
    <x v="1"/>
    <x v="1"/>
    <x v="1"/>
    <x v="1"/>
    <x v="219"/>
    <x v="137"/>
    <x v="8"/>
    <x v="8"/>
    <x v="6"/>
    <x v="1073"/>
    <x v="3"/>
    <x v="1072"/>
    <x v="1908"/>
    <x v="2068"/>
    <x v="932"/>
    <x v="2053"/>
    <x v="1891"/>
    <x v="1"/>
    <x v="1"/>
    <x v="1"/>
    <x v="0"/>
    <x v="622"/>
    <x v="1"/>
  </r>
  <r>
    <x v="2260"/>
    <x v="2253"/>
    <x v="319"/>
    <x v="1"/>
    <x v="7"/>
    <x v="7"/>
    <x v="1"/>
    <x v="107"/>
    <x v="127"/>
    <x v="20"/>
    <x v="25"/>
    <x v="1"/>
    <x v="335"/>
    <x v="2"/>
    <x v="1073"/>
    <x v="1909"/>
    <x v="2069"/>
    <x v="676"/>
    <x v="2054"/>
    <x v="1892"/>
    <x v="4"/>
    <x v="0"/>
    <x v="0"/>
    <x v="1"/>
    <x v="358"/>
    <x v="1"/>
  </r>
  <r>
    <x v="2261"/>
    <x v="2254"/>
    <x v="221"/>
    <x v="0"/>
    <x v="5"/>
    <x v="5"/>
    <x v="0"/>
    <x v="172"/>
    <x v="55"/>
    <x v="26"/>
    <x v="301"/>
    <x v="5"/>
    <x v="1074"/>
    <x v="0"/>
    <x v="0"/>
    <x v="1910"/>
    <x v="2070"/>
    <x v="877"/>
    <x v="2055"/>
    <x v="1893"/>
    <x v="0"/>
    <x v="0"/>
    <x v="0"/>
    <x v="0"/>
    <x v="303"/>
    <x v="0"/>
  </r>
  <r>
    <x v="2262"/>
    <x v="2255"/>
    <x v="303"/>
    <x v="0"/>
    <x v="2"/>
    <x v="2"/>
    <x v="2"/>
    <x v="156"/>
    <x v="86"/>
    <x v="126"/>
    <x v="164"/>
    <x v="2"/>
    <x v="1075"/>
    <x v="0"/>
    <x v="0"/>
    <x v="1911"/>
    <x v="2071"/>
    <x v="502"/>
    <x v="2056"/>
    <x v="1894"/>
    <x v="3"/>
    <x v="0"/>
    <x v="0"/>
    <x v="2"/>
    <x v="95"/>
    <x v="1"/>
  </r>
  <r>
    <x v="2263"/>
    <x v="2256"/>
    <x v="118"/>
    <x v="0"/>
    <x v="5"/>
    <x v="5"/>
    <x v="0"/>
    <x v="386"/>
    <x v="72"/>
    <x v="57"/>
    <x v="267"/>
    <x v="3"/>
    <x v="1076"/>
    <x v="0"/>
    <x v="0"/>
    <x v="1912"/>
    <x v="2072"/>
    <x v="95"/>
    <x v="2057"/>
    <x v="1895"/>
    <x v="0"/>
    <x v="0"/>
    <x v="0"/>
    <x v="0"/>
    <x v="398"/>
    <x v="0"/>
  </r>
  <r>
    <x v="2264"/>
    <x v="2257"/>
    <x v="129"/>
    <x v="1"/>
    <x v="11"/>
    <x v="11"/>
    <x v="1"/>
    <x v="266"/>
    <x v="14"/>
    <x v="158"/>
    <x v="235"/>
    <x v="4"/>
    <x v="1077"/>
    <x v="0"/>
    <x v="0"/>
    <x v="1913"/>
    <x v="2073"/>
    <x v="99"/>
    <x v="2058"/>
    <x v="1896"/>
    <x v="0"/>
    <x v="0"/>
    <x v="0"/>
    <x v="2"/>
    <x v="225"/>
    <x v="1"/>
  </r>
  <r>
    <x v="2265"/>
    <x v="2258"/>
    <x v="77"/>
    <x v="0"/>
    <x v="4"/>
    <x v="4"/>
    <x v="2"/>
    <x v="207"/>
    <x v="138"/>
    <x v="42"/>
    <x v="273"/>
    <x v="7"/>
    <x v="1078"/>
    <x v="1"/>
    <x v="1074"/>
    <x v="263"/>
    <x v="2074"/>
    <x v="559"/>
    <x v="2059"/>
    <x v="1897"/>
    <x v="2"/>
    <x v="0"/>
    <x v="0"/>
    <x v="0"/>
    <x v="558"/>
    <x v="1"/>
  </r>
  <r>
    <x v="2266"/>
    <x v="2259"/>
    <x v="362"/>
    <x v="0"/>
    <x v="5"/>
    <x v="5"/>
    <x v="0"/>
    <x v="605"/>
    <x v="114"/>
    <x v="80"/>
    <x v="283"/>
    <x v="0"/>
    <x v="206"/>
    <x v="4"/>
    <x v="1075"/>
    <x v="1914"/>
    <x v="2075"/>
    <x v="914"/>
    <x v="2060"/>
    <x v="1898"/>
    <x v="3"/>
    <x v="0"/>
    <x v="0"/>
    <x v="0"/>
    <x v="745"/>
    <x v="1"/>
  </r>
  <r>
    <x v="2267"/>
    <x v="2260"/>
    <x v="97"/>
    <x v="0"/>
    <x v="4"/>
    <x v="4"/>
    <x v="2"/>
    <x v="469"/>
    <x v="35"/>
    <x v="31"/>
    <x v="169"/>
    <x v="6"/>
    <x v="229"/>
    <x v="1"/>
    <x v="569"/>
    <x v="1000"/>
    <x v="2076"/>
    <x v="302"/>
    <x v="2061"/>
    <x v="1899"/>
    <x v="3"/>
    <x v="0"/>
    <x v="0"/>
    <x v="0"/>
    <x v="746"/>
    <x v="1"/>
  </r>
  <r>
    <x v="2268"/>
    <x v="2261"/>
    <x v="250"/>
    <x v="0"/>
    <x v="8"/>
    <x v="8"/>
    <x v="3"/>
    <x v="508"/>
    <x v="20"/>
    <x v="6"/>
    <x v="196"/>
    <x v="4"/>
    <x v="198"/>
    <x v="1"/>
    <x v="997"/>
    <x v="1771"/>
    <x v="1911"/>
    <x v="783"/>
    <x v="1901"/>
    <x v="1748"/>
    <x v="1"/>
    <x v="0"/>
    <x v="0"/>
    <x v="2"/>
    <x v="111"/>
    <x v="1"/>
  </r>
  <r>
    <x v="2269"/>
    <x v="2262"/>
    <x v="136"/>
    <x v="0"/>
    <x v="10"/>
    <x v="10"/>
    <x v="3"/>
    <x v="38"/>
    <x v="24"/>
    <x v="133"/>
    <x v="96"/>
    <x v="5"/>
    <x v="1079"/>
    <x v="3"/>
    <x v="1076"/>
    <x v="1915"/>
    <x v="2077"/>
    <x v="391"/>
    <x v="2062"/>
    <x v="1900"/>
    <x v="0"/>
    <x v="0"/>
    <x v="0"/>
    <x v="0"/>
    <x v="579"/>
    <x v="0"/>
  </r>
  <r>
    <x v="2270"/>
    <x v="2263"/>
    <x v="16"/>
    <x v="0"/>
    <x v="6"/>
    <x v="6"/>
    <x v="3"/>
    <x v="621"/>
    <x v="43"/>
    <x v="17"/>
    <x v="122"/>
    <x v="0"/>
    <x v="380"/>
    <x v="0"/>
    <x v="0"/>
    <x v="634"/>
    <x v="654"/>
    <x v="493"/>
    <x v="649"/>
    <x v="628"/>
    <x v="1"/>
    <x v="0"/>
    <x v="0"/>
    <x v="0"/>
    <x v="48"/>
    <x v="0"/>
  </r>
  <r>
    <x v="2271"/>
    <x v="2264"/>
    <x v="50"/>
    <x v="0"/>
    <x v="10"/>
    <x v="10"/>
    <x v="3"/>
    <x v="292"/>
    <x v="111"/>
    <x v="71"/>
    <x v="81"/>
    <x v="5"/>
    <x v="1080"/>
    <x v="4"/>
    <x v="1077"/>
    <x v="1916"/>
    <x v="2078"/>
    <x v="182"/>
    <x v="2063"/>
    <x v="1901"/>
    <x v="3"/>
    <x v="0"/>
    <x v="0"/>
    <x v="2"/>
    <x v="538"/>
    <x v="1"/>
  </r>
  <r>
    <x v="2272"/>
    <x v="2265"/>
    <x v="196"/>
    <x v="0"/>
    <x v="5"/>
    <x v="5"/>
    <x v="0"/>
    <x v="306"/>
    <x v="32"/>
    <x v="33"/>
    <x v="102"/>
    <x v="5"/>
    <x v="1081"/>
    <x v="0"/>
    <x v="0"/>
    <x v="1917"/>
    <x v="2079"/>
    <x v="933"/>
    <x v="2064"/>
    <x v="1902"/>
    <x v="4"/>
    <x v="0"/>
    <x v="0"/>
    <x v="2"/>
    <x v="152"/>
    <x v="0"/>
  </r>
  <r>
    <x v="2273"/>
    <x v="2266"/>
    <x v="259"/>
    <x v="0"/>
    <x v="9"/>
    <x v="9"/>
    <x v="0"/>
    <x v="15"/>
    <x v="127"/>
    <x v="3"/>
    <x v="3"/>
    <x v="6"/>
    <x v="335"/>
    <x v="3"/>
    <x v="1078"/>
    <x v="1918"/>
    <x v="2080"/>
    <x v="282"/>
    <x v="566"/>
    <x v="1903"/>
    <x v="1"/>
    <x v="0"/>
    <x v="0"/>
    <x v="1"/>
    <x v="2"/>
    <x v="1"/>
  </r>
  <r>
    <x v="2274"/>
    <x v="2267"/>
    <x v="316"/>
    <x v="1"/>
    <x v="11"/>
    <x v="11"/>
    <x v="1"/>
    <x v="368"/>
    <x v="10"/>
    <x v="101"/>
    <x v="271"/>
    <x v="6"/>
    <x v="1082"/>
    <x v="0"/>
    <x v="0"/>
    <x v="1919"/>
    <x v="2081"/>
    <x v="511"/>
    <x v="2065"/>
    <x v="1904"/>
    <x v="0"/>
    <x v="0"/>
    <x v="0"/>
    <x v="2"/>
    <x v="63"/>
    <x v="1"/>
  </r>
  <r>
    <x v="2275"/>
    <x v="2268"/>
    <x v="67"/>
    <x v="0"/>
    <x v="8"/>
    <x v="8"/>
    <x v="3"/>
    <x v="298"/>
    <x v="134"/>
    <x v="37"/>
    <x v="78"/>
    <x v="2"/>
    <x v="450"/>
    <x v="0"/>
    <x v="0"/>
    <x v="1087"/>
    <x v="1145"/>
    <x v="361"/>
    <x v="1136"/>
    <x v="1067"/>
    <x v="2"/>
    <x v="0"/>
    <x v="0"/>
    <x v="0"/>
    <x v="487"/>
    <x v="0"/>
  </r>
  <r>
    <x v="2276"/>
    <x v="2269"/>
    <x v="112"/>
    <x v="0"/>
    <x v="10"/>
    <x v="10"/>
    <x v="3"/>
    <x v="637"/>
    <x v="119"/>
    <x v="175"/>
    <x v="305"/>
    <x v="4"/>
    <x v="189"/>
    <x v="0"/>
    <x v="0"/>
    <x v="1401"/>
    <x v="2082"/>
    <x v="730"/>
    <x v="2066"/>
    <x v="1806"/>
    <x v="1"/>
    <x v="0"/>
    <x v="0"/>
    <x v="0"/>
    <x v="714"/>
    <x v="1"/>
  </r>
  <r>
    <x v="2277"/>
    <x v="2270"/>
    <x v="183"/>
    <x v="0"/>
    <x v="5"/>
    <x v="5"/>
    <x v="0"/>
    <x v="638"/>
    <x v="49"/>
    <x v="61"/>
    <x v="109"/>
    <x v="7"/>
    <x v="1083"/>
    <x v="0"/>
    <x v="0"/>
    <x v="1920"/>
    <x v="2083"/>
    <x v="456"/>
    <x v="2067"/>
    <x v="1905"/>
    <x v="5"/>
    <x v="0"/>
    <x v="0"/>
    <x v="0"/>
    <x v="747"/>
    <x v="1"/>
  </r>
  <r>
    <x v="2278"/>
    <x v="2271"/>
    <x v="69"/>
    <x v="0"/>
    <x v="8"/>
    <x v="8"/>
    <x v="3"/>
    <x v="611"/>
    <x v="1"/>
    <x v="170"/>
    <x v="292"/>
    <x v="2"/>
    <x v="1"/>
    <x v="3"/>
    <x v="1079"/>
    <x v="1921"/>
    <x v="2084"/>
    <x v="226"/>
    <x v="2068"/>
    <x v="1906"/>
    <x v="2"/>
    <x v="0"/>
    <x v="0"/>
    <x v="0"/>
    <x v="427"/>
    <x v="1"/>
  </r>
  <r>
    <x v="2279"/>
    <x v="2272"/>
    <x v="59"/>
    <x v="1"/>
    <x v="11"/>
    <x v="11"/>
    <x v="1"/>
    <x v="300"/>
    <x v="56"/>
    <x v="82"/>
    <x v="115"/>
    <x v="0"/>
    <x v="64"/>
    <x v="0"/>
    <x v="0"/>
    <x v="1922"/>
    <x v="2085"/>
    <x v="357"/>
    <x v="379"/>
    <x v="887"/>
    <x v="2"/>
    <x v="0"/>
    <x v="0"/>
    <x v="0"/>
    <x v="114"/>
    <x v="0"/>
  </r>
  <r>
    <x v="2280"/>
    <x v="424"/>
    <x v="320"/>
    <x v="0"/>
    <x v="3"/>
    <x v="3"/>
    <x v="2"/>
    <x v="364"/>
    <x v="56"/>
    <x v="169"/>
    <x v="166"/>
    <x v="2"/>
    <x v="64"/>
    <x v="1"/>
    <x v="132"/>
    <x v="218"/>
    <x v="2086"/>
    <x v="203"/>
    <x v="2069"/>
    <x v="1907"/>
    <x v="4"/>
    <x v="0"/>
    <x v="0"/>
    <x v="0"/>
    <x v="620"/>
    <x v="0"/>
  </r>
  <r>
    <x v="2281"/>
    <x v="2273"/>
    <x v="43"/>
    <x v="0"/>
    <x v="6"/>
    <x v="6"/>
    <x v="3"/>
    <x v="450"/>
    <x v="13"/>
    <x v="56"/>
    <x v="186"/>
    <x v="2"/>
    <x v="13"/>
    <x v="1"/>
    <x v="1080"/>
    <x v="1923"/>
    <x v="2087"/>
    <x v="507"/>
    <x v="2070"/>
    <x v="1908"/>
    <x v="4"/>
    <x v="0"/>
    <x v="0"/>
    <x v="0"/>
    <x v="693"/>
    <x v="1"/>
  </r>
  <r>
    <x v="2282"/>
    <x v="2274"/>
    <x v="133"/>
    <x v="0"/>
    <x v="10"/>
    <x v="10"/>
    <x v="3"/>
    <x v="391"/>
    <x v="105"/>
    <x v="141"/>
    <x v="4"/>
    <x v="2"/>
    <x v="1084"/>
    <x v="0"/>
    <x v="0"/>
    <x v="1924"/>
    <x v="2088"/>
    <x v="165"/>
    <x v="2071"/>
    <x v="1909"/>
    <x v="4"/>
    <x v="0"/>
    <x v="0"/>
    <x v="0"/>
    <x v="486"/>
    <x v="0"/>
  </r>
  <r>
    <x v="2283"/>
    <x v="2275"/>
    <x v="353"/>
    <x v="0"/>
    <x v="6"/>
    <x v="6"/>
    <x v="3"/>
    <x v="637"/>
    <x v="35"/>
    <x v="83"/>
    <x v="259"/>
    <x v="0"/>
    <x v="229"/>
    <x v="4"/>
    <x v="1081"/>
    <x v="1925"/>
    <x v="2089"/>
    <x v="732"/>
    <x v="2072"/>
    <x v="1910"/>
    <x v="5"/>
    <x v="0"/>
    <x v="0"/>
    <x v="0"/>
    <x v="575"/>
    <x v="1"/>
  </r>
  <r>
    <x v="2284"/>
    <x v="2276"/>
    <x v="209"/>
    <x v="0"/>
    <x v="9"/>
    <x v="9"/>
    <x v="0"/>
    <x v="457"/>
    <x v="7"/>
    <x v="44"/>
    <x v="23"/>
    <x v="1"/>
    <x v="7"/>
    <x v="0"/>
    <x v="0"/>
    <x v="1926"/>
    <x v="2090"/>
    <x v="451"/>
    <x v="2073"/>
    <x v="826"/>
    <x v="3"/>
    <x v="0"/>
    <x v="0"/>
    <x v="2"/>
    <x v="491"/>
    <x v="1"/>
  </r>
  <r>
    <x v="2285"/>
    <x v="2277"/>
    <x v="260"/>
    <x v="0"/>
    <x v="10"/>
    <x v="10"/>
    <x v="3"/>
    <x v="442"/>
    <x v="54"/>
    <x v="59"/>
    <x v="65"/>
    <x v="7"/>
    <x v="1085"/>
    <x v="2"/>
    <x v="1082"/>
    <x v="1927"/>
    <x v="2091"/>
    <x v="871"/>
    <x v="2074"/>
    <x v="1911"/>
    <x v="2"/>
    <x v="0"/>
    <x v="0"/>
    <x v="0"/>
    <x v="207"/>
    <x v="1"/>
  </r>
  <r>
    <x v="2286"/>
    <x v="2278"/>
    <x v="99"/>
    <x v="0"/>
    <x v="6"/>
    <x v="6"/>
    <x v="3"/>
    <x v="305"/>
    <x v="81"/>
    <x v="44"/>
    <x v="47"/>
    <x v="2"/>
    <x v="103"/>
    <x v="0"/>
    <x v="0"/>
    <x v="1729"/>
    <x v="1860"/>
    <x v="323"/>
    <x v="1848"/>
    <x v="1699"/>
    <x v="4"/>
    <x v="0"/>
    <x v="0"/>
    <x v="0"/>
    <x v="489"/>
    <x v="0"/>
  </r>
  <r>
    <x v="2287"/>
    <x v="2279"/>
    <x v="95"/>
    <x v="0"/>
    <x v="8"/>
    <x v="8"/>
    <x v="3"/>
    <x v="144"/>
    <x v="142"/>
    <x v="44"/>
    <x v="35"/>
    <x v="1"/>
    <x v="453"/>
    <x v="4"/>
    <x v="1083"/>
    <x v="1928"/>
    <x v="2092"/>
    <x v="573"/>
    <x v="2075"/>
    <x v="1392"/>
    <x v="2"/>
    <x v="1"/>
    <x v="1"/>
    <x v="2"/>
    <x v="322"/>
    <x v="1"/>
  </r>
  <r>
    <x v="2288"/>
    <x v="2280"/>
    <x v="215"/>
    <x v="0"/>
    <x v="10"/>
    <x v="10"/>
    <x v="3"/>
    <x v="72"/>
    <x v="5"/>
    <x v="102"/>
    <x v="128"/>
    <x v="6"/>
    <x v="139"/>
    <x v="0"/>
    <x v="0"/>
    <x v="1929"/>
    <x v="2093"/>
    <x v="604"/>
    <x v="2076"/>
    <x v="1507"/>
    <x v="0"/>
    <x v="0"/>
    <x v="0"/>
    <x v="2"/>
    <x v="331"/>
    <x v="0"/>
  </r>
  <r>
    <x v="2289"/>
    <x v="2281"/>
    <x v="155"/>
    <x v="0"/>
    <x v="8"/>
    <x v="8"/>
    <x v="3"/>
    <x v="474"/>
    <x v="62"/>
    <x v="5"/>
    <x v="35"/>
    <x v="0"/>
    <x v="192"/>
    <x v="3"/>
    <x v="1084"/>
    <x v="1930"/>
    <x v="2094"/>
    <x v="934"/>
    <x v="2077"/>
    <x v="254"/>
    <x v="4"/>
    <x v="0"/>
    <x v="0"/>
    <x v="0"/>
    <x v="111"/>
    <x v="1"/>
  </r>
  <r>
    <x v="2290"/>
    <x v="2282"/>
    <x v="314"/>
    <x v="1"/>
    <x v="11"/>
    <x v="11"/>
    <x v="1"/>
    <x v="142"/>
    <x v="89"/>
    <x v="90"/>
    <x v="77"/>
    <x v="1"/>
    <x v="118"/>
    <x v="3"/>
    <x v="1085"/>
    <x v="1931"/>
    <x v="2095"/>
    <x v="649"/>
    <x v="2078"/>
    <x v="1912"/>
    <x v="1"/>
    <x v="0"/>
    <x v="0"/>
    <x v="0"/>
    <x v="253"/>
    <x v="0"/>
  </r>
  <r>
    <x v="2291"/>
    <x v="2283"/>
    <x v="295"/>
    <x v="0"/>
    <x v="4"/>
    <x v="4"/>
    <x v="2"/>
    <x v="390"/>
    <x v="135"/>
    <x v="50"/>
    <x v="55"/>
    <x v="0"/>
    <x v="286"/>
    <x v="4"/>
    <x v="1086"/>
    <x v="901"/>
    <x v="2096"/>
    <x v="570"/>
    <x v="2079"/>
    <x v="1913"/>
    <x v="4"/>
    <x v="0"/>
    <x v="0"/>
    <x v="0"/>
    <x v="125"/>
    <x v="0"/>
  </r>
  <r>
    <x v="2292"/>
    <x v="2284"/>
    <x v="57"/>
    <x v="0"/>
    <x v="10"/>
    <x v="10"/>
    <x v="3"/>
    <x v="90"/>
    <x v="15"/>
    <x v="18"/>
    <x v="18"/>
    <x v="3"/>
    <x v="1086"/>
    <x v="0"/>
    <x v="0"/>
    <x v="1932"/>
    <x v="2097"/>
    <x v="935"/>
    <x v="2080"/>
    <x v="1914"/>
    <x v="4"/>
    <x v="0"/>
    <x v="0"/>
    <x v="0"/>
    <x v="697"/>
    <x v="0"/>
  </r>
  <r>
    <x v="2293"/>
    <x v="2285"/>
    <x v="26"/>
    <x v="0"/>
    <x v="8"/>
    <x v="8"/>
    <x v="3"/>
    <x v="224"/>
    <x v="23"/>
    <x v="144"/>
    <x v="197"/>
    <x v="6"/>
    <x v="1087"/>
    <x v="3"/>
    <x v="1087"/>
    <x v="1933"/>
    <x v="2098"/>
    <x v="30"/>
    <x v="2081"/>
    <x v="1915"/>
    <x v="4"/>
    <x v="0"/>
    <x v="0"/>
    <x v="2"/>
    <x v="253"/>
    <x v="0"/>
  </r>
  <r>
    <x v="2294"/>
    <x v="2286"/>
    <x v="83"/>
    <x v="1"/>
    <x v="1"/>
    <x v="1"/>
    <x v="1"/>
    <x v="297"/>
    <x v="71"/>
    <x v="39"/>
    <x v="282"/>
    <x v="1"/>
    <x v="130"/>
    <x v="3"/>
    <x v="901"/>
    <x v="1934"/>
    <x v="2099"/>
    <x v="712"/>
    <x v="2082"/>
    <x v="1916"/>
    <x v="0"/>
    <x v="0"/>
    <x v="0"/>
    <x v="0"/>
    <x v="86"/>
    <x v="0"/>
  </r>
  <r>
    <x v="2295"/>
    <x v="2287"/>
    <x v="167"/>
    <x v="1"/>
    <x v="7"/>
    <x v="7"/>
    <x v="1"/>
    <x v="89"/>
    <x v="4"/>
    <x v="160"/>
    <x v="249"/>
    <x v="7"/>
    <x v="1088"/>
    <x v="1"/>
    <x v="1088"/>
    <x v="1935"/>
    <x v="2100"/>
    <x v="936"/>
    <x v="2083"/>
    <x v="1917"/>
    <x v="0"/>
    <x v="0"/>
    <x v="0"/>
    <x v="2"/>
    <x v="748"/>
    <x v="1"/>
  </r>
  <r>
    <x v="2296"/>
    <x v="2288"/>
    <x v="31"/>
    <x v="1"/>
    <x v="7"/>
    <x v="7"/>
    <x v="1"/>
    <x v="612"/>
    <x v="49"/>
    <x v="107"/>
    <x v="15"/>
    <x v="2"/>
    <x v="84"/>
    <x v="0"/>
    <x v="0"/>
    <x v="1936"/>
    <x v="2101"/>
    <x v="56"/>
    <x v="2084"/>
    <x v="1918"/>
    <x v="2"/>
    <x v="0"/>
    <x v="0"/>
    <x v="2"/>
    <x v="8"/>
    <x v="0"/>
  </r>
  <r>
    <x v="2297"/>
    <x v="2289"/>
    <x v="213"/>
    <x v="0"/>
    <x v="4"/>
    <x v="4"/>
    <x v="2"/>
    <x v="78"/>
    <x v="32"/>
    <x v="53"/>
    <x v="342"/>
    <x v="5"/>
    <x v="1089"/>
    <x v="1"/>
    <x v="1089"/>
    <x v="1937"/>
    <x v="2102"/>
    <x v="933"/>
    <x v="2085"/>
    <x v="1919"/>
    <x v="2"/>
    <x v="0"/>
    <x v="0"/>
    <x v="1"/>
    <x v="57"/>
    <x v="1"/>
  </r>
  <r>
    <x v="2298"/>
    <x v="2290"/>
    <x v="241"/>
    <x v="1"/>
    <x v="11"/>
    <x v="11"/>
    <x v="1"/>
    <x v="120"/>
    <x v="34"/>
    <x v="45"/>
    <x v="227"/>
    <x v="2"/>
    <x v="1090"/>
    <x v="0"/>
    <x v="0"/>
    <x v="1938"/>
    <x v="2103"/>
    <x v="529"/>
    <x v="2086"/>
    <x v="1920"/>
    <x v="4"/>
    <x v="0"/>
    <x v="0"/>
    <x v="0"/>
    <x v="609"/>
    <x v="1"/>
  </r>
  <r>
    <x v="2299"/>
    <x v="2291"/>
    <x v="217"/>
    <x v="0"/>
    <x v="4"/>
    <x v="4"/>
    <x v="2"/>
    <x v="263"/>
    <x v="14"/>
    <x v="23"/>
    <x v="12"/>
    <x v="1"/>
    <x v="14"/>
    <x v="3"/>
    <x v="633"/>
    <x v="1122"/>
    <x v="1185"/>
    <x v="54"/>
    <x v="1175"/>
    <x v="1101"/>
    <x v="4"/>
    <x v="0"/>
    <x v="0"/>
    <x v="0"/>
    <x v="402"/>
    <x v="0"/>
  </r>
  <r>
    <x v="2300"/>
    <x v="2292"/>
    <x v="321"/>
    <x v="0"/>
    <x v="9"/>
    <x v="9"/>
    <x v="0"/>
    <x v="253"/>
    <x v="134"/>
    <x v="33"/>
    <x v="321"/>
    <x v="2"/>
    <x v="1091"/>
    <x v="1"/>
    <x v="1090"/>
    <x v="1939"/>
    <x v="2104"/>
    <x v="361"/>
    <x v="2087"/>
    <x v="1921"/>
    <x v="5"/>
    <x v="0"/>
    <x v="0"/>
    <x v="0"/>
    <x v="256"/>
    <x v="1"/>
  </r>
  <r>
    <x v="2301"/>
    <x v="2293"/>
    <x v="168"/>
    <x v="0"/>
    <x v="6"/>
    <x v="6"/>
    <x v="3"/>
    <x v="196"/>
    <x v="52"/>
    <x v="49"/>
    <x v="53"/>
    <x v="7"/>
    <x v="1092"/>
    <x v="4"/>
    <x v="1091"/>
    <x v="1940"/>
    <x v="2105"/>
    <x v="404"/>
    <x v="2088"/>
    <x v="1922"/>
    <x v="4"/>
    <x v="0"/>
    <x v="0"/>
    <x v="2"/>
    <x v="55"/>
    <x v="0"/>
  </r>
  <r>
    <x v="2302"/>
    <x v="2294"/>
    <x v="16"/>
    <x v="0"/>
    <x v="6"/>
    <x v="6"/>
    <x v="3"/>
    <x v="156"/>
    <x v="20"/>
    <x v="33"/>
    <x v="218"/>
    <x v="3"/>
    <x v="1093"/>
    <x v="0"/>
    <x v="0"/>
    <x v="1941"/>
    <x v="2106"/>
    <x v="695"/>
    <x v="2089"/>
    <x v="1923"/>
    <x v="0"/>
    <x v="0"/>
    <x v="0"/>
    <x v="2"/>
    <x v="99"/>
    <x v="0"/>
  </r>
  <r>
    <x v="2303"/>
    <x v="2295"/>
    <x v="233"/>
    <x v="0"/>
    <x v="4"/>
    <x v="4"/>
    <x v="2"/>
    <x v="331"/>
    <x v="37"/>
    <x v="123"/>
    <x v="161"/>
    <x v="5"/>
    <x v="1094"/>
    <x v="3"/>
    <x v="1092"/>
    <x v="1942"/>
    <x v="2107"/>
    <x v="42"/>
    <x v="2090"/>
    <x v="1924"/>
    <x v="5"/>
    <x v="0"/>
    <x v="0"/>
    <x v="2"/>
    <x v="223"/>
    <x v="1"/>
  </r>
  <r>
    <x v="2304"/>
    <x v="2296"/>
    <x v="65"/>
    <x v="0"/>
    <x v="8"/>
    <x v="8"/>
    <x v="3"/>
    <x v="536"/>
    <x v="35"/>
    <x v="115"/>
    <x v="202"/>
    <x v="6"/>
    <x v="229"/>
    <x v="3"/>
    <x v="1093"/>
    <x v="1943"/>
    <x v="2108"/>
    <x v="302"/>
    <x v="2091"/>
    <x v="1925"/>
    <x v="2"/>
    <x v="0"/>
    <x v="0"/>
    <x v="2"/>
    <x v="690"/>
    <x v="0"/>
  </r>
  <r>
    <x v="2305"/>
    <x v="2297"/>
    <x v="214"/>
    <x v="0"/>
    <x v="3"/>
    <x v="3"/>
    <x v="2"/>
    <x v="147"/>
    <x v="136"/>
    <x v="81"/>
    <x v="35"/>
    <x v="2"/>
    <x v="1095"/>
    <x v="3"/>
    <x v="1094"/>
    <x v="1944"/>
    <x v="2109"/>
    <x v="937"/>
    <x v="2092"/>
    <x v="1926"/>
    <x v="2"/>
    <x v="0"/>
    <x v="0"/>
    <x v="0"/>
    <x v="746"/>
    <x v="1"/>
  </r>
  <r>
    <x v="2306"/>
    <x v="2298"/>
    <x v="81"/>
    <x v="0"/>
    <x v="10"/>
    <x v="10"/>
    <x v="3"/>
    <x v="216"/>
    <x v="90"/>
    <x v="82"/>
    <x v="96"/>
    <x v="7"/>
    <x v="1096"/>
    <x v="0"/>
    <x v="0"/>
    <x v="1945"/>
    <x v="2110"/>
    <x v="624"/>
    <x v="2093"/>
    <x v="1927"/>
    <x v="4"/>
    <x v="0"/>
    <x v="0"/>
    <x v="0"/>
    <x v="660"/>
    <x v="0"/>
  </r>
  <r>
    <x v="2307"/>
    <x v="2299"/>
    <x v="67"/>
    <x v="0"/>
    <x v="8"/>
    <x v="8"/>
    <x v="3"/>
    <x v="214"/>
    <x v="4"/>
    <x v="99"/>
    <x v="1"/>
    <x v="7"/>
    <x v="1097"/>
    <x v="4"/>
    <x v="1095"/>
    <x v="1946"/>
    <x v="2111"/>
    <x v="936"/>
    <x v="2094"/>
    <x v="1928"/>
    <x v="0"/>
    <x v="0"/>
    <x v="0"/>
    <x v="0"/>
    <x v="254"/>
    <x v="0"/>
  </r>
  <r>
    <x v="2308"/>
    <x v="2300"/>
    <x v="155"/>
    <x v="0"/>
    <x v="8"/>
    <x v="8"/>
    <x v="3"/>
    <x v="460"/>
    <x v="42"/>
    <x v="82"/>
    <x v="115"/>
    <x v="2"/>
    <x v="1098"/>
    <x v="4"/>
    <x v="1096"/>
    <x v="1947"/>
    <x v="2112"/>
    <x v="562"/>
    <x v="2095"/>
    <x v="1929"/>
    <x v="4"/>
    <x v="1"/>
    <x v="1"/>
    <x v="0"/>
    <x v="213"/>
    <x v="1"/>
  </r>
  <r>
    <x v="2309"/>
    <x v="2301"/>
    <x v="66"/>
    <x v="0"/>
    <x v="9"/>
    <x v="9"/>
    <x v="0"/>
    <x v="507"/>
    <x v="101"/>
    <x v="49"/>
    <x v="53"/>
    <x v="6"/>
    <x v="134"/>
    <x v="0"/>
    <x v="0"/>
    <x v="159"/>
    <x v="2113"/>
    <x v="149"/>
    <x v="2096"/>
    <x v="1930"/>
    <x v="4"/>
    <x v="0"/>
    <x v="0"/>
    <x v="0"/>
    <x v="383"/>
    <x v="0"/>
  </r>
  <r>
    <x v="2310"/>
    <x v="2302"/>
    <x v="357"/>
    <x v="0"/>
    <x v="6"/>
    <x v="6"/>
    <x v="3"/>
    <x v="39"/>
    <x v="11"/>
    <x v="39"/>
    <x v="103"/>
    <x v="7"/>
    <x v="1099"/>
    <x v="0"/>
    <x v="0"/>
    <x v="1948"/>
    <x v="2114"/>
    <x v="62"/>
    <x v="2097"/>
    <x v="1931"/>
    <x v="2"/>
    <x v="0"/>
    <x v="0"/>
    <x v="1"/>
    <x v="557"/>
    <x v="1"/>
  </r>
  <r>
    <x v="2311"/>
    <x v="2303"/>
    <x v="223"/>
    <x v="1"/>
    <x v="11"/>
    <x v="11"/>
    <x v="1"/>
    <x v="103"/>
    <x v="96"/>
    <x v="72"/>
    <x v="85"/>
    <x v="7"/>
    <x v="1100"/>
    <x v="0"/>
    <x v="0"/>
    <x v="1949"/>
    <x v="2115"/>
    <x v="785"/>
    <x v="2098"/>
    <x v="1932"/>
    <x v="0"/>
    <x v="1"/>
    <x v="1"/>
    <x v="0"/>
    <x v="273"/>
    <x v="1"/>
  </r>
  <r>
    <x v="2312"/>
    <x v="2304"/>
    <x v="153"/>
    <x v="0"/>
    <x v="10"/>
    <x v="10"/>
    <x v="3"/>
    <x v="489"/>
    <x v="23"/>
    <x v="26"/>
    <x v="317"/>
    <x v="2"/>
    <x v="24"/>
    <x v="2"/>
    <x v="556"/>
    <x v="978"/>
    <x v="2116"/>
    <x v="488"/>
    <x v="2099"/>
    <x v="1933"/>
    <x v="0"/>
    <x v="1"/>
    <x v="1"/>
    <x v="0"/>
    <x v="169"/>
    <x v="1"/>
  </r>
  <r>
    <x v="2313"/>
    <x v="2305"/>
    <x v="131"/>
    <x v="0"/>
    <x v="6"/>
    <x v="6"/>
    <x v="3"/>
    <x v="85"/>
    <x v="69"/>
    <x v="26"/>
    <x v="317"/>
    <x v="7"/>
    <x v="1101"/>
    <x v="2"/>
    <x v="1097"/>
    <x v="1950"/>
    <x v="2117"/>
    <x v="938"/>
    <x v="2100"/>
    <x v="1934"/>
    <x v="0"/>
    <x v="0"/>
    <x v="0"/>
    <x v="0"/>
    <x v="56"/>
    <x v="0"/>
  </r>
  <r>
    <x v="2314"/>
    <x v="2306"/>
    <x v="282"/>
    <x v="0"/>
    <x v="2"/>
    <x v="2"/>
    <x v="2"/>
    <x v="214"/>
    <x v="18"/>
    <x v="175"/>
    <x v="305"/>
    <x v="5"/>
    <x v="1102"/>
    <x v="0"/>
    <x v="0"/>
    <x v="1951"/>
    <x v="2118"/>
    <x v="939"/>
    <x v="2101"/>
    <x v="1935"/>
    <x v="3"/>
    <x v="0"/>
    <x v="0"/>
    <x v="0"/>
    <x v="547"/>
    <x v="0"/>
  </r>
  <r>
    <x v="2315"/>
    <x v="2307"/>
    <x v="215"/>
    <x v="0"/>
    <x v="10"/>
    <x v="10"/>
    <x v="3"/>
    <x v="158"/>
    <x v="109"/>
    <x v="139"/>
    <x v="185"/>
    <x v="0"/>
    <x v="150"/>
    <x v="0"/>
    <x v="0"/>
    <x v="394"/>
    <x v="403"/>
    <x v="339"/>
    <x v="400"/>
    <x v="391"/>
    <x v="5"/>
    <x v="0"/>
    <x v="0"/>
    <x v="0"/>
    <x v="447"/>
    <x v="0"/>
  </r>
  <r>
    <x v="2316"/>
    <x v="2308"/>
    <x v="37"/>
    <x v="0"/>
    <x v="5"/>
    <x v="5"/>
    <x v="0"/>
    <x v="129"/>
    <x v="65"/>
    <x v="172"/>
    <x v="262"/>
    <x v="6"/>
    <x v="1103"/>
    <x v="1"/>
    <x v="1098"/>
    <x v="1952"/>
    <x v="2119"/>
    <x v="575"/>
    <x v="2102"/>
    <x v="1936"/>
    <x v="0"/>
    <x v="0"/>
    <x v="0"/>
    <x v="2"/>
    <x v="85"/>
    <x v="0"/>
  </r>
  <r>
    <x v="2317"/>
    <x v="2309"/>
    <x v="113"/>
    <x v="0"/>
    <x v="4"/>
    <x v="4"/>
    <x v="2"/>
    <x v="40"/>
    <x v="105"/>
    <x v="142"/>
    <x v="276"/>
    <x v="0"/>
    <x v="119"/>
    <x v="2"/>
    <x v="82"/>
    <x v="1953"/>
    <x v="2120"/>
    <x v="820"/>
    <x v="2103"/>
    <x v="1937"/>
    <x v="2"/>
    <x v="0"/>
    <x v="0"/>
    <x v="0"/>
    <x v="153"/>
    <x v="1"/>
  </r>
  <r>
    <x v="2318"/>
    <x v="2310"/>
    <x v="70"/>
    <x v="0"/>
    <x v="2"/>
    <x v="2"/>
    <x v="2"/>
    <x v="92"/>
    <x v="68"/>
    <x v="38"/>
    <x v="321"/>
    <x v="1"/>
    <x v="82"/>
    <x v="1"/>
    <x v="1099"/>
    <x v="1954"/>
    <x v="2121"/>
    <x v="538"/>
    <x v="2104"/>
    <x v="1938"/>
    <x v="3"/>
    <x v="0"/>
    <x v="0"/>
    <x v="0"/>
    <x v="233"/>
    <x v="1"/>
  </r>
  <r>
    <x v="2319"/>
    <x v="2311"/>
    <x v="172"/>
    <x v="0"/>
    <x v="10"/>
    <x v="10"/>
    <x v="3"/>
    <x v="273"/>
    <x v="101"/>
    <x v="152"/>
    <x v="320"/>
    <x v="1"/>
    <x v="134"/>
    <x v="2"/>
    <x v="1100"/>
    <x v="1955"/>
    <x v="2122"/>
    <x v="854"/>
    <x v="2105"/>
    <x v="1939"/>
    <x v="0"/>
    <x v="0"/>
    <x v="0"/>
    <x v="1"/>
    <x v="538"/>
    <x v="0"/>
  </r>
  <r>
    <x v="2320"/>
    <x v="2312"/>
    <x v="303"/>
    <x v="0"/>
    <x v="2"/>
    <x v="2"/>
    <x v="2"/>
    <x v="327"/>
    <x v="119"/>
    <x v="98"/>
    <x v="35"/>
    <x v="7"/>
    <x v="1104"/>
    <x v="1"/>
    <x v="1101"/>
    <x v="1956"/>
    <x v="2123"/>
    <x v="475"/>
    <x v="2106"/>
    <x v="1940"/>
    <x v="4"/>
    <x v="0"/>
    <x v="0"/>
    <x v="0"/>
    <x v="374"/>
    <x v="1"/>
  </r>
  <r>
    <x v="2321"/>
    <x v="2313"/>
    <x v="215"/>
    <x v="0"/>
    <x v="10"/>
    <x v="10"/>
    <x v="3"/>
    <x v="624"/>
    <x v="5"/>
    <x v="27"/>
    <x v="107"/>
    <x v="4"/>
    <x v="139"/>
    <x v="2"/>
    <x v="1102"/>
    <x v="1957"/>
    <x v="2124"/>
    <x v="274"/>
    <x v="2107"/>
    <x v="1941"/>
    <x v="0"/>
    <x v="0"/>
    <x v="0"/>
    <x v="2"/>
    <x v="398"/>
    <x v="0"/>
  </r>
  <r>
    <x v="2322"/>
    <x v="2314"/>
    <x v="82"/>
    <x v="0"/>
    <x v="4"/>
    <x v="4"/>
    <x v="2"/>
    <x v="483"/>
    <x v="68"/>
    <x v="165"/>
    <x v="257"/>
    <x v="4"/>
    <x v="1105"/>
    <x v="1"/>
    <x v="1103"/>
    <x v="1958"/>
    <x v="2125"/>
    <x v="884"/>
    <x v="2108"/>
    <x v="1942"/>
    <x v="5"/>
    <x v="0"/>
    <x v="0"/>
    <x v="0"/>
    <x v="43"/>
    <x v="0"/>
  </r>
  <r>
    <x v="2323"/>
    <x v="2315"/>
    <x v="168"/>
    <x v="0"/>
    <x v="6"/>
    <x v="6"/>
    <x v="3"/>
    <x v="429"/>
    <x v="134"/>
    <x v="108"/>
    <x v="316"/>
    <x v="2"/>
    <x v="450"/>
    <x v="4"/>
    <x v="759"/>
    <x v="1959"/>
    <x v="2126"/>
    <x v="361"/>
    <x v="2109"/>
    <x v="984"/>
    <x v="4"/>
    <x v="0"/>
    <x v="0"/>
    <x v="0"/>
    <x v="536"/>
    <x v="0"/>
  </r>
  <r>
    <x v="2324"/>
    <x v="2316"/>
    <x v="281"/>
    <x v="0"/>
    <x v="2"/>
    <x v="2"/>
    <x v="2"/>
    <x v="421"/>
    <x v="30"/>
    <x v="150"/>
    <x v="312"/>
    <x v="2"/>
    <x v="34"/>
    <x v="0"/>
    <x v="0"/>
    <x v="1960"/>
    <x v="2127"/>
    <x v="102"/>
    <x v="2110"/>
    <x v="1734"/>
    <x v="4"/>
    <x v="0"/>
    <x v="0"/>
    <x v="0"/>
    <x v="693"/>
    <x v="1"/>
  </r>
  <r>
    <x v="2325"/>
    <x v="2317"/>
    <x v="355"/>
    <x v="0"/>
    <x v="9"/>
    <x v="9"/>
    <x v="0"/>
    <x v="19"/>
    <x v="60"/>
    <x v="13"/>
    <x v="270"/>
    <x v="2"/>
    <x v="68"/>
    <x v="4"/>
    <x v="541"/>
    <x v="1961"/>
    <x v="2128"/>
    <x v="188"/>
    <x v="2111"/>
    <x v="1943"/>
    <x v="4"/>
    <x v="0"/>
    <x v="0"/>
    <x v="0"/>
    <x v="602"/>
    <x v="1"/>
  </r>
  <r>
    <x v="2326"/>
    <x v="2318"/>
    <x v="158"/>
    <x v="0"/>
    <x v="4"/>
    <x v="4"/>
    <x v="2"/>
    <x v="450"/>
    <x v="42"/>
    <x v="110"/>
    <x v="136"/>
    <x v="2"/>
    <x v="47"/>
    <x v="0"/>
    <x v="0"/>
    <x v="329"/>
    <x v="334"/>
    <x v="562"/>
    <x v="2112"/>
    <x v="196"/>
    <x v="2"/>
    <x v="0"/>
    <x v="0"/>
    <x v="0"/>
    <x v="564"/>
    <x v="1"/>
  </r>
  <r>
    <x v="2327"/>
    <x v="2319"/>
    <x v="168"/>
    <x v="0"/>
    <x v="6"/>
    <x v="6"/>
    <x v="3"/>
    <x v="639"/>
    <x v="50"/>
    <x v="102"/>
    <x v="128"/>
    <x v="6"/>
    <x v="57"/>
    <x v="2"/>
    <x v="966"/>
    <x v="1715"/>
    <x v="1841"/>
    <x v="736"/>
    <x v="1828"/>
    <x v="1682"/>
    <x v="5"/>
    <x v="0"/>
    <x v="0"/>
    <x v="1"/>
    <x v="55"/>
    <x v="0"/>
  </r>
  <r>
    <x v="2328"/>
    <x v="2320"/>
    <x v="252"/>
    <x v="0"/>
    <x v="6"/>
    <x v="6"/>
    <x v="3"/>
    <x v="10"/>
    <x v="5"/>
    <x v="165"/>
    <x v="251"/>
    <x v="3"/>
    <x v="1106"/>
    <x v="1"/>
    <x v="1104"/>
    <x v="1962"/>
    <x v="2129"/>
    <x v="5"/>
    <x v="2113"/>
    <x v="1944"/>
    <x v="3"/>
    <x v="0"/>
    <x v="0"/>
    <x v="2"/>
    <x v="653"/>
    <x v="1"/>
  </r>
  <r>
    <x v="2329"/>
    <x v="2321"/>
    <x v="193"/>
    <x v="0"/>
    <x v="6"/>
    <x v="6"/>
    <x v="3"/>
    <x v="245"/>
    <x v="1"/>
    <x v="108"/>
    <x v="324"/>
    <x v="1"/>
    <x v="1"/>
    <x v="2"/>
    <x v="1105"/>
    <x v="1963"/>
    <x v="2130"/>
    <x v="1"/>
    <x v="2114"/>
    <x v="365"/>
    <x v="2"/>
    <x v="0"/>
    <x v="0"/>
    <x v="0"/>
    <x v="92"/>
    <x v="1"/>
  </r>
  <r>
    <x v="2330"/>
    <x v="2322"/>
    <x v="224"/>
    <x v="1"/>
    <x v="11"/>
    <x v="11"/>
    <x v="1"/>
    <x v="50"/>
    <x v="44"/>
    <x v="131"/>
    <x v="181"/>
    <x v="3"/>
    <x v="1107"/>
    <x v="3"/>
    <x v="1106"/>
    <x v="1964"/>
    <x v="2131"/>
    <x v="794"/>
    <x v="2115"/>
    <x v="1945"/>
    <x v="4"/>
    <x v="0"/>
    <x v="0"/>
    <x v="2"/>
    <x v="605"/>
    <x v="1"/>
  </r>
  <r>
    <x v="2331"/>
    <x v="1938"/>
    <x v="144"/>
    <x v="0"/>
    <x v="2"/>
    <x v="2"/>
    <x v="2"/>
    <x v="271"/>
    <x v="32"/>
    <x v="56"/>
    <x v="205"/>
    <x v="1"/>
    <x v="36"/>
    <x v="0"/>
    <x v="0"/>
    <x v="375"/>
    <x v="384"/>
    <x v="325"/>
    <x v="380"/>
    <x v="372"/>
    <x v="4"/>
    <x v="0"/>
    <x v="0"/>
    <x v="0"/>
    <x v="608"/>
    <x v="1"/>
  </r>
  <r>
    <x v="2332"/>
    <x v="2323"/>
    <x v="102"/>
    <x v="0"/>
    <x v="8"/>
    <x v="8"/>
    <x v="3"/>
    <x v="168"/>
    <x v="124"/>
    <x v="46"/>
    <x v="138"/>
    <x v="6"/>
    <x v="222"/>
    <x v="4"/>
    <x v="181"/>
    <x v="1646"/>
    <x v="2132"/>
    <x v="805"/>
    <x v="2116"/>
    <x v="1946"/>
    <x v="2"/>
    <x v="0"/>
    <x v="0"/>
    <x v="2"/>
    <x v="636"/>
    <x v="1"/>
  </r>
  <r>
    <x v="2333"/>
    <x v="2324"/>
    <x v="159"/>
    <x v="0"/>
    <x v="10"/>
    <x v="10"/>
    <x v="3"/>
    <x v="192"/>
    <x v="42"/>
    <x v="25"/>
    <x v="26"/>
    <x v="6"/>
    <x v="47"/>
    <x v="2"/>
    <x v="336"/>
    <x v="598"/>
    <x v="616"/>
    <x v="185"/>
    <x v="612"/>
    <x v="590"/>
    <x v="5"/>
    <x v="0"/>
    <x v="0"/>
    <x v="2"/>
    <x v="388"/>
    <x v="1"/>
  </r>
  <r>
    <x v="2334"/>
    <x v="2325"/>
    <x v="160"/>
    <x v="0"/>
    <x v="2"/>
    <x v="2"/>
    <x v="2"/>
    <x v="130"/>
    <x v="23"/>
    <x v="149"/>
    <x v="212"/>
    <x v="1"/>
    <x v="24"/>
    <x v="4"/>
    <x v="1107"/>
    <x v="1965"/>
    <x v="2133"/>
    <x v="24"/>
    <x v="2117"/>
    <x v="1947"/>
    <x v="1"/>
    <x v="0"/>
    <x v="0"/>
    <x v="0"/>
    <x v="749"/>
    <x v="0"/>
  </r>
  <r>
    <x v="2335"/>
    <x v="2326"/>
    <x v="138"/>
    <x v="0"/>
    <x v="10"/>
    <x v="10"/>
    <x v="3"/>
    <x v="534"/>
    <x v="48"/>
    <x v="106"/>
    <x v="153"/>
    <x v="6"/>
    <x v="53"/>
    <x v="4"/>
    <x v="269"/>
    <x v="475"/>
    <x v="487"/>
    <x v="400"/>
    <x v="483"/>
    <x v="470"/>
    <x v="4"/>
    <x v="0"/>
    <x v="0"/>
    <x v="0"/>
    <x v="125"/>
    <x v="1"/>
  </r>
  <r>
    <x v="2336"/>
    <x v="2327"/>
    <x v="164"/>
    <x v="0"/>
    <x v="6"/>
    <x v="6"/>
    <x v="3"/>
    <x v="401"/>
    <x v="4"/>
    <x v="52"/>
    <x v="57"/>
    <x v="2"/>
    <x v="213"/>
    <x v="1"/>
    <x v="1108"/>
    <x v="1966"/>
    <x v="2134"/>
    <x v="4"/>
    <x v="2118"/>
    <x v="1948"/>
    <x v="4"/>
    <x v="0"/>
    <x v="0"/>
    <x v="0"/>
    <x v="54"/>
    <x v="1"/>
  </r>
  <r>
    <x v="2337"/>
    <x v="2328"/>
    <x v="286"/>
    <x v="0"/>
    <x v="4"/>
    <x v="4"/>
    <x v="2"/>
    <x v="486"/>
    <x v="19"/>
    <x v="118"/>
    <x v="149"/>
    <x v="4"/>
    <x v="1108"/>
    <x v="2"/>
    <x v="1109"/>
    <x v="1967"/>
    <x v="2135"/>
    <x v="19"/>
    <x v="2119"/>
    <x v="1949"/>
    <x v="0"/>
    <x v="0"/>
    <x v="0"/>
    <x v="1"/>
    <x v="519"/>
    <x v="1"/>
  </r>
  <r>
    <x v="2338"/>
    <x v="2329"/>
    <x v="84"/>
    <x v="0"/>
    <x v="9"/>
    <x v="9"/>
    <x v="0"/>
    <x v="49"/>
    <x v="2"/>
    <x v="90"/>
    <x v="236"/>
    <x v="7"/>
    <x v="1109"/>
    <x v="0"/>
    <x v="0"/>
    <x v="1968"/>
    <x v="2136"/>
    <x v="940"/>
    <x v="2120"/>
    <x v="1950"/>
    <x v="0"/>
    <x v="0"/>
    <x v="0"/>
    <x v="2"/>
    <x v="482"/>
    <x v="1"/>
  </r>
  <r>
    <x v="2339"/>
    <x v="2330"/>
    <x v="116"/>
    <x v="0"/>
    <x v="8"/>
    <x v="8"/>
    <x v="3"/>
    <x v="615"/>
    <x v="68"/>
    <x v="119"/>
    <x v="293"/>
    <x v="4"/>
    <x v="82"/>
    <x v="0"/>
    <x v="0"/>
    <x v="1969"/>
    <x v="2137"/>
    <x v="884"/>
    <x v="2121"/>
    <x v="701"/>
    <x v="5"/>
    <x v="0"/>
    <x v="0"/>
    <x v="0"/>
    <x v="80"/>
    <x v="1"/>
  </r>
  <r>
    <x v="2340"/>
    <x v="2331"/>
    <x v="64"/>
    <x v="0"/>
    <x v="2"/>
    <x v="2"/>
    <x v="2"/>
    <x v="478"/>
    <x v="22"/>
    <x v="57"/>
    <x v="267"/>
    <x v="6"/>
    <x v="1110"/>
    <x v="0"/>
    <x v="0"/>
    <x v="1970"/>
    <x v="2138"/>
    <x v="320"/>
    <x v="2122"/>
    <x v="1951"/>
    <x v="3"/>
    <x v="0"/>
    <x v="0"/>
    <x v="0"/>
    <x v="402"/>
    <x v="1"/>
  </r>
  <r>
    <x v="2341"/>
    <x v="2332"/>
    <x v="36"/>
    <x v="1"/>
    <x v="7"/>
    <x v="7"/>
    <x v="1"/>
    <x v="30"/>
    <x v="106"/>
    <x v="93"/>
    <x v="113"/>
    <x v="5"/>
    <x v="1111"/>
    <x v="0"/>
    <x v="0"/>
    <x v="1971"/>
    <x v="2139"/>
    <x v="543"/>
    <x v="2123"/>
    <x v="1952"/>
    <x v="4"/>
    <x v="0"/>
    <x v="0"/>
    <x v="2"/>
    <x v="53"/>
    <x v="1"/>
  </r>
  <r>
    <x v="2342"/>
    <x v="2333"/>
    <x v="181"/>
    <x v="0"/>
    <x v="3"/>
    <x v="3"/>
    <x v="2"/>
    <x v="78"/>
    <x v="130"/>
    <x v="47"/>
    <x v="51"/>
    <x v="4"/>
    <x v="1112"/>
    <x v="4"/>
    <x v="1110"/>
    <x v="1972"/>
    <x v="2140"/>
    <x v="611"/>
    <x v="2124"/>
    <x v="1953"/>
    <x v="2"/>
    <x v="0"/>
    <x v="0"/>
    <x v="0"/>
    <x v="531"/>
    <x v="1"/>
  </r>
  <r>
    <x v="2343"/>
    <x v="2334"/>
    <x v="211"/>
    <x v="0"/>
    <x v="10"/>
    <x v="10"/>
    <x v="3"/>
    <x v="184"/>
    <x v="108"/>
    <x v="107"/>
    <x v="15"/>
    <x v="5"/>
    <x v="1113"/>
    <x v="1"/>
    <x v="1111"/>
    <x v="1973"/>
    <x v="190"/>
    <x v="787"/>
    <x v="2125"/>
    <x v="186"/>
    <x v="2"/>
    <x v="0"/>
    <x v="0"/>
    <x v="0"/>
    <x v="408"/>
    <x v="1"/>
  </r>
  <r>
    <x v="2344"/>
    <x v="2335"/>
    <x v="152"/>
    <x v="0"/>
    <x v="8"/>
    <x v="8"/>
    <x v="3"/>
    <x v="321"/>
    <x v="113"/>
    <x v="84"/>
    <x v="99"/>
    <x v="3"/>
    <x v="1114"/>
    <x v="0"/>
    <x v="0"/>
    <x v="1974"/>
    <x v="2141"/>
    <x v="924"/>
    <x v="2126"/>
    <x v="1954"/>
    <x v="1"/>
    <x v="0"/>
    <x v="0"/>
    <x v="0"/>
    <x v="641"/>
    <x v="1"/>
  </r>
  <r>
    <x v="2345"/>
    <x v="2336"/>
    <x v="289"/>
    <x v="1"/>
    <x v="1"/>
    <x v="1"/>
    <x v="1"/>
    <x v="640"/>
    <x v="52"/>
    <x v="4"/>
    <x v="144"/>
    <x v="1"/>
    <x v="59"/>
    <x v="1"/>
    <x v="1112"/>
    <x v="1975"/>
    <x v="2142"/>
    <x v="60"/>
    <x v="2127"/>
    <x v="1955"/>
    <x v="1"/>
    <x v="0"/>
    <x v="0"/>
    <x v="0"/>
    <x v="358"/>
    <x v="1"/>
  </r>
  <r>
    <x v="2346"/>
    <x v="2337"/>
    <x v="17"/>
    <x v="1"/>
    <x v="1"/>
    <x v="1"/>
    <x v="1"/>
    <x v="471"/>
    <x v="61"/>
    <x v="102"/>
    <x v="128"/>
    <x v="3"/>
    <x v="1115"/>
    <x v="2"/>
    <x v="1113"/>
    <x v="1976"/>
    <x v="2143"/>
    <x v="104"/>
    <x v="2128"/>
    <x v="1956"/>
    <x v="2"/>
    <x v="0"/>
    <x v="0"/>
    <x v="0"/>
    <x v="443"/>
    <x v="1"/>
  </r>
  <r>
    <x v="2347"/>
    <x v="2338"/>
    <x v="225"/>
    <x v="0"/>
    <x v="0"/>
    <x v="0"/>
    <x v="0"/>
    <x v="353"/>
    <x v="64"/>
    <x v="158"/>
    <x v="242"/>
    <x v="3"/>
    <x v="1116"/>
    <x v="4"/>
    <x v="1114"/>
    <x v="1977"/>
    <x v="2144"/>
    <x v="466"/>
    <x v="2129"/>
    <x v="1957"/>
    <x v="2"/>
    <x v="0"/>
    <x v="0"/>
    <x v="0"/>
    <x v="718"/>
    <x v="1"/>
  </r>
  <r>
    <x v="2348"/>
    <x v="2339"/>
    <x v="80"/>
    <x v="0"/>
    <x v="8"/>
    <x v="8"/>
    <x v="3"/>
    <x v="27"/>
    <x v="125"/>
    <x v="160"/>
    <x v="249"/>
    <x v="6"/>
    <x v="226"/>
    <x v="4"/>
    <x v="1115"/>
    <x v="1978"/>
    <x v="2145"/>
    <x v="941"/>
    <x v="2130"/>
    <x v="1958"/>
    <x v="3"/>
    <x v="0"/>
    <x v="0"/>
    <x v="2"/>
    <x v="5"/>
    <x v="0"/>
  </r>
  <r>
    <x v="2349"/>
    <x v="2340"/>
    <x v="141"/>
    <x v="0"/>
    <x v="0"/>
    <x v="0"/>
    <x v="0"/>
    <x v="641"/>
    <x v="4"/>
    <x v="48"/>
    <x v="191"/>
    <x v="0"/>
    <x v="213"/>
    <x v="1"/>
    <x v="1116"/>
    <x v="429"/>
    <x v="2146"/>
    <x v="841"/>
    <x v="2131"/>
    <x v="1959"/>
    <x v="5"/>
    <x v="0"/>
    <x v="0"/>
    <x v="0"/>
    <x v="255"/>
    <x v="0"/>
  </r>
  <r>
    <x v="2350"/>
    <x v="2341"/>
    <x v="362"/>
    <x v="0"/>
    <x v="5"/>
    <x v="5"/>
    <x v="0"/>
    <x v="122"/>
    <x v="114"/>
    <x v="51"/>
    <x v="58"/>
    <x v="0"/>
    <x v="206"/>
    <x v="0"/>
    <x v="0"/>
    <x v="1836"/>
    <x v="1982"/>
    <x v="914"/>
    <x v="1970"/>
    <x v="274"/>
    <x v="4"/>
    <x v="0"/>
    <x v="0"/>
    <x v="0"/>
    <x v="702"/>
    <x v="1"/>
  </r>
  <r>
    <x v="2351"/>
    <x v="2342"/>
    <x v="186"/>
    <x v="0"/>
    <x v="0"/>
    <x v="0"/>
    <x v="0"/>
    <x v="181"/>
    <x v="127"/>
    <x v="123"/>
    <x v="161"/>
    <x v="2"/>
    <x v="335"/>
    <x v="2"/>
    <x v="1117"/>
    <x v="1979"/>
    <x v="2147"/>
    <x v="366"/>
    <x v="2132"/>
    <x v="1960"/>
    <x v="2"/>
    <x v="0"/>
    <x v="0"/>
    <x v="0"/>
    <x v="210"/>
    <x v="1"/>
  </r>
  <r>
    <x v="2352"/>
    <x v="2343"/>
    <x v="26"/>
    <x v="0"/>
    <x v="8"/>
    <x v="8"/>
    <x v="3"/>
    <x v="239"/>
    <x v="78"/>
    <x v="118"/>
    <x v="149"/>
    <x v="2"/>
    <x v="211"/>
    <x v="2"/>
    <x v="189"/>
    <x v="317"/>
    <x v="321"/>
    <x v="103"/>
    <x v="317"/>
    <x v="313"/>
    <x v="2"/>
    <x v="0"/>
    <x v="0"/>
    <x v="0"/>
    <x v="162"/>
    <x v="0"/>
  </r>
  <r>
    <x v="2353"/>
    <x v="2344"/>
    <x v="33"/>
    <x v="0"/>
    <x v="8"/>
    <x v="8"/>
    <x v="3"/>
    <x v="15"/>
    <x v="82"/>
    <x v="69"/>
    <x v="318"/>
    <x v="1"/>
    <x v="107"/>
    <x v="2"/>
    <x v="1118"/>
    <x v="1980"/>
    <x v="2148"/>
    <x v="300"/>
    <x v="2133"/>
    <x v="1961"/>
    <x v="3"/>
    <x v="0"/>
    <x v="0"/>
    <x v="0"/>
    <x v="86"/>
    <x v="0"/>
  </r>
  <r>
    <x v="2354"/>
    <x v="2345"/>
    <x v="304"/>
    <x v="0"/>
    <x v="5"/>
    <x v="5"/>
    <x v="0"/>
    <x v="292"/>
    <x v="21"/>
    <x v="175"/>
    <x v="305"/>
    <x v="3"/>
    <x v="1117"/>
    <x v="0"/>
    <x v="0"/>
    <x v="1981"/>
    <x v="2149"/>
    <x v="942"/>
    <x v="2134"/>
    <x v="1962"/>
    <x v="3"/>
    <x v="0"/>
    <x v="0"/>
    <x v="0"/>
    <x v="700"/>
    <x v="1"/>
  </r>
  <r>
    <x v="2355"/>
    <x v="2346"/>
    <x v="76"/>
    <x v="0"/>
    <x v="9"/>
    <x v="9"/>
    <x v="0"/>
    <x v="489"/>
    <x v="42"/>
    <x v="161"/>
    <x v="254"/>
    <x v="2"/>
    <x v="47"/>
    <x v="4"/>
    <x v="24"/>
    <x v="1982"/>
    <x v="2150"/>
    <x v="562"/>
    <x v="2135"/>
    <x v="1963"/>
    <x v="4"/>
    <x v="0"/>
    <x v="0"/>
    <x v="0"/>
    <x v="246"/>
    <x v="0"/>
  </r>
  <r>
    <x v="2356"/>
    <x v="2347"/>
    <x v="229"/>
    <x v="1"/>
    <x v="1"/>
    <x v="1"/>
    <x v="1"/>
    <x v="568"/>
    <x v="15"/>
    <x v="107"/>
    <x v="15"/>
    <x v="6"/>
    <x v="15"/>
    <x v="0"/>
    <x v="0"/>
    <x v="1983"/>
    <x v="2151"/>
    <x v="459"/>
    <x v="2136"/>
    <x v="1964"/>
    <x v="5"/>
    <x v="0"/>
    <x v="0"/>
    <x v="0"/>
    <x v="399"/>
    <x v="0"/>
  </r>
  <r>
    <x v="2357"/>
    <x v="2348"/>
    <x v="44"/>
    <x v="0"/>
    <x v="8"/>
    <x v="8"/>
    <x v="3"/>
    <x v="21"/>
    <x v="74"/>
    <x v="6"/>
    <x v="176"/>
    <x v="5"/>
    <x v="1118"/>
    <x v="0"/>
    <x v="0"/>
    <x v="1984"/>
    <x v="2152"/>
    <x v="789"/>
    <x v="2137"/>
    <x v="1965"/>
    <x v="2"/>
    <x v="0"/>
    <x v="0"/>
    <x v="0"/>
    <x v="444"/>
    <x v="0"/>
  </r>
  <r>
    <x v="2358"/>
    <x v="2349"/>
    <x v="188"/>
    <x v="0"/>
    <x v="4"/>
    <x v="4"/>
    <x v="2"/>
    <x v="530"/>
    <x v="15"/>
    <x v="90"/>
    <x v="25"/>
    <x v="6"/>
    <x v="15"/>
    <x v="0"/>
    <x v="0"/>
    <x v="1983"/>
    <x v="2151"/>
    <x v="459"/>
    <x v="2136"/>
    <x v="1964"/>
    <x v="1"/>
    <x v="0"/>
    <x v="0"/>
    <x v="2"/>
    <x v="605"/>
    <x v="0"/>
  </r>
  <r>
    <x v="2359"/>
    <x v="1974"/>
    <x v="278"/>
    <x v="1"/>
    <x v="11"/>
    <x v="11"/>
    <x v="1"/>
    <x v="241"/>
    <x v="98"/>
    <x v="27"/>
    <x v="107"/>
    <x v="0"/>
    <x v="149"/>
    <x v="2"/>
    <x v="1119"/>
    <x v="1985"/>
    <x v="2153"/>
    <x v="421"/>
    <x v="2138"/>
    <x v="1966"/>
    <x v="5"/>
    <x v="0"/>
    <x v="0"/>
    <x v="0"/>
    <x v="60"/>
    <x v="1"/>
  </r>
  <r>
    <x v="2360"/>
    <x v="2350"/>
    <x v="44"/>
    <x v="0"/>
    <x v="8"/>
    <x v="8"/>
    <x v="3"/>
    <x v="379"/>
    <x v="23"/>
    <x v="124"/>
    <x v="183"/>
    <x v="1"/>
    <x v="24"/>
    <x v="0"/>
    <x v="0"/>
    <x v="24"/>
    <x v="24"/>
    <x v="24"/>
    <x v="23"/>
    <x v="24"/>
    <x v="1"/>
    <x v="0"/>
    <x v="0"/>
    <x v="0"/>
    <x v="135"/>
    <x v="0"/>
  </r>
  <r>
    <x v="2361"/>
    <x v="2351"/>
    <x v="80"/>
    <x v="0"/>
    <x v="8"/>
    <x v="8"/>
    <x v="3"/>
    <x v="114"/>
    <x v="64"/>
    <x v="123"/>
    <x v="161"/>
    <x v="1"/>
    <x v="74"/>
    <x v="1"/>
    <x v="1120"/>
    <x v="1986"/>
    <x v="2154"/>
    <x v="355"/>
    <x v="63"/>
    <x v="1967"/>
    <x v="5"/>
    <x v="0"/>
    <x v="0"/>
    <x v="2"/>
    <x v="252"/>
    <x v="0"/>
  </r>
  <r>
    <x v="2362"/>
    <x v="2352"/>
    <x v="136"/>
    <x v="0"/>
    <x v="10"/>
    <x v="10"/>
    <x v="3"/>
    <x v="304"/>
    <x v="74"/>
    <x v="140"/>
    <x v="231"/>
    <x v="4"/>
    <x v="104"/>
    <x v="1"/>
    <x v="1121"/>
    <x v="1987"/>
    <x v="2155"/>
    <x v="943"/>
    <x v="2139"/>
    <x v="1968"/>
    <x v="5"/>
    <x v="0"/>
    <x v="0"/>
    <x v="2"/>
    <x v="455"/>
    <x v="0"/>
  </r>
  <r>
    <x v="2363"/>
    <x v="2353"/>
    <x v="317"/>
    <x v="0"/>
    <x v="9"/>
    <x v="9"/>
    <x v="0"/>
    <x v="616"/>
    <x v="89"/>
    <x v="56"/>
    <x v="61"/>
    <x v="6"/>
    <x v="118"/>
    <x v="2"/>
    <x v="1122"/>
    <x v="1988"/>
    <x v="2156"/>
    <x v="308"/>
    <x v="2140"/>
    <x v="1969"/>
    <x v="1"/>
    <x v="0"/>
    <x v="0"/>
    <x v="0"/>
    <x v="474"/>
    <x v="1"/>
  </r>
  <r>
    <x v="2364"/>
    <x v="2354"/>
    <x v="269"/>
    <x v="0"/>
    <x v="9"/>
    <x v="9"/>
    <x v="0"/>
    <x v="412"/>
    <x v="109"/>
    <x v="116"/>
    <x v="147"/>
    <x v="6"/>
    <x v="150"/>
    <x v="3"/>
    <x v="1123"/>
    <x v="1989"/>
    <x v="2157"/>
    <x v="172"/>
    <x v="2141"/>
    <x v="1970"/>
    <x v="3"/>
    <x v="0"/>
    <x v="0"/>
    <x v="0"/>
    <x v="50"/>
    <x v="1"/>
  </r>
  <r>
    <x v="2365"/>
    <x v="2355"/>
    <x v="4"/>
    <x v="0"/>
    <x v="3"/>
    <x v="3"/>
    <x v="2"/>
    <x v="642"/>
    <x v="120"/>
    <x v="1"/>
    <x v="1"/>
    <x v="0"/>
    <x v="221"/>
    <x v="0"/>
    <x v="0"/>
    <x v="1990"/>
    <x v="2158"/>
    <x v="944"/>
    <x v="2142"/>
    <x v="1971"/>
    <x v="3"/>
    <x v="0"/>
    <x v="0"/>
    <x v="0"/>
    <x v="291"/>
    <x v="0"/>
  </r>
  <r>
    <x v="2366"/>
    <x v="2356"/>
    <x v="221"/>
    <x v="0"/>
    <x v="5"/>
    <x v="5"/>
    <x v="0"/>
    <x v="308"/>
    <x v="25"/>
    <x v="52"/>
    <x v="57"/>
    <x v="6"/>
    <x v="28"/>
    <x v="2"/>
    <x v="1124"/>
    <x v="1991"/>
    <x v="2159"/>
    <x v="28"/>
    <x v="2143"/>
    <x v="1972"/>
    <x v="0"/>
    <x v="1"/>
    <x v="1"/>
    <x v="0"/>
    <x v="182"/>
    <x v="0"/>
  </r>
  <r>
    <x v="2367"/>
    <x v="2357"/>
    <x v="50"/>
    <x v="0"/>
    <x v="10"/>
    <x v="10"/>
    <x v="3"/>
    <x v="458"/>
    <x v="138"/>
    <x v="115"/>
    <x v="146"/>
    <x v="2"/>
    <x v="344"/>
    <x v="2"/>
    <x v="1125"/>
    <x v="1992"/>
    <x v="2160"/>
    <x v="478"/>
    <x v="2144"/>
    <x v="1973"/>
    <x v="2"/>
    <x v="0"/>
    <x v="0"/>
    <x v="2"/>
    <x v="481"/>
    <x v="1"/>
  </r>
  <r>
    <x v="2368"/>
    <x v="2358"/>
    <x v="40"/>
    <x v="0"/>
    <x v="2"/>
    <x v="2"/>
    <x v="2"/>
    <x v="617"/>
    <x v="122"/>
    <x v="144"/>
    <x v="197"/>
    <x v="2"/>
    <x v="205"/>
    <x v="3"/>
    <x v="1126"/>
    <x v="1993"/>
    <x v="2161"/>
    <x v="439"/>
    <x v="2145"/>
    <x v="1974"/>
    <x v="1"/>
    <x v="0"/>
    <x v="0"/>
    <x v="2"/>
    <x v="394"/>
    <x v="0"/>
  </r>
  <r>
    <x v="2369"/>
    <x v="2359"/>
    <x v="311"/>
    <x v="0"/>
    <x v="0"/>
    <x v="0"/>
    <x v="0"/>
    <x v="491"/>
    <x v="129"/>
    <x v="32"/>
    <x v="35"/>
    <x v="1"/>
    <x v="249"/>
    <x v="1"/>
    <x v="1007"/>
    <x v="1789"/>
    <x v="1931"/>
    <x v="895"/>
    <x v="1921"/>
    <x v="934"/>
    <x v="0"/>
    <x v="0"/>
    <x v="0"/>
    <x v="2"/>
    <x v="709"/>
    <x v="0"/>
  </r>
  <r>
    <x v="2370"/>
    <x v="2360"/>
    <x v="52"/>
    <x v="0"/>
    <x v="9"/>
    <x v="9"/>
    <x v="0"/>
    <x v="504"/>
    <x v="148"/>
    <x v="138"/>
    <x v="190"/>
    <x v="0"/>
    <x v="511"/>
    <x v="4"/>
    <x v="1127"/>
    <x v="1994"/>
    <x v="2162"/>
    <x v="945"/>
    <x v="2146"/>
    <x v="1218"/>
    <x v="1"/>
    <x v="0"/>
    <x v="0"/>
    <x v="0"/>
    <x v="316"/>
    <x v="0"/>
  </r>
  <r>
    <x v="2371"/>
    <x v="2361"/>
    <x v="299"/>
    <x v="1"/>
    <x v="11"/>
    <x v="11"/>
    <x v="1"/>
    <x v="212"/>
    <x v="39"/>
    <x v="36"/>
    <x v="37"/>
    <x v="0"/>
    <x v="273"/>
    <x v="0"/>
    <x v="0"/>
    <x v="407"/>
    <x v="416"/>
    <x v="348"/>
    <x v="413"/>
    <x v="404"/>
    <x v="0"/>
    <x v="0"/>
    <x v="0"/>
    <x v="0"/>
    <x v="564"/>
    <x v="1"/>
  </r>
  <r>
    <x v="2372"/>
    <x v="2362"/>
    <x v="155"/>
    <x v="0"/>
    <x v="8"/>
    <x v="8"/>
    <x v="3"/>
    <x v="56"/>
    <x v="122"/>
    <x v="118"/>
    <x v="149"/>
    <x v="6"/>
    <x v="1119"/>
    <x v="0"/>
    <x v="0"/>
    <x v="1995"/>
    <x v="2163"/>
    <x v="252"/>
    <x v="2147"/>
    <x v="1975"/>
    <x v="4"/>
    <x v="0"/>
    <x v="0"/>
    <x v="0"/>
    <x v="573"/>
    <x v="1"/>
  </r>
  <r>
    <x v="2373"/>
    <x v="2363"/>
    <x v="2"/>
    <x v="0"/>
    <x v="2"/>
    <x v="2"/>
    <x v="2"/>
    <x v="341"/>
    <x v="13"/>
    <x v="66"/>
    <x v="75"/>
    <x v="6"/>
    <x v="13"/>
    <x v="0"/>
    <x v="0"/>
    <x v="703"/>
    <x v="2164"/>
    <x v="533"/>
    <x v="2148"/>
    <x v="1976"/>
    <x v="3"/>
    <x v="0"/>
    <x v="0"/>
    <x v="2"/>
    <x v="730"/>
    <x v="0"/>
  </r>
  <r>
    <x v="2374"/>
    <x v="2364"/>
    <x v="7"/>
    <x v="1"/>
    <x v="1"/>
    <x v="1"/>
    <x v="1"/>
    <x v="188"/>
    <x v="129"/>
    <x v="102"/>
    <x v="128"/>
    <x v="2"/>
    <x v="1120"/>
    <x v="2"/>
    <x v="1128"/>
    <x v="1838"/>
    <x v="2165"/>
    <x v="505"/>
    <x v="2149"/>
    <x v="1977"/>
    <x v="1"/>
    <x v="0"/>
    <x v="0"/>
    <x v="0"/>
    <x v="489"/>
    <x v="0"/>
  </r>
  <r>
    <x v="2375"/>
    <x v="2365"/>
    <x v="131"/>
    <x v="0"/>
    <x v="6"/>
    <x v="6"/>
    <x v="3"/>
    <x v="47"/>
    <x v="94"/>
    <x v="123"/>
    <x v="161"/>
    <x v="3"/>
    <x v="265"/>
    <x v="3"/>
    <x v="1129"/>
    <x v="1996"/>
    <x v="2166"/>
    <x v="946"/>
    <x v="2150"/>
    <x v="1978"/>
    <x v="0"/>
    <x v="0"/>
    <x v="0"/>
    <x v="0"/>
    <x v="171"/>
    <x v="0"/>
  </r>
  <r>
    <x v="2376"/>
    <x v="2366"/>
    <x v="347"/>
    <x v="1"/>
    <x v="11"/>
    <x v="11"/>
    <x v="1"/>
    <x v="643"/>
    <x v="82"/>
    <x v="39"/>
    <x v="103"/>
    <x v="6"/>
    <x v="107"/>
    <x v="0"/>
    <x v="0"/>
    <x v="730"/>
    <x v="757"/>
    <x v="164"/>
    <x v="753"/>
    <x v="719"/>
    <x v="4"/>
    <x v="0"/>
    <x v="0"/>
    <x v="0"/>
    <x v="501"/>
    <x v="1"/>
  </r>
  <r>
    <x v="2377"/>
    <x v="2367"/>
    <x v="128"/>
    <x v="0"/>
    <x v="0"/>
    <x v="0"/>
    <x v="0"/>
    <x v="108"/>
    <x v="108"/>
    <x v="159"/>
    <x v="288"/>
    <x v="3"/>
    <x v="1121"/>
    <x v="3"/>
    <x v="1130"/>
    <x v="1997"/>
    <x v="2167"/>
    <x v="512"/>
    <x v="2151"/>
    <x v="1979"/>
    <x v="5"/>
    <x v="1"/>
    <x v="1"/>
    <x v="0"/>
    <x v="30"/>
    <x v="1"/>
  </r>
  <r>
    <x v="2378"/>
    <x v="2368"/>
    <x v="145"/>
    <x v="0"/>
    <x v="9"/>
    <x v="9"/>
    <x v="0"/>
    <x v="85"/>
    <x v="67"/>
    <x v="123"/>
    <x v="161"/>
    <x v="3"/>
    <x v="1122"/>
    <x v="0"/>
    <x v="0"/>
    <x v="1998"/>
    <x v="2168"/>
    <x v="723"/>
    <x v="2152"/>
    <x v="1980"/>
    <x v="4"/>
    <x v="0"/>
    <x v="0"/>
    <x v="0"/>
    <x v="750"/>
    <x v="1"/>
  </r>
  <r>
    <x v="2379"/>
    <x v="2369"/>
    <x v="1"/>
    <x v="1"/>
    <x v="1"/>
    <x v="1"/>
    <x v="1"/>
    <x v="218"/>
    <x v="108"/>
    <x v="25"/>
    <x v="26"/>
    <x v="5"/>
    <x v="1123"/>
    <x v="4"/>
    <x v="1131"/>
    <x v="1999"/>
    <x v="2169"/>
    <x v="787"/>
    <x v="2153"/>
    <x v="1981"/>
    <x v="1"/>
    <x v="0"/>
    <x v="0"/>
    <x v="0"/>
    <x v="149"/>
    <x v="0"/>
  </r>
  <r>
    <x v="2380"/>
    <x v="2370"/>
    <x v="232"/>
    <x v="1"/>
    <x v="7"/>
    <x v="7"/>
    <x v="1"/>
    <x v="225"/>
    <x v="109"/>
    <x v="131"/>
    <x v="137"/>
    <x v="6"/>
    <x v="150"/>
    <x v="2"/>
    <x v="1132"/>
    <x v="2000"/>
    <x v="2170"/>
    <x v="172"/>
    <x v="2154"/>
    <x v="1982"/>
    <x v="1"/>
    <x v="0"/>
    <x v="0"/>
    <x v="0"/>
    <x v="441"/>
    <x v="0"/>
  </r>
  <r>
    <x v="2381"/>
    <x v="2371"/>
    <x v="48"/>
    <x v="0"/>
    <x v="0"/>
    <x v="0"/>
    <x v="0"/>
    <x v="314"/>
    <x v="50"/>
    <x v="144"/>
    <x v="343"/>
    <x v="7"/>
    <x v="1124"/>
    <x v="1"/>
    <x v="1133"/>
    <x v="2001"/>
    <x v="2171"/>
    <x v="775"/>
    <x v="2155"/>
    <x v="1983"/>
    <x v="1"/>
    <x v="0"/>
    <x v="0"/>
    <x v="0"/>
    <x v="710"/>
    <x v="1"/>
  </r>
  <r>
    <x v="2382"/>
    <x v="2372"/>
    <x v="284"/>
    <x v="0"/>
    <x v="10"/>
    <x v="10"/>
    <x v="3"/>
    <x v="629"/>
    <x v="35"/>
    <x v="94"/>
    <x v="117"/>
    <x v="6"/>
    <x v="229"/>
    <x v="1"/>
    <x v="569"/>
    <x v="1000"/>
    <x v="2076"/>
    <x v="302"/>
    <x v="2156"/>
    <x v="1757"/>
    <x v="0"/>
    <x v="0"/>
    <x v="0"/>
    <x v="0"/>
    <x v="49"/>
    <x v="1"/>
  </r>
  <r>
    <x v="2383"/>
    <x v="2373"/>
    <x v="105"/>
    <x v="0"/>
    <x v="6"/>
    <x v="6"/>
    <x v="3"/>
    <x v="430"/>
    <x v="23"/>
    <x v="82"/>
    <x v="115"/>
    <x v="5"/>
    <x v="1125"/>
    <x v="0"/>
    <x v="0"/>
    <x v="2002"/>
    <x v="2172"/>
    <x v="906"/>
    <x v="2157"/>
    <x v="1984"/>
    <x v="2"/>
    <x v="0"/>
    <x v="0"/>
    <x v="0"/>
    <x v="536"/>
    <x v="0"/>
  </r>
  <r>
    <x v="2384"/>
    <x v="2374"/>
    <x v="199"/>
    <x v="0"/>
    <x v="2"/>
    <x v="2"/>
    <x v="2"/>
    <x v="179"/>
    <x v="25"/>
    <x v="85"/>
    <x v="185"/>
    <x v="4"/>
    <x v="1126"/>
    <x v="4"/>
    <x v="1134"/>
    <x v="2003"/>
    <x v="2173"/>
    <x v="135"/>
    <x v="2158"/>
    <x v="1985"/>
    <x v="1"/>
    <x v="0"/>
    <x v="0"/>
    <x v="0"/>
    <x v="515"/>
    <x v="1"/>
  </r>
  <r>
    <x v="2385"/>
    <x v="2375"/>
    <x v="336"/>
    <x v="0"/>
    <x v="0"/>
    <x v="0"/>
    <x v="0"/>
    <x v="175"/>
    <x v="39"/>
    <x v="104"/>
    <x v="221"/>
    <x v="0"/>
    <x v="273"/>
    <x v="0"/>
    <x v="0"/>
    <x v="407"/>
    <x v="416"/>
    <x v="348"/>
    <x v="413"/>
    <x v="404"/>
    <x v="1"/>
    <x v="0"/>
    <x v="0"/>
    <x v="0"/>
    <x v="438"/>
    <x v="1"/>
  </r>
  <r>
    <x v="2386"/>
    <x v="2376"/>
    <x v="328"/>
    <x v="0"/>
    <x v="3"/>
    <x v="3"/>
    <x v="2"/>
    <x v="27"/>
    <x v="99"/>
    <x v="26"/>
    <x v="317"/>
    <x v="6"/>
    <x v="137"/>
    <x v="2"/>
    <x v="1135"/>
    <x v="2004"/>
    <x v="2174"/>
    <x v="153"/>
    <x v="2159"/>
    <x v="1986"/>
    <x v="1"/>
    <x v="0"/>
    <x v="0"/>
    <x v="1"/>
    <x v="546"/>
    <x v="1"/>
  </r>
  <r>
    <x v="2387"/>
    <x v="2377"/>
    <x v="1"/>
    <x v="1"/>
    <x v="1"/>
    <x v="1"/>
    <x v="1"/>
    <x v="527"/>
    <x v="54"/>
    <x v="137"/>
    <x v="73"/>
    <x v="4"/>
    <x v="1127"/>
    <x v="0"/>
    <x v="0"/>
    <x v="2005"/>
    <x v="2175"/>
    <x v="74"/>
    <x v="2160"/>
    <x v="1987"/>
    <x v="2"/>
    <x v="0"/>
    <x v="0"/>
    <x v="0"/>
    <x v="349"/>
    <x v="0"/>
  </r>
  <r>
    <x v="2388"/>
    <x v="2378"/>
    <x v="219"/>
    <x v="0"/>
    <x v="3"/>
    <x v="3"/>
    <x v="2"/>
    <x v="306"/>
    <x v="43"/>
    <x v="76"/>
    <x v="2"/>
    <x v="6"/>
    <x v="1128"/>
    <x v="3"/>
    <x v="1136"/>
    <x v="2006"/>
    <x v="2176"/>
    <x v="389"/>
    <x v="2161"/>
    <x v="1988"/>
    <x v="3"/>
    <x v="0"/>
    <x v="0"/>
    <x v="0"/>
    <x v="123"/>
    <x v="1"/>
  </r>
  <r>
    <x v="2389"/>
    <x v="2379"/>
    <x v="131"/>
    <x v="0"/>
    <x v="6"/>
    <x v="6"/>
    <x v="3"/>
    <x v="49"/>
    <x v="52"/>
    <x v="159"/>
    <x v="3"/>
    <x v="7"/>
    <x v="1129"/>
    <x v="0"/>
    <x v="0"/>
    <x v="2007"/>
    <x v="2177"/>
    <x v="404"/>
    <x v="2162"/>
    <x v="1989"/>
    <x v="3"/>
    <x v="0"/>
    <x v="0"/>
    <x v="0"/>
    <x v="188"/>
    <x v="0"/>
  </r>
  <r>
    <x v="2390"/>
    <x v="2380"/>
    <x v="78"/>
    <x v="0"/>
    <x v="8"/>
    <x v="8"/>
    <x v="3"/>
    <x v="618"/>
    <x v="25"/>
    <x v="123"/>
    <x v="327"/>
    <x v="0"/>
    <x v="28"/>
    <x v="0"/>
    <x v="0"/>
    <x v="1083"/>
    <x v="2178"/>
    <x v="595"/>
    <x v="2163"/>
    <x v="28"/>
    <x v="0"/>
    <x v="0"/>
    <x v="0"/>
    <x v="1"/>
    <x v="181"/>
    <x v="1"/>
  </r>
  <r>
    <x v="2391"/>
    <x v="2381"/>
    <x v="229"/>
    <x v="1"/>
    <x v="1"/>
    <x v="1"/>
    <x v="1"/>
    <x v="103"/>
    <x v="11"/>
    <x v="94"/>
    <x v="117"/>
    <x v="6"/>
    <x v="1130"/>
    <x v="0"/>
    <x v="0"/>
    <x v="2008"/>
    <x v="2179"/>
    <x v="84"/>
    <x v="2164"/>
    <x v="1990"/>
    <x v="0"/>
    <x v="0"/>
    <x v="0"/>
    <x v="2"/>
    <x v="271"/>
    <x v="0"/>
  </r>
  <r>
    <x v="2392"/>
    <x v="2382"/>
    <x v="69"/>
    <x v="0"/>
    <x v="8"/>
    <x v="8"/>
    <x v="3"/>
    <x v="317"/>
    <x v="23"/>
    <x v="164"/>
    <x v="323"/>
    <x v="1"/>
    <x v="24"/>
    <x v="0"/>
    <x v="0"/>
    <x v="24"/>
    <x v="2180"/>
    <x v="24"/>
    <x v="2165"/>
    <x v="618"/>
    <x v="4"/>
    <x v="0"/>
    <x v="0"/>
    <x v="0"/>
    <x v="604"/>
    <x v="1"/>
  </r>
  <r>
    <x v="2393"/>
    <x v="2383"/>
    <x v="81"/>
    <x v="0"/>
    <x v="10"/>
    <x v="10"/>
    <x v="3"/>
    <x v="188"/>
    <x v="44"/>
    <x v="43"/>
    <x v="68"/>
    <x v="7"/>
    <x v="1131"/>
    <x v="0"/>
    <x v="0"/>
    <x v="2009"/>
    <x v="2181"/>
    <x v="530"/>
    <x v="2166"/>
    <x v="1991"/>
    <x v="4"/>
    <x v="0"/>
    <x v="0"/>
    <x v="0"/>
    <x v="589"/>
    <x v="0"/>
  </r>
  <r>
    <x v="2394"/>
    <x v="2384"/>
    <x v="350"/>
    <x v="1"/>
    <x v="1"/>
    <x v="1"/>
    <x v="1"/>
    <x v="644"/>
    <x v="23"/>
    <x v="154"/>
    <x v="287"/>
    <x v="1"/>
    <x v="24"/>
    <x v="3"/>
    <x v="1137"/>
    <x v="2010"/>
    <x v="2182"/>
    <x v="24"/>
    <x v="2167"/>
    <x v="1992"/>
    <x v="5"/>
    <x v="1"/>
    <x v="1"/>
    <x v="2"/>
    <x v="600"/>
    <x v="1"/>
  </r>
  <r>
    <x v="2395"/>
    <x v="2385"/>
    <x v="345"/>
    <x v="0"/>
    <x v="9"/>
    <x v="9"/>
    <x v="0"/>
    <x v="151"/>
    <x v="8"/>
    <x v="166"/>
    <x v="325"/>
    <x v="3"/>
    <x v="1132"/>
    <x v="4"/>
    <x v="1138"/>
    <x v="2011"/>
    <x v="2183"/>
    <x v="264"/>
    <x v="2168"/>
    <x v="1993"/>
    <x v="2"/>
    <x v="0"/>
    <x v="0"/>
    <x v="0"/>
    <x v="66"/>
    <x v="1"/>
  </r>
  <r>
    <x v="2396"/>
    <x v="2386"/>
    <x v="154"/>
    <x v="0"/>
    <x v="5"/>
    <x v="5"/>
    <x v="0"/>
    <x v="389"/>
    <x v="106"/>
    <x v="43"/>
    <x v="226"/>
    <x v="2"/>
    <x v="1133"/>
    <x v="0"/>
    <x v="0"/>
    <x v="2012"/>
    <x v="2184"/>
    <x v="166"/>
    <x v="2169"/>
    <x v="1994"/>
    <x v="3"/>
    <x v="0"/>
    <x v="0"/>
    <x v="0"/>
    <x v="211"/>
    <x v="1"/>
  </r>
  <r>
    <x v="2397"/>
    <x v="2387"/>
    <x v="206"/>
    <x v="0"/>
    <x v="10"/>
    <x v="10"/>
    <x v="3"/>
    <x v="222"/>
    <x v="29"/>
    <x v="123"/>
    <x v="161"/>
    <x v="1"/>
    <x v="33"/>
    <x v="3"/>
    <x v="1139"/>
    <x v="2013"/>
    <x v="2185"/>
    <x v="947"/>
    <x v="2170"/>
    <x v="1995"/>
    <x v="1"/>
    <x v="0"/>
    <x v="0"/>
    <x v="0"/>
    <x v="635"/>
    <x v="1"/>
  </r>
  <r>
    <x v="2398"/>
    <x v="2388"/>
    <x v="266"/>
    <x v="0"/>
    <x v="6"/>
    <x v="6"/>
    <x v="3"/>
    <x v="292"/>
    <x v="131"/>
    <x v="86"/>
    <x v="102"/>
    <x v="3"/>
    <x v="1134"/>
    <x v="4"/>
    <x v="1140"/>
    <x v="2014"/>
    <x v="2186"/>
    <x v="767"/>
    <x v="2171"/>
    <x v="1996"/>
    <x v="1"/>
    <x v="0"/>
    <x v="0"/>
    <x v="0"/>
    <x v="523"/>
    <x v="0"/>
  </r>
  <r>
    <x v="2399"/>
    <x v="2389"/>
    <x v="237"/>
    <x v="0"/>
    <x v="3"/>
    <x v="3"/>
    <x v="2"/>
    <x v="540"/>
    <x v="32"/>
    <x v="151"/>
    <x v="155"/>
    <x v="0"/>
    <x v="36"/>
    <x v="2"/>
    <x v="202"/>
    <x v="2015"/>
    <x v="2187"/>
    <x v="36"/>
    <x v="2172"/>
    <x v="1997"/>
    <x v="0"/>
    <x v="0"/>
    <x v="0"/>
    <x v="0"/>
    <x v="148"/>
    <x v="0"/>
  </r>
  <r>
    <x v="2400"/>
    <x v="2390"/>
    <x v="234"/>
    <x v="0"/>
    <x v="6"/>
    <x v="6"/>
    <x v="3"/>
    <x v="82"/>
    <x v="109"/>
    <x v="0"/>
    <x v="276"/>
    <x v="1"/>
    <x v="150"/>
    <x v="0"/>
    <x v="0"/>
    <x v="435"/>
    <x v="1610"/>
    <x v="170"/>
    <x v="1602"/>
    <x v="391"/>
    <x v="2"/>
    <x v="0"/>
    <x v="0"/>
    <x v="0"/>
    <x v="105"/>
    <x v="0"/>
  </r>
  <r>
    <x v="2401"/>
    <x v="2391"/>
    <x v="123"/>
    <x v="0"/>
    <x v="8"/>
    <x v="8"/>
    <x v="3"/>
    <x v="4"/>
    <x v="50"/>
    <x v="78"/>
    <x v="240"/>
    <x v="3"/>
    <x v="1135"/>
    <x v="1"/>
    <x v="1141"/>
    <x v="2016"/>
    <x v="2188"/>
    <x v="948"/>
    <x v="2173"/>
    <x v="1998"/>
    <x v="0"/>
    <x v="0"/>
    <x v="0"/>
    <x v="0"/>
    <x v="661"/>
    <x v="1"/>
  </r>
  <r>
    <x v="2402"/>
    <x v="2392"/>
    <x v="78"/>
    <x v="0"/>
    <x v="8"/>
    <x v="8"/>
    <x v="3"/>
    <x v="78"/>
    <x v="30"/>
    <x v="41"/>
    <x v="245"/>
    <x v="4"/>
    <x v="1136"/>
    <x v="0"/>
    <x v="0"/>
    <x v="2017"/>
    <x v="2189"/>
    <x v="838"/>
    <x v="2174"/>
    <x v="1999"/>
    <x v="1"/>
    <x v="0"/>
    <x v="0"/>
    <x v="2"/>
    <x v="751"/>
    <x v="1"/>
  </r>
  <r>
    <x v="2403"/>
    <x v="2393"/>
    <x v="353"/>
    <x v="0"/>
    <x v="6"/>
    <x v="6"/>
    <x v="3"/>
    <x v="538"/>
    <x v="102"/>
    <x v="71"/>
    <x v="81"/>
    <x v="2"/>
    <x v="136"/>
    <x v="0"/>
    <x v="0"/>
    <x v="2018"/>
    <x v="2190"/>
    <x v="152"/>
    <x v="2175"/>
    <x v="584"/>
    <x v="5"/>
    <x v="0"/>
    <x v="0"/>
    <x v="0"/>
    <x v="694"/>
    <x v="1"/>
  </r>
  <r>
    <x v="2404"/>
    <x v="2394"/>
    <x v="187"/>
    <x v="1"/>
    <x v="1"/>
    <x v="1"/>
    <x v="1"/>
    <x v="455"/>
    <x v="29"/>
    <x v="74"/>
    <x v="157"/>
    <x v="4"/>
    <x v="1137"/>
    <x v="0"/>
    <x v="0"/>
    <x v="2019"/>
    <x v="2191"/>
    <x v="949"/>
    <x v="2176"/>
    <x v="2000"/>
    <x v="3"/>
    <x v="0"/>
    <x v="0"/>
    <x v="0"/>
    <x v="30"/>
    <x v="0"/>
  </r>
  <r>
    <x v="2405"/>
    <x v="2395"/>
    <x v="6"/>
    <x v="0"/>
    <x v="3"/>
    <x v="3"/>
    <x v="2"/>
    <x v="435"/>
    <x v="140"/>
    <x v="10"/>
    <x v="10"/>
    <x v="4"/>
    <x v="654"/>
    <x v="2"/>
    <x v="1142"/>
    <x v="2020"/>
    <x v="2192"/>
    <x v="738"/>
    <x v="2177"/>
    <x v="2001"/>
    <x v="0"/>
    <x v="0"/>
    <x v="0"/>
    <x v="0"/>
    <x v="306"/>
    <x v="0"/>
  </r>
  <r>
    <x v="2406"/>
    <x v="2396"/>
    <x v="210"/>
    <x v="0"/>
    <x v="3"/>
    <x v="3"/>
    <x v="2"/>
    <x v="228"/>
    <x v="124"/>
    <x v="126"/>
    <x v="229"/>
    <x v="4"/>
    <x v="1138"/>
    <x v="0"/>
    <x v="0"/>
    <x v="2021"/>
    <x v="2193"/>
    <x v="834"/>
    <x v="2178"/>
    <x v="2002"/>
    <x v="4"/>
    <x v="0"/>
    <x v="0"/>
    <x v="0"/>
    <x v="37"/>
    <x v="1"/>
  </r>
  <r>
    <x v="2407"/>
    <x v="2397"/>
    <x v="167"/>
    <x v="1"/>
    <x v="7"/>
    <x v="7"/>
    <x v="1"/>
    <x v="529"/>
    <x v="109"/>
    <x v="32"/>
    <x v="34"/>
    <x v="0"/>
    <x v="150"/>
    <x v="2"/>
    <x v="610"/>
    <x v="1251"/>
    <x v="1326"/>
    <x v="339"/>
    <x v="1316"/>
    <x v="1229"/>
    <x v="3"/>
    <x v="0"/>
    <x v="0"/>
    <x v="2"/>
    <x v="576"/>
    <x v="1"/>
  </r>
  <r>
    <x v="2408"/>
    <x v="2398"/>
    <x v="359"/>
    <x v="0"/>
    <x v="4"/>
    <x v="4"/>
    <x v="2"/>
    <x v="306"/>
    <x v="40"/>
    <x v="91"/>
    <x v="110"/>
    <x v="4"/>
    <x v="1139"/>
    <x v="0"/>
    <x v="0"/>
    <x v="2022"/>
    <x v="2194"/>
    <x v="45"/>
    <x v="2179"/>
    <x v="2003"/>
    <x v="5"/>
    <x v="0"/>
    <x v="0"/>
    <x v="0"/>
    <x v="587"/>
    <x v="1"/>
  </r>
  <r>
    <x v="2409"/>
    <x v="2399"/>
    <x v="89"/>
    <x v="0"/>
    <x v="4"/>
    <x v="4"/>
    <x v="2"/>
    <x v="135"/>
    <x v="96"/>
    <x v="31"/>
    <x v="37"/>
    <x v="7"/>
    <x v="1140"/>
    <x v="4"/>
    <x v="1143"/>
    <x v="2023"/>
    <x v="2195"/>
    <x v="785"/>
    <x v="2180"/>
    <x v="2004"/>
    <x v="5"/>
    <x v="0"/>
    <x v="0"/>
    <x v="0"/>
    <x v="752"/>
    <x v="0"/>
  </r>
  <r>
    <x v="2410"/>
    <x v="2400"/>
    <x v="33"/>
    <x v="0"/>
    <x v="8"/>
    <x v="8"/>
    <x v="3"/>
    <x v="9"/>
    <x v="76"/>
    <x v="95"/>
    <x v="184"/>
    <x v="1"/>
    <x v="418"/>
    <x v="0"/>
    <x v="0"/>
    <x v="1123"/>
    <x v="2196"/>
    <x v="725"/>
    <x v="2181"/>
    <x v="1593"/>
    <x v="0"/>
    <x v="0"/>
    <x v="0"/>
    <x v="1"/>
    <x v="438"/>
    <x v="0"/>
  </r>
  <r>
    <x v="2411"/>
    <x v="2401"/>
    <x v="93"/>
    <x v="0"/>
    <x v="9"/>
    <x v="9"/>
    <x v="0"/>
    <x v="104"/>
    <x v="38"/>
    <x v="16"/>
    <x v="16"/>
    <x v="2"/>
    <x v="43"/>
    <x v="0"/>
    <x v="0"/>
    <x v="130"/>
    <x v="130"/>
    <x v="126"/>
    <x v="126"/>
    <x v="126"/>
    <x v="3"/>
    <x v="0"/>
    <x v="0"/>
    <x v="0"/>
    <x v="502"/>
    <x v="0"/>
  </r>
  <r>
    <x v="2412"/>
    <x v="2402"/>
    <x v="80"/>
    <x v="0"/>
    <x v="8"/>
    <x v="8"/>
    <x v="3"/>
    <x v="483"/>
    <x v="121"/>
    <x v="10"/>
    <x v="10"/>
    <x v="3"/>
    <x v="1141"/>
    <x v="2"/>
    <x v="1144"/>
    <x v="2024"/>
    <x v="2197"/>
    <x v="371"/>
    <x v="2182"/>
    <x v="2005"/>
    <x v="0"/>
    <x v="0"/>
    <x v="0"/>
    <x v="2"/>
    <x v="395"/>
    <x v="0"/>
  </r>
  <r>
    <x v="2413"/>
    <x v="2403"/>
    <x v="226"/>
    <x v="0"/>
    <x v="0"/>
    <x v="0"/>
    <x v="0"/>
    <x v="545"/>
    <x v="22"/>
    <x v="6"/>
    <x v="56"/>
    <x v="5"/>
    <x v="1142"/>
    <x v="3"/>
    <x v="1145"/>
    <x v="2025"/>
    <x v="2198"/>
    <x v="431"/>
    <x v="2183"/>
    <x v="2006"/>
    <x v="1"/>
    <x v="0"/>
    <x v="0"/>
    <x v="0"/>
    <x v="55"/>
    <x v="1"/>
  </r>
  <r>
    <x v="2414"/>
    <x v="2404"/>
    <x v="247"/>
    <x v="0"/>
    <x v="5"/>
    <x v="5"/>
    <x v="0"/>
    <x v="184"/>
    <x v="75"/>
    <x v="28"/>
    <x v="29"/>
    <x v="6"/>
    <x v="1143"/>
    <x v="0"/>
    <x v="0"/>
    <x v="2026"/>
    <x v="2199"/>
    <x v="291"/>
    <x v="2184"/>
    <x v="2007"/>
    <x v="2"/>
    <x v="0"/>
    <x v="0"/>
    <x v="2"/>
    <x v="346"/>
    <x v="0"/>
  </r>
  <r>
    <x v="2415"/>
    <x v="2405"/>
    <x v="341"/>
    <x v="0"/>
    <x v="0"/>
    <x v="0"/>
    <x v="0"/>
    <x v="25"/>
    <x v="108"/>
    <x v="99"/>
    <x v="32"/>
    <x v="6"/>
    <x v="1144"/>
    <x v="3"/>
    <x v="1146"/>
    <x v="2027"/>
    <x v="2200"/>
    <x v="396"/>
    <x v="2185"/>
    <x v="2008"/>
    <x v="2"/>
    <x v="0"/>
    <x v="0"/>
    <x v="0"/>
    <x v="115"/>
    <x v="1"/>
  </r>
  <r>
    <x v="2416"/>
    <x v="2406"/>
    <x v="163"/>
    <x v="0"/>
    <x v="9"/>
    <x v="9"/>
    <x v="0"/>
    <x v="645"/>
    <x v="69"/>
    <x v="114"/>
    <x v="265"/>
    <x v="2"/>
    <x v="141"/>
    <x v="3"/>
    <x v="1147"/>
    <x v="2028"/>
    <x v="2201"/>
    <x v="353"/>
    <x v="2186"/>
    <x v="2009"/>
    <x v="4"/>
    <x v="0"/>
    <x v="0"/>
    <x v="0"/>
    <x v="471"/>
    <x v="1"/>
  </r>
  <r>
    <x v="2417"/>
    <x v="2407"/>
    <x v="90"/>
    <x v="1"/>
    <x v="7"/>
    <x v="7"/>
    <x v="1"/>
    <x v="545"/>
    <x v="52"/>
    <x v="169"/>
    <x v="166"/>
    <x v="4"/>
    <x v="1145"/>
    <x v="0"/>
    <x v="0"/>
    <x v="2029"/>
    <x v="2202"/>
    <x v="602"/>
    <x v="187"/>
    <x v="2010"/>
    <x v="2"/>
    <x v="0"/>
    <x v="0"/>
    <x v="2"/>
    <x v="151"/>
    <x v="1"/>
  </r>
  <r>
    <x v="2418"/>
    <x v="2408"/>
    <x v="188"/>
    <x v="0"/>
    <x v="4"/>
    <x v="4"/>
    <x v="2"/>
    <x v="196"/>
    <x v="53"/>
    <x v="39"/>
    <x v="282"/>
    <x v="7"/>
    <x v="1146"/>
    <x v="0"/>
    <x v="0"/>
    <x v="2030"/>
    <x v="2203"/>
    <x v="950"/>
    <x v="2187"/>
    <x v="2011"/>
    <x v="3"/>
    <x v="0"/>
    <x v="0"/>
    <x v="0"/>
    <x v="576"/>
    <x v="0"/>
  </r>
  <r>
    <x v="2419"/>
    <x v="2409"/>
    <x v="158"/>
    <x v="0"/>
    <x v="4"/>
    <x v="4"/>
    <x v="2"/>
    <x v="321"/>
    <x v="63"/>
    <x v="47"/>
    <x v="51"/>
    <x v="6"/>
    <x v="1147"/>
    <x v="0"/>
    <x v="0"/>
    <x v="2031"/>
    <x v="2204"/>
    <x v="76"/>
    <x v="2188"/>
    <x v="2012"/>
    <x v="0"/>
    <x v="0"/>
    <x v="0"/>
    <x v="0"/>
    <x v="325"/>
    <x v="1"/>
  </r>
  <r>
    <x v="2420"/>
    <x v="2410"/>
    <x v="197"/>
    <x v="0"/>
    <x v="10"/>
    <x v="10"/>
    <x v="3"/>
    <x v="574"/>
    <x v="15"/>
    <x v="41"/>
    <x v="44"/>
    <x v="0"/>
    <x v="15"/>
    <x v="0"/>
    <x v="0"/>
    <x v="255"/>
    <x v="256"/>
    <x v="230"/>
    <x v="252"/>
    <x v="191"/>
    <x v="1"/>
    <x v="0"/>
    <x v="0"/>
    <x v="0"/>
    <x v="110"/>
    <x v="1"/>
  </r>
  <r>
    <x v="2421"/>
    <x v="2411"/>
    <x v="331"/>
    <x v="1"/>
    <x v="1"/>
    <x v="1"/>
    <x v="1"/>
    <x v="95"/>
    <x v="86"/>
    <x v="23"/>
    <x v="30"/>
    <x v="7"/>
    <x v="1148"/>
    <x v="0"/>
    <x v="0"/>
    <x v="2032"/>
    <x v="2205"/>
    <x v="409"/>
    <x v="2189"/>
    <x v="2013"/>
    <x v="4"/>
    <x v="0"/>
    <x v="0"/>
    <x v="0"/>
    <x v="5"/>
    <x v="1"/>
  </r>
  <r>
    <x v="2422"/>
    <x v="2412"/>
    <x v="237"/>
    <x v="0"/>
    <x v="3"/>
    <x v="3"/>
    <x v="2"/>
    <x v="174"/>
    <x v="144"/>
    <x v="36"/>
    <x v="37"/>
    <x v="4"/>
    <x v="1149"/>
    <x v="1"/>
    <x v="1148"/>
    <x v="2033"/>
    <x v="2206"/>
    <x v="587"/>
    <x v="2190"/>
    <x v="2014"/>
    <x v="4"/>
    <x v="0"/>
    <x v="0"/>
    <x v="0"/>
    <x v="494"/>
    <x v="0"/>
  </r>
  <r>
    <x v="2423"/>
    <x v="2413"/>
    <x v="172"/>
    <x v="0"/>
    <x v="10"/>
    <x v="10"/>
    <x v="3"/>
    <x v="359"/>
    <x v="14"/>
    <x v="20"/>
    <x v="20"/>
    <x v="4"/>
    <x v="1150"/>
    <x v="0"/>
    <x v="0"/>
    <x v="2034"/>
    <x v="2207"/>
    <x v="99"/>
    <x v="2191"/>
    <x v="2015"/>
    <x v="3"/>
    <x v="0"/>
    <x v="0"/>
    <x v="0"/>
    <x v="738"/>
    <x v="0"/>
  </r>
  <r>
    <x v="2424"/>
    <x v="2414"/>
    <x v="86"/>
    <x v="0"/>
    <x v="6"/>
    <x v="6"/>
    <x v="3"/>
    <x v="537"/>
    <x v="3"/>
    <x v="27"/>
    <x v="107"/>
    <x v="6"/>
    <x v="1151"/>
    <x v="0"/>
    <x v="0"/>
    <x v="2035"/>
    <x v="2208"/>
    <x v="747"/>
    <x v="2192"/>
    <x v="2016"/>
    <x v="5"/>
    <x v="0"/>
    <x v="0"/>
    <x v="1"/>
    <x v="601"/>
    <x v="0"/>
  </r>
  <r>
    <x v="2425"/>
    <x v="2415"/>
    <x v="6"/>
    <x v="0"/>
    <x v="3"/>
    <x v="3"/>
    <x v="2"/>
    <x v="388"/>
    <x v="5"/>
    <x v="51"/>
    <x v="56"/>
    <x v="2"/>
    <x v="1152"/>
    <x v="1"/>
    <x v="1149"/>
    <x v="2036"/>
    <x v="2209"/>
    <x v="428"/>
    <x v="2193"/>
    <x v="2017"/>
    <x v="4"/>
    <x v="0"/>
    <x v="0"/>
    <x v="0"/>
    <x v="428"/>
    <x v="0"/>
  </r>
  <r>
    <x v="2426"/>
    <x v="2416"/>
    <x v="104"/>
    <x v="1"/>
    <x v="7"/>
    <x v="7"/>
    <x v="1"/>
    <x v="185"/>
    <x v="106"/>
    <x v="89"/>
    <x v="108"/>
    <x v="3"/>
    <x v="1153"/>
    <x v="0"/>
    <x v="0"/>
    <x v="2037"/>
    <x v="2210"/>
    <x v="856"/>
    <x v="2194"/>
    <x v="2018"/>
    <x v="4"/>
    <x v="0"/>
    <x v="0"/>
    <x v="0"/>
    <x v="177"/>
    <x v="0"/>
  </r>
  <r>
    <x v="2427"/>
    <x v="2417"/>
    <x v="65"/>
    <x v="0"/>
    <x v="8"/>
    <x v="8"/>
    <x v="3"/>
    <x v="205"/>
    <x v="66"/>
    <x v="2"/>
    <x v="71"/>
    <x v="5"/>
    <x v="1154"/>
    <x v="3"/>
    <x v="1150"/>
    <x v="2038"/>
    <x v="2211"/>
    <x v="539"/>
    <x v="2195"/>
    <x v="2019"/>
    <x v="3"/>
    <x v="0"/>
    <x v="0"/>
    <x v="1"/>
    <x v="143"/>
    <x v="0"/>
  </r>
  <r>
    <x v="2428"/>
    <x v="2418"/>
    <x v="93"/>
    <x v="0"/>
    <x v="9"/>
    <x v="9"/>
    <x v="0"/>
    <x v="20"/>
    <x v="145"/>
    <x v="113"/>
    <x v="279"/>
    <x v="2"/>
    <x v="1155"/>
    <x v="0"/>
    <x v="0"/>
    <x v="2039"/>
    <x v="2212"/>
    <x v="590"/>
    <x v="2196"/>
    <x v="2020"/>
    <x v="1"/>
    <x v="0"/>
    <x v="0"/>
    <x v="0"/>
    <x v="468"/>
    <x v="0"/>
  </r>
  <r>
    <x v="2429"/>
    <x v="2419"/>
    <x v="67"/>
    <x v="0"/>
    <x v="8"/>
    <x v="8"/>
    <x v="3"/>
    <x v="202"/>
    <x v="96"/>
    <x v="42"/>
    <x v="234"/>
    <x v="6"/>
    <x v="1156"/>
    <x v="4"/>
    <x v="1151"/>
    <x v="2040"/>
    <x v="2213"/>
    <x v="951"/>
    <x v="2197"/>
    <x v="2021"/>
    <x v="0"/>
    <x v="0"/>
    <x v="0"/>
    <x v="0"/>
    <x v="341"/>
    <x v="0"/>
  </r>
  <r>
    <x v="2430"/>
    <x v="2420"/>
    <x v="185"/>
    <x v="0"/>
    <x v="8"/>
    <x v="8"/>
    <x v="3"/>
    <x v="502"/>
    <x v="31"/>
    <x v="129"/>
    <x v="173"/>
    <x v="1"/>
    <x v="35"/>
    <x v="3"/>
    <x v="577"/>
    <x v="2041"/>
    <x v="2214"/>
    <x v="773"/>
    <x v="2198"/>
    <x v="2022"/>
    <x v="0"/>
    <x v="0"/>
    <x v="0"/>
    <x v="0"/>
    <x v="116"/>
    <x v="1"/>
  </r>
  <r>
    <x v="2431"/>
    <x v="2421"/>
    <x v="124"/>
    <x v="0"/>
    <x v="5"/>
    <x v="5"/>
    <x v="0"/>
    <x v="331"/>
    <x v="56"/>
    <x v="45"/>
    <x v="227"/>
    <x v="3"/>
    <x v="1157"/>
    <x v="3"/>
    <x v="1152"/>
    <x v="780"/>
    <x v="2215"/>
    <x v="218"/>
    <x v="2199"/>
    <x v="2023"/>
    <x v="5"/>
    <x v="0"/>
    <x v="0"/>
    <x v="0"/>
    <x v="418"/>
    <x v="1"/>
  </r>
  <r>
    <x v="2432"/>
    <x v="2422"/>
    <x v="118"/>
    <x v="0"/>
    <x v="5"/>
    <x v="5"/>
    <x v="0"/>
    <x v="646"/>
    <x v="127"/>
    <x v="34"/>
    <x v="176"/>
    <x v="0"/>
    <x v="335"/>
    <x v="1"/>
    <x v="442"/>
    <x v="789"/>
    <x v="2216"/>
    <x v="577"/>
    <x v="2200"/>
    <x v="2024"/>
    <x v="2"/>
    <x v="0"/>
    <x v="0"/>
    <x v="0"/>
    <x v="751"/>
    <x v="0"/>
  </r>
  <r>
    <x v="2433"/>
    <x v="2423"/>
    <x v="141"/>
    <x v="0"/>
    <x v="0"/>
    <x v="0"/>
    <x v="0"/>
    <x v="537"/>
    <x v="109"/>
    <x v="27"/>
    <x v="35"/>
    <x v="5"/>
    <x v="1158"/>
    <x v="3"/>
    <x v="1153"/>
    <x v="2042"/>
    <x v="2217"/>
    <x v="199"/>
    <x v="2201"/>
    <x v="2025"/>
    <x v="4"/>
    <x v="0"/>
    <x v="0"/>
    <x v="2"/>
    <x v="217"/>
    <x v="0"/>
  </r>
  <r>
    <x v="2434"/>
    <x v="2424"/>
    <x v="151"/>
    <x v="0"/>
    <x v="6"/>
    <x v="6"/>
    <x v="3"/>
    <x v="102"/>
    <x v="25"/>
    <x v="100"/>
    <x v="125"/>
    <x v="4"/>
    <x v="28"/>
    <x v="0"/>
    <x v="0"/>
    <x v="1589"/>
    <x v="2218"/>
    <x v="135"/>
    <x v="2202"/>
    <x v="28"/>
    <x v="2"/>
    <x v="0"/>
    <x v="0"/>
    <x v="0"/>
    <x v="608"/>
    <x v="1"/>
  </r>
  <r>
    <x v="2435"/>
    <x v="2425"/>
    <x v="67"/>
    <x v="0"/>
    <x v="8"/>
    <x v="8"/>
    <x v="3"/>
    <x v="264"/>
    <x v="123"/>
    <x v="169"/>
    <x v="273"/>
    <x v="7"/>
    <x v="1159"/>
    <x v="0"/>
    <x v="0"/>
    <x v="2043"/>
    <x v="2219"/>
    <x v="782"/>
    <x v="2203"/>
    <x v="2026"/>
    <x v="2"/>
    <x v="0"/>
    <x v="0"/>
    <x v="0"/>
    <x v="559"/>
    <x v="0"/>
  </r>
  <r>
    <x v="2436"/>
    <x v="2426"/>
    <x v="250"/>
    <x v="0"/>
    <x v="8"/>
    <x v="8"/>
    <x v="3"/>
    <x v="609"/>
    <x v="28"/>
    <x v="93"/>
    <x v="113"/>
    <x v="0"/>
    <x v="32"/>
    <x v="0"/>
    <x v="0"/>
    <x v="2044"/>
    <x v="2220"/>
    <x v="952"/>
    <x v="2204"/>
    <x v="366"/>
    <x v="0"/>
    <x v="0"/>
    <x v="0"/>
    <x v="0"/>
    <x v="46"/>
    <x v="1"/>
  </r>
  <r>
    <x v="2437"/>
    <x v="2427"/>
    <x v="142"/>
    <x v="0"/>
    <x v="8"/>
    <x v="8"/>
    <x v="3"/>
    <x v="392"/>
    <x v="5"/>
    <x v="98"/>
    <x v="152"/>
    <x v="6"/>
    <x v="1160"/>
    <x v="2"/>
    <x v="1154"/>
    <x v="2045"/>
    <x v="2221"/>
    <x v="604"/>
    <x v="2205"/>
    <x v="2027"/>
    <x v="0"/>
    <x v="0"/>
    <x v="0"/>
    <x v="0"/>
    <x v="425"/>
    <x v="1"/>
  </r>
  <r>
    <x v="2438"/>
    <x v="2428"/>
    <x v="339"/>
    <x v="1"/>
    <x v="1"/>
    <x v="1"/>
    <x v="1"/>
    <x v="253"/>
    <x v="137"/>
    <x v="150"/>
    <x v="312"/>
    <x v="7"/>
    <x v="1161"/>
    <x v="0"/>
    <x v="0"/>
    <x v="2046"/>
    <x v="2222"/>
    <x v="953"/>
    <x v="2206"/>
    <x v="2028"/>
    <x v="4"/>
    <x v="0"/>
    <x v="0"/>
    <x v="1"/>
    <x v="283"/>
    <x v="1"/>
  </r>
  <r>
    <x v="2439"/>
    <x v="2429"/>
    <x v="234"/>
    <x v="0"/>
    <x v="6"/>
    <x v="6"/>
    <x v="3"/>
    <x v="236"/>
    <x v="76"/>
    <x v="140"/>
    <x v="302"/>
    <x v="1"/>
    <x v="418"/>
    <x v="3"/>
    <x v="1155"/>
    <x v="2047"/>
    <x v="2223"/>
    <x v="725"/>
    <x v="2207"/>
    <x v="2029"/>
    <x v="0"/>
    <x v="0"/>
    <x v="0"/>
    <x v="1"/>
    <x v="174"/>
    <x v="0"/>
  </r>
  <r>
    <x v="2440"/>
    <x v="2430"/>
    <x v="331"/>
    <x v="1"/>
    <x v="1"/>
    <x v="1"/>
    <x v="1"/>
    <x v="431"/>
    <x v="75"/>
    <x v="32"/>
    <x v="34"/>
    <x v="2"/>
    <x v="92"/>
    <x v="3"/>
    <x v="198"/>
    <x v="2048"/>
    <x v="2224"/>
    <x v="419"/>
    <x v="2208"/>
    <x v="2030"/>
    <x v="4"/>
    <x v="0"/>
    <x v="0"/>
    <x v="0"/>
    <x v="156"/>
    <x v="1"/>
  </r>
  <r>
    <x v="2441"/>
    <x v="2431"/>
    <x v="242"/>
    <x v="1"/>
    <x v="7"/>
    <x v="7"/>
    <x v="1"/>
    <x v="450"/>
    <x v="122"/>
    <x v="68"/>
    <x v="237"/>
    <x v="2"/>
    <x v="205"/>
    <x v="3"/>
    <x v="1126"/>
    <x v="1993"/>
    <x v="2161"/>
    <x v="439"/>
    <x v="2145"/>
    <x v="1974"/>
    <x v="1"/>
    <x v="0"/>
    <x v="0"/>
    <x v="2"/>
    <x v="304"/>
    <x v="0"/>
  </r>
  <r>
    <x v="2442"/>
    <x v="2432"/>
    <x v="205"/>
    <x v="0"/>
    <x v="3"/>
    <x v="3"/>
    <x v="2"/>
    <x v="585"/>
    <x v="67"/>
    <x v="73"/>
    <x v="218"/>
    <x v="0"/>
    <x v="81"/>
    <x v="3"/>
    <x v="60"/>
    <x v="1419"/>
    <x v="2225"/>
    <x v="458"/>
    <x v="2209"/>
    <x v="1599"/>
    <x v="3"/>
    <x v="0"/>
    <x v="0"/>
    <x v="0"/>
    <x v="125"/>
    <x v="1"/>
  </r>
  <r>
    <x v="2443"/>
    <x v="2433"/>
    <x v="162"/>
    <x v="0"/>
    <x v="8"/>
    <x v="8"/>
    <x v="3"/>
    <x v="25"/>
    <x v="35"/>
    <x v="66"/>
    <x v="75"/>
    <x v="7"/>
    <x v="1162"/>
    <x v="3"/>
    <x v="1156"/>
    <x v="2049"/>
    <x v="2226"/>
    <x v="749"/>
    <x v="2210"/>
    <x v="2031"/>
    <x v="2"/>
    <x v="0"/>
    <x v="0"/>
    <x v="2"/>
    <x v="265"/>
    <x v="0"/>
  </r>
  <r>
    <x v="2444"/>
    <x v="2434"/>
    <x v="1"/>
    <x v="1"/>
    <x v="1"/>
    <x v="1"/>
    <x v="1"/>
    <x v="416"/>
    <x v="39"/>
    <x v="64"/>
    <x v="338"/>
    <x v="2"/>
    <x v="273"/>
    <x v="1"/>
    <x v="1157"/>
    <x v="2050"/>
    <x v="2227"/>
    <x v="483"/>
    <x v="2211"/>
    <x v="2032"/>
    <x v="1"/>
    <x v="0"/>
    <x v="0"/>
    <x v="0"/>
    <x v="264"/>
    <x v="0"/>
  </r>
  <r>
    <x v="2445"/>
    <x v="2435"/>
    <x v="214"/>
    <x v="0"/>
    <x v="3"/>
    <x v="3"/>
    <x v="2"/>
    <x v="179"/>
    <x v="43"/>
    <x v="33"/>
    <x v="56"/>
    <x v="6"/>
    <x v="1163"/>
    <x v="0"/>
    <x v="0"/>
    <x v="2051"/>
    <x v="2228"/>
    <x v="389"/>
    <x v="2212"/>
    <x v="2033"/>
    <x v="3"/>
    <x v="0"/>
    <x v="0"/>
    <x v="0"/>
    <x v="199"/>
    <x v="1"/>
  </r>
  <r>
    <x v="2446"/>
    <x v="2436"/>
    <x v="273"/>
    <x v="0"/>
    <x v="0"/>
    <x v="0"/>
    <x v="0"/>
    <x v="297"/>
    <x v="48"/>
    <x v="140"/>
    <x v="311"/>
    <x v="4"/>
    <x v="53"/>
    <x v="0"/>
    <x v="0"/>
    <x v="2052"/>
    <x v="2229"/>
    <x v="817"/>
    <x v="2213"/>
    <x v="53"/>
    <x v="1"/>
    <x v="0"/>
    <x v="0"/>
    <x v="0"/>
    <x v="31"/>
    <x v="1"/>
  </r>
  <r>
    <x v="2447"/>
    <x v="2437"/>
    <x v="200"/>
    <x v="0"/>
    <x v="9"/>
    <x v="9"/>
    <x v="0"/>
    <x v="575"/>
    <x v="59"/>
    <x v="158"/>
    <x v="235"/>
    <x v="0"/>
    <x v="233"/>
    <x v="3"/>
    <x v="190"/>
    <x v="318"/>
    <x v="322"/>
    <x v="278"/>
    <x v="318"/>
    <x v="314"/>
    <x v="5"/>
    <x v="0"/>
    <x v="0"/>
    <x v="0"/>
    <x v="310"/>
    <x v="1"/>
  </r>
  <r>
    <x v="2448"/>
    <x v="2438"/>
    <x v="92"/>
    <x v="0"/>
    <x v="4"/>
    <x v="4"/>
    <x v="2"/>
    <x v="140"/>
    <x v="52"/>
    <x v="9"/>
    <x v="9"/>
    <x v="6"/>
    <x v="59"/>
    <x v="3"/>
    <x v="528"/>
    <x v="933"/>
    <x v="2230"/>
    <x v="314"/>
    <x v="2214"/>
    <x v="2034"/>
    <x v="0"/>
    <x v="0"/>
    <x v="0"/>
    <x v="0"/>
    <x v="412"/>
    <x v="0"/>
  </r>
  <r>
    <x v="2449"/>
    <x v="2439"/>
    <x v="160"/>
    <x v="0"/>
    <x v="2"/>
    <x v="2"/>
    <x v="2"/>
    <x v="490"/>
    <x v="79"/>
    <x v="108"/>
    <x v="316"/>
    <x v="0"/>
    <x v="258"/>
    <x v="0"/>
    <x v="0"/>
    <x v="2053"/>
    <x v="2231"/>
    <x v="408"/>
    <x v="2215"/>
    <x v="2035"/>
    <x v="1"/>
    <x v="0"/>
    <x v="0"/>
    <x v="0"/>
    <x v="165"/>
    <x v="0"/>
  </r>
  <r>
    <x v="2450"/>
    <x v="2440"/>
    <x v="361"/>
    <x v="0"/>
    <x v="8"/>
    <x v="8"/>
    <x v="3"/>
    <x v="13"/>
    <x v="18"/>
    <x v="59"/>
    <x v="65"/>
    <x v="1"/>
    <x v="18"/>
    <x v="0"/>
    <x v="0"/>
    <x v="687"/>
    <x v="891"/>
    <x v="520"/>
    <x v="885"/>
    <x v="18"/>
    <x v="2"/>
    <x v="0"/>
    <x v="0"/>
    <x v="0"/>
    <x v="660"/>
    <x v="1"/>
  </r>
  <r>
    <x v="2451"/>
    <x v="2441"/>
    <x v="95"/>
    <x v="0"/>
    <x v="8"/>
    <x v="8"/>
    <x v="3"/>
    <x v="29"/>
    <x v="56"/>
    <x v="16"/>
    <x v="100"/>
    <x v="1"/>
    <x v="64"/>
    <x v="4"/>
    <x v="921"/>
    <x v="2054"/>
    <x v="2232"/>
    <x v="66"/>
    <x v="2216"/>
    <x v="2036"/>
    <x v="5"/>
    <x v="0"/>
    <x v="0"/>
    <x v="0"/>
    <x v="107"/>
    <x v="1"/>
  </r>
  <r>
    <x v="2452"/>
    <x v="2442"/>
    <x v="307"/>
    <x v="1"/>
    <x v="7"/>
    <x v="7"/>
    <x v="1"/>
    <x v="380"/>
    <x v="96"/>
    <x v="135"/>
    <x v="333"/>
    <x v="2"/>
    <x v="126"/>
    <x v="4"/>
    <x v="532"/>
    <x v="941"/>
    <x v="2233"/>
    <x v="645"/>
    <x v="2217"/>
    <x v="2037"/>
    <x v="1"/>
    <x v="0"/>
    <x v="0"/>
    <x v="0"/>
    <x v="591"/>
    <x v="0"/>
  </r>
  <r>
    <x v="2453"/>
    <x v="2443"/>
    <x v="28"/>
    <x v="0"/>
    <x v="9"/>
    <x v="9"/>
    <x v="0"/>
    <x v="326"/>
    <x v="79"/>
    <x v="51"/>
    <x v="56"/>
    <x v="7"/>
    <x v="1164"/>
    <x v="3"/>
    <x v="1158"/>
    <x v="2055"/>
    <x v="2234"/>
    <x v="498"/>
    <x v="2218"/>
    <x v="2038"/>
    <x v="4"/>
    <x v="0"/>
    <x v="0"/>
    <x v="0"/>
    <x v="372"/>
    <x v="1"/>
  </r>
  <r>
    <x v="2454"/>
    <x v="2444"/>
    <x v="181"/>
    <x v="0"/>
    <x v="3"/>
    <x v="3"/>
    <x v="2"/>
    <x v="262"/>
    <x v="143"/>
    <x v="16"/>
    <x v="16"/>
    <x v="6"/>
    <x v="459"/>
    <x v="2"/>
    <x v="1159"/>
    <x v="118"/>
    <x v="2235"/>
    <x v="722"/>
    <x v="2219"/>
    <x v="2039"/>
    <x v="2"/>
    <x v="0"/>
    <x v="0"/>
    <x v="0"/>
    <x v="510"/>
    <x v="1"/>
  </r>
  <r>
    <x v="2455"/>
    <x v="2445"/>
    <x v="127"/>
    <x v="0"/>
    <x v="5"/>
    <x v="5"/>
    <x v="0"/>
    <x v="521"/>
    <x v="80"/>
    <x v="0"/>
    <x v="303"/>
    <x v="1"/>
    <x v="102"/>
    <x v="4"/>
    <x v="1160"/>
    <x v="2056"/>
    <x v="2236"/>
    <x v="954"/>
    <x v="2220"/>
    <x v="2040"/>
    <x v="3"/>
    <x v="0"/>
    <x v="0"/>
    <x v="0"/>
    <x v="47"/>
    <x v="0"/>
  </r>
  <r>
    <x v="2456"/>
    <x v="2446"/>
    <x v="266"/>
    <x v="0"/>
    <x v="6"/>
    <x v="6"/>
    <x v="3"/>
    <x v="231"/>
    <x v="117"/>
    <x v="36"/>
    <x v="37"/>
    <x v="3"/>
    <x v="1165"/>
    <x v="1"/>
    <x v="1161"/>
    <x v="2057"/>
    <x v="2237"/>
    <x v="687"/>
    <x v="2221"/>
    <x v="2041"/>
    <x v="0"/>
    <x v="0"/>
    <x v="0"/>
    <x v="0"/>
    <x v="318"/>
    <x v="0"/>
  </r>
  <r>
    <x v="2457"/>
    <x v="2447"/>
    <x v="53"/>
    <x v="1"/>
    <x v="11"/>
    <x v="11"/>
    <x v="1"/>
    <x v="571"/>
    <x v="11"/>
    <x v="35"/>
    <x v="36"/>
    <x v="0"/>
    <x v="87"/>
    <x v="0"/>
    <x v="0"/>
    <x v="866"/>
    <x v="2238"/>
    <x v="92"/>
    <x v="2222"/>
    <x v="2042"/>
    <x v="0"/>
    <x v="0"/>
    <x v="0"/>
    <x v="0"/>
    <x v="425"/>
    <x v="0"/>
  </r>
  <r>
    <x v="2458"/>
    <x v="2448"/>
    <x v="65"/>
    <x v="0"/>
    <x v="8"/>
    <x v="8"/>
    <x v="3"/>
    <x v="647"/>
    <x v="31"/>
    <x v="28"/>
    <x v="29"/>
    <x v="2"/>
    <x v="35"/>
    <x v="0"/>
    <x v="0"/>
    <x v="2058"/>
    <x v="2239"/>
    <x v="356"/>
    <x v="2223"/>
    <x v="2043"/>
    <x v="4"/>
    <x v="0"/>
    <x v="0"/>
    <x v="0"/>
    <x v="242"/>
    <x v="0"/>
  </r>
  <r>
    <x v="2459"/>
    <x v="2449"/>
    <x v="304"/>
    <x v="0"/>
    <x v="5"/>
    <x v="5"/>
    <x v="0"/>
    <x v="598"/>
    <x v="113"/>
    <x v="112"/>
    <x v="141"/>
    <x v="6"/>
    <x v="166"/>
    <x v="4"/>
    <x v="1162"/>
    <x v="2059"/>
    <x v="2240"/>
    <x v="376"/>
    <x v="2224"/>
    <x v="2044"/>
    <x v="4"/>
    <x v="0"/>
    <x v="0"/>
    <x v="0"/>
    <x v="89"/>
    <x v="1"/>
  </r>
  <r>
    <x v="2460"/>
    <x v="2450"/>
    <x v="96"/>
    <x v="0"/>
    <x v="3"/>
    <x v="3"/>
    <x v="2"/>
    <x v="150"/>
    <x v="9"/>
    <x v="6"/>
    <x v="344"/>
    <x v="0"/>
    <x v="171"/>
    <x v="0"/>
    <x v="0"/>
    <x v="222"/>
    <x v="973"/>
    <x v="205"/>
    <x v="966"/>
    <x v="915"/>
    <x v="0"/>
    <x v="0"/>
    <x v="0"/>
    <x v="0"/>
    <x v="73"/>
    <x v="0"/>
  </r>
  <r>
    <x v="2461"/>
    <x v="2451"/>
    <x v="83"/>
    <x v="1"/>
    <x v="1"/>
    <x v="1"/>
    <x v="1"/>
    <x v="18"/>
    <x v="84"/>
    <x v="29"/>
    <x v="30"/>
    <x v="6"/>
    <x v="109"/>
    <x v="2"/>
    <x v="1163"/>
    <x v="2060"/>
    <x v="2241"/>
    <x v="119"/>
    <x v="2225"/>
    <x v="2045"/>
    <x v="2"/>
    <x v="0"/>
    <x v="0"/>
    <x v="0"/>
    <x v="383"/>
    <x v="0"/>
  </r>
  <r>
    <x v="2462"/>
    <x v="2452"/>
    <x v="107"/>
    <x v="0"/>
    <x v="8"/>
    <x v="8"/>
    <x v="3"/>
    <x v="284"/>
    <x v="133"/>
    <x v="61"/>
    <x v="3"/>
    <x v="1"/>
    <x v="333"/>
    <x v="4"/>
    <x v="824"/>
    <x v="1459"/>
    <x v="2242"/>
    <x v="824"/>
    <x v="2226"/>
    <x v="2046"/>
    <x v="0"/>
    <x v="0"/>
    <x v="0"/>
    <x v="2"/>
    <x v="166"/>
    <x v="1"/>
  </r>
  <r>
    <x v="2463"/>
    <x v="2453"/>
    <x v="178"/>
    <x v="0"/>
    <x v="10"/>
    <x v="10"/>
    <x v="3"/>
    <x v="31"/>
    <x v="70"/>
    <x v="133"/>
    <x v="191"/>
    <x v="0"/>
    <x v="267"/>
    <x v="0"/>
    <x v="0"/>
    <x v="2061"/>
    <x v="2243"/>
    <x v="955"/>
    <x v="2227"/>
    <x v="577"/>
    <x v="5"/>
    <x v="0"/>
    <x v="0"/>
    <x v="0"/>
    <x v="506"/>
    <x v="1"/>
  </r>
  <r>
    <x v="2464"/>
    <x v="2454"/>
    <x v="136"/>
    <x v="0"/>
    <x v="10"/>
    <x v="10"/>
    <x v="3"/>
    <x v="47"/>
    <x v="48"/>
    <x v="37"/>
    <x v="78"/>
    <x v="5"/>
    <x v="1166"/>
    <x v="0"/>
    <x v="0"/>
    <x v="2062"/>
    <x v="2244"/>
    <x v="956"/>
    <x v="2228"/>
    <x v="2047"/>
    <x v="5"/>
    <x v="0"/>
    <x v="0"/>
    <x v="0"/>
    <x v="77"/>
    <x v="0"/>
  </r>
  <r>
    <x v="2465"/>
    <x v="2455"/>
    <x v="70"/>
    <x v="0"/>
    <x v="2"/>
    <x v="2"/>
    <x v="2"/>
    <x v="61"/>
    <x v="56"/>
    <x v="150"/>
    <x v="312"/>
    <x v="6"/>
    <x v="1167"/>
    <x v="0"/>
    <x v="0"/>
    <x v="2063"/>
    <x v="2245"/>
    <x v="628"/>
    <x v="2229"/>
    <x v="2048"/>
    <x v="4"/>
    <x v="0"/>
    <x v="0"/>
    <x v="0"/>
    <x v="450"/>
    <x v="1"/>
  </r>
  <r>
    <x v="2466"/>
    <x v="2456"/>
    <x v="116"/>
    <x v="0"/>
    <x v="8"/>
    <x v="8"/>
    <x v="3"/>
    <x v="201"/>
    <x v="78"/>
    <x v="103"/>
    <x v="129"/>
    <x v="7"/>
    <x v="1168"/>
    <x v="0"/>
    <x v="0"/>
    <x v="2064"/>
    <x v="2246"/>
    <x v="194"/>
    <x v="2230"/>
    <x v="2049"/>
    <x v="0"/>
    <x v="0"/>
    <x v="0"/>
    <x v="0"/>
    <x v="435"/>
    <x v="1"/>
  </r>
  <r>
    <x v="2467"/>
    <x v="2457"/>
    <x v="191"/>
    <x v="0"/>
    <x v="6"/>
    <x v="6"/>
    <x v="3"/>
    <x v="460"/>
    <x v="115"/>
    <x v="116"/>
    <x v="147"/>
    <x v="6"/>
    <x v="1169"/>
    <x v="3"/>
    <x v="1164"/>
    <x v="2065"/>
    <x v="2247"/>
    <x v="931"/>
    <x v="2231"/>
    <x v="2050"/>
    <x v="5"/>
    <x v="0"/>
    <x v="0"/>
    <x v="0"/>
    <x v="293"/>
    <x v="1"/>
  </r>
  <r>
    <x v="2468"/>
    <x v="2458"/>
    <x v="205"/>
    <x v="0"/>
    <x v="3"/>
    <x v="3"/>
    <x v="2"/>
    <x v="428"/>
    <x v="35"/>
    <x v="40"/>
    <x v="9"/>
    <x v="2"/>
    <x v="229"/>
    <x v="3"/>
    <x v="203"/>
    <x v="987"/>
    <x v="1035"/>
    <x v="275"/>
    <x v="1027"/>
    <x v="967"/>
    <x v="1"/>
    <x v="0"/>
    <x v="0"/>
    <x v="2"/>
    <x v="527"/>
    <x v="1"/>
  </r>
  <r>
    <x v="2469"/>
    <x v="2459"/>
    <x v="330"/>
    <x v="0"/>
    <x v="3"/>
    <x v="3"/>
    <x v="2"/>
    <x v="391"/>
    <x v="9"/>
    <x v="97"/>
    <x v="327"/>
    <x v="3"/>
    <x v="1170"/>
    <x v="0"/>
    <x v="0"/>
    <x v="2066"/>
    <x v="2248"/>
    <x v="57"/>
    <x v="467"/>
    <x v="2051"/>
    <x v="2"/>
    <x v="0"/>
    <x v="0"/>
    <x v="0"/>
    <x v="698"/>
    <x v="1"/>
  </r>
  <r>
    <x v="2470"/>
    <x v="2460"/>
    <x v="139"/>
    <x v="0"/>
    <x v="10"/>
    <x v="10"/>
    <x v="3"/>
    <x v="176"/>
    <x v="105"/>
    <x v="133"/>
    <x v="105"/>
    <x v="4"/>
    <x v="1171"/>
    <x v="1"/>
    <x v="1165"/>
    <x v="2067"/>
    <x v="2249"/>
    <x v="330"/>
    <x v="2232"/>
    <x v="2052"/>
    <x v="0"/>
    <x v="0"/>
    <x v="0"/>
    <x v="0"/>
    <x v="494"/>
    <x v="1"/>
  </r>
  <r>
    <x v="2471"/>
    <x v="2461"/>
    <x v="251"/>
    <x v="1"/>
    <x v="1"/>
    <x v="1"/>
    <x v="1"/>
    <x v="20"/>
    <x v="127"/>
    <x v="104"/>
    <x v="221"/>
    <x v="3"/>
    <x v="1172"/>
    <x v="0"/>
    <x v="0"/>
    <x v="2068"/>
    <x v="2250"/>
    <x v="382"/>
    <x v="2233"/>
    <x v="2053"/>
    <x v="4"/>
    <x v="0"/>
    <x v="0"/>
    <x v="2"/>
    <x v="356"/>
    <x v="1"/>
  </r>
  <r>
    <x v="2472"/>
    <x v="2462"/>
    <x v="193"/>
    <x v="0"/>
    <x v="6"/>
    <x v="6"/>
    <x v="3"/>
    <x v="91"/>
    <x v="15"/>
    <x v="12"/>
    <x v="12"/>
    <x v="5"/>
    <x v="1173"/>
    <x v="1"/>
    <x v="1166"/>
    <x v="2069"/>
    <x v="2251"/>
    <x v="957"/>
    <x v="2234"/>
    <x v="2054"/>
    <x v="4"/>
    <x v="0"/>
    <x v="0"/>
    <x v="2"/>
    <x v="344"/>
    <x v="1"/>
  </r>
  <r>
    <x v="2473"/>
    <x v="2463"/>
    <x v="141"/>
    <x v="0"/>
    <x v="0"/>
    <x v="0"/>
    <x v="0"/>
    <x v="351"/>
    <x v="134"/>
    <x v="76"/>
    <x v="151"/>
    <x v="0"/>
    <x v="450"/>
    <x v="0"/>
    <x v="0"/>
    <x v="1838"/>
    <x v="1984"/>
    <x v="792"/>
    <x v="1972"/>
    <x v="1067"/>
    <x v="3"/>
    <x v="1"/>
    <x v="1"/>
    <x v="0"/>
    <x v="695"/>
    <x v="0"/>
  </r>
  <r>
    <x v="2474"/>
    <x v="2464"/>
    <x v="339"/>
    <x v="1"/>
    <x v="1"/>
    <x v="1"/>
    <x v="1"/>
    <x v="424"/>
    <x v="30"/>
    <x v="19"/>
    <x v="54"/>
    <x v="6"/>
    <x v="34"/>
    <x v="4"/>
    <x v="988"/>
    <x v="1892"/>
    <x v="2252"/>
    <x v="34"/>
    <x v="2235"/>
    <x v="479"/>
    <x v="4"/>
    <x v="0"/>
    <x v="0"/>
    <x v="0"/>
    <x v="13"/>
    <x v="1"/>
  </r>
  <r>
    <x v="2475"/>
    <x v="2465"/>
    <x v="215"/>
    <x v="0"/>
    <x v="10"/>
    <x v="10"/>
    <x v="3"/>
    <x v="304"/>
    <x v="11"/>
    <x v="40"/>
    <x v="5"/>
    <x v="2"/>
    <x v="87"/>
    <x v="2"/>
    <x v="1167"/>
    <x v="2070"/>
    <x v="2253"/>
    <x v="413"/>
    <x v="2236"/>
    <x v="2055"/>
    <x v="0"/>
    <x v="0"/>
    <x v="0"/>
    <x v="2"/>
    <x v="246"/>
    <x v="0"/>
  </r>
  <r>
    <x v="2476"/>
    <x v="2466"/>
    <x v="135"/>
    <x v="1"/>
    <x v="7"/>
    <x v="7"/>
    <x v="1"/>
    <x v="184"/>
    <x v="108"/>
    <x v="15"/>
    <x v="289"/>
    <x v="4"/>
    <x v="1174"/>
    <x v="4"/>
    <x v="1168"/>
    <x v="2071"/>
    <x v="2254"/>
    <x v="958"/>
    <x v="2237"/>
    <x v="2056"/>
    <x v="2"/>
    <x v="0"/>
    <x v="0"/>
    <x v="0"/>
    <x v="407"/>
    <x v="0"/>
  </r>
  <r>
    <x v="2477"/>
    <x v="2467"/>
    <x v="295"/>
    <x v="0"/>
    <x v="4"/>
    <x v="4"/>
    <x v="2"/>
    <x v="317"/>
    <x v="134"/>
    <x v="159"/>
    <x v="238"/>
    <x v="0"/>
    <x v="450"/>
    <x v="1"/>
    <x v="568"/>
    <x v="2072"/>
    <x v="2255"/>
    <x v="792"/>
    <x v="2238"/>
    <x v="2057"/>
    <x v="1"/>
    <x v="0"/>
    <x v="0"/>
    <x v="0"/>
    <x v="56"/>
    <x v="0"/>
  </r>
  <r>
    <x v="2478"/>
    <x v="2468"/>
    <x v="266"/>
    <x v="0"/>
    <x v="6"/>
    <x v="6"/>
    <x v="3"/>
    <x v="317"/>
    <x v="34"/>
    <x v="63"/>
    <x v="70"/>
    <x v="6"/>
    <x v="219"/>
    <x v="0"/>
    <x v="0"/>
    <x v="2073"/>
    <x v="2256"/>
    <x v="39"/>
    <x v="171"/>
    <x v="2058"/>
    <x v="1"/>
    <x v="0"/>
    <x v="0"/>
    <x v="0"/>
    <x v="552"/>
    <x v="0"/>
  </r>
  <r>
    <x v="2479"/>
    <x v="2469"/>
    <x v="34"/>
    <x v="0"/>
    <x v="9"/>
    <x v="9"/>
    <x v="0"/>
    <x v="624"/>
    <x v="19"/>
    <x v="58"/>
    <x v="122"/>
    <x v="2"/>
    <x v="19"/>
    <x v="2"/>
    <x v="1169"/>
    <x v="2074"/>
    <x v="2257"/>
    <x v="183"/>
    <x v="2239"/>
    <x v="2059"/>
    <x v="0"/>
    <x v="0"/>
    <x v="0"/>
    <x v="0"/>
    <x v="342"/>
    <x v="0"/>
  </r>
  <r>
    <x v="2480"/>
    <x v="2470"/>
    <x v="29"/>
    <x v="0"/>
    <x v="10"/>
    <x v="10"/>
    <x v="3"/>
    <x v="648"/>
    <x v="31"/>
    <x v="27"/>
    <x v="28"/>
    <x v="0"/>
    <x v="35"/>
    <x v="1"/>
    <x v="1043"/>
    <x v="1858"/>
    <x v="2258"/>
    <x v="643"/>
    <x v="1821"/>
    <x v="2060"/>
    <x v="3"/>
    <x v="0"/>
    <x v="0"/>
    <x v="1"/>
    <x v="405"/>
    <x v="0"/>
  </r>
  <r>
    <x v="2481"/>
    <x v="2471"/>
    <x v="74"/>
    <x v="0"/>
    <x v="8"/>
    <x v="8"/>
    <x v="3"/>
    <x v="310"/>
    <x v="38"/>
    <x v="49"/>
    <x v="53"/>
    <x v="1"/>
    <x v="43"/>
    <x v="4"/>
    <x v="414"/>
    <x v="737"/>
    <x v="765"/>
    <x v="328"/>
    <x v="761"/>
    <x v="727"/>
    <x v="4"/>
    <x v="0"/>
    <x v="0"/>
    <x v="0"/>
    <x v="44"/>
    <x v="1"/>
  </r>
  <r>
    <x v="2482"/>
    <x v="2472"/>
    <x v="86"/>
    <x v="0"/>
    <x v="6"/>
    <x v="6"/>
    <x v="3"/>
    <x v="67"/>
    <x v="52"/>
    <x v="29"/>
    <x v="30"/>
    <x v="3"/>
    <x v="1175"/>
    <x v="4"/>
    <x v="1170"/>
    <x v="2075"/>
    <x v="2259"/>
    <x v="870"/>
    <x v="2240"/>
    <x v="2061"/>
    <x v="1"/>
    <x v="0"/>
    <x v="0"/>
    <x v="2"/>
    <x v="478"/>
    <x v="0"/>
  </r>
  <r>
    <x v="2483"/>
    <x v="2473"/>
    <x v="78"/>
    <x v="0"/>
    <x v="8"/>
    <x v="8"/>
    <x v="3"/>
    <x v="394"/>
    <x v="48"/>
    <x v="78"/>
    <x v="154"/>
    <x v="4"/>
    <x v="53"/>
    <x v="4"/>
    <x v="1171"/>
    <x v="2076"/>
    <x v="2260"/>
    <x v="817"/>
    <x v="2241"/>
    <x v="2062"/>
    <x v="1"/>
    <x v="0"/>
    <x v="0"/>
    <x v="0"/>
    <x v="166"/>
    <x v="1"/>
  </r>
  <r>
    <x v="2484"/>
    <x v="2474"/>
    <x v="74"/>
    <x v="0"/>
    <x v="8"/>
    <x v="8"/>
    <x v="3"/>
    <x v="418"/>
    <x v="106"/>
    <x v="74"/>
    <x v="135"/>
    <x v="6"/>
    <x v="145"/>
    <x v="0"/>
    <x v="0"/>
    <x v="1221"/>
    <x v="2261"/>
    <x v="694"/>
    <x v="2242"/>
    <x v="2063"/>
    <x v="4"/>
    <x v="0"/>
    <x v="0"/>
    <x v="0"/>
    <x v="723"/>
    <x v="1"/>
  </r>
  <r>
    <x v="2485"/>
    <x v="2475"/>
    <x v="46"/>
    <x v="0"/>
    <x v="10"/>
    <x v="10"/>
    <x v="3"/>
    <x v="460"/>
    <x v="106"/>
    <x v="109"/>
    <x v="252"/>
    <x v="5"/>
    <x v="1176"/>
    <x v="1"/>
    <x v="1172"/>
    <x v="2077"/>
    <x v="2262"/>
    <x v="543"/>
    <x v="2243"/>
    <x v="2064"/>
    <x v="3"/>
    <x v="0"/>
    <x v="0"/>
    <x v="0"/>
    <x v="628"/>
    <x v="1"/>
  </r>
  <r>
    <x v="2486"/>
    <x v="2476"/>
    <x v="174"/>
    <x v="0"/>
    <x v="4"/>
    <x v="4"/>
    <x v="2"/>
    <x v="262"/>
    <x v="52"/>
    <x v="58"/>
    <x v="122"/>
    <x v="0"/>
    <x v="59"/>
    <x v="0"/>
    <x v="0"/>
    <x v="549"/>
    <x v="2263"/>
    <x v="446"/>
    <x v="2244"/>
    <x v="59"/>
    <x v="5"/>
    <x v="0"/>
    <x v="0"/>
    <x v="0"/>
    <x v="239"/>
    <x v="1"/>
  </r>
  <r>
    <x v="2487"/>
    <x v="2477"/>
    <x v="50"/>
    <x v="0"/>
    <x v="10"/>
    <x v="10"/>
    <x v="3"/>
    <x v="299"/>
    <x v="124"/>
    <x v="40"/>
    <x v="34"/>
    <x v="6"/>
    <x v="222"/>
    <x v="0"/>
    <x v="0"/>
    <x v="1695"/>
    <x v="2264"/>
    <x v="805"/>
    <x v="2245"/>
    <x v="2065"/>
    <x v="5"/>
    <x v="0"/>
    <x v="0"/>
    <x v="0"/>
    <x v="729"/>
    <x v="1"/>
  </r>
  <r>
    <x v="2488"/>
    <x v="2478"/>
    <x v="65"/>
    <x v="0"/>
    <x v="8"/>
    <x v="8"/>
    <x v="3"/>
    <x v="278"/>
    <x v="125"/>
    <x v="0"/>
    <x v="326"/>
    <x v="1"/>
    <x v="226"/>
    <x v="0"/>
    <x v="0"/>
    <x v="208"/>
    <x v="2265"/>
    <x v="272"/>
    <x v="2246"/>
    <x v="2066"/>
    <x v="3"/>
    <x v="0"/>
    <x v="0"/>
    <x v="1"/>
    <x v="584"/>
    <x v="0"/>
  </r>
  <r>
    <x v="2489"/>
    <x v="2479"/>
    <x v="64"/>
    <x v="0"/>
    <x v="2"/>
    <x v="2"/>
    <x v="2"/>
    <x v="517"/>
    <x v="107"/>
    <x v="140"/>
    <x v="121"/>
    <x v="1"/>
    <x v="190"/>
    <x v="3"/>
    <x v="1173"/>
    <x v="2078"/>
    <x v="2266"/>
    <x v="232"/>
    <x v="2247"/>
    <x v="2067"/>
    <x v="5"/>
    <x v="0"/>
    <x v="0"/>
    <x v="0"/>
    <x v="169"/>
    <x v="1"/>
  </r>
  <r>
    <x v="2490"/>
    <x v="2480"/>
    <x v="295"/>
    <x v="0"/>
    <x v="4"/>
    <x v="4"/>
    <x v="2"/>
    <x v="418"/>
    <x v="42"/>
    <x v="38"/>
    <x v="13"/>
    <x v="1"/>
    <x v="47"/>
    <x v="3"/>
    <x v="1174"/>
    <x v="2079"/>
    <x v="2267"/>
    <x v="47"/>
    <x v="2248"/>
    <x v="400"/>
    <x v="0"/>
    <x v="0"/>
    <x v="0"/>
    <x v="0"/>
    <x v="366"/>
    <x v="0"/>
  </r>
  <r>
    <x v="2491"/>
    <x v="2481"/>
    <x v="164"/>
    <x v="0"/>
    <x v="6"/>
    <x v="6"/>
    <x v="3"/>
    <x v="348"/>
    <x v="119"/>
    <x v="9"/>
    <x v="43"/>
    <x v="1"/>
    <x v="189"/>
    <x v="2"/>
    <x v="1175"/>
    <x v="2080"/>
    <x v="2268"/>
    <x v="597"/>
    <x v="2249"/>
    <x v="2068"/>
    <x v="0"/>
    <x v="0"/>
    <x v="0"/>
    <x v="1"/>
    <x v="751"/>
    <x v="1"/>
  </r>
  <r>
    <x v="2492"/>
    <x v="2482"/>
    <x v="229"/>
    <x v="1"/>
    <x v="1"/>
    <x v="1"/>
    <x v="1"/>
    <x v="418"/>
    <x v="57"/>
    <x v="46"/>
    <x v="49"/>
    <x v="1"/>
    <x v="65"/>
    <x v="1"/>
    <x v="486"/>
    <x v="2081"/>
    <x v="2269"/>
    <x v="598"/>
    <x v="2250"/>
    <x v="2069"/>
    <x v="0"/>
    <x v="0"/>
    <x v="0"/>
    <x v="2"/>
    <x v="189"/>
    <x v="0"/>
  </r>
  <r>
    <x v="2493"/>
    <x v="2483"/>
    <x v="352"/>
    <x v="1"/>
    <x v="1"/>
    <x v="1"/>
    <x v="1"/>
    <x v="167"/>
    <x v="38"/>
    <x v="146"/>
    <x v="205"/>
    <x v="6"/>
    <x v="43"/>
    <x v="0"/>
    <x v="0"/>
    <x v="294"/>
    <x v="2270"/>
    <x v="263"/>
    <x v="2251"/>
    <x v="630"/>
    <x v="1"/>
    <x v="0"/>
    <x v="0"/>
    <x v="0"/>
    <x v="402"/>
    <x v="1"/>
  </r>
  <r>
    <x v="2494"/>
    <x v="2484"/>
    <x v="87"/>
    <x v="0"/>
    <x v="10"/>
    <x v="10"/>
    <x v="3"/>
    <x v="460"/>
    <x v="41"/>
    <x v="13"/>
    <x v="105"/>
    <x v="5"/>
    <x v="1177"/>
    <x v="3"/>
    <x v="1176"/>
    <x v="2082"/>
    <x v="2271"/>
    <x v="959"/>
    <x v="2252"/>
    <x v="2070"/>
    <x v="0"/>
    <x v="1"/>
    <x v="1"/>
    <x v="0"/>
    <x v="580"/>
    <x v="0"/>
  </r>
  <r>
    <x v="2495"/>
    <x v="2485"/>
    <x v="192"/>
    <x v="0"/>
    <x v="3"/>
    <x v="3"/>
    <x v="2"/>
    <x v="44"/>
    <x v="37"/>
    <x v="152"/>
    <x v="320"/>
    <x v="4"/>
    <x v="1178"/>
    <x v="1"/>
    <x v="1177"/>
    <x v="1854"/>
    <x v="2272"/>
    <x v="367"/>
    <x v="2253"/>
    <x v="2071"/>
    <x v="2"/>
    <x v="0"/>
    <x v="0"/>
    <x v="0"/>
    <x v="427"/>
    <x v="0"/>
  </r>
  <r>
    <x v="2496"/>
    <x v="2486"/>
    <x v="38"/>
    <x v="1"/>
    <x v="11"/>
    <x v="11"/>
    <x v="1"/>
    <x v="583"/>
    <x v="86"/>
    <x v="161"/>
    <x v="254"/>
    <x v="1"/>
    <x v="112"/>
    <x v="1"/>
    <x v="367"/>
    <x v="2083"/>
    <x v="2273"/>
    <x v="632"/>
    <x v="2254"/>
    <x v="2072"/>
    <x v="3"/>
    <x v="0"/>
    <x v="0"/>
    <x v="1"/>
    <x v="438"/>
    <x v="0"/>
  </r>
  <r>
    <x v="2497"/>
    <x v="2487"/>
    <x v="329"/>
    <x v="1"/>
    <x v="7"/>
    <x v="7"/>
    <x v="1"/>
    <x v="185"/>
    <x v="24"/>
    <x v="158"/>
    <x v="235"/>
    <x v="6"/>
    <x v="1179"/>
    <x v="3"/>
    <x v="1178"/>
    <x v="2084"/>
    <x v="2274"/>
    <x v="484"/>
    <x v="2255"/>
    <x v="2073"/>
    <x v="3"/>
    <x v="0"/>
    <x v="0"/>
    <x v="0"/>
    <x v="146"/>
    <x v="0"/>
  </r>
  <r>
    <x v="2498"/>
    <x v="2488"/>
    <x v="50"/>
    <x v="0"/>
    <x v="10"/>
    <x v="10"/>
    <x v="3"/>
    <x v="305"/>
    <x v="31"/>
    <x v="148"/>
    <x v="233"/>
    <x v="2"/>
    <x v="35"/>
    <x v="0"/>
    <x v="0"/>
    <x v="2058"/>
    <x v="2275"/>
    <x v="356"/>
    <x v="2256"/>
    <x v="2074"/>
    <x v="4"/>
    <x v="0"/>
    <x v="0"/>
    <x v="2"/>
    <x v="346"/>
    <x v="1"/>
  </r>
  <r>
    <x v="2499"/>
    <x v="2489"/>
    <x v="190"/>
    <x v="0"/>
    <x v="4"/>
    <x v="4"/>
    <x v="2"/>
    <x v="191"/>
    <x v="4"/>
    <x v="60"/>
    <x v="172"/>
    <x v="1"/>
    <x v="213"/>
    <x v="1"/>
    <x v="982"/>
    <x v="1761"/>
    <x v="2276"/>
    <x v="889"/>
    <x v="2257"/>
    <x v="2075"/>
    <x v="1"/>
    <x v="0"/>
    <x v="0"/>
    <x v="0"/>
    <x v="16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10" firstHeaderRow="1" firstDataRow="1" firstDataCol="1"/>
  <pivotFields count="27">
    <pivotField compact="0" showAll="0">
      <items count="2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919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2280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115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2132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1842"/>
        <item x="916"/>
        <item x="917"/>
        <item x="918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750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366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2331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637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1980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compact="0" showAll="0">
      <items count="24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115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749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636"/>
        <item x="1964"/>
        <item x="1965"/>
        <item x="1966"/>
        <item x="1967"/>
        <item x="1968"/>
        <item x="1969"/>
        <item x="1970"/>
        <item x="1971"/>
        <item x="1972"/>
        <item x="1973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1974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11"/>
        <item x="7"/>
        <item x="1"/>
        <item x="9"/>
        <item x="5"/>
        <item x="0"/>
        <item x="3"/>
        <item x="4"/>
        <item x="2"/>
        <item x="8"/>
        <item x="6"/>
        <item x="10"/>
        <item t="default"/>
      </items>
    </pivotField>
    <pivotField compact="0" showAll="0">
      <items count="13">
        <item x="11"/>
        <item x="7"/>
        <item x="1"/>
        <item x="9"/>
        <item x="5"/>
        <item x="0"/>
        <item x="3"/>
        <item x="4"/>
        <item x="2"/>
        <item x="8"/>
        <item x="6"/>
        <item x="1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650">
        <item x="534"/>
        <item x="437"/>
        <item x="626"/>
        <item x="220"/>
        <item x="40"/>
        <item x="505"/>
        <item x="308"/>
        <item x="541"/>
        <item x="126"/>
        <item x="138"/>
        <item x="621"/>
        <item x="101"/>
        <item x="559"/>
        <item x="619"/>
        <item x="114"/>
        <item x="457"/>
        <item x="260"/>
        <item x="293"/>
        <item x="116"/>
        <item x="31"/>
        <item x="109"/>
        <item x="230"/>
        <item x="617"/>
        <item x="159"/>
        <item x="88"/>
        <item x="245"/>
        <item x="302"/>
        <item x="208"/>
        <item x="557"/>
        <item x="487"/>
        <item x="432"/>
        <item x="253"/>
        <item x="102"/>
        <item x="376"/>
        <item x="642"/>
        <item x="484"/>
        <item x="106"/>
        <item x="9"/>
        <item x="425"/>
        <item x="613"/>
        <item x="477"/>
        <item x="196"/>
        <item x="219"/>
        <item x="136"/>
        <item x="605"/>
        <item x="269"/>
        <item x="26"/>
        <item x="201"/>
        <item x="289"/>
        <item x="288"/>
        <item x="115"/>
        <item x="305"/>
        <item x="24"/>
        <item x="21"/>
        <item x="144"/>
        <item x="95"/>
        <item x="357"/>
        <item x="132"/>
        <item x="91"/>
        <item x="433"/>
        <item x="17"/>
        <item x="598"/>
        <item x="52"/>
        <item x="250"/>
        <item x="388"/>
        <item x="554"/>
        <item x="352"/>
        <item x="552"/>
        <item x="622"/>
        <item x="65"/>
        <item x="287"/>
        <item x="430"/>
        <item x="502"/>
        <item x="342"/>
        <item x="583"/>
        <item x="209"/>
        <item x="217"/>
        <item x="400"/>
        <item x="427"/>
        <item x="447"/>
        <item x="117"/>
        <item x="548"/>
        <item x="181"/>
        <item x="364"/>
        <item x="341"/>
        <item x="441"/>
        <item x="218"/>
        <item x="624"/>
        <item x="166"/>
        <item x="157"/>
        <item x="292"/>
        <item x="565"/>
        <item x="648"/>
        <item x="358"/>
        <item x="57"/>
        <item x="167"/>
        <item x="610"/>
        <item x="446"/>
        <item x="595"/>
        <item x="414"/>
        <item x="48"/>
        <item x="551"/>
        <item x="455"/>
        <item x="556"/>
        <item x="353"/>
        <item x="187"/>
        <item x="195"/>
        <item x="227"/>
        <item x="1"/>
        <item x="407"/>
        <item x="395"/>
        <item x="620"/>
        <item x="66"/>
        <item x="108"/>
        <item x="591"/>
        <item x="476"/>
        <item x="323"/>
        <item x="345"/>
        <item x="584"/>
        <item x="79"/>
        <item x="538"/>
        <item x="514"/>
        <item x="97"/>
        <item x="374"/>
        <item x="561"/>
        <item x="222"/>
        <item x="75"/>
        <item x="594"/>
        <item x="497"/>
        <item x="254"/>
        <item x="4"/>
        <item x="173"/>
        <item x="426"/>
        <item x="53"/>
        <item x="192"/>
        <item x="524"/>
        <item x="585"/>
        <item x="486"/>
        <item x="607"/>
        <item x="450"/>
        <item x="113"/>
        <item x="380"/>
        <item x="22"/>
        <item x="8"/>
        <item x="402"/>
        <item x="203"/>
        <item x="602"/>
        <item x="515"/>
        <item x="224"/>
        <item x="549"/>
        <item x="317"/>
        <item x="601"/>
        <item x="298"/>
        <item x="368"/>
        <item x="346"/>
        <item x="519"/>
        <item x="41"/>
        <item x="270"/>
        <item x="55"/>
        <item x="417"/>
        <item x="644"/>
        <item x="158"/>
        <item x="268"/>
        <item x="347"/>
        <item x="259"/>
        <item x="495"/>
        <item x="623"/>
        <item x="68"/>
        <item x="50"/>
        <item x="49"/>
        <item x="525"/>
        <item x="242"/>
        <item x="544"/>
        <item x="100"/>
        <item x="322"/>
        <item x="397"/>
        <item x="401"/>
        <item x="211"/>
        <item x="176"/>
        <item x="528"/>
        <item x="237"/>
        <item x="14"/>
        <item x="234"/>
        <item x="543"/>
        <item x="396"/>
        <item x="354"/>
        <item x="71"/>
        <item x="272"/>
        <item x="501"/>
        <item x="179"/>
        <item x="558"/>
        <item x="249"/>
        <item x="153"/>
        <item x="442"/>
        <item x="47"/>
        <item x="74"/>
        <item x="119"/>
        <item x="643"/>
        <item x="184"/>
        <item x="284"/>
        <item x="498"/>
        <item x="35"/>
        <item x="536"/>
        <item x="377"/>
        <item x="84"/>
        <item x="264"/>
        <item x="633"/>
        <item x="45"/>
        <item x="529"/>
        <item x="386"/>
        <item x="366"/>
        <item x="328"/>
        <item x="304"/>
        <item x="207"/>
        <item x="546"/>
        <item x="371"/>
        <item x="38"/>
        <item x="127"/>
        <item x="125"/>
        <item x="587"/>
        <item x="180"/>
        <item x="334"/>
        <item x="18"/>
        <item x="564"/>
        <item x="599"/>
        <item x="403"/>
        <item x="517"/>
        <item x="246"/>
        <item x="62"/>
        <item x="542"/>
        <item x="539"/>
        <item x="560"/>
        <item x="286"/>
        <item x="597"/>
        <item x="434"/>
        <item x="168"/>
        <item x="221"/>
        <item x="162"/>
        <item x="577"/>
        <item x="130"/>
        <item x="416"/>
        <item x="373"/>
        <item x="243"/>
        <item x="412"/>
        <item x="89"/>
        <item x="392"/>
        <item x="646"/>
        <item x="568"/>
        <item x="7"/>
        <item x="611"/>
        <item x="299"/>
        <item x="133"/>
        <item x="121"/>
        <item x="628"/>
        <item x="444"/>
        <item x="464"/>
        <item x="618"/>
        <item x="151"/>
        <item x="572"/>
        <item x="78"/>
        <item x="112"/>
        <item x="472"/>
        <item x="449"/>
        <item x="161"/>
        <item x="72"/>
        <item x="329"/>
        <item x="406"/>
        <item x="163"/>
        <item x="189"/>
        <item x="105"/>
        <item x="578"/>
        <item x="569"/>
        <item x="452"/>
        <item x="460"/>
        <item x="533"/>
        <item x="504"/>
        <item x="275"/>
        <item x="188"/>
        <item x="198"/>
        <item x="467"/>
        <item x="223"/>
        <item x="491"/>
        <item x="265"/>
        <item x="399"/>
        <item x="439"/>
        <item x="635"/>
        <item x="263"/>
        <item x="135"/>
        <item x="39"/>
        <item x="409"/>
        <item x="482"/>
        <item x="537"/>
        <item x="379"/>
        <item x="390"/>
        <item x="588"/>
        <item x="394"/>
        <item x="316"/>
        <item x="456"/>
        <item x="226"/>
        <item x="555"/>
        <item x="629"/>
        <item x="451"/>
        <item x="321"/>
        <item x="178"/>
        <item x="640"/>
        <item x="367"/>
        <item x="294"/>
        <item x="326"/>
        <item x="140"/>
        <item x="438"/>
        <item x="111"/>
        <item x="612"/>
        <item x="170"/>
        <item x="175"/>
        <item x="143"/>
        <item x="469"/>
        <item x="266"/>
        <item x="424"/>
        <item x="473"/>
        <item x="411"/>
        <item x="28"/>
        <item x="104"/>
        <item x="103"/>
        <item x="461"/>
        <item x="566"/>
        <item x="262"/>
        <item x="307"/>
        <item x="431"/>
        <item x="174"/>
        <item x="440"/>
        <item x="641"/>
        <item x="369"/>
        <item x="575"/>
        <item x="632"/>
        <item x="164"/>
        <item x="30"/>
        <item x="13"/>
        <item x="348"/>
        <item x="489"/>
        <item x="480"/>
        <item x="475"/>
        <item x="86"/>
        <item x="107"/>
        <item x="360"/>
        <item x="522"/>
        <item x="193"/>
        <item x="384"/>
        <item x="177"/>
        <item x="625"/>
        <item x="355"/>
        <item x="393"/>
        <item x="82"/>
        <item x="15"/>
        <item x="479"/>
        <item x="5"/>
        <item x="630"/>
        <item x="311"/>
        <item x="647"/>
        <item x="60"/>
        <item x="468"/>
        <item x="453"/>
        <item x="37"/>
        <item x="257"/>
        <item x="92"/>
        <item x="251"/>
        <item x="20"/>
        <item x="496"/>
        <item x="421"/>
        <item x="520"/>
        <item x="98"/>
        <item x="235"/>
        <item x="513"/>
        <item x="99"/>
        <item x="155"/>
        <item x="573"/>
        <item x="518"/>
        <item x="389"/>
        <item x="350"/>
        <item x="214"/>
        <item x="309"/>
        <item x="70"/>
        <item x="185"/>
        <item x="128"/>
        <item x="530"/>
        <item x="110"/>
        <item x="562"/>
        <item x="87"/>
        <item x="521"/>
        <item x="271"/>
        <item x="303"/>
        <item x="378"/>
        <item x="567"/>
        <item x="213"/>
        <item x="503"/>
        <item x="553"/>
        <item x="493"/>
        <item x="276"/>
        <item x="523"/>
        <item x="255"/>
        <item x="391"/>
        <item x="240"/>
        <item x="2"/>
        <item x="429"/>
        <item x="500"/>
        <item x="571"/>
        <item x="186"/>
        <item x="215"/>
        <item x="337"/>
        <item x="46"/>
        <item x="194"/>
        <item x="6"/>
        <item x="458"/>
        <item x="372"/>
        <item x="81"/>
        <item x="279"/>
        <item x="335"/>
        <item x="142"/>
        <item x="290"/>
        <item x="205"/>
        <item x="463"/>
        <item x="258"/>
        <item x="535"/>
        <item x="206"/>
        <item x="285"/>
        <item x="51"/>
        <item x="408"/>
        <item x="32"/>
        <item x="507"/>
        <item x="210"/>
        <item x="63"/>
        <item x="229"/>
        <item x="581"/>
        <item x="462"/>
        <item x="69"/>
        <item x="361"/>
        <item x="67"/>
        <item x="274"/>
        <item x="330"/>
        <item x="313"/>
        <item x="59"/>
        <item x="483"/>
        <item x="510"/>
        <item x="419"/>
        <item x="169"/>
        <item x="191"/>
        <item x="428"/>
        <item x="574"/>
        <item x="420"/>
        <item x="231"/>
        <item x="579"/>
        <item x="614"/>
        <item x="54"/>
        <item x="182"/>
        <item x="550"/>
        <item x="12"/>
        <item x="247"/>
        <item x="351"/>
        <item x="56"/>
        <item x="295"/>
        <item x="80"/>
        <item x="83"/>
        <item x="145"/>
        <item x="527"/>
        <item x="43"/>
        <item x="160"/>
        <item x="23"/>
        <item x="310"/>
        <item x="608"/>
        <item x="492"/>
        <item x="466"/>
        <item x="435"/>
        <item x="600"/>
        <item x="340"/>
        <item x="338"/>
        <item x="314"/>
        <item x="233"/>
        <item x="256"/>
        <item x="148"/>
        <item x="315"/>
        <item x="382"/>
        <item x="27"/>
        <item x="200"/>
        <item x="0"/>
        <item x="318"/>
        <item x="547"/>
        <item x="324"/>
        <item x="241"/>
        <item x="508"/>
        <item x="422"/>
        <item x="532"/>
        <item x="282"/>
        <item x="183"/>
        <item x="385"/>
        <item x="615"/>
        <item x="506"/>
        <item x="415"/>
        <item x="123"/>
        <item x="129"/>
        <item x="34"/>
        <item x="604"/>
        <item x="488"/>
        <item x="29"/>
        <item x="131"/>
        <item x="526"/>
        <item x="375"/>
        <item x="580"/>
        <item x="465"/>
        <item x="90"/>
        <item x="634"/>
        <item x="470"/>
        <item x="225"/>
        <item x="301"/>
        <item x="589"/>
        <item x="344"/>
        <item x="362"/>
        <item x="332"/>
        <item x="582"/>
        <item x="471"/>
        <item x="627"/>
        <item x="485"/>
        <item x="454"/>
        <item x="563"/>
        <item x="73"/>
        <item x="94"/>
        <item x="333"/>
        <item x="171"/>
        <item x="232"/>
        <item x="36"/>
        <item x="120"/>
        <item x="11"/>
        <item x="197"/>
        <item x="154"/>
        <item x="146"/>
        <item x="204"/>
        <item x="190"/>
        <item x="248"/>
        <item x="593"/>
        <item x="516"/>
        <item x="436"/>
        <item x="509"/>
        <item x="281"/>
        <item x="413"/>
        <item x="590"/>
        <item x="19"/>
        <item x="423"/>
        <item x="199"/>
        <item x="283"/>
        <item x="639"/>
        <item x="96"/>
        <item x="278"/>
        <item x="152"/>
        <item x="586"/>
        <item x="531"/>
        <item x="202"/>
        <item x="325"/>
        <item x="381"/>
        <item x="481"/>
        <item x="252"/>
        <item x="156"/>
        <item x="645"/>
        <item x="592"/>
        <item x="443"/>
        <item x="306"/>
        <item x="25"/>
        <item x="336"/>
        <item x="85"/>
        <item x="137"/>
        <item x="404"/>
        <item x="418"/>
        <item x="312"/>
        <item x="172"/>
        <item x="512"/>
        <item x="118"/>
        <item x="277"/>
        <item x="280"/>
        <item x="631"/>
        <item x="343"/>
        <item x="387"/>
        <item x="596"/>
        <item x="448"/>
        <item x="410"/>
        <item x="139"/>
        <item x="370"/>
        <item x="16"/>
        <item x="61"/>
        <item x="339"/>
        <item x="64"/>
        <item x="239"/>
        <item x="124"/>
        <item x="545"/>
        <item x="398"/>
        <item x="33"/>
        <item x="212"/>
        <item x="319"/>
        <item x="606"/>
        <item x="147"/>
        <item x="511"/>
        <item x="76"/>
        <item x="638"/>
        <item x="494"/>
        <item x="576"/>
        <item x="616"/>
        <item x="58"/>
        <item x="77"/>
        <item x="122"/>
        <item x="637"/>
        <item x="149"/>
        <item x="216"/>
        <item x="244"/>
        <item x="383"/>
        <item x="261"/>
        <item x="570"/>
        <item x="490"/>
        <item x="42"/>
        <item x="297"/>
        <item x="228"/>
        <item x="540"/>
        <item x="236"/>
        <item x="141"/>
        <item x="296"/>
        <item x="327"/>
        <item x="459"/>
        <item x="273"/>
        <item x="474"/>
        <item x="478"/>
        <item x="44"/>
        <item x="359"/>
        <item x="609"/>
        <item x="300"/>
        <item x="3"/>
        <item x="499"/>
        <item x="320"/>
        <item x="291"/>
        <item x="93"/>
        <item x="331"/>
        <item x="165"/>
        <item x="603"/>
        <item x="238"/>
        <item x="405"/>
        <item x="134"/>
        <item x="150"/>
        <item x="445"/>
        <item x="267"/>
        <item x="356"/>
        <item x="349"/>
        <item x="363"/>
        <item x="365"/>
        <item x="636"/>
        <item x="10"/>
        <item t="default"/>
      </items>
    </pivotField>
    <pivotField compact="0" showAll="0">
      <items count="152">
        <item x="58"/>
        <item x="57"/>
        <item x="65"/>
        <item x="3"/>
        <item x="28"/>
        <item x="42"/>
        <item x="18"/>
        <item x="43"/>
        <item x="93"/>
        <item x="122"/>
        <item x="94"/>
        <item x="31"/>
        <item x="89"/>
        <item x="11"/>
        <item x="51"/>
        <item x="12"/>
        <item x="109"/>
        <item x="66"/>
        <item x="1"/>
        <item x="56"/>
        <item x="9"/>
        <item x="15"/>
        <item x="134"/>
        <item x="4"/>
        <item x="35"/>
        <item x="44"/>
        <item x="78"/>
        <item x="52"/>
        <item x="19"/>
        <item x="6"/>
        <item x="5"/>
        <item x="14"/>
        <item x="24"/>
        <item x="38"/>
        <item x="68"/>
        <item x="147"/>
        <item x="47"/>
        <item x="112"/>
        <item x="139"/>
        <item x="95"/>
        <item x="97"/>
        <item x="146"/>
        <item x="136"/>
        <item x="125"/>
        <item x="141"/>
        <item x="144"/>
        <item x="88"/>
        <item x="119"/>
        <item x="30"/>
        <item x="37"/>
        <item x="27"/>
        <item x="76"/>
        <item x="105"/>
        <item x="102"/>
        <item x="71"/>
        <item x="111"/>
        <item x="127"/>
        <item x="80"/>
        <item x="41"/>
        <item x="145"/>
        <item x="29"/>
        <item x="49"/>
        <item x="39"/>
        <item x="73"/>
        <item x="114"/>
        <item x="75"/>
        <item x="48"/>
        <item x="131"/>
        <item x="118"/>
        <item x="132"/>
        <item x="53"/>
        <item x="98"/>
        <item x="140"/>
        <item x="150"/>
        <item x="115"/>
        <item x="62"/>
        <item x="99"/>
        <item x="113"/>
        <item x="8"/>
        <item x="103"/>
        <item x="126"/>
        <item x="106"/>
        <item x="107"/>
        <item x="74"/>
        <item x="54"/>
        <item x="81"/>
        <item x="64"/>
        <item x="70"/>
        <item x="61"/>
        <item x="108"/>
        <item x="91"/>
        <item x="84"/>
        <item x="59"/>
        <item x="101"/>
        <item x="79"/>
        <item x="26"/>
        <item x="63"/>
        <item x="55"/>
        <item x="67"/>
        <item x="60"/>
        <item x="87"/>
        <item x="46"/>
        <item x="23"/>
        <item x="21"/>
        <item x="7"/>
        <item x="92"/>
        <item x="116"/>
        <item x="20"/>
        <item x="86"/>
        <item x="69"/>
        <item x="22"/>
        <item x="72"/>
        <item x="123"/>
        <item x="120"/>
        <item x="85"/>
        <item x="143"/>
        <item x="135"/>
        <item x="36"/>
        <item x="2"/>
        <item x="121"/>
        <item x="33"/>
        <item x="129"/>
        <item x="128"/>
        <item x="25"/>
        <item x="34"/>
        <item x="117"/>
        <item x="83"/>
        <item x="13"/>
        <item x="124"/>
        <item x="148"/>
        <item x="17"/>
        <item x="110"/>
        <item x="32"/>
        <item x="50"/>
        <item x="16"/>
        <item x="82"/>
        <item x="96"/>
        <item x="0"/>
        <item x="142"/>
        <item x="138"/>
        <item x="77"/>
        <item x="10"/>
        <item x="40"/>
        <item x="133"/>
        <item x="149"/>
        <item x="130"/>
        <item x="45"/>
        <item x="137"/>
        <item x="100"/>
        <item x="104"/>
        <item x="90"/>
        <item t="default"/>
      </items>
    </pivotField>
    <pivotField compact="0" showAll="0">
      <items count="180">
        <item x="23"/>
        <item x="95"/>
        <item x="48"/>
        <item x="63"/>
        <item x="14"/>
        <item x="47"/>
        <item x="99"/>
        <item x="2"/>
        <item x="150"/>
        <item x="83"/>
        <item x="119"/>
        <item x="56"/>
        <item x="61"/>
        <item x="80"/>
        <item x="31"/>
        <item x="78"/>
        <item x="28"/>
        <item x="72"/>
        <item x="7"/>
        <item x="21"/>
        <item x="107"/>
        <item x="34"/>
        <item x="114"/>
        <item x="81"/>
        <item x="5"/>
        <item x="36"/>
        <item x="18"/>
        <item x="115"/>
        <item x="113"/>
        <item x="73"/>
        <item x="58"/>
        <item x="33"/>
        <item x="52"/>
        <item x="32"/>
        <item x="41"/>
        <item x="144"/>
        <item x="74"/>
        <item x="100"/>
        <item x="42"/>
        <item x="122"/>
        <item x="128"/>
        <item x="12"/>
        <item x="26"/>
        <item x="39"/>
        <item x="59"/>
        <item x="124"/>
        <item x="50"/>
        <item x="54"/>
        <item x="20"/>
        <item x="40"/>
        <item x="0"/>
        <item x="106"/>
        <item x="19"/>
        <item x="158"/>
        <item x="112"/>
        <item x="137"/>
        <item x="141"/>
        <item x="133"/>
        <item x="6"/>
        <item x="13"/>
        <item x="146"/>
        <item x="8"/>
        <item x="159"/>
        <item x="108"/>
        <item x="142"/>
        <item x="123"/>
        <item x="45"/>
        <item x="43"/>
        <item x="90"/>
        <item x="9"/>
        <item x="30"/>
        <item x="98"/>
        <item x="102"/>
        <item x="16"/>
        <item x="57"/>
        <item x="29"/>
        <item x="136"/>
        <item x="66"/>
        <item x="130"/>
        <item x="84"/>
        <item x="1"/>
        <item x="161"/>
        <item x="10"/>
        <item x="82"/>
        <item x="25"/>
        <item x="35"/>
        <item x="27"/>
        <item x="49"/>
        <item x="140"/>
        <item x="15"/>
        <item x="46"/>
        <item x="175"/>
        <item x="152"/>
        <item x="103"/>
        <item x="116"/>
        <item x="75"/>
        <item x="87"/>
        <item x="68"/>
        <item x="3"/>
        <item x="76"/>
        <item x="138"/>
        <item x="129"/>
        <item x="24"/>
        <item x="143"/>
        <item x="88"/>
        <item x="127"/>
        <item x="96"/>
        <item x="94"/>
        <item x="89"/>
        <item x="139"/>
        <item x="151"/>
        <item x="110"/>
        <item x="17"/>
        <item x="154"/>
        <item x="174"/>
        <item x="153"/>
        <item x="93"/>
        <item x="71"/>
        <item x="70"/>
        <item x="118"/>
        <item x="37"/>
        <item x="86"/>
        <item x="38"/>
        <item x="104"/>
        <item x="149"/>
        <item x="4"/>
        <item x="167"/>
        <item x="165"/>
        <item x="60"/>
        <item x="65"/>
        <item x="79"/>
        <item x="148"/>
        <item x="105"/>
        <item x="132"/>
        <item x="51"/>
        <item x="172"/>
        <item x="55"/>
        <item x="62"/>
        <item x="91"/>
        <item x="53"/>
        <item x="170"/>
        <item x="92"/>
        <item x="44"/>
        <item x="69"/>
        <item x="169"/>
        <item x="145"/>
        <item x="117"/>
        <item x="166"/>
        <item x="134"/>
        <item x="121"/>
        <item x="160"/>
        <item x="162"/>
        <item x="126"/>
        <item x="64"/>
        <item x="176"/>
        <item x="131"/>
        <item x="11"/>
        <item x="111"/>
        <item x="77"/>
        <item x="163"/>
        <item x="85"/>
        <item x="125"/>
        <item x="155"/>
        <item x="97"/>
        <item x="101"/>
        <item x="177"/>
        <item x="178"/>
        <item x="168"/>
        <item x="120"/>
        <item x="135"/>
        <item x="22"/>
        <item x="147"/>
        <item x="67"/>
        <item x="164"/>
        <item x="171"/>
        <item x="156"/>
        <item x="157"/>
        <item x="109"/>
        <item x="173"/>
        <item t="default"/>
      </items>
    </pivotField>
    <pivotField compact="0" showAll="0">
      <items count="346">
        <item x="204"/>
        <item x="203"/>
        <item x="332"/>
        <item x="259"/>
        <item x="95"/>
        <item x="206"/>
        <item x="19"/>
        <item x="320"/>
        <item x="220"/>
        <item x="188"/>
        <item x="192"/>
        <item x="107"/>
        <item x="131"/>
        <item x="317"/>
        <item x="6"/>
        <item x="90"/>
        <item x="20"/>
        <item x="242"/>
        <item x="22"/>
        <item x="298"/>
        <item x="177"/>
        <item x="213"/>
        <item x="183"/>
        <item x="57"/>
        <item x="307"/>
        <item x="209"/>
        <item x="324"/>
        <item x="158"/>
        <item x="21"/>
        <item x="30"/>
        <item x="160"/>
        <item x="101"/>
        <item x="62"/>
        <item x="170"/>
        <item x="291"/>
        <item x="86"/>
        <item x="308"/>
        <item x="165"/>
        <item x="329"/>
        <item x="214"/>
        <item x="232"/>
        <item x="68"/>
        <item x="76"/>
        <item x="297"/>
        <item x="295"/>
        <item x="69"/>
        <item x="47"/>
        <item x="23"/>
        <item x="230"/>
        <item x="92"/>
        <item x="290"/>
        <item x="137"/>
        <item x="118"/>
        <item x="334"/>
        <item x="338"/>
        <item x="267"/>
        <item x="65"/>
        <item x="253"/>
        <item x="34"/>
        <item x="88"/>
        <item x="45"/>
        <item x="82"/>
        <item x="212"/>
        <item x="274"/>
        <item x="315"/>
        <item x="172"/>
        <item x="24"/>
        <item x="141"/>
        <item x="140"/>
        <item x="56"/>
        <item x="271"/>
        <item x="236"/>
        <item x="91"/>
        <item x="254"/>
        <item x="251"/>
        <item x="233"/>
        <item x="74"/>
        <item x="127"/>
        <item x="187"/>
        <item x="262"/>
        <item x="333"/>
        <item x="304"/>
        <item x="145"/>
        <item x="215"/>
        <item x="323"/>
        <item x="169"/>
        <item x="162"/>
        <item x="148"/>
        <item x="200"/>
        <item x="284"/>
        <item x="261"/>
        <item x="29"/>
        <item x="135"/>
        <item x="202"/>
        <item x="104"/>
        <item x="167"/>
        <item x="294"/>
        <item x="63"/>
        <item x="208"/>
        <item x="322"/>
        <item x="293"/>
        <item x="344"/>
        <item x="235"/>
        <item x="53"/>
        <item x="97"/>
        <item x="11"/>
        <item x="55"/>
        <item x="193"/>
        <item x="81"/>
        <item x="180"/>
        <item x="263"/>
        <item x="289"/>
        <item x="123"/>
        <item x="1"/>
        <item x="155"/>
        <item x="318"/>
        <item x="282"/>
        <item x="231"/>
        <item x="288"/>
        <item x="115"/>
        <item x="49"/>
        <item x="247"/>
        <item x="31"/>
        <item x="60"/>
        <item x="303"/>
        <item x="14"/>
        <item x="269"/>
        <item x="98"/>
        <item x="154"/>
        <item x="151"/>
        <item x="100"/>
        <item x="35"/>
        <item x="228"/>
        <item x="222"/>
        <item x="336"/>
        <item x="321"/>
        <item x="130"/>
        <item x="270"/>
        <item x="305"/>
        <item x="61"/>
        <item x="18"/>
        <item x="244"/>
        <item x="110"/>
        <item x="89"/>
        <item x="276"/>
        <item x="50"/>
        <item x="335"/>
        <item x="197"/>
        <item x="93"/>
        <item x="126"/>
        <item x="122"/>
        <item x="96"/>
        <item x="102"/>
        <item x="326"/>
        <item x="186"/>
        <item x="44"/>
        <item x="281"/>
        <item x="268"/>
        <item x="79"/>
        <item x="87"/>
        <item x="73"/>
        <item x="40"/>
        <item x="164"/>
        <item x="139"/>
        <item x="27"/>
        <item x="195"/>
        <item x="77"/>
        <item x="243"/>
        <item x="120"/>
        <item x="286"/>
        <item x="277"/>
        <item x="64"/>
        <item x="71"/>
        <item x="340"/>
        <item x="129"/>
        <item x="223"/>
        <item x="210"/>
        <item x="117"/>
        <item x="114"/>
        <item x="179"/>
        <item x="25"/>
        <item x="184"/>
        <item x="119"/>
        <item x="182"/>
        <item x="108"/>
        <item x="339"/>
        <item x="9"/>
        <item x="54"/>
        <item x="72"/>
        <item x="196"/>
        <item x="199"/>
        <item x="217"/>
        <item x="252"/>
        <item x="257"/>
        <item x="342"/>
        <item x="94"/>
        <item x="144"/>
        <item x="216"/>
        <item x="109"/>
        <item x="237"/>
        <item x="311"/>
        <item x="112"/>
        <item x="153"/>
        <item x="224"/>
        <item x="229"/>
        <item x="42"/>
        <item x="121"/>
        <item x="43"/>
        <item x="240"/>
        <item x="70"/>
        <item x="58"/>
        <item x="84"/>
        <item x="343"/>
        <item x="234"/>
        <item x="66"/>
        <item x="225"/>
        <item x="194"/>
        <item x="181"/>
        <item x="238"/>
        <item x="36"/>
        <item x="113"/>
        <item x="218"/>
        <item x="4"/>
        <item x="99"/>
        <item x="134"/>
        <item x="28"/>
        <item x="156"/>
        <item x="171"/>
        <item x="132"/>
        <item x="48"/>
        <item x="330"/>
        <item x="146"/>
        <item x="275"/>
        <item x="314"/>
        <item x="313"/>
        <item x="41"/>
        <item x="310"/>
        <item x="279"/>
        <item x="67"/>
        <item x="299"/>
        <item x="52"/>
        <item x="207"/>
        <item x="161"/>
        <item x="46"/>
        <item x="2"/>
        <item x="150"/>
        <item x="173"/>
        <item x="241"/>
        <item x="37"/>
        <item x="111"/>
        <item x="125"/>
        <item x="78"/>
        <item x="285"/>
        <item x="211"/>
        <item x="221"/>
        <item x="273"/>
        <item x="12"/>
        <item x="38"/>
        <item x="26"/>
        <item x="266"/>
        <item x="51"/>
        <item x="260"/>
        <item x="248"/>
        <item x="152"/>
        <item x="287"/>
        <item x="128"/>
        <item x="301"/>
        <item x="185"/>
        <item x="7"/>
        <item x="341"/>
        <item x="226"/>
        <item x="17"/>
        <item x="159"/>
        <item x="33"/>
        <item x="205"/>
        <item x="15"/>
        <item x="5"/>
        <item x="283"/>
        <item x="176"/>
        <item x="32"/>
        <item x="175"/>
        <item x="246"/>
        <item x="103"/>
        <item x="10"/>
        <item x="124"/>
        <item x="328"/>
        <item x="249"/>
        <item x="163"/>
        <item x="309"/>
        <item x="13"/>
        <item x="75"/>
        <item x="142"/>
        <item x="245"/>
        <item x="191"/>
        <item x="116"/>
        <item x="16"/>
        <item x="147"/>
        <item x="302"/>
        <item x="227"/>
        <item x="296"/>
        <item x="168"/>
        <item x="198"/>
        <item x="85"/>
        <item x="280"/>
        <item x="83"/>
        <item x="59"/>
        <item x="143"/>
        <item x="105"/>
        <item x="189"/>
        <item x="258"/>
        <item x="312"/>
        <item x="201"/>
        <item x="149"/>
        <item x="178"/>
        <item x="264"/>
        <item x="256"/>
        <item x="106"/>
        <item x="3"/>
        <item x="278"/>
        <item x="331"/>
        <item x="319"/>
        <item x="272"/>
        <item x="306"/>
        <item x="239"/>
        <item x="190"/>
        <item x="325"/>
        <item x="0"/>
        <item x="316"/>
        <item x="337"/>
        <item x="138"/>
        <item x="265"/>
        <item x="300"/>
        <item x="136"/>
        <item x="174"/>
        <item x="157"/>
        <item x="327"/>
        <item x="166"/>
        <item x="80"/>
        <item x="292"/>
        <item x="133"/>
        <item x="219"/>
        <item x="250"/>
        <item x="39"/>
        <item x="8"/>
        <item x="255"/>
        <item t="default"/>
      </items>
    </pivotField>
    <pivotField compact="0" showAll="0">
      <items count="10">
        <item x="8"/>
        <item x="0"/>
        <item x="1"/>
        <item x="6"/>
        <item x="2"/>
        <item x="4"/>
        <item x="7"/>
        <item x="5"/>
        <item x="3"/>
        <item t="default"/>
      </items>
    </pivotField>
    <pivotField compact="0" showAll="0">
      <items count="1181">
        <item x="171"/>
        <item x="56"/>
        <item x="169"/>
        <item x="620"/>
        <item x="1170"/>
        <item x="626"/>
        <item x="1050"/>
        <item x="937"/>
        <item x="176"/>
        <item x="9"/>
        <item x="668"/>
        <item x="306"/>
        <item x="332"/>
        <item x="225"/>
        <item x="305"/>
        <item x="96"/>
        <item x="821"/>
        <item x="379"/>
        <item x="1095"/>
        <item x="99"/>
        <item x="777"/>
        <item x="42"/>
        <item x="781"/>
        <item x="216"/>
        <item x="1178"/>
        <item x="60"/>
        <item x="1023"/>
        <item x="1051"/>
        <item x="538"/>
        <item x="227"/>
        <item x="830"/>
        <item x="730"/>
        <item x="285"/>
        <item x="526"/>
        <item x="1094"/>
        <item x="354"/>
        <item x="328"/>
        <item x="476"/>
        <item x="280"/>
        <item x="201"/>
        <item x="804"/>
        <item x="12"/>
        <item x="1146"/>
        <item x="566"/>
        <item x="784"/>
        <item x="724"/>
        <item x="239"/>
        <item x="1149"/>
        <item x="685"/>
        <item x="639"/>
        <item x="792"/>
        <item x="769"/>
        <item x="359"/>
        <item x="270"/>
        <item x="293"/>
        <item x="1112"/>
        <item x="502"/>
        <item x="138"/>
        <item x="370"/>
        <item x="25"/>
        <item x="428"/>
        <item x="449"/>
        <item x="887"/>
        <item x="440"/>
        <item x="1033"/>
        <item x="74"/>
        <item x="504"/>
        <item x="266"/>
        <item x="1116"/>
        <item x="729"/>
        <item x="480"/>
        <item x="260"/>
        <item x="273"/>
        <item x="283"/>
        <item x="558"/>
        <item x="692"/>
        <item x="727"/>
        <item x="836"/>
        <item x="347"/>
        <item x="258"/>
        <item x="44"/>
        <item x="50"/>
        <item x="933"/>
        <item x="562"/>
        <item x="761"/>
        <item x="384"/>
        <item x="371"/>
        <item x="499"/>
        <item x="817"/>
        <item x="889"/>
        <item x="358"/>
        <item x="1041"/>
        <item x="1001"/>
        <item x="1164"/>
        <item x="36"/>
        <item x="490"/>
        <item x="168"/>
        <item x="890"/>
        <item x="757"/>
        <item x="915"/>
        <item x="1064"/>
        <item x="1066"/>
        <item x="1155"/>
        <item x="625"/>
        <item x="362"/>
        <item x="1089"/>
        <item x="63"/>
        <item x="93"/>
        <item x="101"/>
        <item x="472"/>
        <item x="1074"/>
        <item x="819"/>
        <item x="137"/>
        <item x="631"/>
        <item x="135"/>
        <item x="366"/>
        <item x="688"/>
        <item x="595"/>
        <item x="535"/>
        <item x="131"/>
        <item x="1081"/>
        <item x="464"/>
        <item x="191"/>
        <item x="234"/>
        <item x="381"/>
        <item x="453"/>
        <item x="376"/>
        <item x="955"/>
        <item x="1037"/>
        <item x="17"/>
        <item x="1043"/>
        <item x="544"/>
        <item x="798"/>
        <item x="528"/>
        <item x="551"/>
        <item x="233"/>
        <item x="67"/>
        <item x="604"/>
        <item x="683"/>
        <item x="64"/>
        <item x="984"/>
        <item x="979"/>
        <item x="456"/>
        <item x="249"/>
        <item x="299"/>
        <item x="854"/>
        <item x="1167"/>
        <item x="389"/>
        <item x="530"/>
        <item x="179"/>
        <item x="443"/>
        <item x="140"/>
        <item x="968"/>
        <item x="1120"/>
        <item x="1157"/>
        <item x="796"/>
        <item x="261"/>
        <item x="360"/>
        <item x="317"/>
        <item x="271"/>
        <item x="196"/>
        <item x="653"/>
        <item x="670"/>
        <item x="567"/>
        <item x="926"/>
        <item x="246"/>
        <item x="866"/>
        <item x="788"/>
        <item x="1047"/>
        <item x="1015"/>
        <item x="660"/>
        <item x="416"/>
        <item x="287"/>
        <item x="873"/>
        <item x="1073"/>
        <item x="1161"/>
        <item x="330"/>
        <item x="744"/>
        <item x="28"/>
        <item x="1141"/>
        <item x="107"/>
        <item x="580"/>
        <item x="1021"/>
        <item x="997"/>
        <item x="753"/>
        <item x="86"/>
        <item x="43"/>
        <item x="130"/>
        <item x="356"/>
        <item x="247"/>
        <item x="935"/>
        <item x="859"/>
        <item x="978"/>
        <item x="876"/>
        <item x="638"/>
        <item x="1013"/>
        <item x="88"/>
        <item x="1060"/>
        <item x="158"/>
        <item x="835"/>
        <item x="845"/>
        <item x="897"/>
        <item x="7"/>
        <item x="255"/>
        <item x="238"/>
        <item x="1126"/>
        <item x="442"/>
        <item x="1010"/>
        <item x="448"/>
        <item x="245"/>
        <item x="870"/>
        <item x="240"/>
        <item x="1014"/>
        <item x="494"/>
        <item x="719"/>
        <item x="768"/>
        <item x="780"/>
        <item x="236"/>
        <item x="211"/>
        <item x="547"/>
        <item x="868"/>
        <item x="925"/>
        <item x="710"/>
        <item x="423"/>
        <item x="714"/>
        <item x="1025"/>
        <item x="1168"/>
        <item x="144"/>
        <item x="14"/>
        <item x="402"/>
        <item x="906"/>
        <item x="942"/>
        <item x="175"/>
        <item x="901"/>
        <item x="94"/>
        <item x="1036"/>
        <item x="536"/>
        <item x="785"/>
        <item x="546"/>
        <item x="723"/>
        <item x="801"/>
        <item x="337"/>
        <item x="157"/>
        <item x="189"/>
        <item x="31"/>
        <item x="675"/>
        <item x="764"/>
        <item x="503"/>
        <item x="912"/>
        <item x="197"/>
        <item x="459"/>
        <item x="417"/>
        <item x="199"/>
        <item x="492"/>
        <item x="1150"/>
        <item x="970"/>
        <item x="940"/>
        <item x="563"/>
        <item x="363"/>
        <item x="820"/>
        <item x="97"/>
        <item x="554"/>
        <item x="41"/>
        <item x="736"/>
        <item x="1077"/>
        <item x="811"/>
        <item x="765"/>
        <item x="684"/>
        <item x="162"/>
        <item x="877"/>
        <item x="605"/>
        <item x="772"/>
        <item x="993"/>
        <item x="112"/>
        <item x="658"/>
        <item x="523"/>
        <item x="549"/>
        <item x="815"/>
        <item x="674"/>
        <item x="995"/>
        <item x="458"/>
        <item x="1104"/>
        <item x="611"/>
        <item x="902"/>
        <item x="118"/>
        <item x="908"/>
        <item x="725"/>
        <item x="973"/>
        <item x="125"/>
        <item x="965"/>
        <item x="313"/>
        <item x="1075"/>
        <item x="1148"/>
        <item x="114"/>
        <item x="682"/>
        <item x="662"/>
        <item x="667"/>
        <item x="704"/>
        <item x="475"/>
        <item x="841"/>
        <item x="349"/>
        <item x="434"/>
        <item x="1067"/>
        <item x="590"/>
        <item x="326"/>
        <item x="716"/>
        <item x="742"/>
        <item x="959"/>
        <item x="244"/>
        <item x="383"/>
        <item x="879"/>
        <item x="754"/>
        <item x="883"/>
        <item x="800"/>
        <item x="132"/>
        <item x="6"/>
        <item x="352"/>
        <item x="576"/>
        <item x="739"/>
        <item x="425"/>
        <item x="1071"/>
        <item x="568"/>
        <item x="938"/>
        <item x="265"/>
        <item x="813"/>
        <item x="155"/>
        <item x="205"/>
        <item x="203"/>
        <item x="542"/>
        <item x="321"/>
        <item x="634"/>
        <item x="341"/>
        <item x="640"/>
        <item x="123"/>
        <item x="994"/>
        <item x="550"/>
        <item x="429"/>
        <item x="758"/>
        <item x="53"/>
        <item x="399"/>
        <item x="617"/>
        <item x="78"/>
        <item x="221"/>
        <item x="462"/>
        <item x="195"/>
        <item x="694"/>
        <item x="1119"/>
        <item x="941"/>
        <item x="606"/>
        <item x="1069"/>
        <item x="437"/>
        <item x="243"/>
        <item x="22"/>
        <item x="975"/>
        <item x="613"/>
        <item x="929"/>
        <item x="632"/>
        <item x="947"/>
        <item x="961"/>
        <item x="657"/>
        <item x="589"/>
        <item x="297"/>
        <item x="953"/>
        <item x="996"/>
        <item x="891"/>
        <item x="248"/>
        <item x="1061"/>
        <item x="1117"/>
        <item x="29"/>
        <item x="852"/>
        <item x="574"/>
        <item x="572"/>
        <item x="185"/>
        <item x="895"/>
        <item x="843"/>
        <item x="70"/>
        <item x="644"/>
        <item x="1011"/>
        <item x="560"/>
        <item x="1166"/>
        <item x="487"/>
        <item x="202"/>
        <item x="143"/>
        <item x="905"/>
        <item x="27"/>
        <item x="127"/>
        <item x="1005"/>
        <item x="219"/>
        <item x="648"/>
        <item x="1079"/>
        <item x="954"/>
        <item x="454"/>
        <item x="104"/>
        <item x="281"/>
        <item x="160"/>
        <item x="302"/>
        <item x="1028"/>
        <item x="109"/>
        <item x="832"/>
        <item x="151"/>
        <item x="23"/>
        <item x="529"/>
        <item x="91"/>
        <item x="848"/>
        <item x="774"/>
        <item x="121"/>
        <item x="259"/>
        <item x="1118"/>
        <item x="750"/>
        <item x="982"/>
        <item x="226"/>
        <item x="329"/>
        <item x="45"/>
        <item x="903"/>
        <item x="276"/>
        <item x="1110"/>
        <item x="1090"/>
        <item x="80"/>
        <item x="623"/>
        <item x="145"/>
        <item x="575"/>
        <item x="467"/>
        <item x="663"/>
        <item x="278"/>
        <item x="1142"/>
        <item x="1052"/>
        <item x="1139"/>
        <item x="2"/>
        <item x="26"/>
        <item x="1176"/>
        <item x="39"/>
        <item x="212"/>
        <item x="422"/>
        <item x="608"/>
        <item x="184"/>
        <item x="1153"/>
        <item x="888"/>
        <item x="601"/>
        <item x="916"/>
        <item x="1154"/>
        <item x="353"/>
        <item x="849"/>
        <item x="537"/>
        <item x="986"/>
        <item x="519"/>
        <item x="397"/>
        <item x="311"/>
        <item x="884"/>
        <item x="1109"/>
        <item x="770"/>
        <item x="737"/>
        <item x="863"/>
        <item x="404"/>
        <item x="333"/>
        <item x="885"/>
        <item x="436"/>
        <item x="732"/>
        <item x="38"/>
        <item x="322"/>
        <item x="939"/>
        <item x="949"/>
        <item x="52"/>
        <item x="1058"/>
        <item x="778"/>
        <item x="506"/>
        <item x="594"/>
        <item x="850"/>
        <item x="702"/>
        <item x="367"/>
        <item x="223"/>
        <item x="673"/>
        <item x="936"/>
        <item x="336"/>
        <item x="1179"/>
        <item x="1072"/>
        <item x="116"/>
        <item x="921"/>
        <item x="497"/>
        <item x="452"/>
        <item x="1133"/>
        <item x="13"/>
        <item x="985"/>
        <item x="708"/>
        <item x="865"/>
        <item x="989"/>
        <item x="451"/>
        <item x="468"/>
        <item x="700"/>
        <item x="482"/>
        <item x="553"/>
        <item x="1046"/>
        <item x="427"/>
        <item x="733"/>
        <item x="802"/>
        <item x="207"/>
        <item x="1159"/>
        <item x="1134"/>
        <item x="421"/>
        <item x="8"/>
        <item x="166"/>
        <item x="928"/>
        <item x="119"/>
        <item x="1004"/>
        <item x="931"/>
        <item x="822"/>
        <item x="218"/>
        <item x="1054"/>
        <item x="1084"/>
        <item x="878"/>
        <item x="899"/>
        <item x="1111"/>
        <item x="740"/>
        <item x="286"/>
        <item x="164"/>
        <item x="419"/>
        <item x="552"/>
        <item x="1114"/>
        <item x="898"/>
        <item x="392"/>
        <item x="1003"/>
        <item x="304"/>
        <item x="1042"/>
        <item x="855"/>
        <item x="1076"/>
        <item x="488"/>
        <item x="409"/>
        <item x="194"/>
        <item x="413"/>
        <item x="224"/>
        <item x="142"/>
        <item x="1132"/>
        <item x="206"/>
        <item x="496"/>
        <item x="1035"/>
        <item x="89"/>
        <item x="1062"/>
        <item x="793"/>
        <item x="314"/>
        <item x="650"/>
        <item x="731"/>
        <item x="291"/>
        <item x="598"/>
        <item x="474"/>
        <item x="217"/>
        <item x="68"/>
        <item x="141"/>
        <item x="471"/>
        <item x="773"/>
        <item x="1059"/>
        <item x="54"/>
        <item x="571"/>
        <item x="1171"/>
        <item x="298"/>
        <item x="177"/>
        <item x="517"/>
        <item x="134"/>
        <item x="66"/>
        <item x="455"/>
        <item x="200"/>
        <item x="69"/>
        <item x="659"/>
        <item x="198"/>
        <item x="230"/>
        <item x="990"/>
        <item x="561"/>
        <item x="412"/>
        <item x="635"/>
        <item x="250"/>
        <item x="170"/>
        <item x="1115"/>
        <item x="814"/>
        <item x="738"/>
        <item x="909"/>
        <item x="1101"/>
        <item x="213"/>
        <item x="816"/>
        <item x="340"/>
        <item x="241"/>
        <item x="335"/>
        <item x="983"/>
        <item x="1169"/>
        <item x="33"/>
        <item x="869"/>
        <item x="932"/>
        <item x="603"/>
        <item x="833"/>
        <item x="618"/>
        <item x="257"/>
        <item x="373"/>
        <item x="294"/>
        <item x="424"/>
        <item x="557"/>
        <item x="641"/>
        <item x="263"/>
        <item x="432"/>
        <item x="1016"/>
        <item x="103"/>
        <item x="310"/>
        <item x="678"/>
        <item x="775"/>
        <item x="533"/>
        <item x="771"/>
        <item x="847"/>
        <item x="880"/>
        <item x="37"/>
        <item x="418"/>
        <item x="914"/>
        <item x="355"/>
        <item x="622"/>
        <item x="242"/>
        <item x="691"/>
        <item x="790"/>
        <item x="803"/>
        <item x="108"/>
        <item x="762"/>
        <item x="705"/>
        <item x="277"/>
        <item x="696"/>
        <item x="851"/>
        <item x="19"/>
        <item x="32"/>
        <item x="481"/>
        <item x="268"/>
        <item x="690"/>
        <item x="1008"/>
        <item x="612"/>
        <item x="586"/>
        <item x="1172"/>
        <item x="83"/>
        <item x="728"/>
        <item x="284"/>
        <item x="1097"/>
        <item x="406"/>
        <item x="343"/>
        <item x="1108"/>
        <item x="999"/>
        <item x="602"/>
        <item x="21"/>
        <item x="564"/>
        <item x="505"/>
        <item x="102"/>
        <item x="1022"/>
        <item x="539"/>
        <item x="149"/>
        <item x="805"/>
        <item x="235"/>
        <item x="450"/>
        <item x="139"/>
        <item x="105"/>
        <item x="543"/>
        <item x="1070"/>
        <item x="881"/>
        <item x="1152"/>
        <item x="1044"/>
        <item x="1045"/>
        <item x="47"/>
        <item x="840"/>
        <item x="20"/>
        <item x="795"/>
        <item x="715"/>
        <item x="825"/>
        <item x="172"/>
        <item x="350"/>
        <item x="956"/>
        <item x="493"/>
        <item x="824"/>
        <item x="827"/>
        <item x="394"/>
        <item x="1107"/>
        <item x="414"/>
        <item x="331"/>
        <item x="345"/>
        <item x="98"/>
        <item x="274"/>
        <item x="290"/>
        <item x="282"/>
        <item x="49"/>
        <item x="1093"/>
        <item x="1065"/>
        <item x="411"/>
        <item x="839"/>
        <item x="275"/>
        <item x="339"/>
        <item x="95"/>
        <item x="152"/>
        <item x="787"/>
        <item x="4"/>
        <item x="786"/>
        <item x="510"/>
        <item x="344"/>
        <item x="1088"/>
        <item x="1131"/>
        <item x="57"/>
        <item x="679"/>
        <item x="677"/>
        <item x="637"/>
        <item x="763"/>
        <item x="408"/>
        <item x="208"/>
        <item x="24"/>
        <item x="527"/>
        <item x="473"/>
        <item x="1032"/>
        <item x="183"/>
        <item x="398"/>
        <item x="5"/>
        <item x="652"/>
        <item x="971"/>
        <item x="1080"/>
        <item x="295"/>
        <item x="711"/>
        <item x="706"/>
        <item x="1040"/>
        <item x="232"/>
        <item x="718"/>
        <item x="439"/>
        <item x="1053"/>
        <item x="578"/>
        <item x="378"/>
        <item x="1048"/>
        <item x="254"/>
        <item x="583"/>
        <item x="1135"/>
        <item x="444"/>
        <item x="834"/>
        <item x="587"/>
        <item x="1029"/>
        <item x="431"/>
        <item x="591"/>
        <item x="584"/>
        <item x="1137"/>
        <item x="861"/>
        <item x="1002"/>
        <item x="686"/>
        <item x="1087"/>
        <item x="187"/>
        <item x="759"/>
        <item x="426"/>
        <item x="540"/>
        <item x="559"/>
        <item x="722"/>
        <item x="707"/>
        <item x="514"/>
        <item x="930"/>
        <item x="864"/>
        <item x="619"/>
        <item x="396"/>
        <item x="977"/>
        <item x="346"/>
        <item x="596"/>
        <item x="806"/>
        <item x="950"/>
        <item x="465"/>
        <item x="1091"/>
        <item x="913"/>
        <item x="110"/>
        <item x="607"/>
        <item x="709"/>
        <item x="829"/>
        <item x="159"/>
        <item x="789"/>
        <item x="842"/>
        <item x="766"/>
        <item x="1098"/>
        <item x="1019"/>
        <item x="463"/>
        <item x="73"/>
        <item x="438"/>
        <item x="228"/>
        <item x="599"/>
        <item x="433"/>
        <item x="823"/>
        <item x="1012"/>
        <item x="862"/>
        <item x="509"/>
        <item x="106"/>
        <item x="521"/>
        <item x="59"/>
        <item x="1049"/>
        <item x="585"/>
        <item x="1160"/>
        <item x="461"/>
        <item x="154"/>
        <item x="577"/>
        <item x="229"/>
        <item x="491"/>
        <item x="1056"/>
        <item x="555"/>
        <item x="1106"/>
        <item x="469"/>
        <item x="237"/>
        <item x="960"/>
        <item x="588"/>
        <item x="927"/>
        <item x="204"/>
        <item x="1165"/>
        <item x="1039"/>
        <item x="1145"/>
        <item x="1034"/>
        <item x="128"/>
        <item x="1030"/>
        <item x="966"/>
        <item x="981"/>
        <item x="111"/>
        <item x="886"/>
        <item x="958"/>
        <item x="1124"/>
        <item x="1085"/>
        <item x="943"/>
        <item x="1162"/>
        <item x="308"/>
        <item x="651"/>
        <item x="654"/>
        <item x="701"/>
        <item x="357"/>
        <item x="687"/>
        <item x="489"/>
        <item x="192"/>
        <item x="934"/>
        <item x="712"/>
        <item x="1125"/>
        <item x="15"/>
        <item x="498"/>
        <item x="610"/>
        <item x="633"/>
        <item x="783"/>
        <item x="3"/>
        <item x="828"/>
        <item x="441"/>
        <item x="256"/>
        <item x="1026"/>
        <item x="182"/>
        <item x="892"/>
        <item x="100"/>
        <item x="592"/>
        <item x="81"/>
        <item x="923"/>
        <item x="944"/>
        <item x="945"/>
        <item x="513"/>
        <item x="882"/>
        <item x="220"/>
        <item x="1078"/>
        <item x="446"/>
        <item x="988"/>
        <item x="756"/>
        <item x="726"/>
        <item x="30"/>
        <item x="767"/>
        <item x="289"/>
        <item x="267"/>
        <item x="178"/>
        <item x="1147"/>
        <item x="615"/>
        <item x="695"/>
        <item x="522"/>
        <item x="597"/>
        <item x="1006"/>
        <item x="666"/>
        <item x="148"/>
        <item x="655"/>
        <item x="327"/>
        <item x="447"/>
        <item x="312"/>
        <item x="992"/>
        <item x="991"/>
        <item x="676"/>
        <item x="365"/>
        <item x="71"/>
        <item x="614"/>
        <item x="569"/>
        <item x="210"/>
        <item x="382"/>
        <item x="483"/>
        <item x="0"/>
        <item x="896"/>
        <item x="616"/>
        <item x="62"/>
        <item x="874"/>
        <item x="980"/>
        <item x="34"/>
        <item x="390"/>
        <item x="871"/>
        <item x="649"/>
        <item x="325"/>
        <item x="90"/>
        <item x="741"/>
        <item x="180"/>
        <item x="818"/>
        <item x="460"/>
        <item x="846"/>
        <item x="680"/>
        <item x="1129"/>
        <item x="1024"/>
        <item x="924"/>
        <item x="665"/>
        <item x="445"/>
        <item x="636"/>
        <item x="760"/>
        <item x="361"/>
        <item x="120"/>
        <item x="16"/>
        <item x="190"/>
        <item x="1063"/>
        <item x="621"/>
        <item x="435"/>
        <item x="752"/>
        <item x="264"/>
        <item x="351"/>
        <item x="1092"/>
        <item x="72"/>
        <item x="541"/>
        <item x="40"/>
        <item x="1151"/>
        <item x="369"/>
        <item x="1173"/>
        <item x="372"/>
        <item x="1175"/>
        <item x="507"/>
        <item x="911"/>
        <item x="812"/>
        <item x="1038"/>
        <item x="395"/>
        <item x="545"/>
        <item x="486"/>
        <item x="838"/>
        <item x="301"/>
        <item x="251"/>
        <item x="809"/>
        <item x="1127"/>
        <item x="1031"/>
        <item x="1068"/>
        <item x="87"/>
        <item x="520"/>
        <item x="630"/>
        <item x="581"/>
        <item x="309"/>
        <item x="751"/>
        <item x="51"/>
        <item x="415"/>
        <item x="18"/>
        <item x="831"/>
        <item x="147"/>
        <item x="745"/>
        <item x="65"/>
        <item x="749"/>
        <item x="1122"/>
        <item x="776"/>
        <item x="755"/>
        <item x="126"/>
        <item x="972"/>
        <item x="826"/>
        <item x="872"/>
        <item x="296"/>
        <item x="974"/>
        <item x="342"/>
        <item x="319"/>
        <item x="485"/>
        <item x="1096"/>
        <item x="84"/>
        <item x="681"/>
        <item x="477"/>
        <item x="1136"/>
        <item x="858"/>
        <item x="1018"/>
        <item x="524"/>
        <item x="515"/>
        <item x="920"/>
        <item x="1"/>
        <item x="907"/>
        <item x="405"/>
        <item x="518"/>
        <item x="808"/>
        <item x="624"/>
        <item x="570"/>
        <item x="1156"/>
        <item x="324"/>
        <item x="1121"/>
        <item x="593"/>
        <item x="1086"/>
        <item x="1083"/>
        <item x="193"/>
        <item x="215"/>
        <item x="214"/>
        <item x="79"/>
        <item x="380"/>
        <item x="75"/>
        <item x="391"/>
        <item x="964"/>
        <item x="797"/>
        <item x="478"/>
        <item x="582"/>
        <item x="161"/>
        <item x="893"/>
        <item x="810"/>
        <item x="1144"/>
        <item x="747"/>
        <item x="672"/>
        <item x="735"/>
        <item x="628"/>
        <item x="860"/>
        <item x="150"/>
        <item x="292"/>
        <item x="55"/>
        <item x="1020"/>
        <item x="85"/>
        <item x="918"/>
        <item x="269"/>
        <item x="643"/>
        <item x="794"/>
        <item x="1123"/>
        <item x="188"/>
        <item x="853"/>
        <item x="1099"/>
        <item x="508"/>
        <item x="1130"/>
        <item x="697"/>
        <item x="556"/>
        <item x="457"/>
        <item x="61"/>
        <item x="117"/>
        <item x="129"/>
        <item x="407"/>
        <item x="11"/>
        <item x="420"/>
        <item x="338"/>
        <item x="374"/>
        <item x="146"/>
        <item x="115"/>
        <item x="693"/>
        <item x="962"/>
        <item x="500"/>
        <item x="969"/>
        <item x="1102"/>
        <item x="1009"/>
        <item x="386"/>
        <item x="565"/>
        <item x="1000"/>
        <item x="645"/>
        <item x="393"/>
        <item x="364"/>
        <item x="531"/>
        <item x="495"/>
        <item x="987"/>
        <item x="919"/>
        <item x="181"/>
        <item x="629"/>
        <item x="401"/>
        <item x="1174"/>
        <item x="315"/>
        <item x="348"/>
        <item x="963"/>
        <item x="721"/>
        <item x="222"/>
        <item x="671"/>
        <item x="1017"/>
        <item x="957"/>
        <item x="998"/>
        <item x="209"/>
        <item x="92"/>
        <item x="1140"/>
        <item x="1113"/>
        <item x="844"/>
        <item x="1100"/>
        <item x="186"/>
        <item x="479"/>
        <item x="1158"/>
        <item x="734"/>
        <item x="262"/>
        <item x="951"/>
        <item x="167"/>
        <item x="875"/>
        <item x="113"/>
        <item x="664"/>
        <item x="173"/>
        <item x="703"/>
        <item x="400"/>
        <item x="174"/>
        <item x="573"/>
        <item x="82"/>
        <item x="532"/>
        <item x="388"/>
        <item x="48"/>
        <item x="1057"/>
        <item x="534"/>
        <item x="58"/>
        <item x="1163"/>
        <item x="470"/>
        <item x="272"/>
        <item x="579"/>
        <item x="743"/>
        <item x="746"/>
        <item x="1128"/>
        <item x="377"/>
        <item x="1143"/>
        <item x="300"/>
        <item x="799"/>
        <item x="1055"/>
        <item x="1007"/>
        <item x="511"/>
        <item x="867"/>
        <item x="669"/>
        <item x="516"/>
        <item x="231"/>
        <item x="1138"/>
        <item x="334"/>
        <item x="948"/>
        <item x="642"/>
        <item x="10"/>
        <item x="288"/>
        <item x="952"/>
        <item x="316"/>
        <item x="375"/>
        <item x="713"/>
        <item x="77"/>
        <item x="136"/>
        <item x="656"/>
        <item x="698"/>
        <item x="403"/>
        <item x="609"/>
        <item x="627"/>
        <item x="385"/>
        <item x="717"/>
        <item x="153"/>
        <item x="387"/>
        <item x="303"/>
        <item x="35"/>
        <item x="894"/>
        <item x="699"/>
        <item x="1105"/>
        <item x="967"/>
        <item x="512"/>
        <item x="647"/>
        <item x="466"/>
        <item x="900"/>
        <item x="910"/>
        <item x="748"/>
        <item x="320"/>
        <item x="782"/>
        <item x="1027"/>
        <item x="661"/>
        <item x="1082"/>
        <item x="46"/>
        <item x="856"/>
        <item x="917"/>
        <item x="976"/>
        <item x="904"/>
        <item x="807"/>
        <item x="922"/>
        <item x="946"/>
        <item x="779"/>
        <item x="165"/>
        <item x="430"/>
        <item x="133"/>
        <item x="318"/>
        <item x="501"/>
        <item x="1177"/>
        <item x="600"/>
        <item x="253"/>
        <item x="646"/>
        <item x="252"/>
        <item x="307"/>
        <item x="279"/>
        <item x="857"/>
        <item x="837"/>
        <item x="689"/>
        <item x="548"/>
        <item x="525"/>
        <item x="124"/>
        <item x="720"/>
        <item x="368"/>
        <item x="163"/>
        <item x="323"/>
        <item x="76"/>
        <item x="1103"/>
        <item x="410"/>
        <item x="484"/>
        <item x="791"/>
        <item x="122"/>
        <item x="156"/>
        <item t="default"/>
      </items>
    </pivotField>
    <pivotField compact="0" showAll="0">
      <items count="6">
        <item x="0"/>
        <item x="4"/>
        <item x="1"/>
        <item x="3"/>
        <item x="2"/>
        <item t="default"/>
      </items>
    </pivotField>
    <pivotField compact="0" showAll="0">
      <items count="1180">
        <item x="0"/>
        <item x="310"/>
        <item x="494"/>
        <item x="1047"/>
        <item x="215"/>
        <item x="180"/>
        <item x="142"/>
        <item x="233"/>
        <item x="254"/>
        <item x="968"/>
        <item x="860"/>
        <item x="913"/>
        <item x="205"/>
        <item x="335"/>
        <item x="18"/>
        <item x="948"/>
        <item x="396"/>
        <item x="861"/>
        <item x="238"/>
        <item x="1083"/>
        <item x="724"/>
        <item x="9"/>
        <item x="418"/>
        <item x="921"/>
        <item x="536"/>
        <item x="526"/>
        <item x="1046"/>
        <item x="347"/>
        <item x="268"/>
        <item x="225"/>
        <item x="147"/>
        <item x="283"/>
        <item x="548"/>
        <item x="902"/>
        <item x="185"/>
        <item x="276"/>
        <item x="773"/>
        <item x="857"/>
        <item x="515"/>
        <item x="407"/>
        <item x="300"/>
        <item x="39"/>
        <item x="414"/>
        <item x="786"/>
        <item x="97"/>
        <item x="128"/>
        <item x="521"/>
        <item x="1086"/>
        <item x="703"/>
        <item x="798"/>
        <item x="1075"/>
        <item x="457"/>
        <item x="1120"/>
        <item x="190"/>
        <item x="270"/>
        <item x="525"/>
        <item x="229"/>
        <item x="830"/>
        <item x="787"/>
        <item x="217"/>
        <item x="186"/>
        <item x="810"/>
        <item x="742"/>
        <item x="174"/>
        <item x="19"/>
        <item x="864"/>
        <item x="509"/>
        <item x="1028"/>
        <item x="202"/>
        <item x="476"/>
        <item x="524"/>
        <item x="356"/>
        <item x="538"/>
        <item x="823"/>
        <item x="1110"/>
        <item x="319"/>
        <item x="489"/>
        <item x="136"/>
        <item x="516"/>
        <item x="32"/>
        <item x="43"/>
        <item x="838"/>
        <item x="1030"/>
        <item x="467"/>
        <item x="935"/>
        <item x="590"/>
        <item x="584"/>
        <item x="68"/>
        <item x="477"/>
        <item x="1081"/>
        <item x="1048"/>
        <item x="542"/>
        <item x="591"/>
        <item x="179"/>
        <item x="417"/>
        <item x="115"/>
        <item x="656"/>
        <item x="169"/>
        <item x="35"/>
        <item x="644"/>
        <item x="98"/>
        <item x="1007"/>
        <item x="348"/>
        <item x="505"/>
        <item x="172"/>
        <item x="766"/>
        <item x="306"/>
        <item x="420"/>
        <item x="70"/>
        <item x="502"/>
        <item x="288"/>
        <item x="159"/>
        <item x="432"/>
        <item x="553"/>
        <item x="809"/>
        <item x="448"/>
        <item x="890"/>
        <item x="403"/>
        <item x="523"/>
        <item x="162"/>
        <item x="274"/>
        <item x="1026"/>
        <item x="1"/>
        <item x="173"/>
        <item x="605"/>
        <item x="973"/>
        <item x="824"/>
        <item x="693"/>
        <item x="923"/>
        <item x="664"/>
        <item x="21"/>
        <item x="623"/>
        <item x="741"/>
        <item x="488"/>
        <item x="1127"/>
        <item x="94"/>
        <item x="34"/>
        <item x="1177"/>
        <item x="691"/>
        <item x="976"/>
        <item x="530"/>
        <item x="546"/>
        <item x="769"/>
        <item x="811"/>
        <item x="187"/>
        <item x="619"/>
        <item x="957"/>
        <item x="269"/>
        <item x="1039"/>
        <item x="995"/>
        <item x="196"/>
        <item x="130"/>
        <item x="506"/>
        <item x="658"/>
        <item x="1114"/>
        <item x="150"/>
        <item x="1094"/>
        <item x="1157"/>
        <item x="200"/>
        <item x="1060"/>
        <item x="330"/>
        <item x="340"/>
        <item x="441"/>
        <item x="251"/>
        <item x="984"/>
        <item x="164"/>
        <item x="618"/>
        <item x="27"/>
        <item x="101"/>
        <item x="970"/>
        <item x="1116"/>
        <item x="367"/>
        <item x="704"/>
        <item x="442"/>
        <item x="514"/>
        <item x="674"/>
        <item x="1044"/>
        <item x="1148"/>
        <item x="645"/>
        <item x="224"/>
        <item x="972"/>
        <item x="889"/>
        <item x="259"/>
        <item x="622"/>
        <item x="1134"/>
        <item x="299"/>
        <item x="381"/>
        <item x="112"/>
        <item x="266"/>
        <item x="1160"/>
        <item x="568"/>
        <item x="1115"/>
        <item x="779"/>
        <item x="412"/>
        <item x="236"/>
        <item x="886"/>
        <item x="293"/>
        <item x="885"/>
        <item x="183"/>
        <item x="1107"/>
        <item x="924"/>
        <item x="155"/>
        <item x="700"/>
        <item x="361"/>
        <item x="360"/>
        <item x="303"/>
        <item x="562"/>
        <item x="485"/>
        <item x="379"/>
        <item x="789"/>
        <item x="29"/>
        <item x="639"/>
        <item x="218"/>
        <item x="901"/>
        <item x="735"/>
        <item x="1014"/>
        <item x="804"/>
        <item x="1003"/>
        <item x="632"/>
        <item x="113"/>
        <item x="1162"/>
        <item x="831"/>
        <item x="950"/>
        <item x="601"/>
        <item x="132"/>
        <item x="61"/>
        <item x="466"/>
        <item x="249"/>
        <item x="517"/>
        <item x="813"/>
        <item x="246"/>
        <item x="643"/>
        <item x="904"/>
        <item x="478"/>
        <item x="745"/>
        <item x="6"/>
        <item x="444"/>
        <item x="106"/>
        <item x="633"/>
        <item x="333"/>
        <item x="69"/>
        <item x="93"/>
        <item x="216"/>
        <item x="212"/>
        <item x="102"/>
        <item x="464"/>
        <item x="817"/>
        <item x="492"/>
        <item x="153"/>
        <item x="615"/>
        <item x="581"/>
        <item x="154"/>
        <item x="511"/>
        <item x="671"/>
        <item x="784"/>
        <item x="987"/>
        <item x="111"/>
        <item x="429"/>
        <item x="107"/>
        <item x="1171"/>
        <item x="863"/>
        <item x="349"/>
        <item x="1056"/>
        <item x="775"/>
        <item x="74"/>
        <item x="133"/>
        <item x="822"/>
        <item x="933"/>
        <item x="302"/>
        <item x="989"/>
        <item x="472"/>
        <item x="609"/>
        <item x="895"/>
        <item x="141"/>
        <item x="1085"/>
        <item x="873"/>
        <item x="206"/>
        <item x="998"/>
        <item x="899"/>
        <item x="855"/>
        <item x="1118"/>
        <item x="701"/>
        <item x="668"/>
        <item x="878"/>
        <item x="1069"/>
        <item x="792"/>
        <item x="747"/>
        <item x="956"/>
        <item x="7"/>
        <item x="641"/>
        <item x="110"/>
        <item x="684"/>
        <item x="232"/>
        <item x="850"/>
        <item x="1135"/>
        <item x="413"/>
        <item x="698"/>
        <item x="5"/>
        <item x="570"/>
        <item x="862"/>
        <item x="732"/>
        <item x="82"/>
        <item x="588"/>
        <item x="177"/>
        <item x="932"/>
        <item x="1016"/>
        <item x="134"/>
        <item x="436"/>
        <item x="1043"/>
        <item x="20"/>
        <item x="576"/>
        <item x="1072"/>
        <item x="358"/>
        <item x="635"/>
        <item x="339"/>
        <item x="598"/>
        <item x="1004"/>
        <item x="1062"/>
        <item x="603"/>
        <item x="540"/>
        <item x="875"/>
        <item x="672"/>
        <item x="125"/>
        <item x="408"/>
        <item x="419"/>
        <item x="722"/>
        <item x="909"/>
        <item x="140"/>
        <item x="587"/>
        <item x="1015"/>
        <item x="388"/>
        <item x="1066"/>
        <item x="908"/>
        <item x="428"/>
        <item x="67"/>
        <item x="888"/>
        <item x="780"/>
        <item x="400"/>
        <item x="482"/>
        <item x="423"/>
        <item x="541"/>
        <item x="1089"/>
        <item x="460"/>
        <item x="840"/>
        <item x="736"/>
        <item x="1175"/>
        <item x="223"/>
        <item x="1084"/>
        <item x="261"/>
        <item x="1092"/>
        <item x="334"/>
        <item x="788"/>
        <item x="678"/>
        <item x="837"/>
        <item x="799"/>
        <item x="60"/>
        <item x="38"/>
        <item x="636"/>
        <item x="59"/>
        <item x="892"/>
        <item x="427"/>
        <item x="982"/>
        <item x="988"/>
        <item x="827"/>
        <item x="611"/>
        <item x="1035"/>
        <item x="962"/>
        <item x="318"/>
        <item x="86"/>
        <item x="493"/>
        <item x="911"/>
        <item x="980"/>
        <item x="657"/>
        <item x="1005"/>
        <item x="608"/>
        <item x="239"/>
        <item x="120"/>
        <item x="227"/>
        <item x="1011"/>
        <item x="56"/>
        <item x="606"/>
        <item x="912"/>
        <item x="874"/>
        <item x="63"/>
        <item x="139"/>
        <item x="677"/>
        <item x="727"/>
        <item x="1151"/>
        <item x="897"/>
        <item x="675"/>
        <item x="13"/>
        <item x="1119"/>
        <item x="465"/>
        <item x="759"/>
        <item x="99"/>
        <item x="665"/>
        <item x="24"/>
        <item x="184"/>
        <item x="176"/>
        <item x="753"/>
        <item x="871"/>
        <item x="163"/>
        <item x="1036"/>
        <item x="774"/>
        <item x="342"/>
        <item x="1058"/>
        <item x="513"/>
        <item x="920"/>
        <item x="404"/>
        <item x="613"/>
        <item x="592"/>
        <item x="522"/>
        <item x="1158"/>
        <item x="991"/>
        <item x="734"/>
        <item x="1124"/>
        <item x="181"/>
        <item x="699"/>
        <item x="1064"/>
        <item x="329"/>
        <item x="290"/>
        <item x="1096"/>
        <item x="320"/>
        <item x="869"/>
        <item x="520"/>
        <item x="796"/>
        <item x="1025"/>
        <item x="848"/>
        <item x="1112"/>
        <item x="965"/>
        <item x="983"/>
        <item x="453"/>
        <item x="362"/>
        <item x="1067"/>
        <item x="782"/>
        <item x="552"/>
        <item x="245"/>
        <item x="887"/>
        <item x="1059"/>
        <item x="327"/>
        <item x="296"/>
        <item x="1006"/>
        <item x="550"/>
        <item x="1049"/>
        <item x="324"/>
        <item x="220"/>
        <item x="666"/>
        <item x="47"/>
        <item x="438"/>
        <item x="551"/>
        <item x="696"/>
        <item x="204"/>
        <item x="371"/>
        <item x="166"/>
        <item x="262"/>
        <item x="825"/>
        <item x="250"/>
        <item x="341"/>
        <item x="16"/>
        <item x="726"/>
        <item x="192"/>
        <item x="715"/>
        <item x="76"/>
        <item x="717"/>
        <item x="40"/>
        <item x="662"/>
        <item x="637"/>
        <item x="565"/>
        <item x="925"/>
        <item x="1128"/>
        <item x="1040"/>
        <item x="207"/>
        <item x="52"/>
        <item x="88"/>
        <item x="231"/>
        <item x="103"/>
        <item x="109"/>
        <item x="256"/>
        <item x="193"/>
        <item x="326"/>
        <item x="486"/>
        <item x="532"/>
        <item x="833"/>
        <item x="64"/>
        <item x="979"/>
        <item x="480"/>
        <item x="896"/>
        <item x="211"/>
        <item x="694"/>
        <item x="213"/>
        <item x="1159"/>
        <item x="331"/>
        <item x="1045"/>
        <item x="295"/>
        <item x="856"/>
        <item x="978"/>
        <item x="1010"/>
        <item x="1017"/>
        <item x="777"/>
        <item x="170"/>
        <item x="135"/>
        <item x="230"/>
        <item x="1023"/>
        <item x="610"/>
        <item x="763"/>
        <item x="820"/>
        <item x="279"/>
        <item x="839"/>
        <item x="866"/>
        <item x="1042"/>
        <item x="654"/>
        <item x="402"/>
        <item x="772"/>
        <item x="421"/>
        <item x="1139"/>
        <item x="1101"/>
        <item x="842"/>
        <item x="194"/>
        <item x="1122"/>
        <item x="945"/>
        <item x="595"/>
        <item x="574"/>
        <item x="123"/>
        <item x="278"/>
        <item x="345"/>
        <item x="253"/>
        <item x="1155"/>
        <item x="496"/>
        <item x="922"/>
        <item x="226"/>
        <item x="77"/>
        <item x="1061"/>
        <item x="1002"/>
        <item x="73"/>
        <item x="686"/>
        <item x="733"/>
        <item x="1099"/>
        <item x="425"/>
        <item x="178"/>
        <item x="1095"/>
        <item x="366"/>
        <item x="1053"/>
        <item x="71"/>
        <item x="1080"/>
        <item x="53"/>
        <item x="828"/>
        <item x="554"/>
        <item x="566"/>
        <item x="1174"/>
        <item x="242"/>
        <item x="969"/>
        <item x="740"/>
        <item x="168"/>
        <item x="1140"/>
        <item x="143"/>
        <item x="495"/>
        <item x="54"/>
        <item x="395"/>
        <item x="529"/>
        <item x="431"/>
        <item x="844"/>
        <item x="344"/>
        <item x="452"/>
        <item x="391"/>
        <item x="484"/>
        <item x="612"/>
        <item x="508"/>
        <item x="1137"/>
        <item x="322"/>
        <item x="939"/>
        <item x="365"/>
        <item x="731"/>
        <item x="1126"/>
        <item x="648"/>
        <item x="690"/>
        <item x="355"/>
        <item x="642"/>
        <item x="308"/>
        <item x="1138"/>
        <item x="1121"/>
        <item x="628"/>
        <item x="241"/>
        <item x="189"/>
        <item x="929"/>
        <item x="439"/>
        <item x="72"/>
        <item x="977"/>
        <item x="1178"/>
        <item x="625"/>
        <item x="616"/>
        <item x="12"/>
        <item x="661"/>
        <item x="802"/>
        <item x="384"/>
        <item x="914"/>
        <item x="446"/>
        <item x="981"/>
        <item x="148"/>
        <item x="816"/>
        <item x="755"/>
        <item x="785"/>
        <item x="569"/>
        <item x="22"/>
        <item x="917"/>
        <item x="89"/>
        <item x="313"/>
        <item x="964"/>
        <item x="918"/>
        <item x="281"/>
        <item x="599"/>
        <item x="473"/>
        <item x="292"/>
        <item x="15"/>
        <item x="676"/>
        <item x="156"/>
        <item x="653"/>
        <item x="1013"/>
        <item x="1100"/>
        <item x="36"/>
        <item x="66"/>
        <item x="260"/>
        <item x="376"/>
        <item x="951"/>
        <item x="491"/>
        <item x="990"/>
        <item x="768"/>
        <item x="445"/>
        <item x="298"/>
        <item x="84"/>
        <item x="1168"/>
        <item x="573"/>
        <item x="37"/>
        <item x="282"/>
        <item x="752"/>
        <item x="363"/>
        <item x="1077"/>
        <item x="1108"/>
        <item x="144"/>
        <item x="504"/>
        <item x="222"/>
        <item x="876"/>
        <item x="1012"/>
        <item x="1073"/>
        <item x="359"/>
        <item x="1173"/>
        <item x="1091"/>
        <item x="199"/>
        <item x="210"/>
        <item x="1152"/>
        <item x="597"/>
        <item x="534"/>
        <item x="315"/>
        <item x="1008"/>
        <item x="537"/>
        <item x="85"/>
        <item x="131"/>
        <item x="958"/>
        <item x="499"/>
        <item x="801"/>
        <item x="1071"/>
        <item x="705"/>
        <item x="510"/>
        <item x="158"/>
        <item x="695"/>
        <item x="808"/>
        <item x="65"/>
        <item x="455"/>
        <item x="1038"/>
        <item x="309"/>
        <item x="118"/>
        <item x="765"/>
        <item x="1163"/>
        <item x="762"/>
        <item x="415"/>
        <item x="564"/>
        <item x="738"/>
        <item x="368"/>
        <item x="680"/>
        <item x="1149"/>
        <item x="575"/>
        <item x="713"/>
        <item x="191"/>
        <item x="46"/>
        <item x="754"/>
        <item x="26"/>
        <item x="1055"/>
        <item x="152"/>
        <item x="390"/>
        <item x="337"/>
        <item x="624"/>
        <item x="681"/>
        <item x="91"/>
        <item x="614"/>
        <item x="171"/>
        <item x="1034"/>
        <item x="4"/>
        <item x="57"/>
        <item x="1078"/>
        <item x="1164"/>
        <item x="369"/>
        <item x="275"/>
        <item x="819"/>
        <item x="770"/>
        <item x="563"/>
        <item x="926"/>
        <item x="872"/>
        <item x="944"/>
        <item x="316"/>
        <item x="1165"/>
        <item x="1019"/>
        <item x="323"/>
        <item x="375"/>
        <item x="1143"/>
        <item x="853"/>
        <item x="953"/>
        <item x="449"/>
        <item x="1090"/>
        <item x="182"/>
        <item x="104"/>
        <item x="1022"/>
        <item x="51"/>
        <item x="682"/>
        <item x="655"/>
        <item x="79"/>
        <item x="555"/>
        <item x="1063"/>
        <item x="640"/>
        <item x="941"/>
        <item x="870"/>
        <item x="167"/>
        <item x="997"/>
        <item x="122"/>
        <item x="500"/>
        <item x="930"/>
        <item x="934"/>
        <item x="1052"/>
        <item x="836"/>
        <item x="688"/>
        <item x="264"/>
        <item x="960"/>
        <item x="451"/>
        <item x="234"/>
        <item x="383"/>
        <item x="161"/>
        <item x="967"/>
        <item x="806"/>
        <item x="607"/>
        <item x="157"/>
        <item x="2"/>
        <item x="756"/>
        <item x="971"/>
        <item x="846"/>
        <item x="265"/>
        <item x="385"/>
        <item x="188"/>
        <item x="829"/>
        <item x="620"/>
        <item x="577"/>
        <item x="1018"/>
        <item x="1131"/>
        <item x="1087"/>
        <item x="1172"/>
        <item x="286"/>
        <item x="689"/>
        <item x="81"/>
        <item x="267"/>
        <item x="235"/>
        <item x="706"/>
        <item x="387"/>
        <item x="42"/>
        <item x="1000"/>
        <item x="841"/>
        <item x="560"/>
        <item x="311"/>
        <item x="350"/>
        <item x="252"/>
        <item x="528"/>
        <item x="600"/>
        <item x="531"/>
        <item x="346"/>
        <item x="1170"/>
        <item x="1093"/>
        <item x="746"/>
        <item x="219"/>
        <item x="398"/>
        <item x="129"/>
        <item x="1147"/>
        <item x="936"/>
        <item x="629"/>
        <item x="469"/>
        <item x="437"/>
        <item x="25"/>
        <item x="519"/>
        <item x="435"/>
        <item x="586"/>
        <item x="461"/>
        <item x="739"/>
        <item x="718"/>
        <item x="160"/>
        <item x="1105"/>
        <item x="1032"/>
        <item x="854"/>
        <item x="165"/>
        <item x="284"/>
        <item x="87"/>
        <item x="589"/>
        <item x="711"/>
        <item x="352"/>
        <item x="993"/>
        <item x="332"/>
        <item x="126"/>
        <item x="31"/>
        <item x="961"/>
        <item x="814"/>
        <item x="544"/>
        <item x="228"/>
        <item x="627"/>
        <item x="800"/>
        <item x="422"/>
        <item x="549"/>
        <item x="443"/>
        <item x="80"/>
        <item x="996"/>
        <item x="879"/>
        <item x="108"/>
        <item x="783"/>
        <item x="328"/>
        <item x="938"/>
        <item x="604"/>
        <item x="561"/>
        <item x="314"/>
        <item x="1144"/>
        <item x="244"/>
        <item x="317"/>
        <item x="221"/>
        <item x="547"/>
        <item x="714"/>
        <item x="149"/>
        <item x="812"/>
        <item x="119"/>
        <item x="114"/>
        <item x="280"/>
        <item x="707"/>
        <item x="868"/>
        <item x="660"/>
        <item x="409"/>
        <item x="49"/>
        <item x="138"/>
        <item x="647"/>
        <item x="243"/>
        <item x="1098"/>
        <item x="807"/>
        <item x="751"/>
        <item x="456"/>
        <item x="533"/>
        <item x="336"/>
        <item x="626"/>
        <item x="900"/>
        <item x="1146"/>
        <item x="1123"/>
        <item x="291"/>
        <item x="884"/>
        <item x="3"/>
        <item x="1088"/>
        <item x="966"/>
        <item x="433"/>
        <item x="45"/>
        <item x="197"/>
        <item x="898"/>
        <item x="709"/>
        <item x="78"/>
        <item x="1129"/>
        <item x="1033"/>
        <item x="859"/>
        <item x="843"/>
        <item x="287"/>
        <item x="535"/>
        <item x="729"/>
        <item x="307"/>
        <item x="781"/>
        <item x="955"/>
        <item x="880"/>
        <item x="891"/>
        <item x="124"/>
        <item x="794"/>
        <item x="117"/>
        <item x="797"/>
        <item x="382"/>
        <item x="487"/>
        <item x="1065"/>
        <item x="596"/>
        <item x="877"/>
        <item x="1154"/>
        <item x="1136"/>
        <item x="761"/>
        <item x="203"/>
        <item x="1076"/>
        <item x="670"/>
        <item x="454"/>
        <item x="744"/>
        <item x="974"/>
        <item x="963"/>
        <item x="1133"/>
        <item x="667"/>
        <item x="638"/>
        <item x="377"/>
        <item x="1031"/>
        <item x="1001"/>
        <item x="248"/>
        <item x="354"/>
        <item x="975"/>
        <item x="96"/>
        <item x="304"/>
        <item x="430"/>
        <item x="497"/>
        <item x="985"/>
        <item x="919"/>
        <item x="748"/>
        <item x="845"/>
        <item x="357"/>
        <item x="916"/>
        <item x="723"/>
        <item x="1074"/>
        <item x="14"/>
        <item x="474"/>
        <item x="725"/>
        <item x="852"/>
        <item x="374"/>
        <item x="1145"/>
        <item x="394"/>
        <item x="559"/>
        <item x="893"/>
        <item x="325"/>
        <item x="558"/>
        <item x="434"/>
        <item x="10"/>
        <item x="481"/>
        <item x="1070"/>
        <item x="905"/>
        <item x="986"/>
        <item x="58"/>
        <item x="728"/>
        <item x="1150"/>
        <item x="572"/>
        <item x="1117"/>
        <item x="881"/>
        <item x="594"/>
        <item x="617"/>
        <item x="297"/>
        <item x="527"/>
        <item x="127"/>
        <item x="851"/>
        <item x="105"/>
        <item x="818"/>
        <item x="263"/>
        <item x="272"/>
        <item x="214"/>
        <item x="447"/>
        <item x="776"/>
        <item x="92"/>
        <item x="771"/>
        <item x="545"/>
        <item x="683"/>
        <item x="937"/>
        <item x="411"/>
        <item x="392"/>
        <item x="602"/>
        <item x="1169"/>
        <item x="1020"/>
        <item x="1009"/>
        <item x="1021"/>
        <item x="1079"/>
        <item x="498"/>
        <item x="543"/>
        <item x="749"/>
        <item x="406"/>
        <item x="634"/>
        <item x="1103"/>
        <item x="578"/>
        <item x="1029"/>
        <item x="687"/>
        <item x="255"/>
        <item x="826"/>
        <item x="710"/>
        <item x="321"/>
        <item x="1132"/>
        <item x="240"/>
        <item x="767"/>
        <item x="849"/>
        <item x="928"/>
        <item x="778"/>
        <item x="1125"/>
        <item x="1054"/>
        <item x="399"/>
        <item x="33"/>
        <item x="556"/>
        <item x="501"/>
        <item x="679"/>
        <item x="90"/>
        <item x="257"/>
        <item x="209"/>
        <item x="1141"/>
        <item x="351"/>
        <item x="582"/>
        <item x="483"/>
        <item x="198"/>
        <item x="470"/>
        <item x="463"/>
        <item x="289"/>
        <item x="708"/>
        <item x="940"/>
        <item x="716"/>
        <item x="758"/>
        <item x="1166"/>
        <item x="271"/>
        <item x="512"/>
        <item x="903"/>
        <item x="11"/>
        <item x="712"/>
        <item x="353"/>
        <item x="571"/>
        <item x="580"/>
        <item x="663"/>
        <item x="393"/>
        <item x="1104"/>
        <item x="805"/>
        <item x="1161"/>
        <item x="821"/>
        <item x="41"/>
        <item x="490"/>
        <item x="301"/>
        <item x="954"/>
        <item x="931"/>
        <item x="145"/>
        <item x="832"/>
        <item x="585"/>
        <item x="201"/>
        <item x="8"/>
        <item x="1041"/>
        <item x="17"/>
        <item x="277"/>
        <item x="793"/>
        <item x="386"/>
        <item x="100"/>
        <item x="468"/>
        <item x="795"/>
        <item x="370"/>
        <item x="649"/>
        <item x="927"/>
        <item x="915"/>
        <item x="1109"/>
        <item x="650"/>
        <item x="579"/>
        <item x="1102"/>
        <item x="195"/>
        <item x="518"/>
        <item x="1111"/>
        <item x="1167"/>
        <item x="847"/>
        <item x="942"/>
        <item x="62"/>
        <item x="858"/>
        <item x="791"/>
        <item x="567"/>
        <item x="1156"/>
        <item x="947"/>
        <item x="440"/>
        <item x="312"/>
        <item x="883"/>
        <item x="401"/>
        <item x="364"/>
        <item x="539"/>
        <item x="894"/>
        <item x="1051"/>
        <item x="146"/>
        <item x="397"/>
        <item x="151"/>
        <item x="803"/>
        <item x="673"/>
        <item x="1097"/>
        <item x="137"/>
        <item x="999"/>
        <item x="1027"/>
        <item x="471"/>
        <item x="557"/>
        <item x="669"/>
        <item x="1142"/>
        <item x="943"/>
        <item x="719"/>
        <item x="459"/>
        <item x="48"/>
        <item x="503"/>
        <item x="593"/>
        <item x="1024"/>
        <item x="946"/>
        <item x="372"/>
        <item x="30"/>
        <item x="1068"/>
        <item x="462"/>
        <item x="994"/>
        <item x="959"/>
        <item x="1106"/>
        <item x="50"/>
        <item x="247"/>
        <item x="305"/>
        <item x="1050"/>
        <item x="95"/>
        <item x="697"/>
        <item x="507"/>
        <item x="651"/>
        <item x="294"/>
        <item x="410"/>
        <item x="405"/>
        <item x="760"/>
        <item x="659"/>
        <item x="258"/>
        <item x="475"/>
        <item x="416"/>
        <item x="55"/>
        <item x="621"/>
        <item x="757"/>
        <item x="28"/>
        <item x="273"/>
        <item x="175"/>
        <item x="790"/>
        <item x="583"/>
        <item x="1037"/>
        <item x="1082"/>
        <item x="424"/>
        <item x="720"/>
        <item x="237"/>
        <item x="426"/>
        <item x="730"/>
        <item x="906"/>
        <item x="834"/>
        <item x="1113"/>
        <item x="737"/>
        <item x="23"/>
        <item x="44"/>
        <item x="338"/>
        <item x="630"/>
        <item x="952"/>
        <item x="1153"/>
        <item x="75"/>
        <item x="702"/>
        <item x="865"/>
        <item x="835"/>
        <item x="1130"/>
        <item x="815"/>
        <item x="721"/>
        <item x="652"/>
        <item x="646"/>
        <item x="121"/>
        <item x="458"/>
        <item x="389"/>
        <item x="907"/>
        <item x="373"/>
        <item x="764"/>
        <item x="882"/>
        <item x="1057"/>
        <item x="910"/>
        <item x="1176"/>
        <item x="750"/>
        <item x="949"/>
        <item x="992"/>
        <item x="450"/>
        <item x="83"/>
        <item x="285"/>
        <item x="479"/>
        <item x="631"/>
        <item x="685"/>
        <item x="380"/>
        <item x="743"/>
        <item x="378"/>
        <item x="208"/>
        <item x="867"/>
        <item x="116"/>
        <item x="343"/>
        <item x="692"/>
        <item t="default"/>
      </items>
    </pivotField>
    <pivotField compact="0" showAll="0">
      <items count="2086">
        <item x="600"/>
        <item x="89"/>
        <item x="302"/>
        <item x="155"/>
        <item x="222"/>
        <item x="1619"/>
        <item x="309"/>
        <item x="597"/>
        <item x="711"/>
        <item x="729"/>
        <item x="548"/>
        <item x="234"/>
        <item x="1294"/>
        <item x="1856"/>
        <item x="1862"/>
        <item x="968"/>
        <item x="486"/>
        <item x="2015"/>
        <item x="1523"/>
        <item x="1514"/>
        <item x="955"/>
        <item x="910"/>
        <item x="879"/>
        <item x="1702"/>
        <item x="36"/>
        <item x="1476"/>
        <item x="407"/>
        <item x="2053"/>
        <item x="512"/>
        <item x="1524"/>
        <item x="417"/>
        <item x="614"/>
        <item x="318"/>
        <item x="17"/>
        <item x="1392"/>
        <item x="700"/>
        <item x="462"/>
        <item x="1863"/>
        <item x="374"/>
        <item x="1428"/>
        <item x="1638"/>
        <item x="1824"/>
        <item x="952"/>
        <item x="938"/>
        <item x="540"/>
        <item x="1227"/>
        <item x="502"/>
        <item x="1601"/>
        <item x="43"/>
        <item x="1922"/>
        <item x="1030"/>
        <item x="338"/>
        <item x="826"/>
        <item x="1048"/>
        <item x="424"/>
        <item x="189"/>
        <item x="1051"/>
        <item x="865"/>
        <item x="532"/>
        <item x="198"/>
        <item x="1407"/>
        <item x="442"/>
        <item x="1652"/>
        <item x="1083"/>
        <item x="120"/>
        <item x="169"/>
        <item x="1678"/>
        <item x="1721"/>
        <item x="1574"/>
        <item x="636"/>
        <item x="1518"/>
        <item x="1986"/>
        <item x="1212"/>
        <item x="404"/>
        <item x="1384"/>
        <item x="949"/>
        <item x="449"/>
        <item x="1075"/>
        <item x="1718"/>
        <item x="1457"/>
        <item x="293"/>
        <item x="41"/>
        <item x="1416"/>
        <item x="235"/>
        <item x="306"/>
        <item x="415"/>
        <item x="1241"/>
        <item x="343"/>
        <item x="1675"/>
        <item x="868"/>
        <item x="351"/>
        <item x="928"/>
        <item x="1699"/>
        <item x="225"/>
        <item x="1210"/>
        <item x="1458"/>
        <item x="365"/>
        <item x="565"/>
        <item x="1333"/>
        <item x="966"/>
        <item x="227"/>
        <item x="918"/>
        <item x="1431"/>
        <item x="1687"/>
        <item x="1865"/>
        <item x="1767"/>
        <item x="757"/>
        <item x="375"/>
        <item x="1484"/>
        <item x="672"/>
        <item x="420"/>
        <item x="1261"/>
        <item x="1944"/>
        <item x="9"/>
        <item x="1403"/>
        <item x="585"/>
        <item x="523"/>
        <item x="595"/>
        <item x="119"/>
        <item x="1636"/>
        <item x="1928"/>
        <item x="1565"/>
        <item x="1269"/>
        <item x="877"/>
        <item x="103"/>
        <item x="12"/>
        <item x="66"/>
        <item x="916"/>
        <item x="165"/>
        <item x="398"/>
        <item x="783"/>
        <item x="743"/>
        <item x="1789"/>
        <item x="1138"/>
        <item x="1725"/>
        <item x="762"/>
        <item x="1478"/>
        <item x="528"/>
        <item x="1990"/>
        <item x="1372"/>
        <item x="2054"/>
        <item x="1495"/>
        <item x="706"/>
        <item x="466"/>
        <item x="745"/>
        <item x="233"/>
        <item x="1285"/>
        <item x="1319"/>
        <item x="355"/>
        <item x="895"/>
        <item x="1980"/>
        <item x="735"/>
        <item x="414"/>
        <item x="1110"/>
        <item x="1644"/>
        <item x="764"/>
        <item x="1396"/>
        <item x="13"/>
        <item x="613"/>
        <item x="474"/>
        <item x="108"/>
        <item x="1386"/>
        <item x="633"/>
        <item x="389"/>
        <item x="2004"/>
        <item x="992"/>
        <item x="728"/>
        <item x="241"/>
        <item x="1770"/>
        <item x="1504"/>
        <item x="483"/>
        <item x="1953"/>
        <item x="1068"/>
        <item x="2"/>
        <item x="750"/>
        <item x="1229"/>
        <item x="378"/>
        <item x="1934"/>
        <item x="671"/>
        <item x="1340"/>
        <item x="478"/>
        <item x="1802"/>
        <item x="1006"/>
        <item x="776"/>
        <item x="654"/>
        <item x="810"/>
        <item x="192"/>
        <item x="1871"/>
        <item x="1356"/>
        <item x="1551"/>
        <item x="1370"/>
        <item x="1167"/>
        <item x="298"/>
        <item x="1121"/>
        <item x="1067"/>
        <item x="1823"/>
        <item x="537"/>
        <item x="187"/>
        <item x="1641"/>
        <item x="917"/>
        <item x="702"/>
        <item x="1689"/>
        <item x="366"/>
        <item x="1176"/>
        <item x="1100"/>
        <item x="1673"/>
        <item x="419"/>
        <item x="117"/>
        <item x="529"/>
        <item x="857"/>
        <item x="748"/>
        <item x="411"/>
        <item x="959"/>
        <item x="533"/>
        <item x="73"/>
        <item x="922"/>
        <item x="557"/>
        <item x="1854"/>
        <item x="2080"/>
        <item x="851"/>
        <item x="387"/>
        <item x="737"/>
        <item x="1222"/>
        <item x="458"/>
        <item x="152"/>
        <item x="1411"/>
        <item x="1122"/>
        <item x="1592"/>
        <item x="1390"/>
        <item x="164"/>
        <item x="346"/>
        <item x="1346"/>
        <item x="817"/>
        <item x="314"/>
        <item x="213"/>
        <item x="593"/>
        <item x="637"/>
        <item x="1850"/>
        <item x="924"/>
        <item x="829"/>
        <item x="1845"/>
        <item x="1090"/>
        <item x="1878"/>
        <item x="901"/>
        <item x="1247"/>
        <item x="1187"/>
        <item x="1385"/>
        <item x="1215"/>
        <item x="1410"/>
        <item x="495"/>
        <item x="1926"/>
        <item x="1445"/>
        <item x="1914"/>
        <item x="2050"/>
        <item x="386"/>
        <item x="401"/>
        <item x="61"/>
        <item x="100"/>
        <item x="1616"/>
        <item x="808"/>
        <item x="1462"/>
        <item x="219"/>
        <item x="1723"/>
        <item x="1193"/>
        <item x="25"/>
        <item x="1985"/>
        <item x="1931"/>
        <item x="1339"/>
        <item x="166"/>
        <item x="1178"/>
        <item x="274"/>
        <item x="472"/>
        <item x="296"/>
        <item x="476"/>
        <item x="1836"/>
        <item x="583"/>
        <item x="1870"/>
        <item x="1182"/>
        <item x="260"/>
        <item x="931"/>
        <item x="606"/>
        <item x="397"/>
        <item x="429"/>
        <item x="54"/>
        <item x="944"/>
        <item x="1547"/>
        <item x="2083"/>
        <item x="1468"/>
        <item x="937"/>
        <item x="813"/>
        <item x="1248"/>
        <item x="789"/>
        <item x="377"/>
        <item x="1191"/>
        <item x="311"/>
        <item x="242"/>
        <item x="1291"/>
        <item x="2033"/>
        <item x="1430"/>
        <item x="69"/>
        <item x="403"/>
        <item x="1305"/>
        <item x="1991"/>
        <item x="736"/>
        <item x="388"/>
        <item x="610"/>
        <item x="1831"/>
        <item x="501"/>
        <item x="455"/>
        <item x="1528"/>
        <item x="584"/>
        <item x="513"/>
        <item x="352"/>
        <item x="668"/>
        <item x="1116"/>
        <item x="807"/>
        <item x="899"/>
        <item x="1216"/>
        <item x="906"/>
        <item x="1534"/>
        <item x="787"/>
        <item x="939"/>
        <item x="1044"/>
        <item x="1463"/>
        <item x="267"/>
        <item x="1140"/>
        <item x="42"/>
        <item x="354"/>
        <item x="2072"/>
        <item x="1908"/>
        <item x="2063"/>
        <item x="630"/>
        <item x="848"/>
        <item x="431"/>
        <item x="1060"/>
        <item x="1544"/>
        <item x="1889"/>
        <item x="520"/>
        <item x="57"/>
        <item x="628"/>
        <item x="1724"/>
        <item x="1559"/>
        <item x="517"/>
        <item x="2066"/>
        <item x="1055"/>
        <item x="1972"/>
        <item x="744"/>
        <item x="576"/>
        <item x="33"/>
        <item x="232"/>
        <item x="1040"/>
        <item x="1642"/>
        <item x="1804"/>
        <item x="948"/>
        <item x="1819"/>
        <item x="259"/>
        <item x="1563"/>
        <item x="1379"/>
        <item x="869"/>
        <item x="635"/>
        <item x="114"/>
        <item x="650"/>
        <item x="459"/>
        <item x="707"/>
        <item x="333"/>
        <item x="2039"/>
        <item x="1311"/>
        <item x="2044"/>
        <item x="1487"/>
        <item x="64"/>
        <item x="324"/>
        <item x="1259"/>
        <item x="1292"/>
        <item x="174"/>
        <item x="854"/>
        <item x="58"/>
        <item x="1930"/>
        <item x="74"/>
        <item x="1482"/>
        <item x="216"/>
        <item x="806"/>
        <item x="1942"/>
        <item x="596"/>
        <item x="1600"/>
        <item x="1866"/>
        <item x="1289"/>
        <item x="78"/>
        <item x="510"/>
        <item x="1419"/>
        <item x="1838"/>
        <item x="1174"/>
        <item x="278"/>
        <item x="273"/>
        <item x="1779"/>
        <item x="154"/>
        <item x="1828"/>
        <item x="1664"/>
        <item x="93"/>
        <item x="402"/>
        <item x="451"/>
        <item x="863"/>
        <item x="552"/>
        <item x="1033"/>
        <item x="1753"/>
        <item x="1834"/>
        <item x="367"/>
        <item x="2030"/>
        <item x="218"/>
        <item x="118"/>
        <item x="587"/>
        <item x="849"/>
        <item x="519"/>
        <item x="1839"/>
        <item x="1925"/>
        <item x="919"/>
        <item x="28"/>
        <item x="878"/>
        <item x="775"/>
        <item x="545"/>
        <item x="1864"/>
        <item x="961"/>
        <item x="1434"/>
        <item x="1049"/>
        <item x="1373"/>
        <item x="730"/>
        <item x="300"/>
        <item x="432"/>
        <item x="1251"/>
        <item x="1165"/>
        <item x="53"/>
        <item x="1787"/>
        <item x="742"/>
        <item x="294"/>
        <item x="151"/>
        <item x="784"/>
        <item x="301"/>
        <item x="1164"/>
        <item x="283"/>
        <item x="1852"/>
        <item x="1543"/>
        <item x="1161"/>
        <item x="1470"/>
        <item x="549"/>
        <item x="177"/>
        <item x="44"/>
        <item x="1137"/>
        <item x="1576"/>
        <item x="985"/>
        <item x="1988"/>
        <item x="322"/>
        <item x="819"/>
        <item x="1057"/>
        <item x="1016"/>
        <item x="1381"/>
        <item x="307"/>
        <item x="1134"/>
        <item x="447"/>
        <item x="170"/>
        <item x="900"/>
        <item x="272"/>
        <item x="1890"/>
        <item x="288"/>
        <item x="1371"/>
        <item x="255"/>
        <item x="1432"/>
        <item x="256"/>
        <item x="1063"/>
        <item x="308"/>
        <item x="1208"/>
        <item x="1284"/>
        <item x="566"/>
        <item x="448"/>
        <item x="1358"/>
        <item x="838"/>
        <item x="1321"/>
        <item x="543"/>
        <item x="2061"/>
        <item x="1651"/>
        <item x="913"/>
        <item x="615"/>
        <item x="2055"/>
        <item x="122"/>
        <item x="1736"/>
        <item x="426"/>
        <item x="1088"/>
        <item x="0"/>
        <item x="303"/>
        <item x="265"/>
        <item x="95"/>
        <item x="1147"/>
        <item x="1827"/>
        <item x="763"/>
        <item x="718"/>
        <item x="609"/>
        <item x="616"/>
        <item x="974"/>
        <item x="1886"/>
        <item x="83"/>
        <item x="1086"/>
        <item x="567"/>
        <item x="1684"/>
        <item x="573"/>
        <item x="796"/>
        <item x="1569"/>
        <item x="127"/>
        <item x="923"/>
        <item x="601"/>
        <item x="1408"/>
        <item x="1500"/>
        <item x="1670"/>
        <item x="1714"/>
        <item x="1747"/>
        <item x="866"/>
        <item x="27"/>
        <item x="1400"/>
        <item x="721"/>
        <item x="1901"/>
        <item x="18"/>
        <item x="371"/>
        <item x="927"/>
        <item x="973"/>
        <item x="1772"/>
        <item x="271"/>
        <item x="147"/>
        <item x="675"/>
        <item x="1818"/>
        <item x="1562"/>
        <item x="1741"/>
        <item x="317"/>
        <item x="347"/>
        <item x="1788"/>
        <item x="345"/>
        <item x="1734"/>
        <item x="943"/>
        <item x="1425"/>
        <item x="289"/>
        <item x="1119"/>
        <item x="726"/>
        <item x="514"/>
        <item x="1494"/>
        <item x="321"/>
        <item x="1620"/>
        <item x="634"/>
        <item x="945"/>
        <item x="1726"/>
        <item x="208"/>
        <item x="1459"/>
        <item x="704"/>
        <item x="1205"/>
        <item x="394"/>
        <item x="1630"/>
        <item x="279"/>
        <item x="641"/>
        <item x="1460"/>
        <item x="1225"/>
        <item x="1007"/>
        <item x="1526"/>
        <item x="137"/>
        <item x="31"/>
        <item x="825"/>
        <item x="1897"/>
        <item x="1042"/>
        <item x="1151"/>
        <item x="1955"/>
        <item x="68"/>
        <item x="1304"/>
        <item x="998"/>
        <item x="357"/>
        <item x="1754"/>
        <item x="1577"/>
        <item x="1624"/>
        <item x="526"/>
        <item x="1323"/>
        <item x="1858"/>
        <item x="141"/>
        <item x="1014"/>
        <item x="1994"/>
        <item x="160"/>
        <item x="1781"/>
        <item x="171"/>
        <item x="65"/>
        <item x="130"/>
        <item x="1108"/>
        <item x="113"/>
        <item x="319"/>
        <item x="1022"/>
        <item x="349"/>
        <item x="885"/>
        <item x="897"/>
        <item x="1035"/>
        <item x="1020"/>
        <item x="1799"/>
        <item x="1731"/>
        <item x="855"/>
        <item x="1582"/>
        <item x="1909"/>
        <item x="342"/>
        <item x="1228"/>
        <item x="892"/>
        <item x="1423"/>
        <item x="1611"/>
        <item x="1806"/>
        <item x="335"/>
        <item x="935"/>
        <item x="1059"/>
        <item x="823"/>
        <item x="1361"/>
        <item x="399"/>
        <item x="1705"/>
        <item x="589"/>
        <item x="1414"/>
        <item x="1606"/>
        <item x="1907"/>
        <item x="839"/>
        <item x="1815"/>
        <item x="1937"/>
        <item x="1618"/>
        <item x="562"/>
        <item x="1362"/>
        <item x="592"/>
        <item x="475"/>
        <item x="1077"/>
        <item x="995"/>
        <item x="396"/>
        <item x="331"/>
        <item x="434"/>
        <item x="344"/>
        <item x="215"/>
        <item x="2060"/>
        <item x="738"/>
        <item x="2013"/>
        <item x="1166"/>
        <item x="843"/>
        <item x="1782"/>
        <item x="393"/>
        <item x="1184"/>
        <item x="1977"/>
        <item x="305"/>
        <item x="249"/>
        <item x="205"/>
        <item x="611"/>
        <item x="280"/>
        <item x="1800"/>
        <item x="1295"/>
        <item x="105"/>
        <item x="2047"/>
        <item x="657"/>
        <item x="881"/>
        <item x="433"/>
        <item x="131"/>
        <item x="336"/>
        <item x="756"/>
        <item x="1761"/>
        <item x="14"/>
        <item x="1585"/>
        <item x="125"/>
        <item x="153"/>
        <item x="1995"/>
        <item x="604"/>
        <item x="788"/>
        <item x="123"/>
        <item x="101"/>
        <item x="22"/>
        <item x="1394"/>
        <item x="1748"/>
        <item x="648"/>
        <item x="564"/>
        <item x="1283"/>
        <item x="1181"/>
        <item x="71"/>
        <item x="1466"/>
        <item x="1093"/>
        <item x="50"/>
        <item x="2079"/>
        <item x="1680"/>
        <item x="1738"/>
        <item x="986"/>
        <item x="1910"/>
        <item x="383"/>
        <item x="1189"/>
        <item x="1493"/>
        <item x="800"/>
        <item x="1079"/>
        <item x="173"/>
        <item x="1465"/>
        <item x="421"/>
        <item x="619"/>
        <item x="890"/>
        <item x="646"/>
        <item x="392"/>
        <item x="1798"/>
        <item x="1202"/>
        <item x="904"/>
        <item x="133"/>
        <item x="1357"/>
        <item x="2010"/>
        <item x="111"/>
        <item x="231"/>
        <item x="1131"/>
        <item x="1674"/>
        <item x="1589"/>
        <item x="460"/>
        <item x="1860"/>
        <item x="951"/>
        <item x="1519"/>
        <item x="47"/>
        <item x="1993"/>
        <item x="1657"/>
        <item x="1917"/>
        <item x="1662"/>
        <item x="1342"/>
        <item x="1877"/>
        <item x="627"/>
        <item x="269"/>
        <item x="1564"/>
        <item x="994"/>
        <item x="546"/>
        <item x="1355"/>
        <item x="1214"/>
        <item x="1099"/>
        <item x="1590"/>
        <item x="799"/>
        <item x="2003"/>
        <item x="581"/>
        <item x="425"/>
        <item x="674"/>
        <item x="1480"/>
        <item x="167"/>
        <item x="124"/>
        <item x="915"/>
        <item x="1009"/>
        <item x="2084"/>
        <item x="3"/>
        <item x="1091"/>
        <item x="1415"/>
        <item x="1028"/>
        <item x="1668"/>
        <item x="185"/>
        <item x="1627"/>
        <item x="679"/>
        <item x="135"/>
        <item x="2056"/>
        <item x="1053"/>
        <item x="1446"/>
        <item x="1097"/>
        <item x="926"/>
        <item x="1002"/>
        <item x="976"/>
        <item x="591"/>
        <item x="1911"/>
        <item x="1978"/>
        <item x="7"/>
        <item x="1123"/>
        <item x="2073"/>
        <item x="1704"/>
        <item x="339"/>
        <item x="1378"/>
        <item x="1217"/>
        <item x="539"/>
        <item x="1106"/>
        <item x="1240"/>
        <item x="1050"/>
        <item x="136"/>
        <item x="882"/>
        <item x="1250"/>
        <item x="1558"/>
        <item x="1536"/>
        <item x="261"/>
        <item x="1659"/>
        <item x="1965"/>
        <item x="1338"/>
        <item x="406"/>
        <item x="369"/>
        <item x="445"/>
        <item x="1975"/>
        <item x="1062"/>
        <item x="876"/>
        <item x="638"/>
        <item x="6"/>
        <item x="538"/>
        <item x="861"/>
        <item x="1310"/>
        <item x="715"/>
        <item x="693"/>
        <item x="665"/>
        <item x="1970"/>
        <item x="142"/>
        <item x="1221"/>
        <item x="1005"/>
        <item x="52"/>
        <item x="70"/>
        <item x="1320"/>
        <item x="489"/>
        <item x="1130"/>
        <item x="499"/>
        <item x="1849"/>
        <item x="175"/>
        <item x="830"/>
        <item x="669"/>
        <item x="723"/>
        <item x="579"/>
        <item x="39"/>
        <item x="1039"/>
        <item x="1103"/>
        <item x="238"/>
        <item x="24"/>
        <item x="971"/>
        <item x="380"/>
        <item x="1963"/>
        <item x="1521"/>
        <item x="1776"/>
        <item x="753"/>
        <item x="2078"/>
        <item x="678"/>
        <item x="1183"/>
        <item x="2046"/>
        <item x="780"/>
        <item x="1114"/>
        <item x="1510"/>
        <item x="276"/>
        <item x="667"/>
        <item x="1760"/>
        <item x="953"/>
        <item x="594"/>
        <item x="1401"/>
        <item x="217"/>
        <item x="441"/>
        <item x="1516"/>
        <item x="1710"/>
        <item x="1249"/>
        <item x="588"/>
        <item x="2059"/>
        <item x="1439"/>
        <item x="1469"/>
        <item x="1337"/>
        <item x="662"/>
        <item x="1064"/>
        <item x="1265"/>
        <item x="115"/>
        <item x="129"/>
        <item x="1262"/>
        <item x="758"/>
        <item x="250"/>
        <item x="1650"/>
        <item x="2034"/>
        <item x="1354"/>
        <item x="905"/>
        <item x="703"/>
        <item x="60"/>
        <item x="109"/>
        <item x="824"/>
        <item x="1759"/>
        <item x="1112"/>
        <item x="1383"/>
        <item x="1742"/>
        <item x="1669"/>
        <item x="438"/>
        <item x="993"/>
        <item x="647"/>
        <item x="1243"/>
        <item x="1298"/>
        <item x="1883"/>
        <item x="1085"/>
        <item x="1258"/>
        <item x="1913"/>
        <item x="1549"/>
        <item x="2024"/>
        <item x="353"/>
        <item x="148"/>
        <item x="1136"/>
        <item x="1399"/>
        <item x="1455"/>
        <item x="967"/>
        <item x="320"/>
        <item x="1366"/>
        <item x="181"/>
        <item x="1785"/>
        <item x="86"/>
        <item x="1604"/>
        <item x="1218"/>
        <item x="1329"/>
        <item x="578"/>
        <item x="2081"/>
        <item x="1745"/>
        <item x="1309"/>
        <item x="1211"/>
        <item x="534"/>
        <item x="958"/>
        <item x="1472"/>
        <item x="685"/>
        <item x="1104"/>
        <item x="791"/>
        <item x="902"/>
        <item x="1148"/>
        <item x="211"/>
        <item x="1763"/>
        <item x="1203"/>
        <item x="1286"/>
        <item x="370"/>
        <item x="330"/>
        <item x="237"/>
        <item x="1607"/>
        <item x="1918"/>
        <item x="2065"/>
        <item x="1807"/>
        <item x="469"/>
        <item x="275"/>
        <item x="1424"/>
        <item x="157"/>
        <item x="833"/>
        <item x="1735"/>
        <item x="485"/>
        <item x="1364"/>
        <item x="942"/>
        <item x="376"/>
        <item x="29"/>
        <item x="598"/>
        <item x="1376"/>
        <item x="284"/>
        <item x="368"/>
        <item x="1389"/>
        <item x="1617"/>
        <item x="226"/>
        <item x="247"/>
        <item x="1447"/>
        <item x="1875"/>
        <item x="560"/>
        <item x="954"/>
        <item x="1082"/>
        <item x="1347"/>
        <item x="1505"/>
        <item x="1696"/>
        <item x="1557"/>
        <item x="304"/>
        <item x="1451"/>
        <item x="1144"/>
        <item x="496"/>
        <item x="2064"/>
        <item x="1715"/>
        <item x="92"/>
        <item x="1485"/>
        <item x="493"/>
        <item x="1029"/>
        <item x="258"/>
        <item x="230"/>
        <item x="257"/>
        <item x="720"/>
        <item x="1368"/>
        <item x="746"/>
        <item x="1254"/>
        <item x="1896"/>
        <item x="1844"/>
        <item x="1537"/>
        <item x="925"/>
        <item x="1404"/>
        <item x="1956"/>
        <item x="1774"/>
        <item x="1490"/>
        <item x="281"/>
        <item x="947"/>
        <item x="586"/>
        <item x="696"/>
        <item x="556"/>
        <item x="1750"/>
        <item x="687"/>
        <item x="204"/>
        <item x="1634"/>
        <item x="889"/>
        <item x="698"/>
        <item x="950"/>
        <item x="1156"/>
        <item x="1275"/>
        <item x="184"/>
        <item x="1905"/>
        <item x="1420"/>
        <item x="1481"/>
        <item x="179"/>
        <item x="2076"/>
        <item x="1527"/>
        <item x="1805"/>
        <item x="1640"/>
        <item x="390"/>
        <item x="1552"/>
        <item x="1903"/>
        <item x="1572"/>
        <item x="268"/>
        <item x="159"/>
        <item x="1"/>
        <item x="1795"/>
        <item x="467"/>
        <item x="1409"/>
        <item x="490"/>
        <item x="1453"/>
        <item x="1661"/>
        <item x="1954"/>
        <item x="754"/>
        <item x="531"/>
        <item x="1498"/>
        <item x="836"/>
        <item x="139"/>
        <item x="1898"/>
        <item x="1923"/>
        <item x="1081"/>
        <item x="1301"/>
        <item x="1066"/>
        <item x="507"/>
        <item x="316"/>
        <item x="2045"/>
        <item x="1581"/>
        <item x="1126"/>
        <item x="362"/>
        <item x="373"/>
        <item x="1542"/>
        <item x="409"/>
        <item x="2041"/>
        <item x="348"/>
        <item x="94"/>
        <item x="1797"/>
        <item x="975"/>
        <item x="802"/>
        <item x="1766"/>
        <item x="1613"/>
        <item x="435"/>
        <item x="1938"/>
        <item x="1013"/>
        <item x="760"/>
        <item x="2052"/>
        <item x="1791"/>
        <item x="1933"/>
        <item x="1303"/>
        <item x="1107"/>
        <item x="1596"/>
        <item x="769"/>
        <item x="282"/>
        <item x="1512"/>
        <item x="1821"/>
        <item x="1571"/>
        <item x="1438"/>
        <item x="1448"/>
        <item x="1245"/>
        <item x="1363"/>
        <item x="1707"/>
        <item x="491"/>
        <item x="209"/>
        <item x="1778"/>
        <item x="412"/>
        <item x="692"/>
        <item x="1765"/>
        <item x="1904"/>
        <item x="1003"/>
        <item x="1313"/>
        <item x="859"/>
        <item x="568"/>
        <item x="1703"/>
        <item x="1302"/>
        <item x="1276"/>
        <item x="1010"/>
        <item x="77"/>
        <item x="1635"/>
        <item x="1489"/>
        <item x="1515"/>
        <item x="683"/>
        <item x="887"/>
        <item x="550"/>
        <item x="620"/>
        <item x="1308"/>
        <item x="686"/>
        <item x="1133"/>
        <item x="933"/>
        <item x="183"/>
        <item x="30"/>
        <item x="1280"/>
        <item x="488"/>
        <item x="1943"/>
        <item x="1270"/>
        <item x="1502"/>
        <item x="656"/>
        <item x="712"/>
        <item x="1881"/>
        <item x="99"/>
        <item x="1041"/>
        <item x="1623"/>
        <item x="1239"/>
        <item x="1150"/>
        <item x="1893"/>
        <item x="2032"/>
        <item x="1405"/>
        <item x="8"/>
        <item x="1135"/>
        <item x="2028"/>
        <item x="1665"/>
        <item x="1281"/>
        <item x="121"/>
        <item x="1987"/>
        <item x="161"/>
        <item x="1115"/>
        <item x="1906"/>
        <item x="1224"/>
        <item x="1656"/>
        <item x="782"/>
        <item x="991"/>
        <item x="297"/>
        <item x="713"/>
        <item x="1429"/>
        <item x="1808"/>
        <item x="2012"/>
        <item x="1300"/>
        <item x="1755"/>
        <item x="224"/>
        <item x="23"/>
        <item x="457"/>
        <item x="1170"/>
        <item x="676"/>
        <item x="266"/>
        <item x="1591"/>
        <item x="1979"/>
        <item x="773"/>
        <item x="640"/>
        <item x="794"/>
        <item x="1740"/>
        <item x="761"/>
        <item x="323"/>
        <item x="245"/>
        <item x="1092"/>
        <item x="1330"/>
        <item x="1929"/>
        <item x="200"/>
        <item x="1019"/>
        <item x="176"/>
        <item x="1413"/>
        <item x="1449"/>
        <item x="1000"/>
        <item x="45"/>
        <item x="1045"/>
        <item x="1475"/>
        <item x="622"/>
        <item x="602"/>
        <item x="883"/>
        <item x="10"/>
        <item x="770"/>
        <item x="372"/>
        <item x="444"/>
        <item x="1895"/>
        <item x="149"/>
        <item x="1365"/>
        <item x="553"/>
        <item x="1713"/>
        <item x="178"/>
        <item x="965"/>
        <item x="1633"/>
        <item x="957"/>
        <item x="1188"/>
        <item x="1667"/>
        <item x="1835"/>
        <item x="1397"/>
        <item x="964"/>
        <item x="1314"/>
        <item x="1061"/>
        <item x="327"/>
        <item x="207"/>
        <item x="1733"/>
        <item x="1924"/>
        <item x="837"/>
        <item x="1065"/>
        <item x="516"/>
        <item x="2074"/>
        <item x="1811"/>
        <item x="427"/>
        <item x="1612"/>
        <item x="832"/>
        <item x="1160"/>
        <item x="1793"/>
        <item x="1801"/>
        <item x="1681"/>
        <item x="790"/>
        <item x="1812"/>
        <item x="1679"/>
        <item x="988"/>
        <item x="1554"/>
        <item x="962"/>
        <item x="1768"/>
        <item x="1234"/>
        <item x="456"/>
        <item x="682"/>
        <item x="1548"/>
        <item x="652"/>
        <item x="632"/>
        <item x="1900"/>
        <item x="1867"/>
        <item x="759"/>
        <item x="660"/>
        <item x="1318"/>
        <item x="580"/>
        <item x="555"/>
        <item x="873"/>
        <item x="1124"/>
        <item x="1073"/>
        <item x="717"/>
        <item x="793"/>
        <item x="1080"/>
        <item x="1213"/>
        <item x="450"/>
        <item x="930"/>
        <item x="1461"/>
        <item x="1961"/>
        <item x="894"/>
        <item x="554"/>
        <item x="561"/>
        <item x="812"/>
        <item x="2000"/>
        <item x="382"/>
        <item x="328"/>
        <item x="422"/>
        <item x="1326"/>
        <item x="1486"/>
        <item x="639"/>
        <item x="1433"/>
        <item x="82"/>
        <item x="188"/>
        <item x="1143"/>
        <item x="1992"/>
        <item x="1966"/>
        <item x="1252"/>
        <item x="1533"/>
        <item x="1694"/>
        <item x="1169"/>
        <item x="1393"/>
        <item x="1198"/>
        <item x="716"/>
        <item x="1483"/>
        <item x="146"/>
        <item x="1024"/>
        <item x="90"/>
        <item x="978"/>
        <item x="385"/>
        <item x="1545"/>
        <item x="1096"/>
        <item x="428"/>
        <item x="107"/>
        <item x="340"/>
        <item x="470"/>
        <item x="840"/>
        <item x="1876"/>
        <item x="364"/>
        <item x="361"/>
        <item x="72"/>
        <item x="203"/>
        <item x="277"/>
        <item x="1848"/>
        <item x="1209"/>
        <item x="536"/>
        <item x="126"/>
        <item x="1882"/>
        <item x="1109"/>
        <item x="1599"/>
        <item x="2022"/>
        <item x="1127"/>
        <item x="143"/>
        <item x="582"/>
        <item x="2027"/>
        <item x="1154"/>
        <item x="1327"/>
        <item x="1841"/>
        <item x="858"/>
        <item x="1626"/>
        <item x="334"/>
        <item x="912"/>
        <item x="1989"/>
        <item x="1573"/>
        <item x="1568"/>
        <item x="1570"/>
        <item x="816"/>
        <item x="264"/>
        <item x="1231"/>
        <item x="1743"/>
        <item x="1580"/>
        <item x="1983"/>
        <item x="1672"/>
        <item x="1427"/>
        <item x="1892"/>
        <item x="908"/>
        <item x="4"/>
        <item x="363"/>
        <item x="803"/>
        <item x="1464"/>
        <item x="1842"/>
        <item x="547"/>
        <item x="705"/>
        <item x="1417"/>
        <item x="270"/>
        <item x="841"/>
        <item x="480"/>
        <item x="1084"/>
        <item x="767"/>
        <item x="1593"/>
        <item x="1344"/>
        <item x="571"/>
        <item x="1711"/>
        <item x="1603"/>
        <item x="2031"/>
        <item x="624"/>
        <item x="132"/>
        <item x="821"/>
        <item x="144"/>
        <item x="575"/>
        <item x="1387"/>
        <item x="1026"/>
        <item x="1996"/>
        <item x="1467"/>
        <item x="695"/>
        <item x="1200"/>
        <item x="1615"/>
        <item x="2036"/>
        <item x="607"/>
        <item x="1017"/>
        <item x="1452"/>
        <item x="508"/>
        <item x="1693"/>
        <item x="822"/>
        <item x="535"/>
        <item x="1507"/>
        <item x="290"/>
        <item x="408"/>
        <item x="1660"/>
        <item x="34"/>
        <item x="1625"/>
        <item x="49"/>
        <item x="741"/>
        <item x="1885"/>
        <item x="197"/>
        <item x="254"/>
        <item x="1588"/>
        <item x="980"/>
        <item x="599"/>
        <item x="1034"/>
        <item x="337"/>
        <item x="1076"/>
        <item x="15"/>
        <item x="1201"/>
        <item x="201"/>
        <item x="1349"/>
        <item x="1196"/>
        <item x="285"/>
        <item x="384"/>
        <item x="1837"/>
        <item x="1272"/>
        <item x="2040"/>
        <item x="820"/>
        <item x="2035"/>
        <item x="1587"/>
        <item x="658"/>
        <item x="35"/>
        <item x="1959"/>
        <item x="2006"/>
        <item x="522"/>
        <item x="1450"/>
        <item x="960"/>
        <item x="1343"/>
        <item x="987"/>
        <item x="733"/>
        <item x="1982"/>
        <item x="1915"/>
        <item x="1729"/>
        <item x="37"/>
        <item x="981"/>
        <item x="1328"/>
        <item x="471"/>
        <item x="492"/>
        <item x="1226"/>
        <item x="1538"/>
        <item x="2067"/>
        <item x="1810"/>
        <item x="1712"/>
        <item x="1352"/>
        <item x="574"/>
        <item x="1180"/>
        <item x="659"/>
        <item x="413"/>
        <item x="1517"/>
        <item x="423"/>
        <item x="168"/>
        <item x="1509"/>
        <item x="1129"/>
        <item x="663"/>
        <item x="1829"/>
        <item x="797"/>
        <item x="1177"/>
        <item x="1939"/>
        <item x="1887"/>
        <item x="772"/>
        <item x="418"/>
        <item x="1637"/>
        <item x="1027"/>
        <item x="649"/>
        <item x="1535"/>
        <item x="1290"/>
        <item x="708"/>
        <item x="626"/>
        <item x="1279"/>
        <item x="1967"/>
        <item x="1730"/>
        <item x="163"/>
        <item x="724"/>
        <item x="112"/>
        <item x="1315"/>
        <item x="1162"/>
        <item x="629"/>
        <item x="1153"/>
        <item x="1629"/>
        <item x="977"/>
        <item x="85"/>
        <item x="1087"/>
        <item x="1957"/>
        <item x="329"/>
        <item x="1594"/>
        <item x="1771"/>
        <item x="223"/>
        <item x="1757"/>
        <item x="1288"/>
        <item x="1454"/>
        <item x="655"/>
        <item x="2070"/>
        <item x="2025"/>
        <item x="186"/>
        <item x="1676"/>
        <item x="697"/>
        <item x="1814"/>
        <item x="1575"/>
        <item x="1646"/>
        <item x="1843"/>
        <item x="577"/>
        <item x="110"/>
        <item x="983"/>
        <item x="768"/>
        <item x="410"/>
        <item x="102"/>
        <item x="1598"/>
        <item x="190"/>
        <item x="1395"/>
        <item x="1686"/>
        <item x="464"/>
        <item x="1708"/>
        <item x="84"/>
        <item x="2008"/>
        <item x="19"/>
        <item x="856"/>
        <item x="785"/>
        <item x="781"/>
        <item x="1947"/>
        <item x="1769"/>
        <item x="625"/>
        <item x="1749"/>
        <item x="104"/>
        <item x="2038"/>
        <item x="719"/>
        <item x="1422"/>
        <item x="1078"/>
        <item x="1847"/>
        <item x="1197"/>
        <item x="1643"/>
        <item x="1334"/>
        <item x="1817"/>
        <item x="465"/>
        <item x="1232"/>
        <item x="1004"/>
        <item x="765"/>
        <item x="1968"/>
        <item x="1583"/>
        <item x="740"/>
        <item x="521"/>
        <item x="932"/>
        <item x="801"/>
        <item x="1296"/>
        <item x="212"/>
        <item x="1503"/>
        <item x="714"/>
        <item x="1021"/>
        <item x="1367"/>
        <item x="936"/>
        <item x="253"/>
        <item x="1382"/>
        <item x="1278"/>
        <item x="1809"/>
        <item x="1695"/>
        <item x="2077"/>
        <item x="2062"/>
        <item x="506"/>
        <item x="156"/>
        <item x="1069"/>
        <item x="1204"/>
        <item x="1950"/>
        <item x="694"/>
        <item x="778"/>
        <item x="473"/>
        <item x="982"/>
        <item x="1047"/>
        <item x="1566"/>
        <item x="1869"/>
        <item x="846"/>
        <item x="681"/>
        <item x="1682"/>
        <item x="1773"/>
        <item x="1777"/>
        <item x="2051"/>
        <item x="835"/>
        <item x="1179"/>
        <item x="989"/>
        <item x="87"/>
        <item x="1921"/>
        <item x="1786"/>
        <item x="1317"/>
        <item x="963"/>
        <item x="312"/>
        <item x="2026"/>
        <item x="727"/>
        <item x="461"/>
        <item x="969"/>
        <item x="940"/>
        <item x="972"/>
        <item x="612"/>
        <item x="356"/>
        <item x="1233"/>
        <item x="1023"/>
        <item x="350"/>
        <item x="1826"/>
        <item x="1426"/>
        <item x="2043"/>
        <item x="1255"/>
        <item x="439"/>
        <item x="524"/>
        <item x="1350"/>
        <item x="1185"/>
        <item x="2020"/>
        <item x="1244"/>
        <item x="870"/>
        <item x="605"/>
        <item x="1220"/>
        <item x="1117"/>
        <item x="32"/>
        <item x="907"/>
        <item x="1271"/>
        <item x="1671"/>
        <item x="777"/>
        <item x="1359"/>
        <item x="1074"/>
        <item x="853"/>
        <item x="484"/>
        <item x="1984"/>
        <item x="618"/>
        <item x="774"/>
        <item x="1608"/>
        <item x="243"/>
        <item x="1595"/>
        <item x="1752"/>
        <item x="1622"/>
        <item x="786"/>
        <item x="811"/>
        <item x="814"/>
        <item x="1263"/>
        <item x="1173"/>
        <item x="88"/>
        <item x="1128"/>
        <item x="525"/>
        <item x="1645"/>
        <item x="891"/>
        <item x="1199"/>
        <item x="150"/>
        <item x="1345"/>
        <item x="391"/>
        <item x="468"/>
        <item x="722"/>
        <item x="1855"/>
        <item x="1816"/>
        <item x="381"/>
        <item x="689"/>
        <item x="1171"/>
        <item x="1830"/>
        <item x="1981"/>
        <item x="1872"/>
        <item x="1846"/>
        <item x="1880"/>
        <item x="621"/>
        <item x="358"/>
        <item x="55"/>
        <item x="1331"/>
        <item x="503"/>
        <item x="145"/>
        <item x="673"/>
        <item x="1391"/>
        <item x="1764"/>
        <item x="1256"/>
        <item x="172"/>
        <item x="1070"/>
        <item x="1706"/>
        <item x="1018"/>
        <item x="1919"/>
        <item x="63"/>
        <item x="1691"/>
        <item x="325"/>
        <item x="2048"/>
        <item x="56"/>
        <item x="1560"/>
        <item x="1960"/>
        <item x="834"/>
        <item x="941"/>
        <item x="436"/>
        <item x="1316"/>
        <item x="395"/>
        <item x="710"/>
        <item x="542"/>
        <item x="511"/>
        <item x="1253"/>
        <item x="747"/>
        <item x="1737"/>
        <item x="1873"/>
        <item x="162"/>
        <item x="38"/>
        <item x="970"/>
        <item x="1435"/>
        <item x="16"/>
        <item x="1095"/>
        <item x="1437"/>
        <item x="134"/>
        <item x="903"/>
        <item x="771"/>
        <item x="1268"/>
        <item x="914"/>
        <item x="1155"/>
        <item x="691"/>
        <item x="1861"/>
        <item x="443"/>
        <item x="1513"/>
        <item x="617"/>
        <item x="21"/>
        <item x="1257"/>
        <item x="1477"/>
        <item x="1497"/>
        <item x="1899"/>
        <item x="1794"/>
        <item x="1175"/>
        <item x="732"/>
        <item x="341"/>
        <item x="1421"/>
        <item x="1351"/>
        <item x="75"/>
        <item x="779"/>
        <item x="725"/>
        <item x="867"/>
        <item x="67"/>
        <item x="1540"/>
        <item x="430"/>
        <item x="871"/>
        <item x="1341"/>
        <item x="1192"/>
        <item x="1132"/>
        <item x="530"/>
        <item x="1697"/>
        <item x="454"/>
        <item x="845"/>
        <item x="505"/>
        <item x="248"/>
        <item x="244"/>
        <item x="1936"/>
        <item x="196"/>
        <item x="239"/>
        <item x="96"/>
        <item x="497"/>
        <item x="875"/>
        <item x="1471"/>
        <item x="1098"/>
        <item x="1441"/>
        <item x="1530"/>
        <item x="1851"/>
        <item x="752"/>
        <item x="98"/>
        <item x="1369"/>
        <item x="292"/>
        <item x="1952"/>
        <item x="2019"/>
        <item x="1783"/>
        <item x="1756"/>
        <item x="482"/>
        <item x="326"/>
        <item x="295"/>
        <item x="221"/>
        <item x="313"/>
        <item x="874"/>
        <item x="1894"/>
        <item x="805"/>
        <item x="1683"/>
        <item x="1436"/>
        <item x="494"/>
        <item x="251"/>
        <item x="1102"/>
        <item x="1312"/>
        <item x="1971"/>
        <item x="509"/>
        <item x="1927"/>
        <item x="1398"/>
        <item x="26"/>
        <item x="862"/>
        <item x="310"/>
        <item x="515"/>
        <item x="828"/>
        <item x="1406"/>
        <item x="751"/>
        <item x="1935"/>
        <item x="709"/>
        <item x="1649"/>
        <item x="766"/>
        <item x="246"/>
        <item x="1621"/>
        <item x="623"/>
        <item x="2037"/>
        <item x="1586"/>
        <item x="416"/>
        <item x="1717"/>
        <item x="299"/>
        <item x="850"/>
        <item x="755"/>
        <item x="1946"/>
        <item x="332"/>
        <item x="645"/>
        <item x="1879"/>
        <item x="1444"/>
        <item x="572"/>
        <item x="1025"/>
        <item x="2029"/>
        <item x="1751"/>
        <item x="1663"/>
        <item x="1584"/>
        <item x="920"/>
        <item x="1139"/>
        <item x="1833"/>
        <item x="999"/>
        <item x="1522"/>
        <item x="1491"/>
        <item x="1609"/>
        <item x="1157"/>
        <item x="1709"/>
        <item x="1473"/>
        <item x="1720"/>
        <item x="1499"/>
        <item x="2014"/>
        <item x="236"/>
        <item x="880"/>
        <item x="1976"/>
        <item x="699"/>
        <item x="934"/>
        <item x="544"/>
        <item x="1380"/>
        <item x="1700"/>
        <item x="1520"/>
        <item x="1235"/>
        <item x="2049"/>
        <item x="1698"/>
        <item x="1046"/>
        <item x="551"/>
        <item x="199"/>
        <item x="206"/>
        <item x="1402"/>
        <item x="194"/>
        <item x="59"/>
        <item x="804"/>
        <item x="405"/>
        <item x="570"/>
        <item x="643"/>
        <item x="864"/>
        <item x="1058"/>
        <item x="956"/>
        <item x="1579"/>
        <item x="644"/>
        <item x="1158"/>
        <item x="1597"/>
        <item x="1578"/>
        <item x="240"/>
        <item x="287"/>
        <item x="1440"/>
        <item x="1550"/>
        <item x="1186"/>
        <item x="1219"/>
        <item x="1307"/>
        <item x="315"/>
        <item x="1141"/>
        <item x="527"/>
        <item x="1727"/>
        <item x="97"/>
        <item x="2011"/>
        <item x="1701"/>
        <item x="2001"/>
        <item x="1206"/>
        <item x="1190"/>
        <item x="2009"/>
        <item x="1529"/>
        <item x="2018"/>
        <item x="228"/>
        <item x="827"/>
        <item x="1567"/>
        <item x="138"/>
        <item x="1888"/>
        <item x="1353"/>
        <item x="437"/>
        <item x="1071"/>
        <item x="1105"/>
        <item x="661"/>
        <item x="541"/>
        <item x="884"/>
        <item x="1853"/>
        <item x="1820"/>
        <item x="1974"/>
        <item x="1442"/>
        <item x="2058"/>
        <item x="1784"/>
        <item x="2005"/>
        <item x="1242"/>
        <item x="1912"/>
        <item x="1388"/>
        <item x="1267"/>
        <item x="1015"/>
        <item x="263"/>
        <item x="842"/>
        <item x="979"/>
        <item x="1631"/>
        <item x="400"/>
        <item x="1508"/>
        <item x="1282"/>
        <item x="1443"/>
        <item x="909"/>
        <item x="1739"/>
        <item x="984"/>
        <item x="498"/>
        <item x="1639"/>
        <item x="2017"/>
        <item x="252"/>
        <item x="1142"/>
        <item x="1605"/>
        <item x="1677"/>
        <item x="1194"/>
        <item x="1274"/>
        <item x="1293"/>
        <item x="291"/>
        <item x="809"/>
        <item x="116"/>
        <item x="1532"/>
        <item x="684"/>
        <item x="1012"/>
        <item x="896"/>
        <item x="1690"/>
        <item x="1054"/>
        <item x="1553"/>
        <item x="1052"/>
        <item x="1360"/>
        <item x="1056"/>
        <item x="1101"/>
        <item x="2071"/>
        <item x="1716"/>
        <item x="1685"/>
        <item x="651"/>
        <item x="1902"/>
        <item x="818"/>
        <item x="463"/>
        <item x="815"/>
        <item x="1348"/>
        <item x="1555"/>
        <item x="481"/>
        <item x="795"/>
        <item x="1236"/>
        <item x="1374"/>
        <item x="1964"/>
        <item x="603"/>
        <item x="91"/>
        <item x="1916"/>
        <item x="734"/>
        <item x="929"/>
        <item x="1732"/>
        <item x="1857"/>
        <item x="20"/>
        <item x="1145"/>
        <item x="898"/>
        <item x="1287"/>
        <item x="631"/>
        <item x="886"/>
        <item x="1940"/>
        <item x="518"/>
        <item x="1790"/>
        <item x="1163"/>
        <item x="1958"/>
        <item x="1891"/>
        <item x="1775"/>
        <item x="286"/>
        <item x="946"/>
        <item x="559"/>
        <item x="1324"/>
        <item x="1792"/>
        <item x="220"/>
        <item x="487"/>
        <item x="888"/>
        <item x="569"/>
        <item x="1628"/>
        <item x="1561"/>
        <item x="749"/>
        <item x="1969"/>
        <item x="1456"/>
        <item x="1501"/>
        <item x="1511"/>
        <item x="1654"/>
        <item x="2007"/>
        <item x="1655"/>
        <item x="739"/>
        <item x="1377"/>
        <item x="195"/>
        <item x="1884"/>
        <item x="62"/>
        <item x="76"/>
        <item x="997"/>
        <item x="1688"/>
        <item x="1299"/>
        <item x="453"/>
        <item x="1375"/>
        <item x="1666"/>
        <item x="1546"/>
        <item x="860"/>
        <item x="1746"/>
        <item x="1758"/>
        <item x="452"/>
        <item x="1043"/>
        <item x="1335"/>
        <item x="51"/>
        <item x="2016"/>
        <item x="2021"/>
        <item x="1031"/>
        <item x="1195"/>
        <item x="1032"/>
        <item x="1488"/>
        <item x="1474"/>
        <item x="1840"/>
        <item x="1803"/>
        <item x="670"/>
        <item x="1868"/>
        <item x="792"/>
        <item x="1945"/>
        <item x="2068"/>
        <item x="1260"/>
        <item x="642"/>
        <item x="1273"/>
        <item x="1336"/>
        <item x="680"/>
        <item x="1264"/>
        <item x="1089"/>
        <item x="193"/>
        <item x="2069"/>
        <item x="5"/>
        <item x="1658"/>
        <item x="1038"/>
        <item x="1920"/>
        <item x="1832"/>
        <item x="1859"/>
        <item x="1008"/>
        <item x="996"/>
        <item x="852"/>
        <item x="1648"/>
        <item x="1539"/>
        <item x="1962"/>
        <item x="2002"/>
        <item x="847"/>
        <item x="1072"/>
        <item x="1120"/>
        <item x="1113"/>
        <item x="446"/>
        <item x="558"/>
        <item x="2057"/>
        <item x="106"/>
        <item x="1822"/>
        <item x="1037"/>
        <item x="1941"/>
        <item x="2023"/>
        <item x="1297"/>
        <item x="1948"/>
        <item x="1744"/>
        <item x="1813"/>
        <item x="688"/>
        <item x="46"/>
        <item x="80"/>
        <item x="1207"/>
        <item x="1230"/>
        <item x="182"/>
        <item x="1796"/>
        <item x="1011"/>
        <item x="1780"/>
        <item x="1118"/>
        <item x="1762"/>
        <item x="911"/>
        <item x="1036"/>
        <item x="1692"/>
        <item x="563"/>
        <item x="1719"/>
        <item x="2042"/>
        <item x="477"/>
        <item x="1094"/>
        <item x="1949"/>
        <item x="128"/>
        <item x="1246"/>
        <item x="1506"/>
        <item x="40"/>
        <item x="1479"/>
        <item x="262"/>
        <item x="1152"/>
        <item x="1541"/>
        <item x="1722"/>
        <item x="1322"/>
        <item x="1997"/>
        <item x="1332"/>
        <item x="1973"/>
        <item x="666"/>
        <item x="1999"/>
        <item x="479"/>
        <item x="1266"/>
        <item x="1159"/>
        <item x="1001"/>
        <item x="1306"/>
        <item x="1125"/>
        <item x="1556"/>
        <item x="202"/>
        <item x="79"/>
        <item x="664"/>
        <item x="440"/>
        <item x="1602"/>
        <item x="1647"/>
        <item x="893"/>
        <item x="1610"/>
        <item x="1874"/>
        <item x="2075"/>
        <item x="1728"/>
        <item x="359"/>
        <item x="653"/>
        <item x="1418"/>
        <item x="379"/>
        <item x="1492"/>
        <item x="214"/>
        <item x="11"/>
        <item x="1531"/>
        <item x="48"/>
        <item x="1951"/>
        <item x="921"/>
        <item x="1614"/>
        <item x="590"/>
        <item x="2082"/>
        <item x="191"/>
        <item x="1632"/>
        <item x="608"/>
        <item x="831"/>
        <item x="360"/>
        <item x="701"/>
        <item x="210"/>
        <item x="1998"/>
        <item x="1111"/>
        <item x="1412"/>
        <item x="1932"/>
        <item x="180"/>
        <item x="990"/>
        <item x="500"/>
        <item x="798"/>
        <item x="677"/>
        <item x="1237"/>
        <item x="140"/>
        <item x="731"/>
        <item x="229"/>
        <item x="1149"/>
        <item x="1238"/>
        <item x="1223"/>
        <item x="1325"/>
        <item x="844"/>
        <item x="504"/>
        <item x="1168"/>
        <item x="1172"/>
        <item x="158"/>
        <item x="81"/>
        <item x="872"/>
        <item x="1277"/>
        <item x="1825"/>
        <item x="1525"/>
        <item x="1496"/>
        <item x="1653"/>
        <item x="1146"/>
        <item x="690"/>
        <item t="default"/>
      </items>
    </pivotField>
    <pivotField dataField="1" compact="0" showAll="0">
      <items count="2278">
        <item x="155"/>
        <item x="305"/>
        <item x="223"/>
        <item x="973"/>
        <item x="615"/>
        <item x="755"/>
        <item x="1224"/>
        <item x="1737"/>
        <item x="313"/>
        <item x="235"/>
        <item x="735"/>
        <item x="1375"/>
        <item x="565"/>
        <item x="1014"/>
        <item x="1874"/>
        <item x="2006"/>
        <item x="1631"/>
        <item x="1622"/>
        <item x="1001"/>
        <item x="2013"/>
        <item x="953"/>
        <item x="919"/>
        <item x="1452"/>
        <item x="416"/>
        <item x="498"/>
        <item x="2187"/>
        <item x="526"/>
        <item x="1632"/>
        <item x="633"/>
        <item x="322"/>
        <item x="36"/>
        <item x="1578"/>
        <item x="17"/>
        <item x="724"/>
        <item x="2231"/>
        <item x="474"/>
        <item x="1757"/>
        <item x="1970"/>
        <item x="428"/>
        <item x="982"/>
        <item x="556"/>
        <item x="1485"/>
        <item x="515"/>
        <item x="2014"/>
        <item x="383"/>
        <item x="2032"/>
        <item x="1527"/>
        <item x="860"/>
        <item x="998"/>
        <item x="1183"/>
        <item x="435"/>
        <item x="1303"/>
        <item x="905"/>
        <item x="1717"/>
        <item x="43"/>
        <item x="2085"/>
        <item x="548"/>
        <item x="1084"/>
        <item x="345"/>
        <item x="199"/>
        <item x="1104"/>
        <item x="1772"/>
        <item x="2178"/>
        <item x="986"/>
        <item x="168"/>
        <item x="1801"/>
        <item x="1687"/>
        <item x="656"/>
        <item x="1626"/>
        <item x="1830"/>
        <item x="188"/>
        <item x="1107"/>
        <item x="413"/>
        <item x="1476"/>
        <item x="994"/>
        <item x="1429"/>
        <item x="461"/>
        <item x="1133"/>
        <item x="1502"/>
        <item x="1557"/>
        <item x="454"/>
        <item x="41"/>
        <item x="1141"/>
        <item x="236"/>
        <item x="120"/>
        <item x="1811"/>
        <item x="310"/>
        <item x="1850"/>
        <item x="1351"/>
        <item x="359"/>
        <item x="1487"/>
        <item x="971"/>
        <item x="2154"/>
        <item x="1825"/>
        <item x="1287"/>
        <item x="1558"/>
        <item x="373"/>
        <item x="228"/>
        <item x="1530"/>
        <item x="2017"/>
        <item x="1906"/>
        <item x="296"/>
        <item x="384"/>
        <item x="1512"/>
        <item x="426"/>
        <item x="694"/>
        <item x="431"/>
        <item x="1317"/>
        <item x="1337"/>
        <item x="2109"/>
        <item x="1799"/>
        <item x="351"/>
        <item x="9"/>
        <item x="1796"/>
        <item x="908"/>
        <item x="226"/>
        <item x="1285"/>
        <item x="1755"/>
        <item x="2092"/>
        <item x="582"/>
        <item x="917"/>
        <item x="1419"/>
        <item x="1012"/>
        <item x="961"/>
        <item x="12"/>
        <item x="66"/>
        <item x="1812"/>
        <item x="407"/>
        <item x="771"/>
        <item x="786"/>
        <item x="1543"/>
        <item x="1960"/>
        <item x="1653"/>
        <item x="1854"/>
        <item x="1587"/>
        <item x="1580"/>
        <item x="544"/>
        <item x="1464"/>
        <item x="2232"/>
        <item x="730"/>
        <item x="478"/>
        <item x="234"/>
        <item x="1366"/>
        <item x="1498"/>
        <item x="603"/>
        <item x="538"/>
        <item x="613"/>
        <item x="119"/>
        <item x="1763"/>
        <item x="1677"/>
        <item x="1348"/>
        <item x="632"/>
        <item x="486"/>
        <item x="103"/>
        <item x="108"/>
        <item x="653"/>
        <item x="398"/>
        <item x="2174"/>
        <item x="1041"/>
        <item x="754"/>
        <item x="1910"/>
        <item x="959"/>
        <item x="164"/>
        <item x="2120"/>
        <item x="1126"/>
        <item x="815"/>
        <item x="189"/>
        <item x="1305"/>
        <item x="1931"/>
        <item x="1203"/>
        <item x="490"/>
        <item x="791"/>
        <item x="808"/>
        <item x="674"/>
        <item x="842"/>
        <item x="2158"/>
        <item x="2023"/>
        <item x="1600"/>
        <item x="1234"/>
        <item x="301"/>
        <item x="1519"/>
        <item x="1124"/>
        <item x="774"/>
        <item x="1969"/>
        <item x="186"/>
        <item x="1404"/>
        <item x="960"/>
        <item x="726"/>
        <item x="374"/>
        <item x="363"/>
        <item x="975"/>
        <item x="936"/>
        <item x="2148"/>
        <item x="706"/>
        <item x="762"/>
        <item x="117"/>
        <item x="425"/>
        <item x="1172"/>
        <item x="794"/>
        <item x="1490"/>
        <item x="896"/>
        <item x="1005"/>
        <item x="549"/>
        <item x="13"/>
        <item x="574"/>
        <item x="2002"/>
        <item x="2268"/>
        <item x="1478"/>
        <item x="888"/>
        <item x="1039"/>
        <item x="765"/>
        <item x="1298"/>
        <item x="470"/>
        <item x="242"/>
        <item x="152"/>
        <item x="1609"/>
        <item x="495"/>
        <item x="2"/>
        <item x="779"/>
        <item x="1706"/>
        <item x="387"/>
        <item x="2099"/>
        <item x="693"/>
        <item x="1483"/>
        <item x="1427"/>
        <item x="1603"/>
        <item x="1945"/>
        <item x="1056"/>
        <item x="1435"/>
        <item x="851"/>
        <item x="214"/>
        <item x="657"/>
        <item x="192"/>
        <item x="1447"/>
        <item x="1663"/>
        <item x="1461"/>
        <item x="863"/>
        <item x="1993"/>
        <item x="1149"/>
        <item x="1184"/>
        <item x="2031"/>
        <item x="553"/>
        <item x="1760"/>
        <item x="1323"/>
        <item x="1815"/>
        <item x="1261"/>
        <item x="1244"/>
        <item x="1162"/>
        <item x="1794"/>
        <item x="1477"/>
        <item x="430"/>
        <item x="1506"/>
        <item x="508"/>
        <item x="2090"/>
        <item x="2075"/>
        <item x="545"/>
        <item x="395"/>
        <item x="624"/>
        <item x="777"/>
        <item x="422"/>
        <item x="557"/>
        <item x="100"/>
        <item x="73"/>
        <item x="1562"/>
        <item x="965"/>
        <item x="220"/>
        <item x="1852"/>
        <item x="1268"/>
        <item x="2272"/>
        <item x="25"/>
        <item x="2153"/>
        <item x="396"/>
        <item x="1249"/>
        <item x="275"/>
        <item x="1913"/>
        <item x="1507"/>
        <item x="1185"/>
        <item x="488"/>
        <item x="1982"/>
        <item x="600"/>
        <item x="1253"/>
        <item x="261"/>
        <item x="974"/>
        <item x="625"/>
        <item x="54"/>
        <item x="989"/>
        <item x="1659"/>
        <item x="354"/>
        <item x="1570"/>
        <item x="981"/>
        <item x="318"/>
        <item x="821"/>
        <item x="611"/>
        <item x="1155"/>
        <item x="386"/>
        <item x="1998"/>
        <item x="967"/>
        <item x="315"/>
        <item x="243"/>
        <item x="1371"/>
        <item x="69"/>
        <item x="1242"/>
        <item x="2096"/>
        <item x="942"/>
        <item x="763"/>
        <item x="741"/>
        <item x="1977"/>
        <item x="2055"/>
        <item x="514"/>
        <item x="1637"/>
        <item x="601"/>
        <item x="360"/>
        <item x="690"/>
        <item x="1290"/>
        <item x="1109"/>
        <item x="1781"/>
        <item x="1644"/>
        <item x="1544"/>
        <item x="819"/>
        <item x="983"/>
        <item x="2227"/>
        <item x="1563"/>
        <item x="1205"/>
        <item x="410"/>
        <item x="61"/>
        <item x="362"/>
        <item x="2045"/>
        <item x="1733"/>
        <item x="840"/>
        <item x="2068"/>
        <item x="2245"/>
        <item x="650"/>
        <item x="1190"/>
        <item x="883"/>
        <item x="886"/>
        <item x="442"/>
        <item x="1655"/>
        <item x="534"/>
        <item x="2095"/>
        <item x="1426"/>
        <item x="165"/>
        <item x="531"/>
        <item x="484"/>
        <item x="2248"/>
        <item x="299"/>
        <item x="1112"/>
        <item x="2140"/>
        <item x="773"/>
        <item x="593"/>
        <item x="1992"/>
        <item x="233"/>
        <item x="1096"/>
        <item x="1761"/>
        <item x="1947"/>
        <item x="2022"/>
        <item x="260"/>
        <item x="406"/>
        <item x="1675"/>
        <item x="440"/>
        <item x="2146"/>
        <item x="1471"/>
        <item x="909"/>
        <item x="2273"/>
        <item x="1147"/>
        <item x="2067"/>
        <item x="845"/>
        <item x="731"/>
        <item x="1324"/>
        <item x="1708"/>
        <item x="2216"/>
        <item x="1396"/>
        <item x="2220"/>
        <item x="1265"/>
        <item x="1590"/>
        <item x="64"/>
        <item x="328"/>
        <item x="2206"/>
        <item x="1529"/>
        <item x="893"/>
        <item x="58"/>
        <item x="412"/>
        <item x="1386"/>
        <item x="2094"/>
        <item x="2159"/>
        <item x="74"/>
        <item x="2107"/>
        <item x="1395"/>
        <item x="397"/>
        <item x="78"/>
        <item x="629"/>
        <item x="467"/>
        <item x="2225"/>
        <item x="1241"/>
        <item x="527"/>
        <item x="1160"/>
        <item x="274"/>
        <item x="1178"/>
        <item x="839"/>
        <item x="940"/>
        <item x="1291"/>
        <item x="1921"/>
        <item x="948"/>
        <item x="885"/>
        <item x="1707"/>
        <item x="1974"/>
        <item x="1785"/>
        <item x="411"/>
        <item x="1100"/>
        <item x="903"/>
        <item x="268"/>
        <item x="42"/>
        <item x="2255"/>
        <item x="1888"/>
        <item x="1350"/>
        <item x="1117"/>
        <item x="375"/>
        <item x="219"/>
        <item x="2235"/>
        <item x="605"/>
        <item x="884"/>
        <item x="2044"/>
        <item x="533"/>
        <item x="57"/>
        <item x="648"/>
        <item x="1853"/>
        <item x="1671"/>
        <item x="2089"/>
        <item x="962"/>
        <item x="28"/>
        <item x="1266"/>
        <item x="33"/>
        <item x="807"/>
        <item x="562"/>
        <item x="1007"/>
        <item x="1248"/>
        <item x="1465"/>
        <item x="757"/>
        <item x="303"/>
        <item x="993"/>
        <item x="443"/>
        <item x="1326"/>
        <item x="1232"/>
        <item x="53"/>
        <item x="2270"/>
        <item x="655"/>
        <item x="151"/>
        <item x="816"/>
        <item x="114"/>
        <item x="670"/>
        <item x="304"/>
        <item x="471"/>
        <item x="340"/>
        <item x="2000"/>
        <item x="1257"/>
        <item x="2263"/>
        <item x="2212"/>
        <item x="176"/>
        <item x="1335"/>
        <item x="1372"/>
        <item x="173"/>
        <item x="2156"/>
        <item x="326"/>
        <item x="1584"/>
        <item x="217"/>
        <item x="853"/>
        <item x="838"/>
        <item x="614"/>
        <item x="1716"/>
        <item x="2018"/>
        <item x="1473"/>
        <item x="524"/>
        <item x="1516"/>
        <item x="459"/>
        <item x="1984"/>
        <item x="2165"/>
        <item x="1639"/>
        <item x="280"/>
        <item x="941"/>
        <item x="2048"/>
        <item x="154"/>
        <item x="256"/>
        <item x="1531"/>
        <item x="257"/>
        <item x="312"/>
        <item x="93"/>
        <item x="1283"/>
        <item x="583"/>
        <item x="460"/>
        <item x="1407"/>
        <item x="463"/>
        <item x="560"/>
        <item x="2243"/>
        <item x="569"/>
        <item x="1088"/>
        <item x="2234"/>
        <item x="1980"/>
        <item x="2203"/>
        <item x="2086"/>
        <item x="437"/>
        <item x="118"/>
        <item x="1985"/>
        <item x="306"/>
        <item x="523"/>
        <item x="266"/>
        <item x="1212"/>
        <item x="1973"/>
        <item x="793"/>
        <item x="628"/>
        <item x="635"/>
        <item x="918"/>
        <item x="1952"/>
        <item x="1020"/>
        <item x="2016"/>
        <item x="1533"/>
        <item x="1105"/>
        <item x="83"/>
        <item x="1201"/>
        <item x="1808"/>
        <item x="590"/>
        <item x="1682"/>
        <item x="127"/>
        <item x="619"/>
        <item x="1929"/>
        <item x="770"/>
        <item x="1605"/>
        <item x="1791"/>
        <item x="297"/>
        <item x="1840"/>
        <item x="1231"/>
        <item x="906"/>
        <item x="27"/>
        <item x="286"/>
        <item x="1654"/>
        <item x="1228"/>
        <item x="746"/>
        <item x="1572"/>
        <item x="566"/>
        <item x="18"/>
        <item x="380"/>
        <item x="970"/>
        <item x="44"/>
        <item x="1202"/>
        <item x="1019"/>
        <item x="1689"/>
        <item x="1912"/>
        <item x="272"/>
        <item x="147"/>
        <item x="1032"/>
        <item x="697"/>
        <item x="1873"/>
        <item x="355"/>
        <item x="1114"/>
        <item x="988"/>
        <item x="1069"/>
        <item x="1524"/>
        <item x="311"/>
        <item x="292"/>
        <item x="2004"/>
        <item x="752"/>
        <item x="1198"/>
        <item x="528"/>
        <item x="1599"/>
        <item x="335"/>
        <item x="325"/>
        <item x="1738"/>
        <item x="169"/>
        <item x="273"/>
        <item x="2046"/>
        <item x="291"/>
        <item x="1462"/>
        <item x="1503"/>
        <item x="1120"/>
        <item x="209"/>
        <item x="1767"/>
        <item x="2242"/>
        <item x="2011"/>
        <item x="1365"/>
        <item x="728"/>
        <item x="872"/>
        <item x="798"/>
        <item x="1749"/>
        <item x="661"/>
        <item x="1560"/>
        <item x="1771"/>
        <item x="956"/>
        <item x="634"/>
        <item x="1634"/>
        <item x="137"/>
        <item x="1098"/>
        <item x="122"/>
        <item x="1868"/>
        <item x="1146"/>
        <item x="0"/>
        <item x="330"/>
        <item x="68"/>
        <item x="1385"/>
        <item x="95"/>
        <item x="1343"/>
        <item x="743"/>
        <item x="1439"/>
        <item x="365"/>
        <item x="1890"/>
        <item x="1690"/>
        <item x="2040"/>
        <item x="542"/>
        <item x="2008"/>
        <item x="141"/>
        <item x="1144"/>
        <item x="584"/>
        <item x="996"/>
        <item x="828"/>
        <item x="966"/>
        <item x="1067"/>
        <item x="1504"/>
        <item x="160"/>
        <item x="1923"/>
        <item x="1880"/>
        <item x="65"/>
        <item x="1170"/>
        <item x="2238"/>
        <item x="1495"/>
        <item x="1884"/>
        <item x="2059"/>
        <item x="756"/>
        <item x="1443"/>
        <item x="764"/>
        <item x="1021"/>
        <item x="1075"/>
        <item x="357"/>
        <item x="938"/>
        <item x="1090"/>
        <item x="1073"/>
        <item x="1863"/>
        <item x="894"/>
        <item x="1695"/>
        <item x="1907"/>
        <item x="2069"/>
        <item x="933"/>
        <item x="1963"/>
        <item x="1674"/>
        <item x="1522"/>
        <item x="321"/>
        <item x="342"/>
        <item x="1930"/>
        <item x="1481"/>
        <item x="353"/>
        <item x="1866"/>
        <item x="1181"/>
        <item x="1451"/>
        <item x="408"/>
        <item x="1813"/>
        <item x="2066"/>
        <item x="874"/>
        <item x="654"/>
        <item x="1959"/>
        <item x="2102"/>
        <item x="990"/>
        <item x="1855"/>
        <item x="579"/>
        <item x="2265"/>
        <item x="1559"/>
        <item x="1453"/>
        <item x="610"/>
        <item x="487"/>
        <item x="1280"/>
        <item x="1135"/>
        <item x="403"/>
        <item x="1044"/>
        <item x="281"/>
        <item x="337"/>
        <item x="1301"/>
        <item x="766"/>
        <item x="1058"/>
        <item x="2185"/>
        <item x="31"/>
        <item x="878"/>
        <item x="859"/>
        <item x="2054"/>
        <item x="1216"/>
        <item x="1924"/>
        <item x="2122"/>
        <item x="1255"/>
        <item x="2144"/>
        <item x="309"/>
        <item x="846"/>
        <item x="1047"/>
        <item x="630"/>
        <item x="282"/>
        <item x="1943"/>
        <item x="2064"/>
        <item x="1376"/>
        <item x="1742"/>
        <item x="105"/>
        <item x="678"/>
        <item x="1409"/>
        <item x="2258"/>
        <item x="1900"/>
        <item x="14"/>
        <item x="1920"/>
        <item x="1699"/>
        <item x="125"/>
        <item x="153"/>
        <item x="2163"/>
        <item x="2162"/>
        <item x="622"/>
        <item x="170"/>
        <item x="101"/>
        <item x="22"/>
        <item x="130"/>
        <item x="1488"/>
        <item x="1881"/>
        <item x="668"/>
        <item x="113"/>
        <item x="323"/>
        <item x="581"/>
        <item x="1252"/>
        <item x="925"/>
        <item x="1942"/>
        <item x="349"/>
        <item x="1304"/>
        <item x="1803"/>
        <item x="1728"/>
        <item x="1033"/>
        <item x="1949"/>
        <item x="1406"/>
        <item x="979"/>
        <item x="1116"/>
        <item x="1597"/>
        <item x="857"/>
        <item x="1083"/>
        <item x="930"/>
        <item x="1831"/>
        <item x="607"/>
        <item x="666"/>
        <item x="401"/>
        <item x="1510"/>
        <item x="1722"/>
        <item x="1246"/>
        <item x="133"/>
        <item x="1735"/>
        <item x="2182"/>
        <item x="1848"/>
        <item x="1795"/>
        <item x="2218"/>
        <item x="472"/>
        <item x="405"/>
        <item x="445"/>
        <item x="352"/>
        <item x="997"/>
        <item x="216"/>
        <item x="1627"/>
        <item x="2241"/>
        <item x="1777"/>
        <item x="1430"/>
        <item x="2030"/>
        <item x="1233"/>
        <item x="1289"/>
        <item x="1704"/>
        <item x="831"/>
        <item x="2173"/>
        <item x="772"/>
        <item x="1986"/>
        <item x="696"/>
        <item x="402"/>
        <item x="1582"/>
        <item x="124"/>
        <item x="1843"/>
        <item x="1635"/>
        <item x="2015"/>
        <item x="250"/>
        <item x="206"/>
        <item x="1849"/>
        <item x="3"/>
        <item x="1151"/>
        <item x="1511"/>
        <item x="1081"/>
        <item x="184"/>
        <item x="2223"/>
        <item x="921"/>
        <item x="135"/>
        <item x="444"/>
        <item x="131"/>
        <item x="1110"/>
        <item x="343"/>
        <item x="801"/>
        <item x="785"/>
        <item x="969"/>
        <item x="2276"/>
        <item x="338"/>
        <item x="647"/>
        <item x="1023"/>
        <item x="609"/>
        <item x="2071"/>
        <item x="820"/>
        <item x="1186"/>
        <item x="123"/>
        <item x="1829"/>
        <item x="1034"/>
        <item x="1470"/>
        <item x="1292"/>
        <item x="1168"/>
        <item x="1316"/>
        <item x="136"/>
        <item x="922"/>
        <item x="1364"/>
        <item x="71"/>
        <item x="1325"/>
        <item x="1566"/>
        <item x="1153"/>
        <item x="50"/>
        <item x="1646"/>
        <item x="2267"/>
        <item x="262"/>
        <item x="1779"/>
        <item x="1870"/>
        <item x="1431"/>
        <item x="1424"/>
        <item x="2070"/>
        <item x="415"/>
        <item x="392"/>
        <item x="1263"/>
        <item x="457"/>
        <item x="1425"/>
        <item x="832"/>
        <item x="2142"/>
        <item x="1219"/>
        <item x="1137"/>
        <item x="172"/>
        <item x="1565"/>
        <item x="1259"/>
        <item x="432"/>
        <item x="638"/>
        <item x="1393"/>
        <item x="1941"/>
        <item x="1277"/>
        <item x="554"/>
        <item x="945"/>
        <item x="1448"/>
        <item x="1592"/>
        <item x="739"/>
        <item x="111"/>
        <item x="232"/>
        <item x="687"/>
        <item x="2138"/>
        <item x="681"/>
        <item x="1195"/>
        <item x="2261"/>
        <item x="1055"/>
        <item x="1405"/>
        <item x="1703"/>
        <item x="1997"/>
        <item x="2010"/>
        <item x="864"/>
        <item x="691"/>
        <item x="596"/>
        <item x="1095"/>
        <item x="239"/>
        <item x="47"/>
        <item x="2180"/>
        <item x="2161"/>
        <item x="2079"/>
        <item x="1783"/>
        <item x="389"/>
        <item x="646"/>
        <item x="270"/>
        <item x="1676"/>
        <item x="2130"/>
        <item x="1043"/>
        <item x="1629"/>
        <item x="563"/>
        <item x="1446"/>
        <item x="1161"/>
        <item x="1917"/>
        <item x="782"/>
        <item x="598"/>
        <item x="436"/>
        <item x="2266"/>
        <item x="700"/>
        <item x="1254"/>
        <item x="166"/>
        <item x="2222"/>
        <item x="812"/>
        <item x="2215"/>
        <item x="1176"/>
        <item x="958"/>
        <item x="1061"/>
        <item x="2274"/>
        <item x="689"/>
        <item x="1898"/>
        <item x="999"/>
        <item x="1789"/>
        <item x="2082"/>
        <item x="218"/>
        <item x="1746"/>
        <item x="453"/>
        <item x="1624"/>
        <item x="701"/>
        <item x="536"/>
        <item x="2236"/>
        <item x="1545"/>
        <item x="1158"/>
        <item x="2240"/>
        <item x="1571"/>
        <item x="1423"/>
        <item x="1052"/>
        <item x="1856"/>
        <item x="1121"/>
        <item x="1342"/>
        <item x="2145"/>
        <item x="7"/>
        <item x="129"/>
        <item x="1338"/>
        <item x="251"/>
        <item x="2196"/>
        <item x="1770"/>
        <item x="2256"/>
        <item x="346"/>
        <item x="1445"/>
        <item x="727"/>
        <item x="60"/>
        <item x="109"/>
        <item x="555"/>
        <item x="1174"/>
        <item x="1106"/>
        <item x="1790"/>
        <item x="1670"/>
        <item x="1042"/>
        <item x="2133"/>
        <item x="1333"/>
        <item x="2073"/>
        <item x="361"/>
        <item x="378"/>
        <item x="1200"/>
        <item x="1119"/>
        <item x="1555"/>
        <item x="1013"/>
        <item x="180"/>
        <item x="916"/>
        <item x="1720"/>
        <item x="1293"/>
        <item x="1415"/>
        <item x="595"/>
        <item x="658"/>
        <item x="6"/>
        <item x="1878"/>
        <item x="1286"/>
        <item x="873"/>
        <item x="1574"/>
        <item x="709"/>
        <item x="901"/>
        <item x="717"/>
        <item x="142"/>
        <item x="1296"/>
        <item x="52"/>
        <item x="70"/>
        <item x="1514"/>
        <item x="212"/>
        <item x="1902"/>
        <item x="501"/>
        <item x="1194"/>
        <item x="512"/>
        <item x="336"/>
        <item x="676"/>
        <item x="174"/>
        <item x="2080"/>
        <item x="748"/>
        <item x="2247"/>
        <item x="1950"/>
        <item x="277"/>
        <item x="1523"/>
        <item x="157"/>
        <item x="39"/>
        <item x="867"/>
        <item x="1165"/>
        <item x="24"/>
        <item x="1867"/>
        <item x="497"/>
        <item x="1017"/>
        <item x="616"/>
        <item x="1468"/>
        <item x="287"/>
        <item x="377"/>
        <item x="1482"/>
        <item x="1734"/>
        <item x="227"/>
        <item x="248"/>
        <item x="1000"/>
        <item x="1140"/>
        <item x="1616"/>
        <item x="278"/>
        <item x="1858"/>
        <item x="952"/>
        <item x="307"/>
        <item x="1551"/>
        <item x="509"/>
        <item x="2246"/>
        <item x="612"/>
        <item x="1496"/>
        <item x="259"/>
        <item x="258"/>
        <item x="1836"/>
        <item x="1260"/>
        <item x="606"/>
        <item x="1537"/>
        <item x="1459"/>
        <item x="775"/>
        <item x="684"/>
        <item x="1647"/>
        <item x="1499"/>
        <item x="2123"/>
        <item x="1594"/>
        <item x="115"/>
        <item x="283"/>
        <item x="787"/>
        <item x="992"/>
        <item x="2207"/>
        <item x="720"/>
        <item x="573"/>
        <item x="947"/>
        <item x="2164"/>
        <item x="891"/>
        <item x="929"/>
        <item x="858"/>
        <item x="722"/>
        <item x="1897"/>
        <item x="1222"/>
        <item x="1475"/>
        <item x="1875"/>
        <item x="1356"/>
        <item x="183"/>
        <item x="2063"/>
        <item x="1517"/>
        <item x="1583"/>
        <item x="449"/>
        <item x="178"/>
        <item x="2260"/>
        <item x="667"/>
        <item x="1319"/>
        <item x="1379"/>
        <item x="1948"/>
        <item x="2061"/>
        <item x="1685"/>
        <item x="1143"/>
        <item x="269"/>
        <item x="159"/>
        <item x="276"/>
        <item x="1938"/>
        <item x="1661"/>
        <item x="2197"/>
        <item x="502"/>
        <item x="148"/>
        <item x="1553"/>
        <item x="1493"/>
        <item x="2121"/>
        <item x="1048"/>
        <item x="1800"/>
        <item x="1889"/>
        <item x="324"/>
        <item x="1457"/>
        <item x="1927"/>
        <item x="86"/>
        <item x="2087"/>
        <item x="1598"/>
        <item x="1382"/>
        <item x="2269"/>
        <item x="1123"/>
        <item x="520"/>
        <item x="1394"/>
        <item x="2221"/>
        <item x="1694"/>
        <item x="1189"/>
        <item x="550"/>
        <item x="1004"/>
        <item x="382"/>
        <item x="1166"/>
        <item x="823"/>
        <item x="1652"/>
        <item x="2214"/>
        <item x="356"/>
        <item x="943"/>
        <item x="1940"/>
        <item x="1022"/>
        <item x="1213"/>
        <item x="1730"/>
        <item x="446"/>
        <item x="1725"/>
        <item x="1278"/>
        <item x="2103"/>
        <item x="1367"/>
        <item x="379"/>
        <item x="789"/>
        <item x="238"/>
        <item x="2229"/>
        <item x="1723"/>
        <item x="1384"/>
        <item x="481"/>
        <item x="1712"/>
        <item x="284"/>
        <item x="1618"/>
        <item x="1965"/>
        <item x="1684"/>
        <item x="1547"/>
        <item x="1321"/>
        <item x="1833"/>
        <item x="503"/>
        <item x="210"/>
        <item x="1455"/>
        <item x="987"/>
        <item x="423"/>
        <item x="385"/>
        <item x="716"/>
        <item x="29"/>
        <item x="1904"/>
        <item x="1053"/>
        <item x="1398"/>
        <item x="899"/>
        <item x="1828"/>
        <item x="1383"/>
        <item x="1357"/>
        <item x="1062"/>
        <item x="1882"/>
        <item x="1754"/>
        <item x="1546"/>
        <item x="2028"/>
        <item x="577"/>
        <item x="750"/>
        <item x="1436"/>
        <item x="1611"/>
        <item x="1822"/>
        <item x="1669"/>
        <item x="1392"/>
        <item x="977"/>
        <item x="1209"/>
        <item x="1841"/>
        <item x="1361"/>
        <item x="92"/>
        <item x="1588"/>
        <item x="506"/>
        <item x="1082"/>
        <item x="231"/>
        <item x="736"/>
        <item x="2035"/>
        <item x="745"/>
        <item x="1933"/>
        <item x="1521"/>
        <item x="1215"/>
        <item x="1329"/>
        <item x="2053"/>
        <item x="2050"/>
        <item x="2205"/>
        <item x="1991"/>
        <item x="1500"/>
        <item x="8"/>
        <item x="1199"/>
        <item x="968"/>
        <item x="2201"/>
        <item x="1915"/>
        <item x="121"/>
        <item x="285"/>
        <item x="376"/>
        <item x="2065"/>
        <item x="604"/>
        <item x="1300"/>
        <item x="1885"/>
        <item x="1040"/>
        <item x="711"/>
        <item x="205"/>
        <item x="737"/>
        <item x="1528"/>
        <item x="1753"/>
        <item x="1951"/>
        <item x="995"/>
        <item x="2184"/>
        <item x="1388"/>
        <item x="225"/>
        <item x="539"/>
        <item x="698"/>
        <item x="267"/>
        <item x="1705"/>
        <item x="2147"/>
        <item x="805"/>
        <item x="660"/>
        <item x="826"/>
        <item x="1872"/>
        <item x="1636"/>
        <item x="790"/>
        <item x="1759"/>
        <item x="327"/>
        <item x="417"/>
        <item x="399"/>
        <item x="1664"/>
        <item x="2113"/>
        <item x="201"/>
        <item x="175"/>
        <item x="1"/>
        <item x="479"/>
        <item x="1509"/>
        <item x="2076"/>
        <item x="1505"/>
        <item x="1373"/>
        <item x="45"/>
        <item x="1577"/>
        <item x="1782"/>
        <item x="783"/>
        <item x="547"/>
        <item x="641"/>
        <item x="620"/>
        <item x="1602"/>
        <item x="923"/>
        <item x="870"/>
        <item x="139"/>
        <item x="10"/>
        <item x="802"/>
        <item x="2056"/>
        <item x="456"/>
        <item x="2052"/>
        <item x="1139"/>
        <item x="1658"/>
        <item x="1456"/>
        <item x="570"/>
        <item x="177"/>
        <item x="1752"/>
        <item x="320"/>
        <item x="1003"/>
        <item x="370"/>
        <item x="1981"/>
        <item x="1010"/>
        <item x="1118"/>
        <item x="420"/>
        <item x="332"/>
        <item x="419"/>
        <item x="1865"/>
        <item x="871"/>
        <item x="94"/>
        <item x="530"/>
        <item x="1390"/>
        <item x="1955"/>
        <item x="834"/>
        <item x="1905"/>
        <item x="1610"/>
        <item x="1345"/>
        <item x="1729"/>
        <item x="866"/>
        <item x="1227"/>
        <item x="1936"/>
        <item x="1065"/>
        <item x="1934"/>
        <item x="1944"/>
        <item x="2098"/>
        <item x="1804"/>
        <item x="822"/>
        <item x="1169"/>
        <item x="1956"/>
        <item x="800"/>
        <item x="1036"/>
        <item x="1008"/>
        <item x="1536"/>
        <item x="1454"/>
        <item x="468"/>
        <item x="705"/>
        <item x="1660"/>
        <item x="672"/>
        <item x="1619"/>
        <item x="652"/>
        <item x="2019"/>
        <item x="788"/>
        <item x="682"/>
        <item x="1403"/>
        <item x="1919"/>
        <item x="597"/>
        <item x="572"/>
        <item x="913"/>
        <item x="1131"/>
        <item x="2062"/>
        <item x="742"/>
        <item x="825"/>
        <item x="585"/>
        <item x="1138"/>
        <item x="77"/>
        <item x="1593"/>
        <item x="972"/>
        <item x="1561"/>
        <item x="1623"/>
        <item x="2128"/>
        <item x="707"/>
        <item x="1892"/>
        <item x="927"/>
        <item x="567"/>
        <item x="639"/>
        <item x="578"/>
        <item x="710"/>
        <item x="1197"/>
        <item x="2230"/>
        <item x="182"/>
        <item x="30"/>
        <item x="391"/>
        <item x="333"/>
        <item x="433"/>
        <item x="1589"/>
        <item x="659"/>
        <item x="500"/>
        <item x="2108"/>
        <item x="1349"/>
        <item x="1532"/>
        <item x="1607"/>
        <item x="2160"/>
        <item x="677"/>
        <item x="1550"/>
        <item x="2134"/>
        <item x="1327"/>
        <item x="99"/>
        <item x="1643"/>
        <item x="1097"/>
        <item x="1741"/>
        <item x="1486"/>
        <item x="1273"/>
        <item x="1315"/>
        <item x="740"/>
        <item x="1586"/>
        <item x="146"/>
        <item x="2116"/>
        <item x="394"/>
        <item x="1157"/>
        <item x="439"/>
        <item x="1786"/>
        <item x="1362"/>
        <item x="1297"/>
        <item x="347"/>
        <item x="2155"/>
        <item x="161"/>
        <item x="1177"/>
        <item x="482"/>
        <item x="1776"/>
        <item x="2029"/>
        <item x="814"/>
        <item x="300"/>
        <item x="1727"/>
        <item x="1066"/>
        <item x="1381"/>
        <item x="1891"/>
        <item x="23"/>
        <item x="469"/>
        <item x="552"/>
        <item x="1237"/>
        <item x="126"/>
        <item x="2194"/>
        <item x="1191"/>
        <item x="143"/>
        <item x="2037"/>
        <item x="599"/>
        <item x="2200"/>
        <item x="246"/>
        <item x="1220"/>
        <item x="1413"/>
        <item x="1988"/>
        <item x="898"/>
        <item x="1152"/>
        <item x="1416"/>
        <item x="341"/>
        <item x="2093"/>
        <item x="955"/>
        <item x="2157"/>
        <item x="1072"/>
        <item x="1681"/>
        <item x="1548"/>
        <item x="1050"/>
        <item x="1057"/>
        <item x="1307"/>
        <item x="1693"/>
        <item x="1793"/>
        <item x="2252"/>
        <item x="1101"/>
        <item x="371"/>
        <item x="835"/>
        <item x="1862"/>
        <item x="564"/>
        <item x="1513"/>
        <item x="381"/>
        <item x="149"/>
        <item x="492"/>
        <item x="1839"/>
        <item x="1698"/>
        <item x="1011"/>
        <item x="797"/>
        <item x="1709"/>
        <item x="1262"/>
        <item x="1433"/>
        <item x="1788"/>
        <item x="588"/>
        <item x="1491"/>
        <item x="1399"/>
        <item x="1060"/>
        <item x="208"/>
        <item x="1719"/>
        <item x="2204"/>
        <item x="2088"/>
        <item x="1122"/>
        <item x="2257"/>
        <item x="592"/>
        <item x="1079"/>
        <item x="438"/>
        <item x="1567"/>
        <item x="1275"/>
        <item x="2005"/>
        <item x="1732"/>
        <item x="626"/>
        <item x="1802"/>
        <item x="1070"/>
        <item x="1666"/>
        <item x="1552"/>
        <item x="1908"/>
        <item x="1310"/>
        <item x="2025"/>
        <item x="1086"/>
        <item x="2058"/>
        <item x="551"/>
        <item x="1187"/>
        <item x="1613"/>
        <item x="1391"/>
        <item x="293"/>
        <item x="418"/>
        <item x="1780"/>
        <item x="1896"/>
        <item x="1744"/>
        <item x="49"/>
        <item x="769"/>
        <item x="1968"/>
        <item x="1288"/>
        <item x="198"/>
        <item x="462"/>
        <item x="255"/>
        <item x="1702"/>
        <item x="1027"/>
        <item x="617"/>
        <item x="1089"/>
        <item x="15"/>
        <item x="935"/>
        <item x="1438"/>
        <item x="571"/>
        <item x="844"/>
        <item x="2170"/>
        <item x="1353"/>
        <item x="504"/>
        <item x="1412"/>
        <item x="854"/>
        <item x="1701"/>
        <item x="1334"/>
        <item x="679"/>
        <item x="82"/>
        <item x="187"/>
        <item x="1208"/>
        <item x="35"/>
        <item x="2176"/>
        <item x="537"/>
        <item x="1549"/>
        <item x="1820"/>
        <item x="1006"/>
        <item x="1621"/>
        <item x="1236"/>
        <item x="1035"/>
        <item x="760"/>
        <item x="1077"/>
        <item x="90"/>
        <item x="1025"/>
        <item x="1656"/>
        <item x="37"/>
        <item x="1966"/>
        <item x="107"/>
        <item x="1414"/>
        <item x="483"/>
        <item x="505"/>
        <item x="1302"/>
        <item x="1648"/>
        <item x="875"/>
        <item x="2249"/>
        <item x="591"/>
        <item x="1251"/>
        <item x="372"/>
        <item x="369"/>
        <item x="424"/>
        <item x="702"/>
        <item x="434"/>
        <item x="1193"/>
        <item x="685"/>
        <item x="829"/>
        <item x="72"/>
        <item x="1245"/>
        <item x="204"/>
        <item x="2104"/>
        <item x="2042"/>
        <item x="279"/>
        <item x="1996"/>
        <item x="804"/>
        <item x="1080"/>
        <item x="1284"/>
        <item x="1645"/>
        <item x="1370"/>
        <item x="2036"/>
        <item x="1171"/>
        <item x="1715"/>
        <item x="2135"/>
        <item x="1743"/>
        <item x="1745"/>
        <item x="1400"/>
        <item x="1748"/>
        <item x="1686"/>
        <item x="1683"/>
        <item x="850"/>
        <item x="265"/>
        <item x="1899"/>
        <item x="1876"/>
        <item x="2151"/>
        <item x="1526"/>
        <item x="2049"/>
        <item x="950"/>
        <item x="1247"/>
        <item x="334"/>
        <item x="4"/>
        <item x="1911"/>
        <item x="1564"/>
        <item x="224"/>
        <item x="1989"/>
        <item x="729"/>
        <item x="1894"/>
        <item x="271"/>
        <item x="1369"/>
        <item x="876"/>
        <item x="675"/>
        <item x="1142"/>
        <item x="2198"/>
        <item x="185"/>
        <item x="1797"/>
        <item x="1958"/>
        <item x="1837"/>
        <item x="2132"/>
        <item x="1990"/>
        <item x="110"/>
        <item x="643"/>
        <item x="1030"/>
        <item x="132"/>
        <item x="855"/>
        <item x="1810"/>
        <item x="144"/>
        <item x="1479"/>
        <item x="1834"/>
        <item x="84"/>
        <item x="2166"/>
        <item x="19"/>
        <item x="719"/>
        <item x="813"/>
        <item x="2112"/>
        <item x="2209"/>
        <item x="644"/>
        <item x="1883"/>
        <item x="104"/>
        <item x="521"/>
        <item x="1520"/>
        <item x="1819"/>
        <item x="1136"/>
        <item x="856"/>
        <item x="1762"/>
        <item x="1962"/>
        <item x="892"/>
        <item x="1308"/>
        <item x="1054"/>
        <item x="34"/>
        <item x="1679"/>
        <item x="795"/>
        <item x="2136"/>
        <item x="2039"/>
        <item x="1569"/>
        <item x="535"/>
        <item x="976"/>
        <item x="833"/>
        <item x="213"/>
        <item x="1608"/>
        <item x="344"/>
        <item x="1134"/>
        <item x="980"/>
        <item x="1276"/>
        <item x="202"/>
        <item x="1474"/>
        <item x="1359"/>
        <item x="1953"/>
        <item x="2264"/>
        <item x="1271"/>
        <item x="288"/>
        <item x="393"/>
        <item x="1983"/>
        <item x="2213"/>
        <item x="2208"/>
        <item x="2262"/>
        <item x="519"/>
        <item x="1127"/>
        <item x="1279"/>
        <item x="2126"/>
        <item x="718"/>
        <item x="1432"/>
        <item x="1125"/>
        <item x="810"/>
        <item x="2150"/>
        <item x="2077"/>
        <item x="1029"/>
        <item x="1860"/>
        <item x="1103"/>
        <item x="1678"/>
        <item x="1028"/>
        <item x="881"/>
        <item x="1094"/>
        <item x="2228"/>
        <item x="869"/>
        <item x="1250"/>
        <item x="1954"/>
        <item x="1838"/>
        <item x="1442"/>
        <item x="2084"/>
        <item x="680"/>
        <item x="1625"/>
        <item x="1928"/>
        <item x="167"/>
        <item x="1615"/>
        <item x="1402"/>
        <item x="1975"/>
        <item x="350"/>
        <item x="753"/>
        <item x="473"/>
        <item x="1463"/>
        <item x="429"/>
        <item x="1756"/>
        <item x="669"/>
        <item x="631"/>
        <item x="364"/>
        <item x="732"/>
        <item x="1309"/>
        <item x="1076"/>
        <item x="645"/>
        <item x="1360"/>
        <item x="1861"/>
        <item x="163"/>
        <item x="749"/>
        <item x="792"/>
        <item x="1525"/>
        <item x="112"/>
        <item x="1229"/>
        <item x="649"/>
        <item x="1218"/>
        <item x="1585"/>
        <item x="1440"/>
        <item x="1024"/>
        <item x="1320"/>
        <item x="85"/>
        <item x="1145"/>
        <item x="2124"/>
        <item x="1295"/>
        <item x="32"/>
        <item x="949"/>
        <item x="1352"/>
        <item x="1792"/>
        <item x="1710"/>
        <item x="946"/>
        <item x="496"/>
        <item x="1340"/>
        <item x="1554"/>
        <item x="244"/>
        <item x="2253"/>
        <item x="1887"/>
        <item x="1740"/>
        <item x="450"/>
        <item x="721"/>
        <item x="818"/>
        <item x="843"/>
        <item x="1688"/>
        <item x="1765"/>
        <item x="594"/>
        <item x="1339"/>
        <item x="1374"/>
        <item x="1192"/>
        <item x="1807"/>
        <item x="799"/>
        <item x="1764"/>
        <item x="1274"/>
        <item x="421"/>
        <item x="150"/>
        <item x="102"/>
        <item x="1714"/>
        <item x="602"/>
        <item x="1489"/>
        <item x="476"/>
        <item x="2179"/>
        <item x="2003"/>
        <item x="895"/>
        <item x="817"/>
        <item x="1961"/>
        <item x="390"/>
        <item x="713"/>
        <item x="1909"/>
        <item x="2149"/>
        <item x="2024"/>
        <item x="1994"/>
        <item x="2211"/>
        <item x="744"/>
        <item x="640"/>
        <item x="366"/>
        <item x="1417"/>
        <item x="516"/>
        <item x="145"/>
        <item x="1995"/>
        <item x="1272"/>
        <item x="1484"/>
        <item x="1420"/>
        <item x="477"/>
        <item x="1128"/>
        <item x="1832"/>
        <item x="2081"/>
        <item x="1736"/>
        <item x="1817"/>
        <item x="329"/>
        <item x="2224"/>
        <item x="1696"/>
        <item x="768"/>
        <item x="2127"/>
        <item x="1377"/>
        <item x="738"/>
        <item x="985"/>
        <item x="1074"/>
        <item x="1458"/>
        <item x="447"/>
        <item x="1401"/>
        <item x="404"/>
        <item x="254"/>
        <item x="559"/>
        <item x="525"/>
        <item x="1328"/>
        <item x="1821"/>
        <item x="776"/>
        <item x="1869"/>
        <item x="38"/>
        <item x="1016"/>
        <item x="134"/>
        <item x="2244"/>
        <item x="156"/>
        <item x="803"/>
        <item x="1347"/>
        <item x="957"/>
        <item x="1221"/>
        <item x="715"/>
        <item x="2012"/>
        <item x="455"/>
        <item x="2117"/>
        <item x="636"/>
        <item x="21"/>
        <item x="1332"/>
        <item x="1579"/>
        <item x="485"/>
        <item x="1601"/>
        <item x="2021"/>
        <item x="2057"/>
        <item x="1937"/>
        <item x="704"/>
        <item x="1243"/>
        <item x="1805"/>
        <item x="1914"/>
        <item x="1918"/>
        <item x="759"/>
        <item x="1037"/>
        <item x="87"/>
        <item x="1441"/>
        <item x="75"/>
        <item x="1009"/>
        <item x="316"/>
        <item x="2199"/>
        <item x="911"/>
        <item x="1428"/>
        <item x="1015"/>
        <item x="1196"/>
        <item x="984"/>
        <item x="546"/>
        <item x="466"/>
        <item x="1018"/>
        <item x="880"/>
        <item x="249"/>
        <item x="245"/>
        <item x="358"/>
        <item x="197"/>
        <item x="1972"/>
        <item x="240"/>
        <item x="510"/>
        <item x="915"/>
        <item x="1573"/>
        <item x="1159"/>
        <item x="2219"/>
        <item x="1539"/>
        <item x="1330"/>
        <item x="1640"/>
        <item x="451"/>
        <item x="540"/>
        <item x="1256"/>
        <item x="2192"/>
        <item x="910"/>
        <item x="1494"/>
        <item x="623"/>
        <item x="1460"/>
        <item x="1179"/>
        <item x="295"/>
        <item x="809"/>
        <item x="1449"/>
        <item x="1132"/>
        <item x="890"/>
        <item x="2152"/>
        <item x="637"/>
        <item x="806"/>
        <item x="1724"/>
        <item x="298"/>
        <item x="849"/>
        <item x="1711"/>
        <item x="914"/>
        <item x="837"/>
        <item x="847"/>
        <item x="1240"/>
        <item x="88"/>
        <item x="541"/>
        <item x="1534"/>
        <item x="932"/>
        <item x="252"/>
        <item x="1434"/>
        <item x="1397"/>
        <item x="400"/>
        <item x="2139"/>
        <item x="480"/>
        <item x="747"/>
        <item x="2091"/>
        <item x="1492"/>
        <item x="1238"/>
        <item x="1976"/>
        <item x="902"/>
        <item x="314"/>
        <item x="2034"/>
        <item x="55"/>
        <item x="862"/>
        <item x="1568"/>
        <item x="1501"/>
        <item x="695"/>
        <item x="1903"/>
        <item x="1331"/>
        <item x="2100"/>
        <item x="733"/>
        <item x="1769"/>
        <item x="796"/>
        <item x="171"/>
        <item x="1739"/>
        <item x="1700"/>
        <item x="427"/>
        <item x="1071"/>
        <item x="302"/>
        <item x="887"/>
        <item x="665"/>
        <item x="2033"/>
        <item x="63"/>
        <item x="1542"/>
        <item x="589"/>
        <item x="56"/>
        <item x="1672"/>
        <item x="868"/>
        <item x="2233"/>
        <item x="734"/>
        <item x="931"/>
        <item x="2202"/>
        <item x="1784"/>
        <item x="2026"/>
        <item x="162"/>
        <item x="963"/>
        <item x="1979"/>
        <item x="1049"/>
        <item x="1595"/>
        <item x="16"/>
        <item x="1726"/>
        <item x="1156"/>
        <item x="1535"/>
        <item x="944"/>
        <item x="1846"/>
        <item x="1823"/>
        <item x="1620"/>
        <item x="2143"/>
        <item x="195"/>
        <item x="1311"/>
        <item x="348"/>
        <item x="1518"/>
        <item x="1497"/>
        <item x="194"/>
        <item x="811"/>
        <item x="751"/>
        <item x="907"/>
        <item x="67"/>
        <item x="1650"/>
        <item x="836"/>
        <item x="441"/>
        <item x="414"/>
        <item x="587"/>
        <item x="1267"/>
        <item x="663"/>
        <item x="518"/>
        <item x="1115"/>
        <item x="2101"/>
        <item x="1692"/>
        <item x="1713"/>
        <item x="1691"/>
        <item x="96"/>
        <item x="241"/>
        <item x="1999"/>
        <item x="781"/>
        <item x="1538"/>
        <item x="98"/>
        <item x="1662"/>
        <item x="1389"/>
        <item x="319"/>
        <item x="1206"/>
        <item x="2119"/>
        <item x="2191"/>
        <item x="1925"/>
        <item x="97"/>
        <item x="1893"/>
        <item x="2183"/>
        <item x="1827"/>
        <item x="2171"/>
        <item x="1264"/>
        <item x="494"/>
        <item x="331"/>
        <item x="222"/>
        <item x="317"/>
        <item x="2051"/>
        <item x="2190"/>
        <item x="861"/>
        <item x="1680"/>
        <item x="138"/>
        <item x="1806"/>
        <item x="1444"/>
        <item x="507"/>
        <item x="448"/>
        <item x="1129"/>
        <item x="308"/>
        <item x="683"/>
        <item x="1164"/>
        <item x="558"/>
        <item x="522"/>
        <item x="2001"/>
        <item x="1964"/>
        <item x="2141"/>
        <item x="26"/>
        <item x="1540"/>
        <item x="2275"/>
        <item x="1926"/>
        <item x="1318"/>
        <item x="1480"/>
        <item x="1346"/>
        <item x="529"/>
        <item x="1068"/>
        <item x="2074"/>
        <item x="780"/>
        <item x="1026"/>
        <item x="247"/>
        <item x="642"/>
        <item x="2210"/>
        <item x="1844"/>
        <item x="784"/>
        <item x="409"/>
        <item x="2111"/>
        <item x="339"/>
        <item x="1614"/>
        <item x="1363"/>
        <item x="1541"/>
        <item x="951"/>
        <item x="511"/>
        <item x="1078"/>
        <item x="1758"/>
        <item x="2189"/>
        <item x="1886"/>
        <item x="1697"/>
        <item x="1204"/>
        <item x="1207"/>
        <item x="1630"/>
        <item x="1721"/>
        <item x="1798"/>
        <item x="1269"/>
        <item x="1223"/>
        <item x="1835"/>
        <item x="1575"/>
        <item x="1604"/>
        <item x="2186"/>
        <item x="841"/>
        <item x="116"/>
        <item x="1642"/>
        <item x="237"/>
        <item x="920"/>
        <item x="723"/>
        <item x="708"/>
        <item x="1064"/>
        <item x="978"/>
        <item x="561"/>
        <item x="1472"/>
        <item x="1826"/>
        <item x="1628"/>
        <item x="1111"/>
        <item x="2226"/>
        <item x="1665"/>
        <item x="1824"/>
        <item x="1450"/>
        <item x="1102"/>
        <item x="568"/>
        <item x="200"/>
        <item x="207"/>
        <item x="59"/>
        <item x="2060"/>
        <item x="475"/>
        <item x="848"/>
        <item x="1437"/>
        <item x="1667"/>
        <item x="493"/>
        <item x="904"/>
        <item x="827"/>
        <item x="2041"/>
        <item x="1002"/>
        <item x="1466"/>
        <item x="664"/>
        <item x="1225"/>
        <item x="2131"/>
        <item x="621"/>
        <item x="91"/>
        <item x="2078"/>
        <item x="761"/>
        <item x="290"/>
        <item x="1864"/>
        <item x="1258"/>
        <item x="1294"/>
        <item x="2007"/>
        <item x="543"/>
        <item x="20"/>
        <item x="1210"/>
        <item x="1857"/>
        <item x="1281"/>
        <item x="1368"/>
        <item x="2181"/>
        <item x="1638"/>
        <item x="229"/>
        <item x="532"/>
        <item x="2043"/>
        <item x="1230"/>
        <item x="1916"/>
        <item x="1167"/>
        <item x="289"/>
        <item x="991"/>
        <item x="1410"/>
        <item x="1935"/>
        <item x="924"/>
        <item x="928"/>
        <item x="1747"/>
        <item x="2239"/>
        <item x="2175"/>
        <item x="1673"/>
        <item x="2072"/>
        <item x="264"/>
        <item x="877"/>
        <item x="2137"/>
        <item x="1556"/>
        <item x="1750"/>
        <item x="1617"/>
        <item x="767"/>
        <item x="196"/>
        <item x="1871"/>
        <item x="1031"/>
        <item x="62"/>
        <item x="76"/>
        <item x="1046"/>
        <item x="1814"/>
        <item x="1787"/>
        <item x="1657"/>
        <item x="253"/>
        <item x="1879"/>
        <item x="1099"/>
        <item x="1421"/>
        <item x="51"/>
        <item x="1355"/>
        <item x="2188"/>
        <item x="2193"/>
        <item x="1085"/>
        <item x="294"/>
        <item x="937"/>
        <item x="1591"/>
        <item x="1816"/>
        <item x="1946"/>
        <item x="1108"/>
        <item x="1113"/>
        <item x="692"/>
        <item x="1163"/>
        <item x="2254"/>
        <item x="1842"/>
        <item x="1809"/>
        <item x="671"/>
        <item x="2250"/>
        <item x="852"/>
        <item x="1354"/>
        <item x="1341"/>
        <item x="1148"/>
        <item x="2251"/>
        <item x="5"/>
        <item x="1312"/>
        <item x="1093"/>
        <item x="2083"/>
        <item x="1059"/>
        <item x="889"/>
        <item x="1768"/>
        <item x="2129"/>
        <item x="939"/>
        <item x="1175"/>
        <item x="458"/>
        <item x="651"/>
        <item x="575"/>
        <item x="926"/>
        <item x="106"/>
        <item x="1967"/>
        <item x="2105"/>
        <item x="1092"/>
        <item x="1378"/>
        <item x="2114"/>
        <item x="1932"/>
        <item x="2125"/>
        <item x="2047"/>
        <item x="576"/>
        <item x="1957"/>
        <item x="221"/>
        <item x="499"/>
        <item x="80"/>
        <item x="586"/>
        <item x="1306"/>
        <item x="1939"/>
        <item x="1063"/>
        <item x="1922"/>
        <item x="778"/>
        <item x="1180"/>
        <item x="1901"/>
        <item x="1606"/>
        <item x="1774"/>
        <item x="2177"/>
        <item x="1775"/>
        <item x="1150"/>
        <item x="1469"/>
        <item x="2038"/>
        <item x="1380"/>
        <item x="465"/>
        <item x="2115"/>
        <item x="1467"/>
        <item x="900"/>
        <item x="1895"/>
        <item x="464"/>
        <item x="1322"/>
        <item x="1581"/>
        <item x="1270"/>
        <item x="1217"/>
        <item x="1087"/>
        <item x="1576"/>
        <item x="1987"/>
        <item x="1847"/>
        <item x="2020"/>
        <item x="824"/>
        <item x="2167"/>
        <item x="2110"/>
        <item x="1336"/>
        <item x="89"/>
        <item x="662"/>
        <item x="1422"/>
        <item x="703"/>
        <item x="193"/>
        <item x="897"/>
        <item x="1778"/>
        <item x="1978"/>
        <item x="1344"/>
        <item x="2009"/>
        <item x="1045"/>
        <item x="1188"/>
        <item x="1649"/>
        <item x="1668"/>
        <item x="203"/>
        <item x="79"/>
        <item x="2172"/>
        <item x="882"/>
        <item x="1130"/>
        <item x="1182"/>
        <item x="2237"/>
        <item x="2106"/>
        <item x="2195"/>
        <item x="1877"/>
        <item x="712"/>
        <item x="46"/>
        <item x="1282"/>
        <item x="1515"/>
        <item x="181"/>
        <item x="618"/>
        <item x="11"/>
        <item x="954"/>
        <item x="1091"/>
        <item x="1818"/>
        <item x="1641"/>
        <item x="580"/>
        <item x="1845"/>
        <item x="1731"/>
        <item x="2217"/>
        <item x="489"/>
        <item x="1154"/>
        <item x="128"/>
        <item x="1612"/>
        <item x="191"/>
        <item x="1751"/>
        <item x="627"/>
        <item x="40"/>
        <item x="865"/>
        <item x="263"/>
        <item x="1651"/>
        <item x="368"/>
        <item x="1851"/>
        <item x="1408"/>
        <item x="2168"/>
        <item x="1418"/>
        <item x="1173"/>
        <item x="1508"/>
        <item x="688"/>
        <item x="2169"/>
        <item x="491"/>
        <item x="1226"/>
        <item x="1051"/>
        <item x="1387"/>
        <item x="1038"/>
        <item x="513"/>
        <item x="686"/>
        <item x="452"/>
        <item x="830"/>
        <item x="1718"/>
        <item x="1766"/>
        <item x="934"/>
        <item x="2027"/>
        <item x="2259"/>
        <item x="1859"/>
        <item x="367"/>
        <item x="673"/>
        <item x="388"/>
        <item x="1596"/>
        <item x="215"/>
        <item x="1214"/>
        <item x="1314"/>
        <item x="1299"/>
        <item x="48"/>
        <item x="2118"/>
        <item x="964"/>
        <item x="1411"/>
        <item x="879"/>
        <item x="517"/>
        <item x="608"/>
        <item x="2271"/>
        <item x="1239"/>
        <item x="725"/>
        <item x="81"/>
        <item x="211"/>
        <item x="2097"/>
        <item x="179"/>
        <item x="699"/>
        <item x="1313"/>
        <item x="140"/>
        <item x="912"/>
        <item x="758"/>
        <item x="230"/>
        <item x="1633"/>
        <item x="1773"/>
        <item x="1235"/>
        <item x="158"/>
        <item x="1358"/>
        <item x="1971"/>
        <item x="1211"/>
        <item x="714"/>
        <item x="190"/>
        <item t="default"/>
      </items>
    </pivotField>
    <pivotField compact="0" showAll="0">
      <items count="961">
        <item x="205"/>
        <item x="146"/>
        <item x="445"/>
        <item x="477"/>
        <item x="273"/>
        <item x="214"/>
        <item x="920"/>
        <item x="657"/>
        <item x="348"/>
        <item x="634"/>
        <item x="876"/>
        <item x="408"/>
        <item x="36"/>
        <item x="423"/>
        <item x="531"/>
        <item x="652"/>
        <item x="17"/>
        <item x="324"/>
        <item x="295"/>
        <item x="278"/>
        <item x="416"/>
        <item x="908"/>
        <item x="357"/>
        <item x="651"/>
        <item x="693"/>
        <item x="117"/>
        <item x="362"/>
        <item x="494"/>
        <item x="184"/>
        <item x="434"/>
        <item x="43"/>
        <item x="804"/>
        <item x="457"/>
        <item x="345"/>
        <item x="342"/>
        <item x="875"/>
        <item x="595"/>
        <item x="836"/>
        <item x="158"/>
        <item x="207"/>
        <item x="380"/>
        <item x="175"/>
        <item x="355"/>
        <item x="298"/>
        <item x="315"/>
        <item x="325"/>
        <item x="755"/>
        <item x="360"/>
        <item x="215"/>
        <item x="429"/>
        <item x="923"/>
        <item x="209"/>
        <item x="41"/>
        <item x="703"/>
        <item x="768"/>
        <item x="573"/>
        <item x="617"/>
        <item x="12"/>
        <item x="828"/>
        <item x="937"/>
        <item x="101"/>
        <item x="106"/>
        <item x="334"/>
        <item x="154"/>
        <item x="535"/>
        <item x="701"/>
        <item x="485"/>
        <item x="944"/>
        <item x="771"/>
        <item x="554"/>
        <item x="351"/>
        <item x="9"/>
        <item x="740"/>
        <item x="907"/>
        <item x="850"/>
        <item x="516"/>
        <item x="476"/>
        <item x="66"/>
        <item x="544"/>
        <item x="178"/>
        <item x="895"/>
        <item x="116"/>
        <item x="532"/>
        <item x="438"/>
        <item x="300"/>
        <item x="399"/>
        <item x="492"/>
        <item x="585"/>
        <item x="621"/>
        <item x="433"/>
        <item x="724"/>
        <item x="213"/>
        <item x="367"/>
        <item x="354"/>
        <item x="220"/>
        <item x="13"/>
        <item x="393"/>
        <item x="435"/>
        <item x="712"/>
        <item x="316"/>
        <item x="406"/>
        <item x="143"/>
        <item x="173"/>
        <item x="820"/>
        <item x="328"/>
        <item x="265"/>
        <item x="359"/>
        <item x="914"/>
        <item x="612"/>
        <item x="764"/>
        <item x="830"/>
        <item x="153"/>
        <item x="952"/>
        <item x="276"/>
        <item x="474"/>
        <item x="798"/>
        <item x="72"/>
        <item x="899"/>
        <item x="515"/>
        <item x="808"/>
        <item x="2"/>
        <item x="468"/>
        <item x="198"/>
        <item x="61"/>
        <item x="491"/>
        <item x="251"/>
        <item x="234"/>
        <item x="590"/>
        <item x="483"/>
        <item x="306"/>
        <item x="597"/>
        <item x="397"/>
        <item x="33"/>
        <item x="629"/>
        <item x="904"/>
        <item x="387"/>
        <item x="333"/>
        <item x="711"/>
        <item x="700"/>
        <item x="54"/>
        <item x="451"/>
        <item x="577"/>
        <item x="255"/>
        <item x="114"/>
        <item x="221"/>
        <item x="344"/>
        <item x="69"/>
        <item x="25"/>
        <item x="570"/>
        <item x="587"/>
        <item x="841"/>
        <item x="748"/>
        <item x="649"/>
        <item x="327"/>
        <item x="618"/>
        <item x="233"/>
        <item x="611"/>
        <item x="932"/>
        <item x="750"/>
        <item x="304"/>
        <item x="247"/>
        <item x="201"/>
        <item x="401"/>
        <item x="426"/>
        <item x="616"/>
        <item x="536"/>
        <item x="757"/>
        <item x="950"/>
        <item x="628"/>
        <item x="57"/>
        <item x="241"/>
        <item x="449"/>
        <item x="332"/>
        <item x="42"/>
        <item x="58"/>
        <item x="421"/>
        <item x="18"/>
        <item x="792"/>
        <item x="305"/>
        <item x="728"/>
        <item x="53"/>
        <item x="765"/>
        <item x="44"/>
        <item x="155"/>
        <item x="246"/>
        <item x="164"/>
        <item x="111"/>
        <item x="922"/>
        <item x="632"/>
        <item x="64"/>
        <item x="290"/>
        <item x="569"/>
        <item x="493"/>
        <item x="145"/>
        <item x="732"/>
        <item x="142"/>
        <item x="379"/>
        <item x="490"/>
        <item x="263"/>
        <item x="827"/>
        <item x="115"/>
        <item x="77"/>
        <item x="245"/>
        <item x="322"/>
        <item x="574"/>
        <item x="576"/>
        <item x="545"/>
        <item x="801"/>
        <item x="161"/>
        <item x="446"/>
        <item x="866"/>
        <item x="900"/>
        <item x="580"/>
        <item x="73"/>
        <item x="707"/>
        <item x="463"/>
        <item x="480"/>
        <item x="268"/>
        <item x="444"/>
        <item x="927"/>
        <item x="281"/>
        <item x="230"/>
        <item x="0"/>
        <item x="469"/>
        <item x="934"/>
        <item x="259"/>
        <item x="910"/>
        <item x="252"/>
        <item x="301"/>
        <item x="659"/>
        <item x="28"/>
        <item x="231"/>
        <item x="786"/>
        <item x="267"/>
        <item x="643"/>
        <item x="287"/>
        <item x="802"/>
        <item x="297"/>
        <item x="815"/>
        <item x="369"/>
        <item x="622"/>
        <item x="955"/>
        <item x="663"/>
        <item x="594"/>
        <item x="203"/>
        <item x="280"/>
        <item x="486"/>
        <item x="458"/>
        <item x="82"/>
        <item x="553"/>
        <item x="637"/>
        <item x="92"/>
        <item x="427"/>
        <item x="139"/>
        <item x="364"/>
        <item x="648"/>
        <item x="27"/>
        <item x="505"/>
        <item x="442"/>
        <item x="517"/>
        <item x="299"/>
        <item x="378"/>
        <item x="68"/>
        <item x="420"/>
        <item x="239"/>
        <item x="824"/>
        <item x="308"/>
        <item x="498"/>
        <item x="752"/>
        <item x="928"/>
        <item x="269"/>
        <item x="883"/>
        <item x="759"/>
        <item x="473"/>
        <item x="867"/>
        <item x="317"/>
        <item x="455"/>
        <item x="682"/>
        <item x="470"/>
        <item x="244"/>
        <item x="640"/>
        <item x="734"/>
        <item x="722"/>
        <item x="647"/>
        <item x="341"/>
        <item x="193"/>
        <item x="424"/>
        <item x="94"/>
        <item x="131"/>
        <item x="126"/>
        <item x="279"/>
        <item x="840"/>
        <item x="339"/>
        <item x="945"/>
        <item x="253"/>
        <item x="440"/>
        <item x="565"/>
        <item x="50"/>
        <item x="400"/>
        <item x="150"/>
        <item x="685"/>
        <item x="271"/>
        <item x="689"/>
        <item x="123"/>
        <item x="200"/>
        <item x="272"/>
        <item x="903"/>
        <item x="890"/>
        <item x="683"/>
        <item x="260"/>
        <item x="919"/>
        <item x="592"/>
        <item x="926"/>
        <item x="103"/>
        <item x="869"/>
        <item x="717"/>
        <item x="439"/>
        <item x="47"/>
        <item x="886"/>
        <item x="715"/>
        <item x="858"/>
        <item x="825"/>
        <item x="680"/>
        <item x="933"/>
        <item x="293"/>
        <item x="947"/>
        <item x="561"/>
        <item x="791"/>
        <item x="31"/>
        <item x="22"/>
        <item x="14"/>
        <item x="338"/>
        <item x="829"/>
        <item x="65"/>
        <item x="676"/>
        <item x="3"/>
        <item x="292"/>
        <item x="667"/>
        <item x="466"/>
        <item x="837"/>
        <item x="70"/>
        <item x="337"/>
        <item x="898"/>
        <item x="370"/>
        <item x="525"/>
        <item x="877"/>
        <item x="243"/>
        <item x="889"/>
        <item x="296"/>
        <item x="129"/>
        <item x="109"/>
        <item x="542"/>
        <item x="953"/>
        <item x="954"/>
        <item x="854"/>
        <item x="388"/>
        <item x="159"/>
        <item x="916"/>
        <item x="598"/>
        <item x="806"/>
        <item x="650"/>
        <item x="725"/>
        <item x="555"/>
        <item x="549"/>
        <item x="156"/>
        <item x="343"/>
        <item x="121"/>
        <item x="347"/>
        <item x="520"/>
        <item x="484"/>
        <item x="671"/>
        <item x="756"/>
        <item x="249"/>
        <item x="225"/>
        <item x="735"/>
        <item x="135"/>
        <item x="144"/>
        <item x="730"/>
        <item x="171"/>
        <item x="472"/>
        <item x="881"/>
        <item x="776"/>
        <item x="502"/>
        <item x="631"/>
        <item x="321"/>
        <item x="600"/>
        <item x="665"/>
        <item x="190"/>
        <item x="363"/>
        <item x="489"/>
        <item x="777"/>
        <item x="784"/>
        <item x="6"/>
        <item x="673"/>
        <item x="495"/>
        <item x="533"/>
        <item x="320"/>
        <item x="136"/>
        <item x="769"/>
        <item x="119"/>
        <item x="694"/>
        <item x="99"/>
        <item x="196"/>
        <item x="807"/>
        <item x="395"/>
        <item x="288"/>
        <item x="39"/>
        <item x="7"/>
        <item x="888"/>
        <item x="503"/>
        <item x="751"/>
        <item x="24"/>
        <item x="579"/>
        <item x="719"/>
        <item x="318"/>
        <item x="125"/>
        <item x="415"/>
        <item x="60"/>
        <item x="514"/>
        <item x="727"/>
        <item x="147"/>
        <item x="733"/>
        <item x="941"/>
        <item x="52"/>
        <item x="127"/>
        <item x="248"/>
        <item x="560"/>
        <item x="510"/>
        <item x="630"/>
        <item x="826"/>
        <item x="564"/>
        <item x="326"/>
        <item x="658"/>
        <item x="130"/>
        <item x="162"/>
        <item x="120"/>
        <item x="698"/>
        <item x="235"/>
        <item x="194"/>
        <item x="705"/>
        <item x="376"/>
        <item x="185"/>
        <item x="891"/>
        <item x="790"/>
        <item x="475"/>
        <item x="803"/>
        <item x="905"/>
        <item x="410"/>
        <item x="773"/>
        <item x="653"/>
        <item x="795"/>
        <item x="931"/>
        <item x="822"/>
        <item x="817"/>
        <item x="29"/>
        <item x="313"/>
        <item x="107"/>
        <item x="372"/>
        <item x="861"/>
        <item x="541"/>
        <item x="706"/>
        <item x="218"/>
        <item x="893"/>
        <item x="593"/>
        <item x="212"/>
        <item x="464"/>
        <item x="217"/>
        <item x="202"/>
        <item x="639"/>
        <item x="811"/>
        <item x="282"/>
        <item x="319"/>
        <item x="747"/>
        <item x="793"/>
        <item x="527"/>
        <item x="232"/>
        <item x="375"/>
        <item x="137"/>
        <item x="518"/>
        <item x="386"/>
        <item x="112"/>
        <item x="284"/>
        <item x="98"/>
        <item x="412"/>
        <item x="381"/>
        <item x="168"/>
        <item x="335"/>
        <item x="371"/>
        <item x="519"/>
        <item x="929"/>
        <item x="781"/>
        <item x="664"/>
        <item x="277"/>
        <item x="149"/>
        <item x="672"/>
        <item x="256"/>
        <item x="716"/>
        <item x="901"/>
        <item x="140"/>
        <item x="1"/>
        <item x="766"/>
        <item x="913"/>
        <item x="675"/>
        <item x="507"/>
        <item x="411"/>
        <item x="242"/>
        <item x="85"/>
        <item x="93"/>
        <item x="656"/>
        <item x="599"/>
        <item x="821"/>
        <item x="407"/>
        <item x="166"/>
        <item x="208"/>
        <item x="8"/>
        <item x="45"/>
        <item x="165"/>
        <item x="731"/>
        <item x="538"/>
        <item x="349"/>
        <item x="614"/>
        <item x="529"/>
        <item x="151"/>
        <item x="133"/>
        <item x="189"/>
        <item x="736"/>
        <item x="754"/>
        <item x="831"/>
        <item x="141"/>
        <item x="10"/>
        <item x="669"/>
        <item x="170"/>
        <item x="762"/>
        <item x="720"/>
        <item x="814"/>
        <item x="646"/>
        <item x="849"/>
        <item x="812"/>
        <item x="447"/>
        <item x="524"/>
        <item x="604"/>
        <item x="946"/>
        <item x="350"/>
        <item x="454"/>
        <item x="772"/>
        <item x="497"/>
        <item x="583"/>
        <item x="409"/>
        <item x="780"/>
        <item x="654"/>
        <item x="558"/>
        <item x="270"/>
        <item x="389"/>
        <item x="641"/>
        <item x="352"/>
        <item x="81"/>
        <item x="254"/>
        <item x="605"/>
        <item x="302"/>
        <item x="566"/>
        <item x="688"/>
        <item x="562"/>
        <item x="186"/>
        <item x="118"/>
        <item x="91"/>
        <item x="240"/>
        <item x="223"/>
        <item x="450"/>
        <item x="704"/>
        <item x="138"/>
        <item x="626"/>
        <item x="709"/>
        <item x="534"/>
        <item x="742"/>
        <item x="30"/>
        <item x="943"/>
        <item x="816"/>
        <item x="34"/>
        <item x="437"/>
        <item x="314"/>
        <item x="76"/>
        <item x="864"/>
        <item x="366"/>
        <item x="788"/>
        <item x="436"/>
        <item x="262"/>
        <item x="163"/>
        <item x="956"/>
        <item x="385"/>
        <item x="833"/>
        <item x="188"/>
        <item x="847"/>
        <item x="312"/>
        <item x="23"/>
        <item x="496"/>
        <item x="459"/>
        <item x="852"/>
        <item x="285"/>
        <item x="365"/>
        <item x="482"/>
        <item x="853"/>
        <item x="572"/>
        <item x="699"/>
        <item x="418"/>
        <item x="537"/>
        <item x="330"/>
        <item x="250"/>
        <item x="89"/>
        <item x="192"/>
        <item x="4"/>
        <item x="49"/>
        <item x="644"/>
        <item x="460"/>
        <item x="823"/>
        <item x="110"/>
        <item x="633"/>
        <item x="71"/>
        <item x="122"/>
        <item x="35"/>
        <item x="229"/>
        <item x="353"/>
        <item x="176"/>
        <item x="67"/>
        <item x="860"/>
        <item x="100"/>
        <item x="844"/>
        <item x="692"/>
        <item x="32"/>
        <item x="575"/>
        <item x="526"/>
        <item x="394"/>
        <item x="462"/>
        <item x="478"/>
        <item x="105"/>
        <item x="183"/>
        <item x="603"/>
        <item x="331"/>
        <item x="83"/>
        <item x="552"/>
        <item x="84"/>
        <item x="206"/>
        <item x="951"/>
        <item x="108"/>
        <item x="855"/>
        <item x="361"/>
        <item x="467"/>
        <item x="465"/>
        <item x="859"/>
        <item x="286"/>
        <item x="37"/>
        <item x="428"/>
        <item x="197"/>
        <item x="613"/>
        <item x="291"/>
        <item x="323"/>
        <item x="504"/>
        <item x="702"/>
        <item x="911"/>
        <item x="238"/>
        <item x="949"/>
        <item x="396"/>
        <item x="358"/>
        <item x="805"/>
        <item x="743"/>
        <item x="636"/>
        <item x="868"/>
        <item x="610"/>
        <item x="681"/>
        <item x="275"/>
        <item x="522"/>
        <item x="608"/>
        <item x="865"/>
        <item x="540"/>
        <item x="718"/>
        <item x="174"/>
        <item x="857"/>
        <item x="403"/>
        <item x="16"/>
        <item x="329"/>
        <item x="551"/>
        <item x="266"/>
        <item x="511"/>
        <item x="796"/>
        <item x="894"/>
        <item x="398"/>
        <item x="172"/>
        <item x="422"/>
        <item x="661"/>
        <item x="915"/>
        <item x="488"/>
        <item x="942"/>
        <item x="430"/>
        <item x="737"/>
        <item x="102"/>
        <item x="373"/>
        <item x="160"/>
        <item x="391"/>
        <item x="309"/>
        <item x="873"/>
        <item x="813"/>
        <item x="930"/>
        <item x="902"/>
        <item x="582"/>
        <item x="714"/>
        <item x="303"/>
        <item x="307"/>
        <item x="283"/>
        <item x="261"/>
        <item x="782"/>
        <item x="789"/>
        <item x="763"/>
        <item x="925"/>
        <item x="15"/>
        <item x="157"/>
        <item x="940"/>
        <item x="745"/>
        <item x="729"/>
        <item x="767"/>
        <item x="921"/>
        <item x="191"/>
        <item x="783"/>
        <item x="846"/>
        <item x="56"/>
        <item x="19"/>
        <item x="770"/>
        <item x="779"/>
        <item x="887"/>
        <item x="441"/>
        <item x="567"/>
        <item x="586"/>
        <item x="431"/>
        <item x="539"/>
        <item x="63"/>
        <item x="356"/>
        <item x="543"/>
        <item x="501"/>
        <item x="294"/>
        <item x="55"/>
        <item x="274"/>
        <item x="797"/>
        <item x="668"/>
        <item x="392"/>
        <item x="336"/>
        <item x="38"/>
        <item x="655"/>
        <item x="761"/>
        <item x="128"/>
        <item x="96"/>
        <item x="918"/>
        <item x="86"/>
        <item x="619"/>
        <item x="481"/>
        <item x="443"/>
        <item x="413"/>
        <item x="645"/>
        <item x="697"/>
        <item x="746"/>
        <item x="26"/>
        <item x="506"/>
        <item x="563"/>
        <item x="340"/>
        <item x="774"/>
        <item x="556"/>
        <item x="528"/>
        <item x="222"/>
        <item x="346"/>
        <item x="97"/>
        <item x="419"/>
        <item x="739"/>
        <item x="936"/>
        <item x="662"/>
        <item x="588"/>
        <item x="568"/>
        <item x="530"/>
        <item x="851"/>
        <item x="368"/>
        <item x="917"/>
        <item x="132"/>
        <item x="760"/>
        <item x="453"/>
        <item x="152"/>
        <item x="601"/>
        <item x="226"/>
        <item x="938"/>
        <item x="874"/>
        <item x="635"/>
        <item x="224"/>
        <item x="509"/>
        <item x="856"/>
        <item x="838"/>
        <item x="59"/>
        <item x="557"/>
        <item x="602"/>
        <item x="228"/>
        <item x="264"/>
        <item x="237"/>
        <item x="87"/>
        <item x="21"/>
        <item x="559"/>
        <item x="571"/>
        <item x="684"/>
        <item x="880"/>
        <item x="775"/>
        <item x="216"/>
        <item x="642"/>
        <item x="227"/>
        <item x="620"/>
        <item x="879"/>
        <item x="204"/>
        <item x="842"/>
        <item x="738"/>
        <item x="878"/>
        <item x="181"/>
        <item x="487"/>
        <item x="432"/>
        <item x="713"/>
        <item x="547"/>
        <item x="862"/>
        <item x="690"/>
        <item x="584"/>
        <item x="461"/>
        <item x="182"/>
        <item x="839"/>
        <item x="74"/>
        <item x="179"/>
        <item x="414"/>
        <item x="95"/>
        <item x="819"/>
        <item x="679"/>
        <item x="258"/>
        <item x="749"/>
        <item x="79"/>
        <item x="219"/>
        <item x="924"/>
        <item x="591"/>
        <item x="686"/>
        <item x="448"/>
        <item x="818"/>
        <item x="425"/>
        <item x="885"/>
        <item x="384"/>
        <item x="835"/>
        <item x="500"/>
        <item x="113"/>
        <item x="845"/>
        <item x="638"/>
        <item x="289"/>
        <item x="696"/>
        <item x="405"/>
        <item x="848"/>
        <item x="758"/>
        <item x="210"/>
        <item x="20"/>
        <item x="607"/>
        <item x="958"/>
        <item x="624"/>
        <item x="939"/>
        <item x="404"/>
        <item x="896"/>
        <item x="660"/>
        <item x="834"/>
        <item x="596"/>
        <item x="382"/>
        <item x="691"/>
        <item x="499"/>
        <item x="180"/>
        <item x="578"/>
        <item x="627"/>
        <item x="589"/>
        <item x="75"/>
        <item x="169"/>
        <item x="623"/>
        <item x="257"/>
        <item x="678"/>
        <item x="884"/>
        <item x="456"/>
        <item x="794"/>
        <item x="48"/>
        <item x="832"/>
        <item x="187"/>
        <item x="40"/>
        <item x="799"/>
        <item x="104"/>
        <item x="871"/>
        <item x="311"/>
        <item x="897"/>
        <item x="88"/>
        <item x="402"/>
        <item x="548"/>
        <item x="513"/>
        <item x="452"/>
        <item x="615"/>
        <item x="90"/>
        <item x="195"/>
        <item x="695"/>
        <item x="390"/>
        <item x="521"/>
        <item x="948"/>
        <item x="62"/>
        <item x="710"/>
        <item x="550"/>
        <item x="785"/>
        <item x="906"/>
        <item x="383"/>
        <item x="912"/>
        <item x="800"/>
        <item x="5"/>
        <item x="46"/>
        <item x="374"/>
        <item x="957"/>
        <item x="78"/>
        <item x="609"/>
        <item x="778"/>
        <item x="892"/>
        <item x="625"/>
        <item x="377"/>
        <item x="882"/>
        <item x="666"/>
        <item x="310"/>
        <item x="51"/>
        <item x="872"/>
        <item x="134"/>
        <item x="670"/>
        <item x="863"/>
        <item x="677"/>
        <item x="236"/>
        <item x="708"/>
        <item x="11"/>
        <item x="810"/>
        <item x="870"/>
        <item x="674"/>
        <item x="721"/>
        <item x="959"/>
        <item x="471"/>
        <item x="935"/>
        <item x="753"/>
        <item x="787"/>
        <item x="687"/>
        <item x="809"/>
        <item x="843"/>
        <item x="479"/>
        <item x="417"/>
        <item x="606"/>
        <item x="124"/>
        <item x="546"/>
        <item x="523"/>
        <item x="148"/>
        <item x="723"/>
        <item x="199"/>
        <item x="726"/>
        <item x="167"/>
        <item x="909"/>
        <item x="512"/>
        <item x="744"/>
        <item x="177"/>
        <item x="508"/>
        <item x="581"/>
        <item x="80"/>
        <item x="211"/>
        <item x="741"/>
        <item t="default"/>
      </items>
    </pivotField>
    <pivotField compact="0" showAll="0">
      <items count="2259">
        <item x="1732"/>
        <item x="2015"/>
        <item x="1280"/>
        <item x="1261"/>
        <item x="2074"/>
        <item x="1400"/>
        <item x="1149"/>
        <item x="1879"/>
        <item x="2061"/>
        <item x="1867"/>
        <item x="2099"/>
        <item x="2014"/>
        <item x="1676"/>
        <item x="875"/>
        <item x="137"/>
        <item x="705"/>
        <item x="1114"/>
        <item x="686"/>
        <item x="1059"/>
        <item x="623"/>
        <item x="1871"/>
        <item x="930"/>
        <item x="2114"/>
        <item x="1072"/>
        <item x="704"/>
        <item x="530"/>
        <item x="1987"/>
        <item x="1880"/>
        <item x="865"/>
        <item x="2128"/>
        <item x="129"/>
        <item x="804"/>
        <item x="1738"/>
        <item x="1316"/>
        <item x="2051"/>
        <item x="529"/>
        <item x="789"/>
        <item x="663"/>
        <item x="439"/>
        <item x="2219"/>
        <item x="1708"/>
        <item x="1456"/>
        <item x="2186"/>
        <item x="597"/>
        <item x="601"/>
        <item x="371"/>
        <item x="1086"/>
        <item x="1393"/>
        <item x="1457"/>
        <item x="1419"/>
        <item x="736"/>
        <item x="827"/>
        <item x="1122"/>
        <item x="735"/>
        <item x="1739"/>
        <item x="1115"/>
        <item x="911"/>
        <item x="115"/>
        <item x="1109"/>
        <item x="98"/>
        <item x="2141"/>
        <item x="1639"/>
        <item x="1386"/>
        <item x="99"/>
        <item x="505"/>
        <item x="2209"/>
        <item x="15"/>
        <item x="1627"/>
        <item x="997"/>
        <item x="690"/>
        <item x="856"/>
        <item x="470"/>
        <item x="303"/>
        <item x="1124"/>
        <item x="899"/>
        <item x="993"/>
        <item x="1521"/>
        <item x="2167"/>
        <item x="186"/>
        <item x="815"/>
        <item x="1900"/>
        <item x="1950"/>
        <item x="751"/>
        <item x="474"/>
        <item x="151"/>
        <item x="1614"/>
        <item x="570"/>
        <item x="405"/>
        <item x="1514"/>
        <item x="2159"/>
        <item x="1862"/>
        <item x="39"/>
        <item x="611"/>
        <item x="318"/>
        <item x="1761"/>
        <item x="1478"/>
        <item x="636"/>
        <item x="1293"/>
        <item x="1613"/>
        <item x="589"/>
        <item x="1747"/>
        <item x="1087"/>
        <item x="1914"/>
        <item x="1959"/>
        <item x="392"/>
        <item x="301"/>
        <item x="232"/>
        <item x="425"/>
        <item x="2068"/>
        <item x="9"/>
        <item x="220"/>
        <item x="1651"/>
        <item x="1685"/>
        <item x="309"/>
        <item x="1769"/>
        <item x="231"/>
        <item x="359"/>
        <item x="628"/>
        <item x="1323"/>
        <item x="1006"/>
        <item x="64"/>
        <item x="1949"/>
        <item x="620"/>
        <item x="2138"/>
        <item x="1468"/>
        <item x="1251"/>
        <item x="2247"/>
        <item x="1624"/>
        <item x="759"/>
        <item x="1998"/>
        <item x="217"/>
        <item x="731"/>
        <item x="2143"/>
        <item x="953"/>
        <item x="1126"/>
        <item x="592"/>
        <item x="165"/>
        <item x="185"/>
        <item x="1365"/>
        <item x="1269"/>
        <item x="1937"/>
        <item x="946"/>
        <item x="1031"/>
        <item x="1214"/>
        <item x="1623"/>
        <item x="1476"/>
        <item x="2172"/>
        <item x="17"/>
        <item x="494"/>
        <item x="233"/>
        <item x="1815"/>
        <item x="966"/>
        <item x="306"/>
        <item x="1779"/>
        <item x="522"/>
        <item x="466"/>
        <item x="1838"/>
        <item x="1727"/>
        <item x="123"/>
        <item x="1518"/>
        <item x="1061"/>
        <item x="2163"/>
        <item x="1431"/>
        <item x="1636"/>
        <item x="593"/>
        <item x="574"/>
        <item x="2140"/>
        <item x="1011"/>
        <item x="1033"/>
        <item x="635"/>
        <item x="1896"/>
        <item x="511"/>
        <item x="450"/>
        <item x="1239"/>
        <item x="867"/>
        <item x="216"/>
        <item x="2103"/>
        <item x="1550"/>
        <item x="913"/>
        <item x="2077"/>
        <item x="955"/>
        <item x="697"/>
        <item x="1618"/>
        <item x="1832"/>
        <item x="1588"/>
        <item x="432"/>
        <item x="552"/>
        <item x="1444"/>
        <item x="1992"/>
        <item x="355"/>
        <item x="990"/>
        <item x="41"/>
        <item x="1499"/>
        <item x="1273"/>
        <item x="2216"/>
        <item x="2249"/>
        <item x="720"/>
        <item x="1463"/>
        <item x="457"/>
        <item x="462"/>
        <item x="1744"/>
        <item x="561"/>
        <item x="1910"/>
        <item x="117"/>
        <item x="225"/>
        <item x="544"/>
        <item x="838"/>
        <item x="413"/>
        <item x="858"/>
        <item x="2092"/>
        <item x="975"/>
        <item x="987"/>
        <item x="1706"/>
        <item x="1258"/>
        <item x="1195"/>
        <item x="1306"/>
        <item x="35"/>
        <item x="1817"/>
        <item x="482"/>
        <item x="538"/>
        <item x="149"/>
        <item x="2040"/>
        <item x="1494"/>
        <item x="1005"/>
        <item x="1406"/>
        <item x="665"/>
        <item x="236"/>
        <item x="648"/>
        <item x="2002"/>
        <item x="787"/>
        <item x="1902"/>
        <item x="685"/>
        <item x="1842"/>
        <item x="625"/>
        <item x="196"/>
        <item x="484"/>
        <item x="271"/>
        <item x="1340"/>
        <item x="297"/>
        <item x="2033"/>
        <item x="767"/>
        <item x="1728"/>
        <item x="1783"/>
        <item x="609"/>
        <item x="1926"/>
        <item x="698"/>
        <item x="2215"/>
        <item x="410"/>
        <item x="72"/>
        <item x="540"/>
        <item x="288"/>
        <item x="769"/>
        <item x="1789"/>
        <item x="132"/>
        <item x="1990"/>
        <item x="902"/>
        <item x="1554"/>
        <item x="369"/>
        <item x="762"/>
        <item x="773"/>
        <item x="2073"/>
        <item x="2016"/>
        <item x="183"/>
        <item x="455"/>
        <item x="1327"/>
        <item x="1836"/>
        <item x="619"/>
        <item x="63"/>
        <item x="379"/>
        <item x="1095"/>
        <item x="1075"/>
        <item x="1799"/>
        <item x="651"/>
        <item x="1570"/>
        <item x="1999"/>
        <item x="2"/>
        <item x="890"/>
        <item x="440"/>
        <item x="408"/>
        <item x="1745"/>
        <item x="702"/>
        <item x="847"/>
        <item x="1138"/>
        <item x="24"/>
        <item x="1132"/>
        <item x="1354"/>
        <item x="459"/>
        <item x="370"/>
        <item x="669"/>
        <item x="979"/>
        <item x="230"/>
        <item x="1502"/>
        <item x="1549"/>
        <item x="258"/>
        <item x="1666"/>
        <item x="2075"/>
        <item x="859"/>
        <item x="1467"/>
        <item x="307"/>
        <item x="1243"/>
        <item x="689"/>
        <item x="1460"/>
        <item x="750"/>
        <item x="1277"/>
        <item x="211"/>
        <item x="295"/>
        <item x="299"/>
        <item x="1173"/>
        <item x="1921"/>
        <item x="1534"/>
        <item x="964"/>
        <item x="1482"/>
        <item x="1191"/>
        <item x="1448"/>
        <item x="12"/>
        <item x="1247"/>
        <item x="1193"/>
        <item x="1935"/>
        <item x="215"/>
        <item x="486"/>
        <item x="2218"/>
        <item x="428"/>
        <item x="878"/>
        <item x="758"/>
        <item x="1420"/>
        <item x="380"/>
        <item x="954"/>
        <item x="952"/>
        <item x="1766"/>
        <item x="1774"/>
        <item x="1770"/>
        <item x="726"/>
        <item x="453"/>
        <item x="1503"/>
        <item x="1098"/>
        <item x="488"/>
        <item x="2054"/>
        <item x="1180"/>
        <item x="2149"/>
        <item x="1907"/>
        <item x="27"/>
        <item x="311"/>
        <item x="382"/>
        <item x="422"/>
        <item x="970"/>
        <item x="338"/>
        <item x="1647"/>
        <item x="1668"/>
        <item x="2199"/>
        <item x="1673"/>
        <item x="358"/>
        <item x="545"/>
        <item x="1579"/>
        <item x="1100"/>
        <item x="1108"/>
        <item x="76"/>
        <item x="2225"/>
        <item x="1337"/>
        <item x="13"/>
        <item x="1787"/>
        <item x="2029"/>
        <item x="1572"/>
        <item x="347"/>
        <item x="761"/>
        <item x="1282"/>
        <item x="1453"/>
        <item x="2119"/>
        <item x="341"/>
        <item x="302"/>
        <item x="121"/>
        <item x="770"/>
        <item x="1451"/>
        <item x="162"/>
        <item x="722"/>
        <item x="1800"/>
        <item x="1742"/>
        <item x="1562"/>
        <item x="2052"/>
        <item x="1175"/>
        <item x="2133"/>
        <item x="1275"/>
        <item x="1980"/>
        <item x="599"/>
        <item x="262"/>
        <item x="423"/>
        <item x="627"/>
        <item x="2008"/>
        <item x="169"/>
        <item x="1504"/>
        <item x="504"/>
        <item x="519"/>
        <item x="393"/>
        <item x="692"/>
        <item x="1877"/>
        <item x="148"/>
        <item x="556"/>
        <item x="790"/>
        <item x="974"/>
        <item x="292"/>
        <item x="356"/>
        <item x="928"/>
        <item x="2105"/>
        <item x="1410"/>
        <item x="91"/>
        <item x="1238"/>
        <item x="239"/>
        <item x="661"/>
        <item x="821"/>
        <item x="1148"/>
        <item x="491"/>
        <item x="1417"/>
        <item x="1597"/>
        <item x="1498"/>
        <item x="1752"/>
        <item x="177"/>
        <item x="383"/>
        <item x="493"/>
        <item x="1601"/>
        <item x="742"/>
        <item x="1552"/>
        <item x="558"/>
        <item x="1697"/>
        <item x="52"/>
        <item x="1855"/>
        <item x="1288"/>
        <item x="1780"/>
        <item x="1544"/>
        <item x="1234"/>
        <item x="2254"/>
        <item x="879"/>
        <item x="817"/>
        <item x="2229"/>
        <item x="1363"/>
        <item x="1974"/>
        <item x="1629"/>
        <item x="2079"/>
        <item x="1435"/>
        <item x="67"/>
        <item x="1465"/>
        <item x="1168"/>
        <item x="240"/>
        <item x="1360"/>
        <item x="2082"/>
        <item x="224"/>
        <item x="1421"/>
        <item x="579"/>
        <item x="1218"/>
        <item x="430"/>
        <item x="976"/>
        <item x="1312"/>
        <item x="1892"/>
        <item x="1440"/>
        <item x="1117"/>
        <item x="1378"/>
        <item x="652"/>
        <item x="869"/>
        <item x="782"/>
        <item x="106"/>
        <item x="2183"/>
        <item x="308"/>
        <item x="1784"/>
        <item x="963"/>
        <item x="1224"/>
        <item x="395"/>
        <item x="1387"/>
        <item x="915"/>
        <item x="1919"/>
        <item x="1344"/>
        <item x="1313"/>
        <item x="223"/>
        <item x="1555"/>
        <item x="62"/>
        <item x="101"/>
        <item x="1474"/>
        <item x="161"/>
        <item x="1696"/>
        <item x="467"/>
        <item x="2053"/>
        <item x="1785"/>
        <item x="938"/>
        <item x="1958"/>
        <item x="71"/>
        <item x="2142"/>
        <item x="1397"/>
        <item x="1911"/>
        <item x="268"/>
        <item x="2025"/>
        <item x="1145"/>
        <item x="1426"/>
        <item x="324"/>
        <item x="300"/>
        <item x="434"/>
        <item x="415"/>
        <item x="1645"/>
        <item x="880"/>
        <item x="534"/>
        <item x="463"/>
        <item x="1802"/>
        <item x="967"/>
        <item x="352"/>
        <item x="527"/>
        <item x="1394"/>
        <item x="881"/>
        <item x="682"/>
        <item x="1325"/>
        <item x="167"/>
        <item x="257"/>
        <item x="2227"/>
        <item x="981"/>
        <item x="394"/>
        <item x="2127"/>
        <item x="2060"/>
        <item x="596"/>
        <item x="524"/>
        <item x="427"/>
        <item x="768"/>
        <item x="2202"/>
        <item x="1840"/>
        <item x="2185"/>
        <item x="1830"/>
        <item x="1264"/>
        <item x="1089"/>
        <item x="1945"/>
        <item x="1479"/>
        <item x="2078"/>
        <item x="1174"/>
        <item x="1510"/>
        <item x="794"/>
        <item x="1162"/>
        <item x="1723"/>
        <item x="322"/>
        <item x="1152"/>
        <item x="1595"/>
        <item x="1101"/>
        <item x="2124"/>
        <item x="935"/>
        <item x="586"/>
        <item x="407"/>
        <item x="1973"/>
        <item x="146"/>
        <item x="1515"/>
        <item x="610"/>
        <item x="748"/>
        <item x="1566"/>
        <item x="941"/>
        <item x="811"/>
        <item x="1160"/>
        <item x="2069"/>
        <item x="1141"/>
        <item x="1376"/>
        <item x="1361"/>
        <item x="1861"/>
        <item x="775"/>
        <item x="2244"/>
        <item x="510"/>
        <item x="1004"/>
        <item x="1231"/>
        <item x="1582"/>
        <item x="283"/>
        <item x="253"/>
        <item x="1553"/>
        <item x="962"/>
        <item x="523"/>
        <item x="643"/>
        <item x="270"/>
        <item x="1591"/>
        <item x="1424"/>
        <item x="1890"/>
        <item x="578"/>
        <item x="778"/>
        <item x="1932"/>
        <item x="333"/>
        <item x="56"/>
        <item x="549"/>
        <item x="206"/>
        <item x="203"/>
        <item x="189"/>
        <item x="1733"/>
        <item x="727"/>
        <item x="630"/>
        <item x="1989"/>
        <item x="1418"/>
        <item x="1256"/>
        <item x="256"/>
        <item x="1985"/>
        <item x="1366"/>
        <item x="968"/>
        <item x="812"/>
        <item x="1626"/>
        <item x="404"/>
        <item x="2129"/>
        <item x="2090"/>
        <item x="1520"/>
        <item x="1353"/>
        <item x="81"/>
        <item x="934"/>
        <item x="1232"/>
        <item x="279"/>
        <item x="553"/>
        <item x="170"/>
        <item x="836"/>
        <item x="903"/>
        <item x="1966"/>
        <item x="1851"/>
        <item x="2132"/>
        <item x="160"/>
        <item x="1796"/>
        <item x="1996"/>
        <item x="73"/>
        <item x="252"/>
        <item x="1242"/>
        <item x="982"/>
        <item x="737"/>
        <item x="1970"/>
        <item x="1032"/>
        <item x="2131"/>
        <item x="1039"/>
        <item x="2072"/>
        <item x="1454"/>
        <item x="541"/>
        <item x="988"/>
        <item x="107"/>
        <item x="693"/>
        <item x="314"/>
        <item x="958"/>
        <item x="888"/>
        <item x="607"/>
        <item x="912"/>
        <item x="1901"/>
        <item x="120"/>
        <item x="26"/>
        <item x="766"/>
        <item x="960"/>
        <item x="1695"/>
        <item x="2031"/>
        <item x="280"/>
        <item x="1067"/>
        <item x="2030"/>
        <item x="2251"/>
        <item x="501"/>
        <item x="577"/>
        <item x="1103"/>
        <item x="172"/>
        <item x="900"/>
        <item x="1903"/>
        <item x="1523"/>
        <item x="1437"/>
        <item x="1865"/>
        <item x="2158"/>
        <item x="337"/>
        <item x="803"/>
        <item x="133"/>
        <item x="1655"/>
        <item x="2253"/>
        <item x="1255"/>
        <item x="1203"/>
        <item x="317"/>
        <item x="1662"/>
        <item x="949"/>
        <item x="1245"/>
        <item x="887"/>
        <item x="156"/>
        <item x="892"/>
        <item x="841"/>
        <item x="1635"/>
        <item x="933"/>
        <item x="1469"/>
        <item x="995"/>
        <item x="180"/>
        <item x="1079"/>
        <item x="1841"/>
        <item x="1390"/>
        <item x="2144"/>
        <item x="1048"/>
        <item x="2226"/>
        <item x="2238"/>
        <item x="147"/>
        <item x="2211"/>
        <item x="1358"/>
        <item x="672"/>
        <item x="2154"/>
        <item x="1267"/>
        <item x="1430"/>
        <item x="1281"/>
        <item x="2085"/>
        <item x="951"/>
        <item x="143"/>
        <item x="808"/>
        <item x="40"/>
        <item x="1823"/>
        <item x="1801"/>
        <item x="559"/>
        <item x="1318"/>
        <item x="1279"/>
        <item x="1490"/>
        <item x="59"/>
        <item x="93"/>
        <item x="656"/>
        <item x="264"/>
        <item x="2190"/>
        <item x="1081"/>
        <item x="254"/>
        <item x="1715"/>
        <item x="1750"/>
        <item x="30"/>
        <item x="1414"/>
        <item x="2200"/>
        <item x="999"/>
        <item x="1111"/>
        <item x="645"/>
        <item x="512"/>
        <item x="1314"/>
        <item x="420"/>
        <item x="2007"/>
        <item x="1012"/>
        <item x="1107"/>
        <item x="1768"/>
        <item x="181"/>
        <item x="991"/>
        <item x="753"/>
        <item x="718"/>
        <item x="1962"/>
        <item x="531"/>
        <item x="1202"/>
        <item x="1952"/>
        <item x="1938"/>
        <item x="403"/>
        <item x="480"/>
        <item x="1513"/>
        <item x="2170"/>
        <item x="897"/>
        <item x="650"/>
        <item x="755"/>
        <item x="580"/>
        <item x="1062"/>
        <item x="336"/>
        <item x="2205"/>
        <item x="2224"/>
        <item x="1287"/>
        <item x="350"/>
        <item x="14"/>
        <item x="51"/>
        <item x="1705"/>
        <item x="112"/>
        <item x="1183"/>
        <item x="1385"/>
        <item x="959"/>
        <item x="662"/>
        <item x="2056"/>
        <item x="1205"/>
        <item x="55"/>
        <item x="1091"/>
        <item x="222"/>
        <item x="1096"/>
        <item x="90"/>
        <item x="340"/>
        <item x="2165"/>
        <item x="1827"/>
        <item x="849"/>
        <item x="605"/>
        <item x="377"/>
        <item x="1782"/>
        <item x="326"/>
        <item x="566"/>
        <item x="419"/>
        <item x="724"/>
        <item x="677"/>
        <item x="1222"/>
        <item x="828"/>
        <item x="321"/>
        <item x="173"/>
        <item x="1105"/>
        <item x="1854"/>
        <item x="1535"/>
        <item x="1948"/>
        <item x="1563"/>
        <item x="19"/>
        <item x="647"/>
        <item x="595"/>
        <item x="468"/>
        <item x="1135"/>
        <item x="1014"/>
        <item x="1112"/>
        <item x="2003"/>
        <item x="66"/>
        <item x="361"/>
        <item x="1646"/>
        <item x="591"/>
        <item x="684"/>
        <item x="2151"/>
        <item x="615"/>
        <item x="614"/>
        <item x="1791"/>
        <item x="2246"/>
        <item x="1675"/>
        <item x="1680"/>
        <item x="320"/>
        <item x="1585"/>
        <item x="569"/>
        <item x="456"/>
        <item x="150"/>
        <item x="1968"/>
        <item x="21"/>
        <item x="671"/>
        <item x="1013"/>
        <item x="1934"/>
        <item x="2050"/>
        <item x="1221"/>
        <item x="331"/>
        <item x="1665"/>
        <item x="1873"/>
        <item x="353"/>
        <item x="175"/>
        <item x="1756"/>
        <item x="1818"/>
        <item x="1913"/>
        <item x="1396"/>
        <item x="1760"/>
        <item x="373"/>
        <item x="1357"/>
        <item x="139"/>
        <item x="1305"/>
        <item x="1338"/>
        <item x="1650"/>
        <item x="229"/>
        <item x="1217"/>
        <item x="409"/>
        <item x="191"/>
        <item x="351"/>
        <item x="1856"/>
        <item x="116"/>
        <item x="1015"/>
        <item x="2242"/>
        <item x="986"/>
        <item x="1631"/>
        <item x="624"/>
        <item x="443"/>
        <item x="1315"/>
        <item x="118"/>
        <item x="119"/>
        <item x="398"/>
        <item x="247"/>
        <item x="676"/>
        <item x="483"/>
        <item x="2122"/>
        <item x="68"/>
        <item x="1920"/>
        <item x="1065"/>
        <item x="1930"/>
        <item x="687"/>
        <item x="1590"/>
        <item x="1317"/>
        <item x="1462"/>
        <item x="1185"/>
        <item x="1691"/>
        <item x="2104"/>
        <item x="1878"/>
        <item x="562"/>
        <item x="1150"/>
        <item x="111"/>
        <item x="520"/>
        <item x="2204"/>
        <item x="1972"/>
        <item x="642"/>
        <item x="1638"/>
        <item x="1192"/>
        <item x="2130"/>
        <item x="1933"/>
        <item x="2044"/>
        <item x="1047"/>
        <item x="907"/>
        <item x="265"/>
        <item x="103"/>
        <item x="464"/>
        <item x="1963"/>
        <item x="250"/>
        <item x="2207"/>
        <item x="1263"/>
        <item x="989"/>
        <item x="1869"/>
        <item x="712"/>
        <item x="1594"/>
        <item x="1035"/>
        <item x="1976"/>
        <item x="1714"/>
        <item x="1395"/>
        <item x="1236"/>
        <item x="1171"/>
        <item x="184"/>
        <item x="1775"/>
        <item x="497"/>
        <item x="1382"/>
        <item x="214"/>
        <item x="287"/>
        <item x="573"/>
        <item x="125"/>
        <item x="2231"/>
        <item x="400"/>
        <item x="255"/>
        <item x="1558"/>
        <item x="437"/>
        <item x="1698"/>
        <item x="376"/>
        <item x="272"/>
        <item x="113"/>
        <item x="498"/>
        <item x="581"/>
        <item x="2243"/>
        <item x="293"/>
        <item x="305"/>
        <item x="834"/>
        <item x="1888"/>
        <item x="925"/>
        <item x="58"/>
        <item x="1189"/>
        <item x="1472"/>
        <item x="1339"/>
        <item x="1541"/>
        <item x="1209"/>
        <item x="1619"/>
        <item x="1870"/>
        <item x="1575"/>
        <item x="144"/>
        <item x="388"/>
        <item x="263"/>
        <item x="816"/>
        <item x="155"/>
        <item x="1177"/>
        <item x="1858"/>
        <item x="2118"/>
        <item x="1564"/>
        <item x="1297"/>
        <item x="84"/>
        <item x="32"/>
        <item x="1445"/>
        <item x="565"/>
        <item x="378"/>
        <item x="680"/>
        <item x="1265"/>
        <item x="1953"/>
        <item x="1684"/>
        <item x="1176"/>
        <item x="2001"/>
        <item x="980"/>
        <item x="818"/>
        <item x="131"/>
        <item x="575"/>
        <item x="2222"/>
        <item x="2070"/>
        <item x="2086"/>
        <item x="1332"/>
        <item x="696"/>
        <item x="1729"/>
        <item x="441"/>
        <item x="1143"/>
        <item x="1994"/>
        <item x="1164"/>
        <item x="1283"/>
        <item x="606"/>
        <item x="1294"/>
        <item x="641"/>
        <item x="2111"/>
        <item x="673"/>
        <item x="1336"/>
        <item x="1511"/>
        <item x="412"/>
        <item x="831"/>
        <item x="1491"/>
        <item x="784"/>
        <item x="1843"/>
        <item x="1679"/>
        <item x="1443"/>
        <item x="269"/>
        <item x="717"/>
        <item x="1110"/>
        <item x="2187"/>
        <item x="2039"/>
        <item x="2182"/>
        <item x="1693"/>
        <item x="278"/>
        <item x="1897"/>
        <item x="2257"/>
        <item x="1551"/>
        <item x="732"/>
        <item x="1240"/>
        <item x="716"/>
        <item x="1276"/>
        <item x="329"/>
        <item x="1709"/>
        <item x="1270"/>
        <item x="0"/>
        <item x="1291"/>
        <item x="560"/>
        <item x="433"/>
        <item x="781"/>
        <item x="835"/>
        <item x="1027"/>
        <item x="1621"/>
        <item x="122"/>
        <item x="1505"/>
        <item x="948"/>
        <item x="2189"/>
        <item x="1689"/>
        <item x="1522"/>
        <item x="1188"/>
        <item x="1137"/>
        <item x="2081"/>
        <item x="1616"/>
        <item x="2196"/>
        <item x="654"/>
        <item x="1206"/>
        <item x="3"/>
        <item x="1574"/>
        <item x="1710"/>
        <item x="1519"/>
        <item x="1026"/>
        <item x="1022"/>
        <item x="801"/>
        <item x="1837"/>
        <item x="399"/>
        <item x="985"/>
        <item x="1736"/>
        <item x="633"/>
        <item x="1129"/>
        <item x="1190"/>
        <item x="1181"/>
        <item x="7"/>
        <item x="2041"/>
        <item x="1495"/>
        <item x="42"/>
        <item x="1487"/>
        <item x="75"/>
        <item x="1244"/>
        <item x="1374"/>
        <item x="2120"/>
        <item x="1268"/>
        <item x="853"/>
        <item x="349"/>
        <item x="2146"/>
        <item x="1536"/>
        <item x="2117"/>
        <item x="1538"/>
        <item x="1543"/>
        <item x="171"/>
        <item x="893"/>
        <item x="1024"/>
        <item x="1092"/>
        <item x="18"/>
        <item x="1375"/>
        <item x="983"/>
        <item x="2048"/>
        <item x="905"/>
        <item x="612"/>
        <item x="449"/>
        <item x="50"/>
        <item x="833"/>
        <item x="1492"/>
        <item x="2013"/>
        <item x="1819"/>
        <item x="2156"/>
        <item x="824"/>
        <item x="276"/>
        <item x="895"/>
        <item x="1528"/>
        <item x="2239"/>
        <item x="1480"/>
        <item x="873"/>
        <item x="629"/>
        <item x="1328"/>
        <item x="1508"/>
        <item x="1156"/>
        <item x="1155"/>
        <item x="273"/>
        <item x="854"/>
        <item x="842"/>
        <item x="1223"/>
        <item x="1759"/>
        <item x="1576"/>
        <item x="1310"/>
        <item x="1872"/>
        <item x="1610"/>
        <item x="1009"/>
        <item x="542"/>
        <item x="772"/>
        <item x="2214"/>
        <item x="1580"/>
        <item x="126"/>
        <item x="2049"/>
        <item x="442"/>
        <item x="334"/>
        <item x="1828"/>
        <item x="798"/>
        <item x="1927"/>
        <item x="1726"/>
        <item x="588"/>
        <item x="1816"/>
        <item x="1496"/>
        <item x="1161"/>
        <item x="723"/>
        <item x="1003"/>
        <item x="166"/>
        <item x="1885"/>
        <item x="102"/>
        <item x="1074"/>
        <item x="1661"/>
        <item x="837"/>
        <item x="1054"/>
        <item x="810"/>
        <item x="319"/>
        <item x="1806"/>
        <item x="749"/>
        <item x="508"/>
        <item x="739"/>
        <item x="916"/>
        <item x="194"/>
        <item x="1212"/>
        <item x="1978"/>
        <item x="1512"/>
        <item x="153"/>
        <item x="1131"/>
        <item x="69"/>
        <item x="2066"/>
        <item x="655"/>
        <item x="2236"/>
        <item x="829"/>
        <item x="992"/>
        <item x="1826"/>
        <item x="127"/>
        <item x="608"/>
        <item x="1682"/>
        <item x="1497"/>
        <item x="1849"/>
        <item x="1537"/>
        <item x="2100"/>
        <item x="1984"/>
        <item x="752"/>
        <item x="2055"/>
        <item x="860"/>
        <item x="1296"/>
        <item x="1844"/>
        <item x="1820"/>
        <item x="1540"/>
        <item x="1352"/>
        <item x="282"/>
        <item x="746"/>
        <item x="1423"/>
        <item x="109"/>
        <item x="2019"/>
        <item x="617"/>
        <item x="779"/>
        <item x="182"/>
        <item x="1002"/>
        <item x="2255"/>
        <item x="357"/>
        <item x="1608"/>
        <item x="1040"/>
        <item x="701"/>
        <item x="855"/>
        <item x="644"/>
        <item x="2058"/>
        <item x="568"/>
        <item x="499"/>
        <item x="213"/>
        <item x="436"/>
        <item x="445"/>
        <item x="1477"/>
        <item x="1701"/>
        <item x="2230"/>
        <item x="1547"/>
        <item x="29"/>
        <item x="479"/>
        <item x="765"/>
        <item x="1134"/>
        <item x="1371"/>
        <item x="1718"/>
        <item x="1667"/>
        <item x="2241"/>
        <item x="49"/>
        <item x="1438"/>
        <item x="1724"/>
        <item x="2106"/>
        <item x="1860"/>
        <item x="339"/>
        <item x="639"/>
        <item x="2208"/>
        <item x="1058"/>
        <item x="1147"/>
        <item x="163"/>
        <item x="2177"/>
        <item x="23"/>
        <item x="277"/>
        <item x="374"/>
        <item x="603"/>
        <item x="1711"/>
        <item x="22"/>
        <item x="1931"/>
        <item x="1942"/>
        <item x="1034"/>
        <item x="1722"/>
        <item x="533"/>
        <item x="814"/>
        <item x="429"/>
        <item x="281"/>
        <item x="1561"/>
        <item x="1725"/>
        <item x="1102"/>
        <item x="8"/>
        <item x="1044"/>
        <item x="2046"/>
        <item x="969"/>
        <item x="2107"/>
        <item x="602"/>
        <item x="202"/>
        <item x="1917"/>
        <item x="756"/>
        <item x="1923"/>
        <item x="795"/>
        <item x="195"/>
        <item x="584"/>
        <item x="567"/>
        <item x="1449"/>
        <item x="2045"/>
        <item x="1846"/>
        <item x="1404"/>
        <item x="2000"/>
        <item x="1319"/>
        <item x="653"/>
        <item x="2037"/>
        <item x="1821"/>
        <item x="209"/>
        <item x="1439"/>
        <item x="1874"/>
        <item x="1939"/>
        <item x="332"/>
        <item x="1545"/>
        <item x="809"/>
        <item x="1151"/>
        <item x="6"/>
        <item x="1578"/>
        <item x="1286"/>
        <item x="1672"/>
        <item x="1399"/>
        <item x="1771"/>
        <item x="1073"/>
        <item x="733"/>
        <item x="1446"/>
        <item x="1036"/>
        <item x="2206"/>
        <item x="679"/>
        <item x="1683"/>
        <item x="36"/>
        <item x="1415"/>
        <item x="138"/>
        <item x="786"/>
        <item x="1158"/>
        <item x="389"/>
        <item x="1253"/>
        <item x="1589"/>
        <item x="922"/>
        <item x="402"/>
        <item x="2011"/>
        <item x="1573"/>
        <item x="266"/>
        <item x="587"/>
        <item x="1235"/>
        <item x="634"/>
        <item x="1416"/>
        <item x="1392"/>
        <item x="1050"/>
        <item x="850"/>
        <item x="1924"/>
        <item x="783"/>
        <item x="235"/>
        <item x="738"/>
        <item x="1501"/>
        <item x="2139"/>
        <item x="1447"/>
        <item x="1961"/>
        <item x="825"/>
        <item x="760"/>
        <item x="1730"/>
        <item x="1940"/>
        <item x="1506"/>
        <item x="830"/>
        <item x="936"/>
        <item x="205"/>
        <item x="2248"/>
        <item x="945"/>
        <item x="2220"/>
        <item x="548"/>
        <item x="1000"/>
        <item x="1565"/>
        <item x="649"/>
        <item x="1068"/>
        <item x="2169"/>
        <item x="1473"/>
        <item x="1097"/>
        <item x="2038"/>
        <item x="996"/>
        <item x="1884"/>
        <item x="1944"/>
        <item x="386"/>
        <item x="532"/>
        <item x="2147"/>
        <item x="2181"/>
        <item x="142"/>
        <item x="797"/>
        <item x="1743"/>
        <item x="1025"/>
        <item x="1656"/>
        <item x="345"/>
        <item x="2035"/>
        <item x="2198"/>
        <item x="594"/>
        <item x="1380"/>
        <item x="674"/>
        <item x="1373"/>
        <item x="1941"/>
        <item x="785"/>
        <item x="1407"/>
        <item x="1640"/>
        <item x="694"/>
        <item x="1557"/>
        <item x="471"/>
        <item x="401"/>
        <item x="585"/>
        <item x="164"/>
        <item x="348"/>
        <item x="2213"/>
        <item x="10"/>
        <item x="1427"/>
        <item x="1249"/>
        <item x="598"/>
        <item x="972"/>
        <item x="251"/>
        <item x="863"/>
        <item x="1719"/>
        <item x="1777"/>
        <item x="1486"/>
        <item x="135"/>
        <item x="1045"/>
        <item x="1184"/>
        <item x="261"/>
        <item x="805"/>
        <item x="43"/>
        <item x="1139"/>
        <item x="1053"/>
        <item x="246"/>
        <item x="550"/>
        <item x="1227"/>
        <item x="2062"/>
        <item x="342"/>
        <item x="1778"/>
        <item x="1628"/>
        <item x="1694"/>
        <item x="1954"/>
        <item x="28"/>
        <item x="48"/>
        <item x="2235"/>
        <item x="1863"/>
        <item x="248"/>
        <item x="2091"/>
        <item x="917"/>
        <item x="367"/>
        <item x="1773"/>
        <item x="435"/>
        <item x="1951"/>
        <item x="1331"/>
        <item x="391"/>
        <item x="289"/>
        <item x="839"/>
        <item x="47"/>
        <item x="1077"/>
        <item x="1853"/>
        <item x="2087"/>
        <item x="105"/>
        <item x="1"/>
        <item x="174"/>
        <item x="978"/>
        <item x="1602"/>
        <item x="1876"/>
        <item x="1362"/>
        <item x="1569"/>
        <item x="1051"/>
        <item x="1433"/>
        <item x="1345"/>
        <item x="621"/>
        <item x="1991"/>
        <item x="159"/>
        <item x="1652"/>
        <item x="2116"/>
        <item x="866"/>
        <item x="1017"/>
        <item x="360"/>
        <item x="416"/>
        <item x="2064"/>
        <item x="1142"/>
        <item x="2096"/>
        <item x="45"/>
        <item x="793"/>
        <item x="1130"/>
        <item x="1596"/>
        <item x="396"/>
        <item x="2145"/>
        <item x="658"/>
        <item x="1765"/>
        <item x="1928"/>
        <item x="1751"/>
        <item x="1350"/>
        <item x="417"/>
        <item x="1792"/>
        <item x="1749"/>
        <item x="1772"/>
        <item x="2004"/>
        <item x="228"/>
        <item x="294"/>
        <item x="2188"/>
        <item x="1128"/>
        <item x="1979"/>
        <item x="1644"/>
        <item x="245"/>
        <item x="535"/>
        <item x="1809"/>
        <item x="961"/>
        <item x="1334"/>
        <item x="34"/>
        <item x="490"/>
        <item x="845"/>
        <item x="1329"/>
        <item x="2191"/>
        <item x="1955"/>
        <item x="330"/>
        <item x="478"/>
        <item x="86"/>
        <item x="473"/>
        <item x="741"/>
        <item x="1969"/>
        <item x="1127"/>
        <item x="563"/>
        <item x="496"/>
        <item x="343"/>
        <item x="1179"/>
        <item x="1309"/>
        <item x="1241"/>
        <item x="92"/>
        <item x="1384"/>
        <item x="1653"/>
        <item x="243"/>
        <item x="1021"/>
        <item x="526"/>
        <item x="1359"/>
        <item x="1166"/>
        <item x="1250"/>
        <item x="2009"/>
        <item x="1324"/>
        <item x="316"/>
        <item x="207"/>
        <item x="547"/>
        <item x="1094"/>
        <item x="241"/>
        <item x="2148"/>
        <item x="1349"/>
        <item x="862"/>
        <item x="1605"/>
        <item x="2195"/>
        <item x="274"/>
        <item x="1208"/>
        <item x="1388"/>
        <item x="1704"/>
        <item x="1488"/>
        <item x="1887"/>
        <item x="1542"/>
        <item x="1889"/>
        <item x="2021"/>
        <item x="1559"/>
        <item x="1057"/>
        <item x="1894"/>
        <item x="1720"/>
        <item x="2047"/>
        <item x="1516"/>
        <item x="381"/>
        <item x="1758"/>
        <item x="1539"/>
        <item x="638"/>
        <item x="600"/>
        <item x="1692"/>
        <item x="744"/>
        <item x="421"/>
        <item x="1292"/>
        <item x="323"/>
        <item x="515"/>
        <item x="1159"/>
        <item x="713"/>
        <item x="1019"/>
        <item x="667"/>
        <item x="1252"/>
        <item x="1637"/>
        <item x="1383"/>
        <item x="940"/>
        <item x="1485"/>
        <item x="1584"/>
        <item x="1788"/>
        <item x="1824"/>
        <item x="868"/>
        <item x="368"/>
        <item x="179"/>
        <item x="1018"/>
        <item x="221"/>
        <item x="500"/>
        <item x="2027"/>
        <item x="2017"/>
        <item x="1233"/>
        <item x="89"/>
        <item x="328"/>
        <item x="1028"/>
        <item x="1886"/>
        <item x="1577"/>
        <item x="70"/>
        <item x="1182"/>
        <item x="242"/>
        <item x="1957"/>
        <item x="130"/>
        <item x="88"/>
        <item x="452"/>
        <item x="37"/>
        <item x="1049"/>
        <item x="2193"/>
        <item x="1071"/>
        <item x="1422"/>
        <item x="1169"/>
        <item x="1187"/>
        <item x="1632"/>
        <item x="1369"/>
        <item x="543"/>
        <item x="1606"/>
        <item x="108"/>
        <item x="1607"/>
        <item x="740"/>
        <item x="1918"/>
        <item x="1304"/>
        <item x="1669"/>
        <item x="590"/>
        <item x="1298"/>
        <item x="734"/>
        <item x="1997"/>
        <item x="1560"/>
        <item x="1198"/>
        <item x="757"/>
        <item x="942"/>
        <item x="1905"/>
        <item x="1611"/>
        <item x="703"/>
        <item x="1402"/>
        <item x="1807"/>
        <item x="885"/>
        <item x="1372"/>
        <item x="502"/>
        <item x="238"/>
        <item x="128"/>
        <item x="771"/>
        <item x="1429"/>
        <item x="889"/>
        <item x="1056"/>
        <item x="1199"/>
        <item x="1659"/>
        <item x="2245"/>
        <item x="477"/>
        <item x="802"/>
        <item x="2232"/>
        <item x="1167"/>
        <item x="1581"/>
        <item x="711"/>
        <item x="1321"/>
        <item x="1458"/>
        <item x="640"/>
        <item x="492"/>
        <item x="1648"/>
        <item x="555"/>
        <item x="910"/>
        <item x="1197"/>
        <item x="1981"/>
        <item x="82"/>
        <item x="800"/>
        <item x="551"/>
        <item x="85"/>
        <item x="275"/>
        <item x="157"/>
        <item x="1466"/>
        <item x="876"/>
        <item x="1428"/>
        <item x="2076"/>
        <item x="1898"/>
        <item x="675"/>
        <item x="1731"/>
        <item x="843"/>
        <item x="210"/>
        <item x="1904"/>
        <item x="706"/>
        <item x="1690"/>
        <item x="943"/>
        <item x="1405"/>
        <item x="366"/>
        <item x="1712"/>
        <item x="956"/>
        <item x="1678"/>
        <item x="1795"/>
        <item x="384"/>
        <item x="365"/>
        <item x="94"/>
        <item x="375"/>
        <item x="516"/>
        <item x="927"/>
        <item x="1716"/>
        <item x="1983"/>
        <item x="1600"/>
        <item x="788"/>
        <item x="1333"/>
        <item x="1432"/>
        <item x="799"/>
        <item x="1411"/>
        <item x="198"/>
        <item x="472"/>
        <item x="372"/>
        <item x="1517"/>
        <item x="1481"/>
        <item x="1355"/>
        <item x="201"/>
        <item x="1489"/>
        <item x="1864"/>
        <item x="909"/>
        <item x="715"/>
        <item x="1290"/>
        <item x="554"/>
        <item x="2115"/>
        <item x="1586"/>
        <item x="192"/>
        <item x="1210"/>
        <item x="1001"/>
        <item x="346"/>
        <item x="1170"/>
        <item x="4"/>
        <item x="187"/>
        <item x="296"/>
        <item x="1341"/>
        <item x="1798"/>
        <item x="1219"/>
        <item x="1254"/>
        <item x="747"/>
        <item x="2179"/>
        <item x="1615"/>
        <item x="2020"/>
        <item x="1178"/>
        <item x="1834"/>
        <item x="1016"/>
        <item x="1909"/>
        <item x="920"/>
        <item x="1042"/>
        <item x="1278"/>
        <item x="97"/>
        <item x="851"/>
        <item x="1603"/>
        <item x="896"/>
        <item x="325"/>
        <item x="626"/>
        <item x="1967"/>
        <item x="1943"/>
        <item x="2250"/>
        <item x="1088"/>
        <item x="1308"/>
        <item x="1677"/>
        <item x="670"/>
        <item x="362"/>
        <item x="1527"/>
        <item x="822"/>
        <item x="1848"/>
        <item x="414"/>
        <item x="2134"/>
        <item x="819"/>
        <item x="188"/>
        <item x="1348"/>
        <item x="446"/>
        <item x="1080"/>
        <item x="1330"/>
        <item x="864"/>
        <item x="237"/>
        <item x="840"/>
        <item x="1599"/>
        <item x="2136"/>
        <item x="904"/>
        <item x="1335"/>
        <item x="618"/>
        <item x="444"/>
        <item x="145"/>
        <item x="1657"/>
        <item x="335"/>
        <item x="2010"/>
        <item x="1119"/>
        <item x="1556"/>
        <item x="2197"/>
        <item x="844"/>
        <item x="1172"/>
        <item x="426"/>
        <item x="1850"/>
        <item x="1699"/>
        <item x="763"/>
        <item x="1964"/>
        <item x="2083"/>
        <item x="1965"/>
        <item x="390"/>
        <item x="1977"/>
        <item x="1531"/>
        <item x="1069"/>
        <item x="1078"/>
        <item x="1226"/>
        <item x="1688"/>
        <item x="2109"/>
        <item x="921"/>
        <item x="525"/>
        <item x="1285"/>
        <item x="1530"/>
        <item x="158"/>
        <item x="1567"/>
        <item x="1893"/>
        <item x="1322"/>
        <item x="1347"/>
        <item x="1881"/>
        <item x="796"/>
        <item x="1825"/>
        <item x="832"/>
        <item x="2126"/>
        <item x="664"/>
        <item x="2110"/>
        <item x="1220"/>
        <item x="465"/>
        <item x="2071"/>
        <item x="631"/>
        <item x="546"/>
        <item x="80"/>
        <item x="1064"/>
        <item x="1753"/>
        <item x="1116"/>
        <item x="2034"/>
        <item x="1908"/>
        <item x="1391"/>
        <item x="60"/>
        <item x="1794"/>
        <item x="1133"/>
        <item x="1593"/>
        <item x="944"/>
        <item x="1810"/>
        <item x="2161"/>
        <item x="1452"/>
        <item x="939"/>
        <item x="1781"/>
        <item x="1052"/>
        <item x="1055"/>
        <item x="387"/>
        <item x="2024"/>
        <item x="1470"/>
        <item x="886"/>
        <item x="1857"/>
        <item x="1734"/>
        <item x="1658"/>
        <item x="1852"/>
        <item x="517"/>
        <item x="776"/>
        <item x="1882"/>
        <item x="1509"/>
        <item x="1008"/>
        <item x="1113"/>
        <item x="1186"/>
        <item x="977"/>
        <item x="454"/>
        <item x="1441"/>
        <item x="1320"/>
        <item x="1118"/>
        <item x="1947"/>
        <item x="1389"/>
        <item x="973"/>
        <item x="2234"/>
        <item x="1060"/>
        <item x="1793"/>
        <item x="707"/>
        <item x="1266"/>
        <item x="1804"/>
        <item x="2065"/>
        <item x="792"/>
        <item x="475"/>
        <item x="2042"/>
        <item x="1211"/>
        <item x="1262"/>
        <item x="725"/>
        <item x="714"/>
        <item x="284"/>
        <item x="1442"/>
        <item x="1754"/>
        <item x="1300"/>
        <item x="709"/>
        <item x="1529"/>
        <item x="1533"/>
        <item x="1020"/>
        <item x="1326"/>
        <item x="521"/>
        <item x="1450"/>
        <item x="489"/>
        <item x="1525"/>
        <item x="764"/>
        <item x="1674"/>
        <item x="397"/>
        <item x="924"/>
        <item x="2043"/>
        <item x="1746"/>
        <item x="1299"/>
        <item x="2173"/>
        <item x="1381"/>
        <item x="1010"/>
        <item x="2112"/>
        <item x="870"/>
        <item x="431"/>
        <item x="1136"/>
        <item x="743"/>
        <item x="1532"/>
        <item x="1029"/>
        <item x="2125"/>
        <item x="354"/>
        <item x="2123"/>
        <item x="537"/>
        <item x="83"/>
        <item x="33"/>
        <item x="846"/>
        <item x="114"/>
        <item x="528"/>
        <item x="1925"/>
        <item x="1670"/>
        <item x="745"/>
        <item x="310"/>
        <item x="285"/>
        <item x="2217"/>
        <item x="458"/>
        <item x="806"/>
        <item x="2203"/>
        <item x="1085"/>
        <item x="2155"/>
        <item x="777"/>
        <item x="871"/>
        <item x="1663"/>
        <item x="1475"/>
        <item x="1259"/>
        <item x="53"/>
        <item x="481"/>
        <item x="1971"/>
        <item x="438"/>
        <item x="5"/>
        <item x="918"/>
        <item x="315"/>
        <item x="1434"/>
        <item x="1617"/>
        <item x="984"/>
        <item x="507"/>
        <item x="1120"/>
        <item x="304"/>
        <item x="965"/>
        <item x="1483"/>
        <item x="1274"/>
        <item x="2168"/>
        <item x="1883"/>
        <item x="31"/>
        <item x="2095"/>
        <item x="1895"/>
        <item x="1986"/>
        <item x="1408"/>
        <item x="2137"/>
        <item x="1845"/>
        <item x="1814"/>
        <item x="110"/>
        <item x="1700"/>
        <item x="1899"/>
        <item x="2006"/>
        <item x="1455"/>
        <item x="447"/>
        <item x="424"/>
        <item x="219"/>
        <item x="2121"/>
        <item x="660"/>
        <item x="1713"/>
        <item x="2164"/>
        <item x="1808"/>
        <item x="1622"/>
        <item x="536"/>
        <item x="1230"/>
        <item x="61"/>
        <item x="1311"/>
        <item x="1681"/>
        <item x="852"/>
        <item x="1125"/>
        <item x="564"/>
        <item x="728"/>
        <item x="411"/>
        <item x="1284"/>
        <item x="20"/>
        <item x="950"/>
        <item x="2210"/>
        <item x="2023"/>
        <item x="791"/>
        <item x="1425"/>
        <item x="1367"/>
        <item x="998"/>
        <item x="1041"/>
        <item x="199"/>
        <item x="2150"/>
        <item x="100"/>
        <item x="813"/>
        <item x="1546"/>
        <item x="1484"/>
        <item x="729"/>
        <item x="2113"/>
        <item x="2175"/>
        <item x="637"/>
        <item x="908"/>
        <item x="678"/>
        <item x="267"/>
        <item x="2201"/>
        <item x="1063"/>
        <item x="1703"/>
        <item x="826"/>
        <item x="506"/>
        <item x="1307"/>
        <item x="1912"/>
        <item x="1686"/>
        <item x="2018"/>
        <item x="2221"/>
        <item x="1916"/>
        <item x="226"/>
        <item x="1612"/>
        <item x="1803"/>
        <item x="2059"/>
        <item x="134"/>
        <item x="312"/>
        <item x="96"/>
        <item x="54"/>
        <item x="1790"/>
        <item x="823"/>
        <item x="1196"/>
        <item x="937"/>
        <item x="2022"/>
        <item x="1671"/>
        <item x="2135"/>
        <item x="451"/>
        <item x="1106"/>
        <item x="141"/>
        <item x="2026"/>
        <item x="780"/>
        <item x="1571"/>
        <item x="1988"/>
        <item x="1403"/>
        <item x="74"/>
        <item x="1436"/>
        <item x="152"/>
        <item x="613"/>
        <item x="616"/>
        <item x="1123"/>
        <item x="1471"/>
        <item x="1721"/>
        <item x="1303"/>
        <item x="1786"/>
        <item x="2194"/>
        <item x="1757"/>
        <item x="691"/>
        <item x="1070"/>
        <item x="1213"/>
        <item x="1412"/>
        <item x="1237"/>
        <item x="244"/>
        <item x="2184"/>
        <item x="1735"/>
        <item x="168"/>
        <item x="1157"/>
        <item x="2212"/>
        <item x="1066"/>
        <item x="1956"/>
        <item x="1246"/>
        <item x="286"/>
        <item x="1831"/>
        <item x="249"/>
        <item x="668"/>
        <item x="1194"/>
        <item x="518"/>
        <item x="469"/>
        <item x="1046"/>
        <item x="884"/>
        <item x="2174"/>
        <item x="1811"/>
        <item x="140"/>
        <item x="1633"/>
        <item x="1493"/>
        <item x="1906"/>
        <item x="971"/>
        <item x="234"/>
        <item x="1982"/>
        <item x="2063"/>
        <item x="124"/>
        <item x="2097"/>
        <item x="1583"/>
        <item x="929"/>
        <item x="1702"/>
        <item x="700"/>
        <item x="914"/>
        <item x="1272"/>
        <item x="95"/>
        <item x="503"/>
        <item x="1642"/>
        <item x="2094"/>
        <item x="298"/>
        <item x="1598"/>
        <item x="1654"/>
        <item x="681"/>
        <item x="1207"/>
        <item x="2178"/>
        <item x="883"/>
        <item x="923"/>
        <item x="571"/>
        <item x="25"/>
        <item x="1620"/>
        <item x="1748"/>
        <item x="2084"/>
        <item x="1228"/>
        <item x="327"/>
        <item x="1975"/>
        <item x="1946"/>
        <item x="2152"/>
        <item x="807"/>
        <item x="1401"/>
        <item x="688"/>
        <item x="197"/>
        <item x="1007"/>
        <item x="1649"/>
        <item x="1379"/>
        <item x="2228"/>
        <item x="730"/>
        <item x="2067"/>
        <item x="514"/>
        <item x="1609"/>
        <item x="2036"/>
        <item x="2192"/>
        <item x="1664"/>
        <item x="539"/>
        <item x="1526"/>
        <item x="1351"/>
        <item x="104"/>
        <item x="57"/>
        <item x="1812"/>
        <item x="1859"/>
        <item x="16"/>
        <item x="1459"/>
        <item x="2032"/>
        <item x="418"/>
        <item x="719"/>
        <item x="1030"/>
        <item x="1763"/>
        <item x="2233"/>
        <item x="931"/>
        <item x="1461"/>
        <item x="1257"/>
        <item x="1813"/>
        <item x="2160"/>
        <item x="2057"/>
        <item x="2237"/>
        <item x="1936"/>
        <item x="1146"/>
        <item x="1037"/>
        <item x="1368"/>
        <item x="2256"/>
        <item x="1507"/>
        <item x="1084"/>
        <item x="1868"/>
        <item x="1915"/>
        <item x="461"/>
        <item x="901"/>
        <item x="476"/>
        <item x="1839"/>
        <item x="1737"/>
        <item x="1630"/>
        <item x="872"/>
        <item x="659"/>
        <item x="582"/>
        <item x="1776"/>
        <item x="1797"/>
        <item x="583"/>
        <item x="1104"/>
        <item x="1356"/>
        <item x="2098"/>
        <item x="1929"/>
        <item x="79"/>
        <item x="1090"/>
        <item x="1634"/>
        <item x="11"/>
        <item x="898"/>
        <item x="193"/>
        <item x="2108"/>
        <item x="291"/>
        <item x="1154"/>
        <item x="313"/>
        <item x="1343"/>
        <item x="1875"/>
        <item x="1076"/>
        <item x="1687"/>
        <item x="632"/>
        <item x="2005"/>
        <item x="557"/>
        <item x="882"/>
        <item x="1215"/>
        <item x="1165"/>
        <item x="1216"/>
        <item x="509"/>
        <item x="1140"/>
        <item x="894"/>
        <item x="1364"/>
        <item x="857"/>
        <item x="406"/>
        <item x="919"/>
        <item x="2088"/>
        <item x="260"/>
        <item x="1093"/>
        <item x="2166"/>
        <item x="344"/>
        <item x="1500"/>
        <item x="1922"/>
        <item x="877"/>
        <item x="77"/>
        <item x="646"/>
        <item x="848"/>
        <item x="1805"/>
        <item x="1740"/>
        <item x="1342"/>
        <item x="495"/>
        <item x="2176"/>
        <item x="2171"/>
        <item x="2153"/>
        <item x="1200"/>
        <item x="1229"/>
        <item x="1767"/>
        <item x="1153"/>
        <item x="1271"/>
        <item x="65"/>
        <item x="994"/>
        <item x="1295"/>
        <item x="1464"/>
        <item x="204"/>
        <item x="2028"/>
        <item x="212"/>
        <item x="1741"/>
        <item x="1524"/>
        <item x="1548"/>
        <item x="1038"/>
        <item x="259"/>
        <item x="2012"/>
        <item x="2162"/>
        <item x="1764"/>
        <item x="87"/>
        <item x="2102"/>
        <item x="1995"/>
        <item x="1829"/>
        <item x="1023"/>
        <item x="891"/>
        <item x="2157"/>
        <item x="385"/>
        <item x="1121"/>
        <item x="622"/>
        <item x="44"/>
        <item x="1717"/>
        <item x="460"/>
        <item x="1289"/>
        <item x="1204"/>
        <item x="1993"/>
        <item x="2180"/>
        <item x="1248"/>
        <item x="1099"/>
        <item x="78"/>
        <item x="2223"/>
        <item x="699"/>
        <item x="2089"/>
        <item x="1083"/>
        <item x="1163"/>
        <item x="1835"/>
        <item x="1660"/>
        <item x="820"/>
        <item x="1568"/>
        <item x="708"/>
        <item x="874"/>
        <item x="657"/>
        <item x="200"/>
        <item x="227"/>
        <item x="1260"/>
        <item x="513"/>
        <item x="2093"/>
        <item x="1891"/>
        <item x="1043"/>
        <item x="1822"/>
        <item x="861"/>
        <item x="218"/>
        <item x="666"/>
        <item x="906"/>
        <item x="1370"/>
        <item x="2240"/>
        <item x="1144"/>
        <item x="1755"/>
        <item x="1866"/>
        <item x="572"/>
        <item x="176"/>
        <item x="1301"/>
        <item x="290"/>
        <item x="604"/>
        <item x="178"/>
        <item x="1302"/>
        <item x="1377"/>
        <item x="1643"/>
        <item x="1398"/>
        <item x="2252"/>
        <item x="1225"/>
        <item x="576"/>
        <item x="1641"/>
        <item x="363"/>
        <item x="190"/>
        <item x="1847"/>
        <item x="1413"/>
        <item x="932"/>
        <item x="1762"/>
        <item x="38"/>
        <item x="774"/>
        <item x="1625"/>
        <item x="926"/>
        <item x="364"/>
        <item x="695"/>
        <item x="448"/>
        <item x="683"/>
        <item x="487"/>
        <item x="2080"/>
        <item x="1082"/>
        <item x="754"/>
        <item x="485"/>
        <item x="1604"/>
        <item x="1707"/>
        <item x="1833"/>
        <item x="721"/>
        <item x="1587"/>
        <item x="947"/>
        <item x="154"/>
        <item x="1592"/>
        <item x="46"/>
        <item x="1409"/>
        <item x="136"/>
        <item x="208"/>
        <item x="2101"/>
        <item x="957"/>
        <item x="1960"/>
        <item x="1201"/>
        <item x="1346"/>
        <item x="710"/>
        <item t="default"/>
      </items>
    </pivotField>
    <pivotField compact="0" showAll="0">
      <items count="2077">
        <item x="1857"/>
        <item x="1197"/>
        <item x="1594"/>
        <item x="1178"/>
        <item x="764"/>
        <item x="1353"/>
        <item x="514"/>
        <item x="602"/>
        <item x="137"/>
        <item x="1856"/>
        <item x="996"/>
        <item x="1715"/>
        <item x="1826"/>
        <item x="884"/>
        <item x="1899"/>
        <item x="427"/>
        <item x="1911"/>
        <item x="1546"/>
        <item x="576"/>
        <item x="513"/>
        <item x="1229"/>
        <item x="679"/>
        <item x="1933"/>
        <item x="1728"/>
        <item x="2039"/>
        <item x="1007"/>
        <item x="752"/>
        <item x="458"/>
        <item x="1046"/>
        <item x="662"/>
        <item x="580"/>
        <item x="365"/>
        <item x="1080"/>
        <item x="1304"/>
        <item x="1354"/>
        <item x="1727"/>
        <item x="813"/>
        <item x="1047"/>
        <item x="1889"/>
        <item x="1719"/>
        <item x="129"/>
        <item x="641"/>
        <item x="114"/>
        <item x="937"/>
        <item x="832"/>
        <item x="97"/>
        <item x="664"/>
        <item x="786"/>
        <item x="1021"/>
        <item x="1056"/>
        <item x="853"/>
        <item x="941"/>
        <item x="2009"/>
        <item x="1575"/>
        <item x="822"/>
        <item x="1599"/>
        <item x="1297"/>
        <item x="703"/>
        <item x="678"/>
        <item x="704"/>
        <item x="1410"/>
        <item x="1956"/>
        <item x="98"/>
        <item x="1054"/>
        <item x="1465"/>
        <item x="1320"/>
        <item x="121"/>
        <item x="1512"/>
        <item x="185"/>
        <item x="1503"/>
        <item x="1042"/>
        <item x="491"/>
        <item x="1970"/>
        <item x="15"/>
        <item x="299"/>
        <item x="717"/>
        <item x="1747"/>
        <item x="774"/>
        <item x="1992"/>
        <item x="1794"/>
        <item x="1406"/>
        <item x="396"/>
        <item x="1491"/>
        <item x="615"/>
        <item x="462"/>
        <item x="1906"/>
        <item x="1626"/>
        <item x="550"/>
        <item x="1186"/>
        <item x="1760"/>
        <item x="614"/>
        <item x="1236"/>
        <item x="450"/>
        <item x="1986"/>
        <item x="815"/>
        <item x="568"/>
        <item x="554"/>
        <item x="572"/>
        <item x="2067"/>
        <item x="1554"/>
        <item x="1022"/>
        <item x="1492"/>
        <item x="571"/>
        <item x="1635"/>
        <item x="41"/>
        <item x="1375"/>
        <item x="384"/>
        <item x="672"/>
        <item x="1058"/>
        <item x="1604"/>
        <item x="1619"/>
        <item x="150"/>
        <item x="671"/>
        <item x="1523"/>
        <item x="1770"/>
        <item x="1331"/>
        <item x="949"/>
        <item x="1309"/>
        <item x="1470"/>
        <item x="1972"/>
        <item x="998"/>
        <item x="354"/>
        <item x="599"/>
        <item x="314"/>
        <item x="123"/>
        <item x="1966"/>
        <item x="1949"/>
        <item x="234"/>
        <item x="475"/>
        <item x="1272"/>
        <item x="725"/>
        <item x="954"/>
        <item x="1365"/>
        <item x="1756"/>
        <item x="229"/>
        <item x="1345"/>
        <item x="1169"/>
        <item x="1780"/>
        <item x="1710"/>
        <item x="1657"/>
        <item x="215"/>
        <item x="1969"/>
        <item x="1979"/>
        <item x="9"/>
        <item x="149"/>
        <item x="132"/>
        <item x="2006"/>
        <item x="1640"/>
        <item x="1357"/>
        <item x="1181"/>
        <item x="919"/>
        <item x="1429"/>
        <item x="1602"/>
        <item x="1642"/>
        <item x="604"/>
        <item x="1793"/>
        <item x="146"/>
        <item x="65"/>
        <item x="214"/>
        <item x="1606"/>
        <item x="521"/>
        <item x="1190"/>
        <item x="73"/>
        <item x="903"/>
        <item x="780"/>
        <item x="1689"/>
        <item x="971"/>
        <item x="1581"/>
        <item x="254"/>
        <item x="420"/>
        <item x="213"/>
        <item x="406"/>
        <item x="1798"/>
        <item x="1348"/>
        <item x="728"/>
        <item x="1749"/>
        <item x="589"/>
        <item x="454"/>
        <item x="1396"/>
        <item x="1754"/>
        <item x="1590"/>
        <item x="1231"/>
        <item x="1284"/>
        <item x="1595"/>
        <item x="1158"/>
        <item x="2008"/>
        <item x="441"/>
        <item x="1359"/>
        <item x="2023"/>
        <item x="721"/>
        <item x="497"/>
        <item x="284"/>
        <item x="64"/>
        <item x="1748"/>
        <item x="1830"/>
        <item x="1397"/>
        <item x="643"/>
        <item x="190"/>
        <item x="1324"/>
        <item x="1624"/>
        <item x="480"/>
        <item x="1872"/>
        <item x="1789"/>
        <item x="1703"/>
        <item x="176"/>
        <item x="487"/>
        <item x="1733"/>
        <item x="416"/>
        <item x="1393"/>
        <item x="1294"/>
        <item x="222"/>
        <item x="1199"/>
        <item x="1255"/>
        <item x="1436"/>
        <item x="1079"/>
        <item x="515"/>
        <item x="168"/>
        <item x="1739"/>
        <item x="2045"/>
        <item x="348"/>
        <item x="1005"/>
        <item x="1118"/>
        <item x="973"/>
        <item x="1982"/>
        <item x="333"/>
        <item x="443"/>
        <item x="336"/>
        <item x="848"/>
        <item x="432"/>
        <item x="303"/>
        <item x="1577"/>
        <item x="666"/>
        <item x="1937"/>
        <item x="1878"/>
        <item x="1610"/>
        <item x="72"/>
        <item x="2068"/>
        <item x="1175"/>
        <item x="1892"/>
        <item x="1960"/>
        <item x="1107"/>
        <item x="19"/>
        <item x="661"/>
        <item x="1455"/>
        <item x="334"/>
        <item x="1973"/>
        <item x="972"/>
        <item x="247"/>
        <item x="931"/>
        <item x="650"/>
        <item x="1591"/>
        <item x="447"/>
        <item x="1713"/>
        <item x="51"/>
        <item x="999"/>
        <item x="171"/>
        <item x="639"/>
        <item x="428"/>
        <item x="1813"/>
        <item x="939"/>
        <item x="734"/>
        <item x="1114"/>
        <item x="795"/>
        <item x="231"/>
        <item x="892"/>
        <item x="184"/>
        <item x="1377"/>
        <item x="471"/>
        <item x="1266"/>
        <item x="1321"/>
        <item x="267"/>
        <item x="279"/>
        <item x="302"/>
        <item x="1449"/>
        <item x="164"/>
        <item x="607"/>
        <item x="371"/>
        <item x="399"/>
        <item x="1939"/>
        <item x="275"/>
        <item x="2038"/>
        <item x="1204"/>
        <item x="276"/>
        <item x="1638"/>
        <item x="868"/>
        <item x="1248"/>
        <item x="1690"/>
        <item x="796"/>
        <item x="1743"/>
        <item x="658"/>
        <item x="1125"/>
        <item x="295"/>
        <item x="574"/>
        <item x="2064"/>
        <item x="1166"/>
        <item x="2036"/>
        <item x="1035"/>
        <item x="1955"/>
        <item x="1551"/>
        <item x="1883"/>
        <item x="1069"/>
        <item x="116"/>
        <item x="21"/>
        <item x="792"/>
        <item x="840"/>
        <item x="1070"/>
        <item x="689"/>
        <item x="1543"/>
        <item x="1560"/>
        <item x="653"/>
        <item x="1977"/>
        <item x="179"/>
        <item x="990"/>
        <item x="859"/>
        <item x="1538"/>
        <item x="1243"/>
        <item x="626"/>
        <item x="1437"/>
        <item x="228"/>
        <item x="547"/>
        <item x="411"/>
        <item x="139"/>
        <item x="220"/>
        <item x="738"/>
        <item x="733"/>
        <item x="1333"/>
        <item x="1684"/>
        <item x="298"/>
        <item x="183"/>
        <item x="1159"/>
        <item x="106"/>
        <item x="469"/>
        <item x="525"/>
        <item x="1127"/>
        <item x="1433"/>
        <item x="826"/>
        <item x="1034"/>
        <item x="291"/>
        <item x="1250"/>
        <item x="750"/>
        <item x="598"/>
        <item x="89"/>
        <item x="1677"/>
        <item x="28"/>
        <item x="1777"/>
        <item x="1403"/>
        <item x="193"/>
        <item x="1673"/>
        <item x="1630"/>
        <item x="594"/>
        <item x="1771"/>
        <item x="1435"/>
        <item x="230"/>
        <item x="439"/>
        <item x="258"/>
        <item x="459"/>
        <item x="1071"/>
        <item x="250"/>
        <item x="737"/>
        <item x="656"/>
        <item x="1781"/>
        <item x="293"/>
        <item x="1073"/>
        <item x="2027"/>
        <item x="1335"/>
        <item x="1670"/>
        <item x="911"/>
        <item x="627"/>
        <item x="166"/>
        <item x="1138"/>
        <item x="1588"/>
        <item x="504"/>
        <item x="1230"/>
        <item x="1815"/>
        <item x="1567"/>
        <item x="1477"/>
        <item x="1522"/>
        <item x="709"/>
        <item x="1934"/>
        <item x="201"/>
        <item x="1888"/>
        <item x="25"/>
        <item x="1376"/>
        <item x="1102"/>
        <item x="640"/>
        <item x="1041"/>
        <item x="835"/>
        <item x="537"/>
        <item x="1180"/>
        <item x="1950"/>
        <item x="1868"/>
        <item x="2001"/>
        <item x="1631"/>
        <item x="962"/>
        <item x="1162"/>
        <item x="1636"/>
        <item x="351"/>
        <item x="1852"/>
        <item x="956"/>
        <item x="1182"/>
        <item x="187"/>
        <item x="1373"/>
        <item x="861"/>
        <item x="1545"/>
        <item x="223"/>
        <item x="1926"/>
        <item x="2055"/>
        <item x="90"/>
        <item x="1245"/>
        <item x="452"/>
        <item x="120"/>
        <item x="2"/>
        <item x="967"/>
        <item x="715"/>
        <item x="1139"/>
        <item x="76"/>
        <item x="118"/>
        <item x="1776"/>
        <item x="316"/>
        <item x="768"/>
        <item x="1627"/>
        <item x="587"/>
        <item x="305"/>
        <item x="1103"/>
        <item x="804"/>
        <item x="182"/>
        <item x="1316"/>
        <item x="2030"/>
        <item x="1700"/>
        <item x="561"/>
        <item x="1220"/>
        <item x="540"/>
        <item x="1475"/>
        <item x="1948"/>
        <item x="1737"/>
        <item x="790"/>
        <item x="912"/>
        <item x="1184"/>
        <item x="380"/>
        <item x="1519"/>
        <item x="1720"/>
        <item x="623"/>
        <item x="549"/>
        <item x="935"/>
        <item x="816"/>
        <item x="1467"/>
        <item x="1903"/>
        <item x="174"/>
        <item x="846"/>
        <item x="732"/>
        <item x="565"/>
        <item x="1098"/>
        <item x="1725"/>
        <item x="101"/>
        <item x="1803"/>
        <item x="1661"/>
        <item x="541"/>
        <item x="788"/>
        <item x="1323"/>
        <item x="1985"/>
        <item x="1765"/>
        <item x="1273"/>
        <item x="559"/>
        <item x="1890"/>
        <item x="1161"/>
        <item x="307"/>
        <item x="1448"/>
        <item x="1361"/>
        <item x="353"/>
        <item x="209"/>
        <item x="2044"/>
        <item x="264"/>
        <item x="1096"/>
        <item x="663"/>
        <item x="676"/>
        <item x="445"/>
        <item x="329"/>
        <item x="374"/>
        <item x="757"/>
        <item x="523"/>
        <item x="899"/>
        <item x="1957"/>
        <item x="539"/>
        <item x="1774"/>
        <item x="1817"/>
        <item x="777"/>
        <item x="1941"/>
        <item x="161"/>
        <item x="122"/>
        <item x="88"/>
        <item x="477"/>
        <item x="1943"/>
        <item x="636"/>
        <item x="1024"/>
        <item x="1089"/>
        <item x="304"/>
        <item x="1288"/>
        <item x="1938"/>
        <item x="570"/>
        <item x="649"/>
        <item x="686"/>
        <item x="1726"/>
        <item x="17"/>
        <item x="553"/>
        <item x="1839"/>
        <item x="259"/>
        <item x="1112"/>
        <item x="325"/>
        <item x="836"/>
        <item x="748"/>
        <item x="979"/>
        <item x="1013"/>
        <item x="364"/>
        <item x="1105"/>
        <item x="297"/>
        <item x="557"/>
        <item x="367"/>
        <item x="765"/>
        <item x="508"/>
        <item x="181"/>
        <item x="1843"/>
        <item x="1027"/>
        <item x="723"/>
        <item x="1778"/>
        <item x="1446"/>
        <item x="1786"/>
        <item x="261"/>
        <item x="1196"/>
        <item x="632"/>
        <item x="1044"/>
        <item x="2059"/>
        <item x="244"/>
        <item x="1301"/>
        <item x="618"/>
        <item x="422"/>
        <item x="1444"/>
        <item x="1592"/>
        <item x="647"/>
        <item x="918"/>
        <item x="959"/>
        <item x="1530"/>
        <item x="180"/>
        <item x="392"/>
        <item x="496"/>
        <item x="1355"/>
        <item x="1829"/>
        <item x="1915"/>
        <item x="660"/>
        <item x="1701"/>
        <item x="1210"/>
        <item x="1426"/>
        <item x="567"/>
        <item x="1296"/>
        <item x="43"/>
        <item x="1094"/>
        <item x="994"/>
        <item x="421"/>
        <item x="75"/>
        <item x="930"/>
        <item x="485"/>
        <item x="1485"/>
        <item x="268"/>
        <item x="1445"/>
        <item x="455"/>
        <item x="69"/>
        <item x="1164"/>
        <item x="947"/>
        <item x="926"/>
        <item x="290"/>
        <item x="787"/>
        <item x="466"/>
        <item x="1328"/>
        <item x="2072"/>
        <item x="1002"/>
        <item x="1894"/>
        <item x="844"/>
        <item x="1855"/>
        <item x="577"/>
        <item x="1709"/>
        <item x="993"/>
        <item x="204"/>
        <item x="85"/>
        <item x="856"/>
        <item x="1502"/>
        <item x="1675"/>
        <item x="144"/>
        <item x="1239"/>
        <item x="724"/>
        <item x="83"/>
        <item x="769"/>
        <item x="112"/>
        <item x="1997"/>
        <item x="1553"/>
        <item x="1920"/>
        <item x="1388"/>
        <item x="1101"/>
        <item x="1879"/>
        <item x="481"/>
        <item x="1680"/>
        <item x="716"/>
        <item x="583"/>
        <item x="1120"/>
        <item x="251"/>
        <item x="154"/>
        <item x="296"/>
        <item x="1040"/>
        <item x="1456"/>
        <item x="218"/>
        <item x="925"/>
        <item x="761"/>
        <item x="1616"/>
        <item x="1291"/>
        <item x="1908"/>
        <item x="785"/>
        <item x="2013"/>
        <item x="246"/>
        <item x="770"/>
        <item x="934"/>
        <item x="1945"/>
        <item x="1263"/>
        <item x="1238"/>
        <item x="313"/>
        <item x="517"/>
        <item x="1671"/>
        <item x="1812"/>
        <item x="163"/>
        <item x="1212"/>
        <item x="2048"/>
        <item x="2034"/>
        <item x="484"/>
        <item x="1116"/>
        <item x="473"/>
        <item x="2050"/>
        <item x="236"/>
        <item x="722"/>
        <item x="442"/>
        <item x="797"/>
        <item x="1907"/>
        <item x="729"/>
        <item x="1566"/>
        <item x="1837"/>
        <item x="1240"/>
        <item x="1533"/>
        <item x="1858"/>
        <item x="1919"/>
        <item x="1958"/>
        <item x="1350"/>
        <item x="1724"/>
        <item x="1217"/>
        <item x="227"/>
        <item x="31"/>
        <item x="1757"/>
        <item x="1351"/>
        <item x="413"/>
        <item x="548"/>
        <item x="63"/>
        <item x="1586"/>
        <item x="155"/>
        <item x="933"/>
        <item x="1500"/>
        <item x="1505"/>
        <item x="37"/>
        <item x="194"/>
        <item x="2005"/>
        <item x="1155"/>
        <item x="2063"/>
        <item x="609"/>
        <item x="874"/>
        <item x="566"/>
        <item x="1227"/>
        <item x="2054"/>
        <item x="318"/>
        <item x="61"/>
        <item x="1900"/>
        <item x="902"/>
        <item x="700"/>
        <item x="1732"/>
        <item x="1913"/>
        <item x="133"/>
        <item x="424"/>
        <item x="461"/>
        <item x="837"/>
        <item x="1820"/>
        <item x="456"/>
        <item x="158"/>
        <item x="784"/>
        <item x="1278"/>
        <item x="588"/>
        <item x="490"/>
        <item x="527"/>
        <item x="667"/>
        <item x="1951"/>
        <item x="1386"/>
        <item x="249"/>
        <item x="1219"/>
        <item x="14"/>
        <item x="776"/>
        <item x="363"/>
        <item x="2025"/>
        <item x="1374"/>
        <item x="68"/>
        <item x="727"/>
        <item x="355"/>
        <item x="1141"/>
        <item x="1870"/>
        <item x="591"/>
        <item x="125"/>
        <item x="1443"/>
        <item x="802"/>
        <item x="535"/>
        <item x="1242"/>
        <item x="1280"/>
        <item x="13"/>
        <item x="238"/>
        <item x="564"/>
        <item x="646"/>
        <item x="1528"/>
        <item x="451"/>
        <item x="320"/>
        <item x="1573"/>
        <item x="1995"/>
        <item x="1424"/>
        <item x="900"/>
        <item x="1270"/>
        <item x="23"/>
        <item x="1185"/>
        <item x="807"/>
        <item x="1785"/>
        <item x="93"/>
        <item x="1269"/>
        <item x="1653"/>
        <item x="1850"/>
        <item x="1228"/>
        <item x="1016"/>
        <item x="2051"/>
        <item x="30"/>
        <item x="2019"/>
        <item x="59"/>
        <item x="1854"/>
        <item x="975"/>
        <item x="1095"/>
        <item x="240"/>
        <item x="27"/>
        <item x="986"/>
        <item x="675"/>
        <item x="1508"/>
        <item x="1795"/>
        <item x="1234"/>
        <item x="1172"/>
        <item x="1391"/>
        <item x="1307"/>
        <item x="1153"/>
        <item x="1392"/>
        <item x="1223"/>
        <item x="1438"/>
        <item x="239"/>
        <item x="731"/>
        <item x="1420"/>
        <item x="385"/>
        <item x="331"/>
        <item x="1736"/>
        <item x="633"/>
        <item x="1891"/>
        <item x="1461"/>
        <item x="1513"/>
        <item x="946"/>
        <item x="1796"/>
        <item x="865"/>
        <item x="1247"/>
        <item x="1299"/>
        <item x="257"/>
        <item x="1200"/>
        <item x="1682"/>
        <item x="1384"/>
        <item x="2041"/>
        <item x="401"/>
        <item x="854"/>
        <item x="1648"/>
        <item x="1511"/>
        <item x="1552"/>
        <item x="888"/>
        <item x="762"/>
        <item x="2046"/>
        <item x="92"/>
        <item x="1405"/>
        <item x="905"/>
        <item x="743"/>
        <item x="1450"/>
        <item x="651"/>
        <item x="1225"/>
        <item x="1702"/>
        <item x="1998"/>
        <item x="1130"/>
        <item x="1585"/>
        <item x="1672"/>
        <item x="1559"/>
        <item x="1404"/>
        <item x="130"/>
        <item x="433"/>
        <item x="692"/>
        <item x="714"/>
        <item x="1224"/>
        <item x="1305"/>
        <item x="1532"/>
        <item x="1961"/>
        <item x="735"/>
        <item x="1967"/>
        <item x="38"/>
        <item x="1669"/>
        <item x="191"/>
        <item x="1489"/>
        <item x="148"/>
        <item x="12"/>
        <item x="203"/>
        <item x="592"/>
        <item x="1611"/>
        <item x="1086"/>
        <item x="1886"/>
        <item x="621"/>
        <item x="1412"/>
        <item x="1154"/>
        <item x="22"/>
        <item x="1300"/>
        <item x="1043"/>
        <item x="1418"/>
        <item x="5"/>
        <item x="1407"/>
        <item x="1946"/>
        <item x="622"/>
        <item x="1193"/>
        <item x="169"/>
        <item x="772"/>
        <item x="511"/>
        <item x="634"/>
        <item x="1863"/>
        <item x="1468"/>
        <item x="509"/>
        <item x="657"/>
        <item x="801"/>
        <item x="1838"/>
        <item x="1459"/>
        <item x="431"/>
        <item x="1029"/>
        <item x="1576"/>
        <item x="894"/>
        <item x="1687"/>
        <item x="2010"/>
        <item x="478"/>
        <item x="1428"/>
        <item x="248"/>
        <item x="375"/>
        <item x="560"/>
        <item x="838"/>
        <item x="1540"/>
        <item x="237"/>
        <item x="702"/>
        <item x="1954"/>
        <item x="1921"/>
        <item x="1860"/>
        <item x="143"/>
        <item x="1708"/>
        <item x="1423"/>
        <item x="2029"/>
        <item x="1441"/>
        <item x="1106"/>
        <item x="904"/>
        <item x="1059"/>
        <item x="1792"/>
        <item x="670"/>
        <item x="1481"/>
        <item x="389"/>
        <item x="1968"/>
        <item x="753"/>
        <item x="530"/>
        <item x="1655"/>
        <item x="1808"/>
        <item x="685"/>
        <item x="124"/>
        <item x="707"/>
        <item x="713"/>
        <item x="811"/>
        <item x="104"/>
        <item x="84"/>
        <item x="1282"/>
        <item x="908"/>
        <item x="1509"/>
        <item x="266"/>
        <item x="507"/>
        <item x="1249"/>
        <item x="613"/>
        <item x="1077"/>
        <item x="476"/>
        <item x="1849"/>
        <item x="1340"/>
        <item x="1651"/>
        <item x="1769"/>
        <item x="170"/>
        <item x="1458"/>
        <item x="1674"/>
        <item x="1912"/>
        <item x="1758"/>
        <item x="536"/>
        <item x="741"/>
        <item x="1751"/>
        <item x="958"/>
        <item x="569"/>
        <item x="620"/>
        <item x="512"/>
        <item x="1226"/>
        <item x="1310"/>
        <item x="2066"/>
        <item x="1113"/>
        <item x="1875"/>
        <item x="1463"/>
        <item x="821"/>
        <item x="590"/>
        <item x="326"/>
        <item x="281"/>
        <item x="851"/>
        <item x="1205"/>
        <item x="1980"/>
        <item x="1706"/>
        <item x="882"/>
        <item x="1633"/>
        <item x="1646"/>
        <item x="500"/>
        <item x="79"/>
        <item x="845"/>
        <item x="1014"/>
        <item x="49"/>
        <item x="1953"/>
        <item x="285"/>
        <item x="277"/>
        <item x="142"/>
        <item x="1910"/>
        <item x="705"/>
        <item x="863"/>
        <item x="791"/>
        <item x="923"/>
        <item x="57"/>
        <item x="895"/>
        <item x="200"/>
        <item x="997"/>
        <item x="8"/>
        <item x="1133"/>
        <item x="1944"/>
        <item x="1012"/>
        <item x="430"/>
        <item x="1570"/>
        <item x="870"/>
        <item x="1587"/>
        <item x="1916"/>
        <item x="1628"/>
        <item x="418"/>
        <item x="423"/>
        <item x="970"/>
        <item x="52"/>
        <item x="1768"/>
        <item x="1947"/>
        <item x="775"/>
        <item x="1494"/>
        <item x="110"/>
        <item x="630"/>
        <item x="1821"/>
        <item x="1189"/>
        <item x="1213"/>
        <item x="322"/>
        <item x="929"/>
        <item x="945"/>
        <item x="1486"/>
        <item x="1085"/>
        <item x="1194"/>
        <item x="7"/>
        <item x="1156"/>
        <item x="600"/>
        <item x="916"/>
        <item x="1764"/>
        <item x="617"/>
        <item x="980"/>
        <item x="1268"/>
        <item x="1924"/>
        <item x="696"/>
        <item x="760"/>
        <item x="157"/>
        <item x="1066"/>
        <item x="269"/>
        <item x="606"/>
        <item x="398"/>
        <item x="1562"/>
        <item x="1063"/>
        <item x="1831"/>
        <item x="952"/>
        <item x="944"/>
        <item x="35"/>
        <item x="1498"/>
        <item x="361"/>
        <item x="1160"/>
        <item x="479"/>
        <item x="1460"/>
        <item x="850"/>
        <item x="1409"/>
        <item x="1722"/>
        <item x="1075"/>
        <item x="789"/>
        <item x="1917"/>
        <item x="403"/>
        <item x="1232"/>
        <item x="1572"/>
        <item x="1597"/>
        <item x="1148"/>
        <item x="1537"/>
        <item x="2058"/>
        <item x="866"/>
        <item x="701"/>
        <item x="253"/>
        <item x="372"/>
        <item x="955"/>
        <item x="1805"/>
        <item x="113"/>
        <item x="1395"/>
        <item x="763"/>
        <item x="586"/>
        <item x="131"/>
        <item x="349"/>
        <item x="434"/>
        <item x="858"/>
        <item x="1788"/>
        <item x="597"/>
        <item x="1422"/>
        <item x="1740"/>
        <item x="914"/>
        <item x="252"/>
        <item x="1721"/>
        <item x="619"/>
        <item x="235"/>
        <item x="67"/>
        <item x="1062"/>
        <item x="578"/>
        <item x="1313"/>
        <item x="694"/>
        <item x="1696"/>
        <item x="1065"/>
        <item x="1496"/>
        <item x="756"/>
        <item x="1401"/>
        <item x="1135"/>
        <item x="575"/>
        <item x="1678"/>
        <item x="1008"/>
        <item x="936"/>
        <item x="1163"/>
        <item x="1419"/>
        <item x="1534"/>
        <item x="429"/>
        <item x="1652"/>
        <item x="1237"/>
        <item x="889"/>
        <item x="1286"/>
        <item x="1548"/>
        <item x="102"/>
        <item x="470"/>
        <item x="2062"/>
        <item x="1659"/>
        <item x="1416"/>
        <item x="494"/>
        <item x="1759"/>
        <item x="2012"/>
        <item x="2017"/>
        <item x="147"/>
        <item x="219"/>
        <item x="460"/>
        <item x="152"/>
        <item x="857"/>
        <item x="1371"/>
        <item x="1074"/>
        <item x="317"/>
        <item x="383"/>
        <item x="1176"/>
        <item x="1378"/>
        <item x="412"/>
        <item x="913"/>
        <item x="1615"/>
        <item x="1925"/>
        <item x="438"/>
        <item x="1510"/>
        <item x="2065"/>
        <item x="1241"/>
        <item x="1208"/>
        <item x="1342"/>
        <item x="1691"/>
        <item x="1656"/>
        <item x="1994"/>
        <item x="1487"/>
        <item x="1038"/>
        <item x="652"/>
        <item x="1527"/>
        <item x="1800"/>
        <item x="321"/>
        <item x="20"/>
        <item x="1693"/>
        <item x="1583"/>
        <item x="1763"/>
        <item x="1201"/>
        <item x="2049"/>
        <item x="1692"/>
        <item x="1484"/>
        <item x="1940"/>
        <item x="1959"/>
        <item x="2075"/>
        <item x="1417"/>
        <item x="612"/>
        <item x="529"/>
        <item x="1617"/>
        <item x="833"/>
        <item x="107"/>
        <item x="1681"/>
        <item x="1346"/>
        <item x="1658"/>
        <item x="1766"/>
        <item x="1884"/>
        <item x="1030"/>
        <item x="10"/>
        <item x="1337"/>
        <item x="362"/>
        <item x="1363"/>
        <item x="1326"/>
        <item x="1129"/>
        <item x="1214"/>
        <item x="751"/>
        <item x="1866"/>
        <item x="493"/>
        <item x="1603"/>
        <item x="1898"/>
        <item x="1031"/>
        <item x="1623"/>
        <item x="1876"/>
        <item x="356"/>
        <item x="693"/>
        <item x="495"/>
        <item x="745"/>
        <item x="1784"/>
        <item x="71"/>
        <item x="1364"/>
        <item x="668"/>
        <item x="128"/>
        <item x="1442"/>
        <item x="1010"/>
        <item x="1814"/>
        <item x="1260"/>
        <item x="1251"/>
        <item x="1561"/>
        <item x="1292"/>
        <item x="1718"/>
        <item x="135"/>
        <item x="794"/>
        <item x="1362"/>
        <item x="2057"/>
        <item x="1137"/>
        <item x="1006"/>
        <item x="1349"/>
        <item x="1962"/>
        <item x="545"/>
        <item x="1430"/>
        <item x="1150"/>
        <item x="966"/>
        <item x="1344"/>
        <item x="245"/>
        <item x="755"/>
        <item x="1399"/>
        <item x="1983"/>
        <item x="960"/>
        <item x="1931"/>
        <item x="887"/>
        <item x="45"/>
        <item x="224"/>
        <item x="301"/>
        <item x="1140"/>
        <item x="74"/>
        <item x="1478"/>
        <item x="233"/>
        <item x="1618"/>
        <item x="1471"/>
        <item x="208"/>
        <item x="2031"/>
        <item x="1644"/>
        <item x="1173"/>
        <item x="36"/>
        <item x="1589"/>
        <item x="241"/>
        <item x="957"/>
        <item x="1235"/>
        <item x="1051"/>
        <item x="87"/>
        <item x="486"/>
        <item x="843"/>
        <item x="1499"/>
        <item x="342"/>
        <item x="327"/>
        <item x="343"/>
        <item x="1704"/>
        <item x="742"/>
        <item x="1052"/>
        <item x="391"/>
        <item x="435"/>
        <item x="300"/>
        <item x="1524"/>
        <item x="1755"/>
        <item x="81"/>
        <item x="1314"/>
        <item x="1145"/>
        <item x="1339"/>
        <item x="352"/>
        <item x="42"/>
        <item x="376"/>
        <item x="339"/>
        <item x="610"/>
        <item x="943"/>
        <item x="1882"/>
        <item x="1824"/>
        <item x="3"/>
        <item x="977"/>
        <item x="24"/>
        <item x="1198"/>
        <item x="1097"/>
        <item x="1192"/>
        <item x="1896"/>
        <item x="311"/>
        <item x="1209"/>
        <item x="1504"/>
        <item x="1480"/>
        <item x="875"/>
        <item x="1152"/>
        <item x="173"/>
        <item x="719"/>
        <item x="119"/>
        <item x="890"/>
        <item x="1049"/>
        <item x="1474"/>
        <item x="605"/>
        <item x="1233"/>
        <item x="1806"/>
        <item x="1564"/>
        <item x="1036"/>
        <item x="1425"/>
        <item x="11"/>
        <item x="1082"/>
        <item x="593"/>
        <item x="1267"/>
        <item x="799"/>
        <item x="1832"/>
        <item x="1993"/>
        <item x="1734"/>
        <item x="483"/>
        <item x="1801"/>
        <item x="1731"/>
        <item x="1697"/>
        <item x="1845"/>
        <item x="1100"/>
        <item x="629"/>
        <item x="260"/>
        <item x="407"/>
        <item x="1452"/>
        <item x="332"/>
        <item x="390"/>
        <item x="1170"/>
        <item x="1109"/>
        <item x="924"/>
        <item x="1271"/>
        <item x="1121"/>
        <item x="1639"/>
        <item x="426"/>
        <item x="1327"/>
        <item x="1"/>
        <item x="1695"/>
        <item x="1142"/>
        <item x="1662"/>
        <item x="1649"/>
        <item x="404"/>
        <item x="655"/>
        <item x="1787"/>
        <item x="1790"/>
        <item x="1668"/>
        <item x="940"/>
        <item x="823"/>
        <item x="1295"/>
        <item x="2052"/>
        <item x="544"/>
        <item x="782"/>
        <item x="1717"/>
        <item x="1356"/>
        <item x="1306"/>
        <item x="1413"/>
        <item x="551"/>
        <item x="388"/>
        <item x="1394"/>
        <item x="1869"/>
        <item x="408"/>
        <item x="1568"/>
        <item x="217"/>
        <item x="1061"/>
        <item x="749"/>
        <item x="878"/>
        <item x="1825"/>
        <item x="2022"/>
        <item x="210"/>
        <item x="841"/>
        <item x="105"/>
        <item x="806"/>
        <item x="111"/>
        <item x="1699"/>
        <item x="1427"/>
        <item x="1464"/>
        <item x="932"/>
        <item x="368"/>
        <item x="896"/>
        <item x="1930"/>
        <item x="347"/>
        <item x="747"/>
        <item x="1971"/>
        <item x="883"/>
        <item x="1705"/>
        <item x="1246"/>
        <item x="915"/>
        <item x="2037"/>
        <item x="1865"/>
        <item x="271"/>
        <item x="1520"/>
        <item x="53"/>
        <item x="1650"/>
        <item x="386"/>
        <item x="688"/>
        <item x="1329"/>
        <item x="1087"/>
        <item x="710"/>
        <item x="1343"/>
        <item x="951"/>
        <item x="2073"/>
        <item x="1369"/>
        <item x="1621"/>
        <item x="1202"/>
        <item x="595"/>
        <item x="879"/>
        <item x="417"/>
        <item x="616"/>
        <item x="159"/>
        <item x="387"/>
        <item x="1612"/>
        <item x="225"/>
        <item x="1476"/>
        <item x="1809"/>
        <item x="414"/>
        <item x="927"/>
        <item x="974"/>
        <item x="1535"/>
        <item x="1880"/>
        <item x="1358"/>
        <item x="160"/>
        <item x="2014"/>
        <item x="310"/>
        <item x="1952"/>
        <item x="1981"/>
        <item x="585"/>
        <item x="1608"/>
        <item x="207"/>
        <item x="306"/>
        <item x="328"/>
        <item x="1804"/>
        <item x="1810"/>
        <item x="1853"/>
        <item x="1400"/>
        <item x="1408"/>
        <item x="520"/>
        <item x="1472"/>
        <item x="1550"/>
        <item x="817"/>
        <item x="379"/>
        <item x="103"/>
        <item x="91"/>
        <item x="988"/>
        <item x="631"/>
        <item x="555"/>
        <item x="39"/>
        <item x="1871"/>
        <item x="1132"/>
        <item x="444"/>
        <item x="510"/>
        <item x="449"/>
        <item x="909"/>
        <item x="29"/>
        <item x="1712"/>
        <item x="1221"/>
        <item x="1885"/>
        <item x="172"/>
        <item x="1203"/>
        <item x="54"/>
        <item x="1905"/>
        <item x="274"/>
        <item x="819"/>
        <item x="1844"/>
        <item x="1298"/>
        <item x="100"/>
        <item x="359"/>
        <item x="1823"/>
        <item x="1308"/>
        <item x="654"/>
        <item x="1897"/>
        <item x="1762"/>
        <item x="56"/>
        <item x="1799"/>
        <item x="402"/>
        <item x="2002"/>
        <item x="897"/>
        <item x="1753"/>
        <item x="4"/>
        <item x="810"/>
        <item x="6"/>
        <item x="282"/>
        <item x="584"/>
        <item x="808"/>
        <item x="642"/>
        <item x="138"/>
        <item x="995"/>
        <item x="869"/>
        <item x="534"/>
        <item x="531"/>
        <item x="312"/>
        <item x="330"/>
        <item x="1398"/>
        <item x="1637"/>
        <item x="2024"/>
        <item x="2021"/>
        <item x="1206"/>
        <item x="2035"/>
        <item x="108"/>
        <item x="1558"/>
        <item x="953"/>
        <item x="1143"/>
        <item x="1877"/>
        <item x="1679"/>
        <item x="377"/>
        <item x="1256"/>
        <item x="1904"/>
        <item x="1932"/>
        <item x="740"/>
        <item x="1660"/>
        <item x="70"/>
        <item x="199"/>
        <item x="860"/>
        <item x="1539"/>
        <item x="984"/>
        <item x="1126"/>
        <item x="1336"/>
        <item x="1893"/>
        <item x="2032"/>
        <item x="350"/>
        <item x="1818"/>
        <item x="162"/>
        <item x="1846"/>
        <item x="382"/>
        <item x="226"/>
        <item x="178"/>
        <item x="543"/>
        <item x="134"/>
        <item x="910"/>
        <item x="1179"/>
        <item x="1144"/>
        <item x="1643"/>
        <item x="506"/>
        <item x="1275"/>
        <item x="1411"/>
        <item x="648"/>
        <item x="744"/>
        <item x="1090"/>
        <item x="188"/>
        <item x="1840"/>
        <item x="1026"/>
        <item x="1115"/>
        <item x="115"/>
        <item x="1347"/>
        <item x="1466"/>
        <item x="2026"/>
        <item x="1783"/>
        <item x="969"/>
        <item x="1134"/>
        <item x="1370"/>
        <item x="1861"/>
        <item x="1836"/>
        <item x="1694"/>
        <item x="1521"/>
        <item x="645"/>
        <item x="1745"/>
        <item x="1848"/>
        <item x="415"/>
        <item x="730"/>
        <item x="907"/>
        <item x="562"/>
        <item x="881"/>
        <item x="283"/>
        <item x="1048"/>
        <item x="2042"/>
        <item x="1547"/>
        <item x="1434"/>
        <item x="524"/>
        <item x="638"/>
        <item x="1901"/>
        <item x="1004"/>
        <item x="1262"/>
        <item x="1258"/>
        <item x="1773"/>
        <item x="1664"/>
        <item x="1341"/>
        <item x="1187"/>
        <item x="683"/>
        <item x="2053"/>
        <item x="288"/>
        <item x="62"/>
        <item x="2018"/>
        <item x="95"/>
        <item x="1218"/>
        <item x="708"/>
        <item x="1542"/>
        <item x="1032"/>
        <item x="1319"/>
        <item x="60"/>
        <item x="746"/>
        <item x="834"/>
        <item x="1601"/>
        <item x="77"/>
        <item x="1128"/>
        <item x="1827"/>
        <item x="255"/>
        <item x="127"/>
        <item x="1119"/>
        <item x="1964"/>
        <item x="1110"/>
        <item x="1290"/>
        <item x="1750"/>
        <item x="1368"/>
        <item x="1402"/>
        <item x="394"/>
        <item x="1613"/>
        <item x="981"/>
        <item x="242"/>
        <item x="1711"/>
        <item x="1965"/>
        <item x="1569"/>
        <item x="1819"/>
        <item x="1334"/>
        <item x="968"/>
        <item x="1488"/>
        <item x="1146"/>
        <item x="2056"/>
        <item x="1117"/>
        <item x="831"/>
        <item x="1019"/>
        <item x="624"/>
        <item x="1439"/>
        <item x="1093"/>
        <item x="1563"/>
        <item x="920"/>
        <item x="1807"/>
        <item x="1775"/>
        <item x="1744"/>
        <item x="232"/>
        <item x="467"/>
        <item x="1707"/>
        <item x="1779"/>
        <item x="1151"/>
        <item x="1685"/>
        <item x="1999"/>
        <item x="1816"/>
        <item x="468"/>
        <item x="1259"/>
        <item x="1834"/>
        <item x="1942"/>
        <item x="2071"/>
        <item x="1507"/>
        <item x="324"/>
        <item x="677"/>
        <item x="319"/>
        <item x="1039"/>
        <item x="1536"/>
        <item x="1828"/>
        <item x="1580"/>
        <item x="849"/>
        <item x="1490"/>
        <item x="419"/>
        <item x="498"/>
        <item x="1517"/>
        <item x="579"/>
        <item x="518"/>
        <item x="2028"/>
        <item x="1325"/>
        <item x="1081"/>
        <item x="436"/>
        <item x="1072"/>
        <item x="1864"/>
        <item x="1050"/>
        <item x="1009"/>
        <item x="1772"/>
        <item x="370"/>
        <item x="820"/>
        <item x="175"/>
        <item x="1462"/>
        <item x="1195"/>
        <item x="1620"/>
        <item x="867"/>
        <item x="698"/>
        <item x="440"/>
        <item x="519"/>
        <item x="156"/>
        <item x="1654"/>
        <item x="601"/>
        <item x="1216"/>
        <item x="1099"/>
        <item x="1252"/>
        <item x="205"/>
        <item x="503"/>
        <item x="1037"/>
        <item x="922"/>
        <item x="1716"/>
        <item x="798"/>
        <item x="1380"/>
        <item x="687"/>
        <item x="1104"/>
        <item x="126"/>
        <item x="262"/>
        <item x="289"/>
        <item x="1372"/>
        <item x="522"/>
        <item x="1015"/>
        <item x="1741"/>
        <item x="1625"/>
        <item x="891"/>
        <item x="1092"/>
        <item x="1091"/>
        <item x="1108"/>
        <item x="335"/>
        <item x="502"/>
        <item x="2040"/>
        <item x="1064"/>
        <item x="526"/>
        <item x="1847"/>
        <item x="1338"/>
        <item x="55"/>
        <item x="1367"/>
        <item x="961"/>
        <item x="1859"/>
        <item x="1593"/>
        <item x="1067"/>
        <item x="1183"/>
        <item x="1605"/>
        <item x="1289"/>
        <item x="1873"/>
        <item x="1501"/>
        <item x="1895"/>
        <item x="373"/>
        <item x="505"/>
        <item x="1987"/>
        <item x="1497"/>
        <item x="315"/>
        <item x="195"/>
        <item x="211"/>
        <item x="1003"/>
        <item x="280"/>
        <item x="862"/>
        <item x="1632"/>
        <item x="1473"/>
        <item x="771"/>
        <item x="928"/>
        <item x="82"/>
        <item x="1518"/>
        <item x="516"/>
        <item x="1584"/>
        <item x="1147"/>
        <item x="1928"/>
        <item x="1447"/>
        <item x="800"/>
        <item x="830"/>
        <item x="345"/>
        <item x="1525"/>
        <item x="1131"/>
        <item x="542"/>
        <item x="1641"/>
        <item x="917"/>
        <item x="1244"/>
        <item x="0"/>
        <item x="680"/>
        <item x="1887"/>
        <item x="1025"/>
        <item x="1565"/>
        <item x="1330"/>
        <item x="2015"/>
        <item x="982"/>
        <item x="46"/>
        <item x="1382"/>
        <item x="829"/>
        <item x="58"/>
        <item x="1607"/>
        <item x="872"/>
        <item x="1984"/>
        <item x="1791"/>
        <item x="1317"/>
        <item x="712"/>
        <item x="2003"/>
        <item x="1851"/>
        <item x="1922"/>
        <item x="1598"/>
        <item x="381"/>
        <item x="221"/>
        <item x="1663"/>
        <item x="1171"/>
        <item x="1011"/>
        <item x="1311"/>
        <item x="1254"/>
        <item x="1666"/>
        <item x="1835"/>
        <item x="292"/>
        <item x="901"/>
        <item x="1767"/>
        <item x="983"/>
        <item x="2061"/>
        <item x="378"/>
        <item x="492"/>
        <item x="1068"/>
        <item x="489"/>
        <item x="1053"/>
        <item x="265"/>
        <item x="1318"/>
        <item x="80"/>
        <item x="86"/>
        <item x="573"/>
        <item x="1746"/>
        <item x="1614"/>
        <item x="192"/>
        <item x="847"/>
        <item x="94"/>
        <item x="145"/>
        <item x="625"/>
        <item x="1976"/>
        <item x="1752"/>
        <item x="26"/>
        <item x="1506"/>
        <item x="1088"/>
        <item x="1571"/>
        <item x="2004"/>
        <item x="1842"/>
        <item x="482"/>
        <item x="1735"/>
        <item x="243"/>
        <item x="582"/>
        <item x="695"/>
        <item x="1988"/>
        <item x="1020"/>
        <item x="665"/>
        <item x="338"/>
        <item x="1274"/>
        <item x="1168"/>
        <item x="212"/>
        <item x="1841"/>
        <item x="690"/>
        <item x="1265"/>
        <item x="32"/>
        <item x="1990"/>
        <item x="1582"/>
        <item x="167"/>
        <item x="596"/>
        <item x="766"/>
        <item x="308"/>
        <item x="1549"/>
        <item x="669"/>
        <item x="1261"/>
        <item x="1665"/>
        <item x="1578"/>
        <item x="1526"/>
        <item x="1453"/>
        <item x="581"/>
        <item x="1667"/>
        <item x="96"/>
        <item x="1495"/>
        <item x="1211"/>
        <item x="360"/>
        <item x="488"/>
        <item x="2070"/>
        <item x="1332"/>
        <item x="1923"/>
        <item x="1381"/>
        <item x="400"/>
        <item x="1557"/>
        <item x="1645"/>
        <item x="1421"/>
        <item x="346"/>
        <item x="117"/>
        <item x="323"/>
        <item x="1023"/>
        <item x="1383"/>
        <item x="109"/>
        <item x="1055"/>
        <item x="992"/>
        <item x="1634"/>
        <item x="987"/>
        <item x="637"/>
        <item x="805"/>
        <item x="1493"/>
        <item x="1515"/>
        <item x="546"/>
        <item x="34"/>
        <item x="1122"/>
        <item x="793"/>
        <item x="824"/>
        <item x="1541"/>
        <item x="1111"/>
        <item x="270"/>
        <item x="1253"/>
        <item x="873"/>
        <item x="603"/>
        <item x="1281"/>
        <item x="682"/>
        <item x="1989"/>
        <item x="818"/>
        <item x="1909"/>
        <item x="1622"/>
        <item x="1811"/>
        <item x="1531"/>
        <item x="1544"/>
        <item x="1609"/>
        <item x="1285"/>
        <item x="1874"/>
        <item x="783"/>
        <item x="337"/>
        <item x="1555"/>
        <item x="1918"/>
        <item x="1352"/>
        <item x="1479"/>
        <item x="1596"/>
        <item x="1366"/>
        <item x="1440"/>
        <item x="773"/>
        <item x="893"/>
        <item x="1389"/>
        <item x="99"/>
        <item x="1387"/>
        <item x="448"/>
        <item x="885"/>
        <item x="812"/>
        <item x="852"/>
        <item x="673"/>
        <item x="196"/>
        <item x="1529"/>
        <item x="767"/>
        <item x="697"/>
        <item x="1454"/>
        <item x="991"/>
        <item x="1165"/>
        <item x="393"/>
        <item x="1000"/>
        <item x="1729"/>
        <item x="465"/>
        <item x="1415"/>
        <item x="1431"/>
        <item x="357"/>
        <item x="198"/>
        <item x="2011"/>
        <item x="499"/>
        <item x="453"/>
        <item x="720"/>
        <item x="1076"/>
        <item x="842"/>
        <item x="1688"/>
        <item x="256"/>
        <item x="2074"/>
        <item x="2007"/>
        <item x="532"/>
        <item x="1390"/>
        <item x="1276"/>
        <item x="151"/>
        <item x="803"/>
        <item x="1279"/>
        <item x="1083"/>
        <item x="1283"/>
        <item x="1698"/>
        <item x="1136"/>
        <item x="759"/>
        <item x="779"/>
        <item x="44"/>
        <item x="1782"/>
        <item x="294"/>
        <item x="1600"/>
        <item x="1045"/>
        <item x="828"/>
        <item x="366"/>
        <item x="876"/>
        <item x="608"/>
        <item x="877"/>
        <item x="827"/>
        <item x="1207"/>
        <item x="1293"/>
        <item x="635"/>
        <item x="1451"/>
        <item x="1914"/>
        <item x="964"/>
        <item x="711"/>
        <item x="141"/>
        <item x="1902"/>
        <item x="538"/>
        <item x="880"/>
        <item x="718"/>
        <item x="1991"/>
        <item x="1929"/>
        <item x="47"/>
        <item x="1723"/>
        <item x="1057"/>
        <item x="18"/>
        <item x="1797"/>
        <item x="1556"/>
        <item x="699"/>
        <item x="706"/>
        <item x="1414"/>
        <item x="33"/>
        <item x="1761"/>
        <item x="273"/>
        <item x="1974"/>
        <item x="1174"/>
        <item x="948"/>
        <item x="410"/>
        <item x="1927"/>
        <item x="1629"/>
        <item x="1302"/>
        <item x="50"/>
        <item x="781"/>
        <item x="78"/>
        <item x="405"/>
        <item x="1001"/>
        <item x="2060"/>
        <item x="1149"/>
        <item x="1516"/>
        <item x="1881"/>
        <item x="153"/>
        <item x="1579"/>
        <item x="809"/>
        <item x="16"/>
        <item x="1683"/>
        <item x="1714"/>
        <item x="754"/>
        <item x="1177"/>
        <item x="1287"/>
        <item x="369"/>
        <item x="736"/>
        <item x="1303"/>
        <item x="825"/>
        <item x="197"/>
        <item x="758"/>
        <item x="978"/>
        <item x="437"/>
        <item x="344"/>
        <item x="1084"/>
        <item x="1018"/>
        <item x="395"/>
        <item x="674"/>
        <item x="1028"/>
        <item x="1191"/>
        <item x="855"/>
        <item x="501"/>
        <item x="1432"/>
        <item x="1264"/>
        <item x="558"/>
        <item x="165"/>
        <item x="1123"/>
        <item x="309"/>
        <item x="1482"/>
        <item x="177"/>
        <item x="446"/>
        <item x="1188"/>
        <item x="1867"/>
        <item x="1078"/>
        <item x="965"/>
        <item x="563"/>
        <item x="1730"/>
        <item x="1060"/>
        <item x="556"/>
        <item x="40"/>
        <item x="963"/>
        <item x="358"/>
        <item x="1978"/>
        <item x="341"/>
        <item x="425"/>
        <item x="397"/>
        <item x="1802"/>
        <item x="1963"/>
        <item x="976"/>
        <item x="1822"/>
        <item x="950"/>
        <item x="1033"/>
        <item x="1738"/>
        <item x="2020"/>
        <item x="938"/>
        <item x="1975"/>
        <item x="921"/>
        <item x="1277"/>
        <item x="989"/>
        <item x="659"/>
        <item x="1124"/>
        <item x="1996"/>
        <item x="814"/>
        <item x="474"/>
        <item x="263"/>
        <item x="202"/>
        <item x="216"/>
        <item x="2033"/>
        <item x="2069"/>
        <item x="1514"/>
        <item x="778"/>
        <item x="1360"/>
        <item x="2047"/>
        <item x="464"/>
        <item x="457"/>
        <item x="942"/>
        <item x="691"/>
        <item x="136"/>
        <item x="1379"/>
        <item x="272"/>
        <item x="864"/>
        <item x="1222"/>
        <item x="278"/>
        <item x="189"/>
        <item x="2043"/>
        <item x="1574"/>
        <item x="628"/>
        <item x="1833"/>
        <item x="463"/>
        <item x="1315"/>
        <item x="552"/>
        <item x="1257"/>
        <item x="839"/>
        <item x="644"/>
        <item x="1167"/>
        <item x="2000"/>
        <item x="1385"/>
        <item x="871"/>
        <item x="1457"/>
        <item x="726"/>
        <item x="340"/>
        <item x="681"/>
        <item x="1469"/>
        <item x="533"/>
        <item x="985"/>
        <item x="287"/>
        <item x="1017"/>
        <item x="528"/>
        <item x="1157"/>
        <item x="611"/>
        <item x="48"/>
        <item x="206"/>
        <item x="409"/>
        <item x="140"/>
        <item x="684"/>
        <item x="1322"/>
        <item x="472"/>
        <item x="1215"/>
        <item x="1483"/>
        <item x="66"/>
        <item x="739"/>
        <item x="1647"/>
        <item x="1936"/>
        <item x="286"/>
        <item x="886"/>
        <item x="1935"/>
        <item x="2016"/>
        <item x="1742"/>
        <item x="1686"/>
        <item x="1312"/>
        <item x="906"/>
        <item x="1862"/>
        <item x="898"/>
        <item x="1676"/>
        <item x="186"/>
        <item t="default"/>
      </items>
    </pivotField>
    <pivotField axis="axisRow" compact="0" showAll="0">
      <items count="7">
        <item x="1"/>
        <item x="2"/>
        <item x="5"/>
        <item x="3"/>
        <item x="4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54">
        <item x="649"/>
        <item x="691"/>
        <item x="314"/>
        <item x="164"/>
        <item x="238"/>
        <item x="740"/>
        <item x="440"/>
        <item x="216"/>
        <item x="613"/>
        <item x="499"/>
        <item x="463"/>
        <item x="357"/>
        <item x="206"/>
        <item x="107"/>
        <item x="503"/>
        <item x="28"/>
        <item x="140"/>
        <item x="232"/>
        <item x="513"/>
        <item x="273"/>
        <item x="97"/>
        <item x="427"/>
        <item x="254"/>
        <item x="453"/>
        <item x="378"/>
        <item x="635"/>
        <item x="210"/>
        <item x="220"/>
        <item x="159"/>
        <item x="36"/>
        <item x="332"/>
        <item x="260"/>
        <item x="296"/>
        <item x="366"/>
        <item x="462"/>
        <item x="194"/>
        <item x="472"/>
        <item x="548"/>
        <item x="361"/>
        <item x="196"/>
        <item x="668"/>
        <item x="249"/>
        <item x="679"/>
        <item x="39"/>
        <item x="738"/>
        <item x="732"/>
        <item x="334"/>
        <item x="127"/>
        <item x="688"/>
        <item x="584"/>
        <item x="119"/>
        <item x="1"/>
        <item x="380"/>
        <item x="2"/>
        <item x="432"/>
        <item x="692"/>
        <item x="493"/>
        <item x="674"/>
        <item x="154"/>
        <item x="96"/>
        <item x="518"/>
        <item x="483"/>
        <item x="74"/>
        <item x="29"/>
        <item x="43"/>
        <item x="307"/>
        <item x="330"/>
        <item x="664"/>
        <item x="575"/>
        <item x="589"/>
        <item x="746"/>
        <item x="235"/>
        <item x="603"/>
        <item x="178"/>
        <item x="368"/>
        <item x="532"/>
        <item x="342"/>
        <item x="626"/>
        <item x="258"/>
        <item x="57"/>
        <item x="91"/>
        <item x="619"/>
        <item x="719"/>
        <item x="699"/>
        <item x="632"/>
        <item x="662"/>
        <item x="162"/>
        <item x="597"/>
        <item x="509"/>
        <item x="271"/>
        <item x="94"/>
        <item x="743"/>
        <item x="250"/>
        <item x="581"/>
        <item x="391"/>
        <item x="547"/>
        <item x="566"/>
        <item x="406"/>
        <item x="587"/>
        <item x="687"/>
        <item x="735"/>
        <item x="25"/>
        <item x="384"/>
        <item x="267"/>
        <item x="716"/>
        <item x="715"/>
        <item x="227"/>
        <item x="424"/>
        <item x="430"/>
        <item x="395"/>
        <item x="492"/>
        <item x="511"/>
        <item x="323"/>
        <item x="747"/>
        <item x="337"/>
        <item x="538"/>
        <item x="482"/>
        <item x="313"/>
        <item x="172"/>
        <item x="338"/>
        <item x="466"/>
        <item x="348"/>
        <item x="180"/>
        <item x="292"/>
        <item x="257"/>
        <item x="684"/>
        <item x="274"/>
        <item x="407"/>
        <item x="485"/>
        <item x="102"/>
        <item x="241"/>
        <item x="293"/>
        <item x="373"/>
        <item x="389"/>
        <item x="439"/>
        <item x="17"/>
        <item x="624"/>
        <item x="599"/>
        <item x="263"/>
        <item x="745"/>
        <item x="428"/>
        <item x="398"/>
        <item x="390"/>
        <item x="494"/>
        <item x="534"/>
        <item x="90"/>
        <item x="558"/>
        <item x="177"/>
        <item x="52"/>
        <item x="131"/>
        <item x="467"/>
        <item x="226"/>
        <item x="93"/>
        <item x="557"/>
        <item x="352"/>
        <item x="229"/>
        <item x="471"/>
        <item x="620"/>
        <item x="505"/>
        <item x="601"/>
        <item x="752"/>
        <item x="487"/>
        <item x="312"/>
        <item x="165"/>
        <item x="418"/>
        <item x="586"/>
        <item x="709"/>
        <item x="475"/>
        <item x="268"/>
        <item x="516"/>
        <item x="591"/>
        <item x="48"/>
        <item x="385"/>
        <item x="98"/>
        <item x="306"/>
        <item x="527"/>
        <item x="21"/>
        <item x="750"/>
        <item x="593"/>
        <item x="120"/>
        <item x="80"/>
        <item x="356"/>
        <item x="38"/>
        <item x="409"/>
        <item x="615"/>
        <item x="697"/>
        <item x="114"/>
        <item x="500"/>
        <item x="284"/>
        <item x="23"/>
        <item x="221"/>
        <item x="410"/>
        <item x="729"/>
        <item x="452"/>
        <item x="617"/>
        <item x="186"/>
        <item x="651"/>
        <item x="207"/>
        <item x="643"/>
        <item x="486"/>
        <item x="526"/>
        <item x="124"/>
        <item x="530"/>
        <item x="677"/>
        <item x="259"/>
        <item x="404"/>
        <item x="680"/>
        <item x="723"/>
        <item x="724"/>
        <item x="671"/>
        <item x="144"/>
        <item x="157"/>
        <item x="139"/>
        <item x="209"/>
        <item x="125"/>
        <item x="610"/>
        <item x="700"/>
        <item x="283"/>
        <item x="95"/>
        <item x="60"/>
        <item x="720"/>
        <item x="224"/>
        <item x="104"/>
        <item x="34"/>
        <item x="681"/>
        <item x="393"/>
        <item x="282"/>
        <item x="474"/>
        <item x="443"/>
        <item x="277"/>
        <item x="191"/>
        <item x="614"/>
        <item x="637"/>
        <item x="246"/>
        <item x="176"/>
        <item x="429"/>
        <item x="722"/>
        <item x="507"/>
        <item x="376"/>
        <item x="667"/>
        <item x="417"/>
        <item x="604"/>
        <item x="364"/>
        <item x="742"/>
        <item x="419"/>
        <item x="435"/>
        <item x="666"/>
        <item x="242"/>
        <item x="333"/>
        <item x="349"/>
        <item x="535"/>
        <item x="553"/>
        <item x="225"/>
        <item x="434"/>
        <item x="415"/>
        <item x="182"/>
        <item x="542"/>
        <item x="479"/>
        <item x="280"/>
        <item x="450"/>
        <item x="336"/>
        <item x="539"/>
        <item x="297"/>
        <item x="291"/>
        <item x="711"/>
        <item x="353"/>
        <item x="543"/>
        <item x="79"/>
        <item x="728"/>
        <item x="576"/>
        <item x="135"/>
        <item x="41"/>
        <item x="281"/>
        <item x="18"/>
        <item x="645"/>
        <item x="465"/>
        <item x="272"/>
        <item x="672"/>
        <item x="75"/>
        <item x="616"/>
        <item x="171"/>
        <item x="322"/>
        <item x="8"/>
        <item x="65"/>
        <item x="612"/>
        <item x="308"/>
        <item x="187"/>
        <item x="67"/>
        <item x="495"/>
        <item x="290"/>
        <item x="214"/>
        <item x="300"/>
        <item x="179"/>
        <item x="301"/>
        <item x="346"/>
        <item x="37"/>
        <item x="544"/>
        <item x="655"/>
        <item x="497"/>
        <item x="609"/>
        <item x="315"/>
        <item x="595"/>
        <item x="456"/>
        <item x="58"/>
        <item x="269"/>
        <item x="190"/>
        <item x="359"/>
        <item x="442"/>
        <item x="733"/>
        <item x="174"/>
        <item x="47"/>
        <item x="121"/>
        <item x="15"/>
        <item x="727"/>
        <item x="379"/>
        <item x="279"/>
        <item x="113"/>
        <item x="423"/>
        <item x="441"/>
        <item x="92"/>
        <item x="161"/>
        <item x="628"/>
        <item x="707"/>
        <item x="82"/>
        <item x="408"/>
        <item x="248"/>
        <item x="151"/>
        <item x="50"/>
        <item x="670"/>
        <item x="304"/>
        <item x="143"/>
        <item x="327"/>
        <item x="402"/>
        <item x="682"/>
        <item x="412"/>
        <item x="133"/>
        <item x="239"/>
        <item x="344"/>
        <item x="26"/>
        <item x="101"/>
        <item x="192"/>
        <item x="245"/>
        <item x="708"/>
        <item x="110"/>
        <item x="158"/>
        <item x="627"/>
        <item x="152"/>
        <item x="377"/>
        <item x="386"/>
        <item x="577"/>
        <item x="49"/>
        <item x="730"/>
        <item x="62"/>
        <item x="669"/>
        <item x="331"/>
        <item x="117"/>
        <item x="12"/>
        <item x="5"/>
        <item x="646"/>
        <item x="108"/>
        <item x="477"/>
        <item x="288"/>
        <item x="289"/>
        <item x="491"/>
        <item x="541"/>
        <item x="51"/>
        <item x="358"/>
        <item x="148"/>
        <item x="652"/>
        <item x="618"/>
        <item x="298"/>
        <item x="634"/>
        <item x="123"/>
        <item x="365"/>
        <item x="529"/>
        <item x="240"/>
        <item x="564"/>
        <item x="622"/>
        <item x="237"/>
        <item x="54"/>
        <item x="30"/>
        <item x="69"/>
        <item x="14"/>
        <item x="583"/>
        <item x="20"/>
        <item x="71"/>
        <item x="588"/>
        <item x="549"/>
        <item x="579"/>
        <item x="731"/>
        <item x="185"/>
        <item x="255"/>
        <item x="744"/>
        <item x="204"/>
        <item x="654"/>
        <item x="704"/>
        <item x="109"/>
        <item x="285"/>
        <item x="88"/>
        <item x="189"/>
        <item x="265"/>
        <item x="561"/>
        <item x="714"/>
        <item x="11"/>
        <item x="77"/>
        <item x="205"/>
        <item x="66"/>
        <item x="585"/>
        <item x="457"/>
        <item x="198"/>
        <item x="222"/>
        <item x="266"/>
        <item x="211"/>
        <item x="524"/>
        <item x="546"/>
        <item x="208"/>
        <item x="213"/>
        <item x="341"/>
        <item x="126"/>
        <item x="702"/>
        <item x="683"/>
        <item x="56"/>
        <item x="706"/>
        <item x="739"/>
        <item x="473"/>
        <item x="625"/>
        <item x="112"/>
        <item x="233"/>
        <item x="276"/>
        <item x="689"/>
        <item x="347"/>
        <item x="501"/>
        <item x="639"/>
        <item x="219"/>
        <item x="540"/>
        <item x="73"/>
        <item x="698"/>
        <item x="690"/>
        <item x="629"/>
        <item x="741"/>
        <item x="228"/>
        <item x="236"/>
        <item x="580"/>
        <item x="464"/>
        <item x="134"/>
        <item x="381"/>
        <item x="422"/>
        <item x="705"/>
        <item x="446"/>
        <item x="45"/>
        <item x="383"/>
        <item x="302"/>
        <item x="147"/>
        <item x="436"/>
        <item x="594"/>
        <item x="343"/>
        <item x="454"/>
        <item x="751"/>
        <item x="270"/>
        <item x="375"/>
        <item x="521"/>
        <item x="218"/>
        <item x="605"/>
        <item x="675"/>
        <item x="444"/>
        <item x="563"/>
        <item x="275"/>
        <item x="128"/>
        <item x="369"/>
        <item x="305"/>
        <item x="262"/>
        <item x="387"/>
        <item x="4"/>
        <item x="7"/>
        <item x="320"/>
        <item x="414"/>
        <item x="33"/>
        <item x="231"/>
        <item x="641"/>
        <item x="16"/>
        <item x="531"/>
        <item x="426"/>
        <item x="653"/>
        <item x="582"/>
        <item x="545"/>
        <item x="251"/>
        <item x="572"/>
        <item x="168"/>
        <item x="324"/>
        <item x="142"/>
        <item x="512"/>
        <item x="676"/>
        <item x="559"/>
        <item x="55"/>
        <item x="400"/>
        <item x="574"/>
        <item x="53"/>
        <item x="371"/>
        <item x="498"/>
        <item x="129"/>
        <item x="630"/>
        <item x="661"/>
        <item x="413"/>
        <item x="188"/>
        <item x="537"/>
        <item x="663"/>
        <item x="326"/>
        <item x="525"/>
        <item x="13"/>
        <item x="193"/>
        <item x="647"/>
        <item x="644"/>
        <item x="508"/>
        <item x="551"/>
        <item x="83"/>
        <item x="355"/>
        <item x="382"/>
        <item x="685"/>
        <item x="351"/>
        <item x="202"/>
        <item x="199"/>
        <item x="234"/>
        <item x="122"/>
        <item x="170"/>
        <item x="405"/>
        <item x="345"/>
        <item x="734"/>
        <item x="78"/>
        <item x="656"/>
        <item x="569"/>
        <item x="449"/>
        <item x="319"/>
        <item x="370"/>
        <item x="195"/>
        <item x="570"/>
        <item x="363"/>
        <item x="85"/>
        <item x="166"/>
        <item x="401"/>
        <item x="717"/>
        <item x="40"/>
        <item x="481"/>
        <item x="100"/>
        <item x="286"/>
        <item x="175"/>
        <item x="247"/>
        <item x="138"/>
        <item x="27"/>
        <item x="420"/>
        <item x="416"/>
        <item x="478"/>
        <item x="84"/>
        <item x="200"/>
        <item x="149"/>
        <item x="528"/>
        <item x="63"/>
        <item x="611"/>
        <item x="484"/>
        <item x="169"/>
        <item x="3"/>
        <item x="470"/>
        <item x="76"/>
        <item x="631"/>
        <item x="153"/>
        <item x="693"/>
        <item x="354"/>
        <item x="243"/>
        <item x="431"/>
        <item x="46"/>
        <item x="573"/>
        <item x="68"/>
        <item x="523"/>
        <item x="556"/>
        <item x="403"/>
        <item x="399"/>
        <item x="598"/>
        <item x="552"/>
        <item x="468"/>
        <item x="578"/>
        <item x="638"/>
        <item x="155"/>
        <item x="712"/>
        <item x="657"/>
        <item x="550"/>
        <item x="388"/>
        <item x="264"/>
        <item x="602"/>
        <item x="726"/>
        <item x="374"/>
        <item x="642"/>
        <item x="217"/>
        <item x="480"/>
        <item x="447"/>
        <item x="372"/>
        <item x="392"/>
        <item x="141"/>
        <item x="311"/>
        <item x="130"/>
        <item x="325"/>
        <item x="445"/>
        <item x="451"/>
        <item x="89"/>
        <item x="621"/>
        <item x="554"/>
        <item x="660"/>
        <item x="397"/>
        <item x="81"/>
        <item x="522"/>
        <item x="421"/>
        <item x="44"/>
        <item x="278"/>
        <item x="695"/>
        <item x="496"/>
        <item x="350"/>
        <item x="648"/>
        <item x="6"/>
        <item x="490"/>
        <item x="659"/>
        <item x="253"/>
        <item x="725"/>
        <item x="565"/>
        <item x="623"/>
        <item x="433"/>
        <item x="116"/>
        <item x="87"/>
        <item x="721"/>
        <item x="299"/>
        <item x="510"/>
        <item x="665"/>
        <item x="252"/>
        <item x="256"/>
        <item x="173"/>
        <item x="567"/>
        <item x="163"/>
        <item x="201"/>
        <item x="340"/>
        <item x="335"/>
        <item x="520"/>
        <item x="737"/>
        <item x="0"/>
        <item x="150"/>
        <item x="517"/>
        <item x="339"/>
        <item x="360"/>
        <item x="61"/>
        <item x="678"/>
        <item x="10"/>
        <item x="294"/>
        <item x="560"/>
        <item x="367"/>
        <item x="519"/>
        <item x="24"/>
        <item x="86"/>
        <item x="244"/>
        <item x="261"/>
        <item x="329"/>
        <item x="146"/>
        <item x="316"/>
        <item x="694"/>
        <item x="99"/>
        <item x="362"/>
        <item x="212"/>
        <item x="673"/>
        <item x="701"/>
        <item x="215"/>
        <item x="310"/>
        <item x="59"/>
        <item x="459"/>
        <item x="167"/>
        <item x="137"/>
        <item x="514"/>
        <item x="72"/>
        <item x="111"/>
        <item x="448"/>
        <item x="606"/>
        <item x="425"/>
        <item x="590"/>
        <item x="749"/>
        <item x="197"/>
        <item x="181"/>
        <item x="396"/>
        <item x="303"/>
        <item x="317"/>
        <item x="203"/>
        <item x="506"/>
        <item x="536"/>
        <item x="132"/>
        <item x="115"/>
        <item x="658"/>
        <item x="533"/>
        <item x="105"/>
        <item x="476"/>
        <item x="469"/>
        <item x="736"/>
        <item x="9"/>
        <item x="592"/>
        <item x="568"/>
        <item x="633"/>
        <item x="696"/>
        <item x="156"/>
        <item x="230"/>
        <item x="32"/>
        <item x="504"/>
        <item x="718"/>
        <item x="309"/>
        <item x="295"/>
        <item x="223"/>
        <item x="160"/>
        <item x="70"/>
        <item x="106"/>
        <item x="488"/>
        <item x="321"/>
        <item x="600"/>
        <item x="458"/>
        <item x="328"/>
        <item x="455"/>
        <item x="103"/>
        <item x="22"/>
        <item x="437"/>
        <item x="145"/>
        <item x="713"/>
        <item x="438"/>
        <item x="318"/>
        <item x="394"/>
        <item x="608"/>
        <item x="411"/>
        <item x="640"/>
        <item x="636"/>
        <item x="64"/>
        <item x="571"/>
        <item x="710"/>
        <item x="489"/>
        <item x="515"/>
        <item x="686"/>
        <item x="184"/>
        <item x="19"/>
        <item x="596"/>
        <item x="650"/>
        <item x="562"/>
        <item x="748"/>
        <item x="42"/>
        <item x="31"/>
        <item x="35"/>
        <item x="136"/>
        <item x="287"/>
        <item x="183"/>
        <item x="502"/>
        <item x="607"/>
        <item x="703"/>
        <item x="460"/>
        <item x="555"/>
        <item x="461"/>
        <item x="118"/>
        <item t="default"/>
      </items>
    </pivotField>
    <pivotField compact="0" showAll="0">
      <items count="3">
        <item x="1"/>
        <item x="0"/>
        <item t="default"/>
      </items>
    </pivotField>
    <pivotField compact="0" defaultSubtotal="0" showAll="0">
      <items count="4">
        <item x="0"/>
        <item x="3"/>
        <item x="1"/>
        <item x="2"/>
      </items>
    </pivotField>
  </pivotFields>
  <rowFields count="1">
    <field x="2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16" baseField="0" baseItem="0"/>
  </dataFields>
  <formats count="19">
    <format dxfId="0">
      <pivotArea collapsedLevelsAreSubtotals="1" fieldPosition="0">
        <references count="1">
          <reference field="20" count="1" selected="0">
            <x v="0"/>
          </reference>
        </references>
      </pivotArea>
    </format>
    <format dxfId="1">
      <pivotArea collapsedLevelsAreSubtotals="1" fieldPosition="0">
        <references count="1">
          <reference field="20" count="1" selected="0">
            <x v="0"/>
          </reference>
        </references>
      </pivotArea>
    </format>
    <format dxfId="2">
      <pivotArea collapsedLevelsAreSubtotals="1" fieldPosition="0">
        <references count="1">
          <reference field="20" count="1" selected="0">
            <x v="1"/>
          </reference>
        </references>
      </pivotArea>
    </format>
    <format dxfId="3">
      <pivotArea collapsedLevelsAreSubtotals="1" fieldPosition="0">
        <references count="1">
          <reference field="20" count="1" selected="0">
            <x v="2"/>
          </reference>
        </references>
      </pivotArea>
    </format>
    <format dxfId="4">
      <pivotArea collapsedLevelsAreSubtotals="1" fieldPosition="0">
        <references count="1">
          <reference field="20" count="1" selected="0">
            <x v="3"/>
          </reference>
        </references>
      </pivotArea>
    </format>
    <format dxfId="5">
      <pivotArea collapsedLevelsAreSubtotals="1" fieldPosition="0">
        <references count="1">
          <reference field="20" count="1" selected="0">
            <x v="4"/>
          </reference>
        </references>
      </pivotArea>
    </format>
    <format dxfId="6">
      <pivotArea collapsedLevelsAreSubtotals="1" fieldPosition="0">
        <references count="1">
          <reference field="20" count="1" selected="0">
            <x v="5"/>
          </reference>
        </references>
      </pivotArea>
    </format>
    <format dxfId="7">
      <pivotArea collapsedLevelsAreSubtotals="1" fieldPosition="0">
        <references count="1">
          <reference field="20" count="1" selected="0">
            <x v="0"/>
          </reference>
        </references>
      </pivotArea>
    </format>
    <format dxfId="8">
      <pivotArea collapsedLevelsAreSubtotals="1" fieldPosition="0">
        <references count="1">
          <reference field="20" count="1" selected="0">
            <x v="1"/>
          </reference>
        </references>
      </pivotArea>
    </format>
    <format dxfId="9">
      <pivotArea collapsedLevelsAreSubtotals="1" fieldPosition="0">
        <references count="1">
          <reference field="20" count="1" selected="0">
            <x v="2"/>
          </reference>
        </references>
      </pivotArea>
    </format>
    <format dxfId="10">
      <pivotArea collapsedLevelsAreSubtotals="1" fieldPosition="0">
        <references count="1">
          <reference field="20" count="1" selected="0">
            <x v="3"/>
          </reference>
        </references>
      </pivotArea>
    </format>
    <format dxfId="11">
      <pivotArea collapsedLevelsAreSubtotals="1" fieldPosition="0">
        <references count="1">
          <reference field="20" count="1" selected="0">
            <x v="4"/>
          </reference>
        </references>
      </pivotArea>
    </format>
    <format dxfId="12">
      <pivotArea collapsedLevelsAreSubtotals="1" fieldPosition="0">
        <references count="1">
          <reference field="20" count="1" selected="0">
            <x v="5"/>
          </reference>
        </references>
      </pivotArea>
    </format>
    <format dxfId="13">
      <pivotArea collapsedLevelsAreSubtotals="1" fieldPosition="0">
        <references count="1">
          <reference field="20" count="1" selected="0">
            <x v="0"/>
          </reference>
        </references>
      </pivotArea>
    </format>
    <format dxfId="14">
      <pivotArea collapsedLevelsAreSubtotals="1" fieldPosition="0">
        <references count="1">
          <reference field="20" count="1" selected="0">
            <x v="1"/>
          </reference>
        </references>
      </pivotArea>
    </format>
    <format dxfId="15">
      <pivotArea collapsedLevelsAreSubtotals="1" fieldPosition="0">
        <references count="1">
          <reference field="20" count="1" selected="0">
            <x v="2"/>
          </reference>
        </references>
      </pivotArea>
    </format>
    <format dxfId="16">
      <pivotArea collapsedLevelsAreSubtotals="1" fieldPosition="0">
        <references count="1">
          <reference field="20" count="1" selected="0">
            <x v="3"/>
          </reference>
        </references>
      </pivotArea>
    </format>
    <format dxfId="17">
      <pivotArea collapsedLevelsAreSubtotals="1" fieldPosition="0">
        <references count="1">
          <reference field="20" count="1" selected="0">
            <x v="4"/>
          </reference>
        </references>
      </pivotArea>
    </format>
    <format dxfId="18">
      <pivotArea collapsedLevelsAreSubtotals="1" fieldPosition="0">
        <references count="1">
          <reference field="20" count="1" selected="0">
            <x v="5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19" firstHeaderRow="1" firstDataRow="1" firstDataCol="2"/>
  <pivotFields count="27">
    <pivotField compact="0" showAll="0">
      <items count="2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919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2280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115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2132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1842"/>
        <item x="916"/>
        <item x="917"/>
        <item x="918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750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366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2331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637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1980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compact="0" showAll="0">
      <items count="24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115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749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636"/>
        <item x="1964"/>
        <item x="1965"/>
        <item x="1966"/>
        <item x="1967"/>
        <item x="1968"/>
        <item x="1969"/>
        <item x="1970"/>
        <item x="1971"/>
        <item x="1972"/>
        <item x="1973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1974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t="default"/>
      </items>
    </pivotField>
    <pivotField axis="axisRow"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11"/>
        <item x="7"/>
        <item x="1"/>
        <item x="9"/>
        <item x="5"/>
        <item x="0"/>
        <item x="3"/>
        <item x="4"/>
        <item x="2"/>
        <item x="8"/>
        <item x="6"/>
        <item x="10"/>
        <item t="default"/>
      </items>
    </pivotField>
    <pivotField compact="0" showAll="0">
      <items count="13">
        <item x="11"/>
        <item x="7"/>
        <item x="1"/>
        <item x="9"/>
        <item x="5"/>
        <item x="0"/>
        <item x="3"/>
        <item x="4"/>
        <item x="2"/>
        <item x="8"/>
        <item x="6"/>
        <item x="1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650">
        <item x="534"/>
        <item x="437"/>
        <item x="626"/>
        <item x="220"/>
        <item x="40"/>
        <item x="505"/>
        <item x="308"/>
        <item x="541"/>
        <item x="126"/>
        <item x="138"/>
        <item x="621"/>
        <item x="101"/>
        <item x="559"/>
        <item x="619"/>
        <item x="114"/>
        <item x="457"/>
        <item x="260"/>
        <item x="293"/>
        <item x="116"/>
        <item x="31"/>
        <item x="109"/>
        <item x="230"/>
        <item x="617"/>
        <item x="159"/>
        <item x="88"/>
        <item x="245"/>
        <item x="302"/>
        <item x="208"/>
        <item x="557"/>
        <item x="487"/>
        <item x="432"/>
        <item x="253"/>
        <item x="102"/>
        <item x="376"/>
        <item x="642"/>
        <item x="484"/>
        <item x="106"/>
        <item x="9"/>
        <item x="425"/>
        <item x="613"/>
        <item x="477"/>
        <item x="196"/>
        <item x="219"/>
        <item x="136"/>
        <item x="605"/>
        <item x="269"/>
        <item x="26"/>
        <item x="201"/>
        <item x="289"/>
        <item x="288"/>
        <item x="115"/>
        <item x="305"/>
        <item x="24"/>
        <item x="21"/>
        <item x="144"/>
        <item x="95"/>
        <item x="357"/>
        <item x="132"/>
        <item x="91"/>
        <item x="433"/>
        <item x="17"/>
        <item x="598"/>
        <item x="52"/>
        <item x="250"/>
        <item x="388"/>
        <item x="554"/>
        <item x="352"/>
        <item x="552"/>
        <item x="622"/>
        <item x="65"/>
        <item x="287"/>
        <item x="430"/>
        <item x="502"/>
        <item x="342"/>
        <item x="583"/>
        <item x="209"/>
        <item x="217"/>
        <item x="400"/>
        <item x="427"/>
        <item x="447"/>
        <item x="117"/>
        <item x="548"/>
        <item x="181"/>
        <item x="364"/>
        <item x="341"/>
        <item x="441"/>
        <item x="218"/>
        <item x="624"/>
        <item x="166"/>
        <item x="157"/>
        <item x="292"/>
        <item x="565"/>
        <item x="648"/>
        <item x="358"/>
        <item x="57"/>
        <item x="167"/>
        <item x="610"/>
        <item x="446"/>
        <item x="595"/>
        <item x="414"/>
        <item x="48"/>
        <item x="551"/>
        <item x="455"/>
        <item x="556"/>
        <item x="353"/>
        <item x="187"/>
        <item x="195"/>
        <item x="227"/>
        <item x="1"/>
        <item x="407"/>
        <item x="395"/>
        <item x="620"/>
        <item x="66"/>
        <item x="108"/>
        <item x="591"/>
        <item x="476"/>
        <item x="323"/>
        <item x="345"/>
        <item x="584"/>
        <item x="79"/>
        <item x="538"/>
        <item x="514"/>
        <item x="97"/>
        <item x="374"/>
        <item x="561"/>
        <item x="222"/>
        <item x="75"/>
        <item x="594"/>
        <item x="497"/>
        <item x="254"/>
        <item x="4"/>
        <item x="173"/>
        <item x="426"/>
        <item x="53"/>
        <item x="192"/>
        <item x="524"/>
        <item x="585"/>
        <item x="486"/>
        <item x="607"/>
        <item x="450"/>
        <item x="113"/>
        <item x="380"/>
        <item x="22"/>
        <item x="8"/>
        <item x="402"/>
        <item x="203"/>
        <item x="602"/>
        <item x="515"/>
        <item x="224"/>
        <item x="549"/>
        <item x="317"/>
        <item x="601"/>
        <item x="298"/>
        <item x="368"/>
        <item x="346"/>
        <item x="519"/>
        <item x="41"/>
        <item x="270"/>
        <item x="55"/>
        <item x="417"/>
        <item x="644"/>
        <item x="158"/>
        <item x="268"/>
        <item x="347"/>
        <item x="259"/>
        <item x="495"/>
        <item x="623"/>
        <item x="68"/>
        <item x="50"/>
        <item x="49"/>
        <item x="525"/>
        <item x="242"/>
        <item x="544"/>
        <item x="100"/>
        <item x="322"/>
        <item x="397"/>
        <item x="401"/>
        <item x="211"/>
        <item x="176"/>
        <item x="528"/>
        <item x="237"/>
        <item x="14"/>
        <item x="234"/>
        <item x="543"/>
        <item x="396"/>
        <item x="354"/>
        <item x="71"/>
        <item x="272"/>
        <item x="501"/>
        <item x="179"/>
        <item x="558"/>
        <item x="249"/>
        <item x="153"/>
        <item x="442"/>
        <item x="47"/>
        <item x="74"/>
        <item x="119"/>
        <item x="643"/>
        <item x="184"/>
        <item x="284"/>
        <item x="498"/>
        <item x="35"/>
        <item x="536"/>
        <item x="377"/>
        <item x="84"/>
        <item x="264"/>
        <item x="633"/>
        <item x="45"/>
        <item x="529"/>
        <item x="386"/>
        <item x="366"/>
        <item x="328"/>
        <item x="304"/>
        <item x="207"/>
        <item x="546"/>
        <item x="371"/>
        <item x="38"/>
        <item x="127"/>
        <item x="125"/>
        <item x="587"/>
        <item x="180"/>
        <item x="334"/>
        <item x="18"/>
        <item x="564"/>
        <item x="599"/>
        <item x="403"/>
        <item x="517"/>
        <item x="246"/>
        <item x="62"/>
        <item x="542"/>
        <item x="539"/>
        <item x="560"/>
        <item x="286"/>
        <item x="597"/>
        <item x="434"/>
        <item x="168"/>
        <item x="221"/>
        <item x="162"/>
        <item x="577"/>
        <item x="130"/>
        <item x="416"/>
        <item x="373"/>
        <item x="243"/>
        <item x="412"/>
        <item x="89"/>
        <item x="392"/>
        <item x="646"/>
        <item x="568"/>
        <item x="7"/>
        <item x="611"/>
        <item x="299"/>
        <item x="133"/>
        <item x="121"/>
        <item x="628"/>
        <item x="444"/>
        <item x="464"/>
        <item x="618"/>
        <item x="151"/>
        <item x="572"/>
        <item x="78"/>
        <item x="112"/>
        <item x="472"/>
        <item x="449"/>
        <item x="161"/>
        <item x="72"/>
        <item x="329"/>
        <item x="406"/>
        <item x="163"/>
        <item x="189"/>
        <item x="105"/>
        <item x="578"/>
        <item x="569"/>
        <item x="452"/>
        <item x="460"/>
        <item x="533"/>
        <item x="504"/>
        <item x="275"/>
        <item x="188"/>
        <item x="198"/>
        <item x="467"/>
        <item x="223"/>
        <item x="491"/>
        <item x="265"/>
        <item x="399"/>
        <item x="439"/>
        <item x="635"/>
        <item x="263"/>
        <item x="135"/>
        <item x="39"/>
        <item x="409"/>
        <item x="482"/>
        <item x="537"/>
        <item x="379"/>
        <item x="390"/>
        <item x="588"/>
        <item x="394"/>
        <item x="316"/>
        <item x="456"/>
        <item x="226"/>
        <item x="555"/>
        <item x="629"/>
        <item x="451"/>
        <item x="321"/>
        <item x="178"/>
        <item x="640"/>
        <item x="367"/>
        <item x="294"/>
        <item x="326"/>
        <item x="140"/>
        <item x="438"/>
        <item x="111"/>
        <item x="612"/>
        <item x="170"/>
        <item x="175"/>
        <item x="143"/>
        <item x="469"/>
        <item x="266"/>
        <item x="424"/>
        <item x="473"/>
        <item x="411"/>
        <item x="28"/>
        <item x="104"/>
        <item x="103"/>
        <item x="461"/>
        <item x="566"/>
        <item x="262"/>
        <item x="307"/>
        <item x="431"/>
        <item x="174"/>
        <item x="440"/>
        <item x="641"/>
        <item x="369"/>
        <item x="575"/>
        <item x="632"/>
        <item x="164"/>
        <item x="30"/>
        <item x="13"/>
        <item x="348"/>
        <item x="489"/>
        <item x="480"/>
        <item x="475"/>
        <item x="86"/>
        <item x="107"/>
        <item x="360"/>
        <item x="522"/>
        <item x="193"/>
        <item x="384"/>
        <item x="177"/>
        <item x="625"/>
        <item x="355"/>
        <item x="393"/>
        <item x="82"/>
        <item x="15"/>
        <item x="479"/>
        <item x="5"/>
        <item x="630"/>
        <item x="311"/>
        <item x="647"/>
        <item x="60"/>
        <item x="468"/>
        <item x="453"/>
        <item x="37"/>
        <item x="257"/>
        <item x="92"/>
        <item x="251"/>
        <item x="20"/>
        <item x="496"/>
        <item x="421"/>
        <item x="520"/>
        <item x="98"/>
        <item x="235"/>
        <item x="513"/>
        <item x="99"/>
        <item x="155"/>
        <item x="573"/>
        <item x="518"/>
        <item x="389"/>
        <item x="350"/>
        <item x="214"/>
        <item x="309"/>
        <item x="70"/>
        <item x="185"/>
        <item x="128"/>
        <item x="530"/>
        <item x="110"/>
        <item x="562"/>
        <item x="87"/>
        <item x="521"/>
        <item x="271"/>
        <item x="303"/>
        <item x="378"/>
        <item x="567"/>
        <item x="213"/>
        <item x="503"/>
        <item x="553"/>
        <item x="493"/>
        <item x="276"/>
        <item x="523"/>
        <item x="255"/>
        <item x="391"/>
        <item x="240"/>
        <item x="2"/>
        <item x="429"/>
        <item x="500"/>
        <item x="571"/>
        <item x="186"/>
        <item x="215"/>
        <item x="337"/>
        <item x="46"/>
        <item x="194"/>
        <item x="6"/>
        <item x="458"/>
        <item x="372"/>
        <item x="81"/>
        <item x="279"/>
        <item x="335"/>
        <item x="142"/>
        <item x="290"/>
        <item x="205"/>
        <item x="463"/>
        <item x="258"/>
        <item x="535"/>
        <item x="206"/>
        <item x="285"/>
        <item x="51"/>
        <item x="408"/>
        <item x="32"/>
        <item x="507"/>
        <item x="210"/>
        <item x="63"/>
        <item x="229"/>
        <item x="581"/>
        <item x="462"/>
        <item x="69"/>
        <item x="361"/>
        <item x="67"/>
        <item x="274"/>
        <item x="330"/>
        <item x="313"/>
        <item x="59"/>
        <item x="483"/>
        <item x="510"/>
        <item x="419"/>
        <item x="169"/>
        <item x="191"/>
        <item x="428"/>
        <item x="574"/>
        <item x="420"/>
        <item x="231"/>
        <item x="579"/>
        <item x="614"/>
        <item x="54"/>
        <item x="182"/>
        <item x="550"/>
        <item x="12"/>
        <item x="247"/>
        <item x="351"/>
        <item x="56"/>
        <item x="295"/>
        <item x="80"/>
        <item x="83"/>
        <item x="145"/>
        <item x="527"/>
        <item x="43"/>
        <item x="160"/>
        <item x="23"/>
        <item x="310"/>
        <item x="608"/>
        <item x="492"/>
        <item x="466"/>
        <item x="435"/>
        <item x="600"/>
        <item x="340"/>
        <item x="338"/>
        <item x="314"/>
        <item x="233"/>
        <item x="256"/>
        <item x="148"/>
        <item x="315"/>
        <item x="382"/>
        <item x="27"/>
        <item x="200"/>
        <item x="0"/>
        <item x="318"/>
        <item x="547"/>
        <item x="324"/>
        <item x="241"/>
        <item x="508"/>
        <item x="422"/>
        <item x="532"/>
        <item x="282"/>
        <item x="183"/>
        <item x="385"/>
        <item x="615"/>
        <item x="506"/>
        <item x="415"/>
        <item x="123"/>
        <item x="129"/>
        <item x="34"/>
        <item x="604"/>
        <item x="488"/>
        <item x="29"/>
        <item x="131"/>
        <item x="526"/>
        <item x="375"/>
        <item x="580"/>
        <item x="465"/>
        <item x="90"/>
        <item x="634"/>
        <item x="470"/>
        <item x="225"/>
        <item x="301"/>
        <item x="589"/>
        <item x="344"/>
        <item x="362"/>
        <item x="332"/>
        <item x="582"/>
        <item x="471"/>
        <item x="627"/>
        <item x="485"/>
        <item x="454"/>
        <item x="563"/>
        <item x="73"/>
        <item x="94"/>
        <item x="333"/>
        <item x="171"/>
        <item x="232"/>
        <item x="36"/>
        <item x="120"/>
        <item x="11"/>
        <item x="197"/>
        <item x="154"/>
        <item x="146"/>
        <item x="204"/>
        <item x="190"/>
        <item x="248"/>
        <item x="593"/>
        <item x="516"/>
        <item x="436"/>
        <item x="509"/>
        <item x="281"/>
        <item x="413"/>
        <item x="590"/>
        <item x="19"/>
        <item x="423"/>
        <item x="199"/>
        <item x="283"/>
        <item x="639"/>
        <item x="96"/>
        <item x="278"/>
        <item x="152"/>
        <item x="586"/>
        <item x="531"/>
        <item x="202"/>
        <item x="325"/>
        <item x="381"/>
        <item x="481"/>
        <item x="252"/>
        <item x="156"/>
        <item x="645"/>
        <item x="592"/>
        <item x="443"/>
        <item x="306"/>
        <item x="25"/>
        <item x="336"/>
        <item x="85"/>
        <item x="137"/>
        <item x="404"/>
        <item x="418"/>
        <item x="312"/>
        <item x="172"/>
        <item x="512"/>
        <item x="118"/>
        <item x="277"/>
        <item x="280"/>
        <item x="631"/>
        <item x="343"/>
        <item x="387"/>
        <item x="596"/>
        <item x="448"/>
        <item x="410"/>
        <item x="139"/>
        <item x="370"/>
        <item x="16"/>
        <item x="61"/>
        <item x="339"/>
        <item x="64"/>
        <item x="239"/>
        <item x="124"/>
        <item x="545"/>
        <item x="398"/>
        <item x="33"/>
        <item x="212"/>
        <item x="319"/>
        <item x="606"/>
        <item x="147"/>
        <item x="511"/>
        <item x="76"/>
        <item x="638"/>
        <item x="494"/>
        <item x="576"/>
        <item x="616"/>
        <item x="58"/>
        <item x="77"/>
        <item x="122"/>
        <item x="637"/>
        <item x="149"/>
        <item x="216"/>
        <item x="244"/>
        <item x="383"/>
        <item x="261"/>
        <item x="570"/>
        <item x="490"/>
        <item x="42"/>
        <item x="297"/>
        <item x="228"/>
        <item x="540"/>
        <item x="236"/>
        <item x="141"/>
        <item x="296"/>
        <item x="327"/>
        <item x="459"/>
        <item x="273"/>
        <item x="474"/>
        <item x="478"/>
        <item x="44"/>
        <item x="359"/>
        <item x="609"/>
        <item x="300"/>
        <item x="3"/>
        <item x="499"/>
        <item x="320"/>
        <item x="291"/>
        <item x="93"/>
        <item x="331"/>
        <item x="165"/>
        <item x="603"/>
        <item x="238"/>
        <item x="405"/>
        <item x="134"/>
        <item x="150"/>
        <item x="445"/>
        <item x="267"/>
        <item x="356"/>
        <item x="349"/>
        <item x="363"/>
        <item x="365"/>
        <item x="636"/>
        <item x="10"/>
        <item t="default"/>
      </items>
    </pivotField>
    <pivotField compact="0" showAll="0">
      <items count="152">
        <item x="58"/>
        <item x="57"/>
        <item x="65"/>
        <item x="3"/>
        <item x="28"/>
        <item x="42"/>
        <item x="18"/>
        <item x="43"/>
        <item x="93"/>
        <item x="122"/>
        <item x="94"/>
        <item x="31"/>
        <item x="89"/>
        <item x="11"/>
        <item x="51"/>
        <item x="12"/>
        <item x="109"/>
        <item x="66"/>
        <item x="1"/>
        <item x="56"/>
        <item x="9"/>
        <item x="15"/>
        <item x="134"/>
        <item x="4"/>
        <item x="35"/>
        <item x="44"/>
        <item x="78"/>
        <item x="52"/>
        <item x="19"/>
        <item x="6"/>
        <item x="5"/>
        <item x="14"/>
        <item x="24"/>
        <item x="38"/>
        <item x="68"/>
        <item x="147"/>
        <item x="47"/>
        <item x="112"/>
        <item x="139"/>
        <item x="95"/>
        <item x="97"/>
        <item x="146"/>
        <item x="136"/>
        <item x="125"/>
        <item x="141"/>
        <item x="144"/>
        <item x="88"/>
        <item x="119"/>
        <item x="30"/>
        <item x="37"/>
        <item x="27"/>
        <item x="76"/>
        <item x="105"/>
        <item x="102"/>
        <item x="71"/>
        <item x="111"/>
        <item x="127"/>
        <item x="80"/>
        <item x="41"/>
        <item x="145"/>
        <item x="29"/>
        <item x="49"/>
        <item x="39"/>
        <item x="73"/>
        <item x="114"/>
        <item x="75"/>
        <item x="48"/>
        <item x="131"/>
        <item x="118"/>
        <item x="132"/>
        <item x="53"/>
        <item x="98"/>
        <item x="140"/>
        <item x="150"/>
        <item x="115"/>
        <item x="62"/>
        <item x="99"/>
        <item x="113"/>
        <item x="8"/>
        <item x="103"/>
        <item x="126"/>
        <item x="106"/>
        <item x="107"/>
        <item x="74"/>
        <item x="54"/>
        <item x="81"/>
        <item x="64"/>
        <item x="70"/>
        <item x="61"/>
        <item x="108"/>
        <item x="91"/>
        <item x="84"/>
        <item x="59"/>
        <item x="101"/>
        <item x="79"/>
        <item x="26"/>
        <item x="63"/>
        <item x="55"/>
        <item x="67"/>
        <item x="60"/>
        <item x="87"/>
        <item x="46"/>
        <item x="23"/>
        <item x="21"/>
        <item x="7"/>
        <item x="92"/>
        <item x="116"/>
        <item x="20"/>
        <item x="86"/>
        <item x="69"/>
        <item x="22"/>
        <item x="72"/>
        <item x="123"/>
        <item x="120"/>
        <item x="85"/>
        <item x="143"/>
        <item x="135"/>
        <item x="36"/>
        <item x="2"/>
        <item x="121"/>
        <item x="33"/>
        <item x="129"/>
        <item x="128"/>
        <item x="25"/>
        <item x="34"/>
        <item x="117"/>
        <item x="83"/>
        <item x="13"/>
        <item x="124"/>
        <item x="148"/>
        <item x="17"/>
        <item x="110"/>
        <item x="32"/>
        <item x="50"/>
        <item x="16"/>
        <item x="82"/>
        <item x="96"/>
        <item x="0"/>
        <item x="142"/>
        <item x="138"/>
        <item x="77"/>
        <item x="10"/>
        <item x="40"/>
        <item x="133"/>
        <item x="149"/>
        <item x="130"/>
        <item x="45"/>
        <item x="137"/>
        <item x="100"/>
        <item x="104"/>
        <item x="90"/>
        <item t="default"/>
      </items>
    </pivotField>
    <pivotField compact="0" showAll="0">
      <items count="180">
        <item x="23"/>
        <item x="95"/>
        <item x="48"/>
        <item x="63"/>
        <item x="14"/>
        <item x="47"/>
        <item x="99"/>
        <item x="2"/>
        <item x="150"/>
        <item x="83"/>
        <item x="119"/>
        <item x="56"/>
        <item x="61"/>
        <item x="80"/>
        <item x="31"/>
        <item x="78"/>
        <item x="28"/>
        <item x="72"/>
        <item x="7"/>
        <item x="21"/>
        <item x="107"/>
        <item x="34"/>
        <item x="114"/>
        <item x="81"/>
        <item x="5"/>
        <item x="36"/>
        <item x="18"/>
        <item x="115"/>
        <item x="113"/>
        <item x="73"/>
        <item x="58"/>
        <item x="33"/>
        <item x="52"/>
        <item x="32"/>
        <item x="41"/>
        <item x="144"/>
        <item x="74"/>
        <item x="100"/>
        <item x="42"/>
        <item x="122"/>
        <item x="128"/>
        <item x="12"/>
        <item x="26"/>
        <item x="39"/>
        <item x="59"/>
        <item x="124"/>
        <item x="50"/>
        <item x="54"/>
        <item x="20"/>
        <item x="40"/>
        <item x="0"/>
        <item x="106"/>
        <item x="19"/>
        <item x="158"/>
        <item x="112"/>
        <item x="137"/>
        <item x="141"/>
        <item x="133"/>
        <item x="6"/>
        <item x="13"/>
        <item x="146"/>
        <item x="8"/>
        <item x="159"/>
        <item x="108"/>
        <item x="142"/>
        <item x="123"/>
        <item x="45"/>
        <item x="43"/>
        <item x="90"/>
        <item x="9"/>
        <item x="30"/>
        <item x="98"/>
        <item x="102"/>
        <item x="16"/>
        <item x="57"/>
        <item x="29"/>
        <item x="136"/>
        <item x="66"/>
        <item x="130"/>
        <item x="84"/>
        <item x="1"/>
        <item x="161"/>
        <item x="10"/>
        <item x="82"/>
        <item x="25"/>
        <item x="35"/>
        <item x="27"/>
        <item x="49"/>
        <item x="140"/>
        <item x="15"/>
        <item x="46"/>
        <item x="175"/>
        <item x="152"/>
        <item x="103"/>
        <item x="116"/>
        <item x="75"/>
        <item x="87"/>
        <item x="68"/>
        <item x="3"/>
        <item x="76"/>
        <item x="138"/>
        <item x="129"/>
        <item x="24"/>
        <item x="143"/>
        <item x="88"/>
        <item x="127"/>
        <item x="96"/>
        <item x="94"/>
        <item x="89"/>
        <item x="139"/>
        <item x="151"/>
        <item x="110"/>
        <item x="17"/>
        <item x="154"/>
        <item x="174"/>
        <item x="153"/>
        <item x="93"/>
        <item x="71"/>
        <item x="70"/>
        <item x="118"/>
        <item x="37"/>
        <item x="86"/>
        <item x="38"/>
        <item x="104"/>
        <item x="149"/>
        <item x="4"/>
        <item x="167"/>
        <item x="165"/>
        <item x="60"/>
        <item x="65"/>
        <item x="79"/>
        <item x="148"/>
        <item x="105"/>
        <item x="132"/>
        <item x="51"/>
        <item x="172"/>
        <item x="55"/>
        <item x="62"/>
        <item x="91"/>
        <item x="53"/>
        <item x="170"/>
        <item x="92"/>
        <item x="44"/>
        <item x="69"/>
        <item x="169"/>
        <item x="145"/>
        <item x="117"/>
        <item x="166"/>
        <item x="134"/>
        <item x="121"/>
        <item x="160"/>
        <item x="162"/>
        <item x="126"/>
        <item x="64"/>
        <item x="176"/>
        <item x="131"/>
        <item x="11"/>
        <item x="111"/>
        <item x="77"/>
        <item x="163"/>
        <item x="85"/>
        <item x="125"/>
        <item x="155"/>
        <item x="97"/>
        <item x="101"/>
        <item x="177"/>
        <item x="178"/>
        <item x="168"/>
        <item x="120"/>
        <item x="135"/>
        <item x="22"/>
        <item x="147"/>
        <item x="67"/>
        <item x="164"/>
        <item x="171"/>
        <item x="156"/>
        <item x="157"/>
        <item x="109"/>
        <item x="173"/>
        <item t="default"/>
      </items>
    </pivotField>
    <pivotField compact="0" showAll="0">
      <items count="346">
        <item x="204"/>
        <item x="203"/>
        <item x="332"/>
        <item x="259"/>
        <item x="95"/>
        <item x="206"/>
        <item x="19"/>
        <item x="320"/>
        <item x="220"/>
        <item x="188"/>
        <item x="192"/>
        <item x="107"/>
        <item x="131"/>
        <item x="317"/>
        <item x="6"/>
        <item x="90"/>
        <item x="20"/>
        <item x="242"/>
        <item x="22"/>
        <item x="298"/>
        <item x="177"/>
        <item x="213"/>
        <item x="183"/>
        <item x="57"/>
        <item x="307"/>
        <item x="209"/>
        <item x="324"/>
        <item x="158"/>
        <item x="21"/>
        <item x="30"/>
        <item x="160"/>
        <item x="101"/>
        <item x="62"/>
        <item x="170"/>
        <item x="291"/>
        <item x="86"/>
        <item x="308"/>
        <item x="165"/>
        <item x="329"/>
        <item x="214"/>
        <item x="232"/>
        <item x="68"/>
        <item x="76"/>
        <item x="297"/>
        <item x="295"/>
        <item x="69"/>
        <item x="47"/>
        <item x="23"/>
        <item x="230"/>
        <item x="92"/>
        <item x="290"/>
        <item x="137"/>
        <item x="118"/>
        <item x="334"/>
        <item x="338"/>
        <item x="267"/>
        <item x="65"/>
        <item x="253"/>
        <item x="34"/>
        <item x="88"/>
        <item x="45"/>
        <item x="82"/>
        <item x="212"/>
        <item x="274"/>
        <item x="315"/>
        <item x="172"/>
        <item x="24"/>
        <item x="141"/>
        <item x="140"/>
        <item x="56"/>
        <item x="271"/>
        <item x="236"/>
        <item x="91"/>
        <item x="254"/>
        <item x="251"/>
        <item x="233"/>
        <item x="74"/>
        <item x="127"/>
        <item x="187"/>
        <item x="262"/>
        <item x="333"/>
        <item x="304"/>
        <item x="145"/>
        <item x="215"/>
        <item x="323"/>
        <item x="169"/>
        <item x="162"/>
        <item x="148"/>
        <item x="200"/>
        <item x="284"/>
        <item x="261"/>
        <item x="29"/>
        <item x="135"/>
        <item x="202"/>
        <item x="104"/>
        <item x="167"/>
        <item x="294"/>
        <item x="63"/>
        <item x="208"/>
        <item x="322"/>
        <item x="293"/>
        <item x="344"/>
        <item x="235"/>
        <item x="53"/>
        <item x="97"/>
        <item x="11"/>
        <item x="55"/>
        <item x="193"/>
        <item x="81"/>
        <item x="180"/>
        <item x="263"/>
        <item x="289"/>
        <item x="123"/>
        <item x="1"/>
        <item x="155"/>
        <item x="318"/>
        <item x="282"/>
        <item x="231"/>
        <item x="288"/>
        <item x="115"/>
        <item x="49"/>
        <item x="247"/>
        <item x="31"/>
        <item x="60"/>
        <item x="303"/>
        <item x="14"/>
        <item x="269"/>
        <item x="98"/>
        <item x="154"/>
        <item x="151"/>
        <item x="100"/>
        <item x="35"/>
        <item x="228"/>
        <item x="222"/>
        <item x="336"/>
        <item x="321"/>
        <item x="130"/>
        <item x="270"/>
        <item x="305"/>
        <item x="61"/>
        <item x="18"/>
        <item x="244"/>
        <item x="110"/>
        <item x="89"/>
        <item x="276"/>
        <item x="50"/>
        <item x="335"/>
        <item x="197"/>
        <item x="93"/>
        <item x="126"/>
        <item x="122"/>
        <item x="96"/>
        <item x="102"/>
        <item x="326"/>
        <item x="186"/>
        <item x="44"/>
        <item x="281"/>
        <item x="268"/>
        <item x="79"/>
        <item x="87"/>
        <item x="73"/>
        <item x="40"/>
        <item x="164"/>
        <item x="139"/>
        <item x="27"/>
        <item x="195"/>
        <item x="77"/>
        <item x="243"/>
        <item x="120"/>
        <item x="286"/>
        <item x="277"/>
        <item x="64"/>
        <item x="71"/>
        <item x="340"/>
        <item x="129"/>
        <item x="223"/>
        <item x="210"/>
        <item x="117"/>
        <item x="114"/>
        <item x="179"/>
        <item x="25"/>
        <item x="184"/>
        <item x="119"/>
        <item x="182"/>
        <item x="108"/>
        <item x="339"/>
        <item x="9"/>
        <item x="54"/>
        <item x="72"/>
        <item x="196"/>
        <item x="199"/>
        <item x="217"/>
        <item x="252"/>
        <item x="257"/>
        <item x="342"/>
        <item x="94"/>
        <item x="144"/>
        <item x="216"/>
        <item x="109"/>
        <item x="237"/>
        <item x="311"/>
        <item x="112"/>
        <item x="153"/>
        <item x="224"/>
        <item x="229"/>
        <item x="42"/>
        <item x="121"/>
        <item x="43"/>
        <item x="240"/>
        <item x="70"/>
        <item x="58"/>
        <item x="84"/>
        <item x="343"/>
        <item x="234"/>
        <item x="66"/>
        <item x="225"/>
        <item x="194"/>
        <item x="181"/>
        <item x="238"/>
        <item x="36"/>
        <item x="113"/>
        <item x="218"/>
        <item x="4"/>
        <item x="99"/>
        <item x="134"/>
        <item x="28"/>
        <item x="156"/>
        <item x="171"/>
        <item x="132"/>
        <item x="48"/>
        <item x="330"/>
        <item x="146"/>
        <item x="275"/>
        <item x="314"/>
        <item x="313"/>
        <item x="41"/>
        <item x="310"/>
        <item x="279"/>
        <item x="67"/>
        <item x="299"/>
        <item x="52"/>
        <item x="207"/>
        <item x="161"/>
        <item x="46"/>
        <item x="2"/>
        <item x="150"/>
        <item x="173"/>
        <item x="241"/>
        <item x="37"/>
        <item x="111"/>
        <item x="125"/>
        <item x="78"/>
        <item x="285"/>
        <item x="211"/>
        <item x="221"/>
        <item x="273"/>
        <item x="12"/>
        <item x="38"/>
        <item x="26"/>
        <item x="266"/>
        <item x="51"/>
        <item x="260"/>
        <item x="248"/>
        <item x="152"/>
        <item x="287"/>
        <item x="128"/>
        <item x="301"/>
        <item x="185"/>
        <item x="7"/>
        <item x="341"/>
        <item x="226"/>
        <item x="17"/>
        <item x="159"/>
        <item x="33"/>
        <item x="205"/>
        <item x="15"/>
        <item x="5"/>
        <item x="283"/>
        <item x="176"/>
        <item x="32"/>
        <item x="175"/>
        <item x="246"/>
        <item x="103"/>
        <item x="10"/>
        <item x="124"/>
        <item x="328"/>
        <item x="249"/>
        <item x="163"/>
        <item x="309"/>
        <item x="13"/>
        <item x="75"/>
        <item x="142"/>
        <item x="245"/>
        <item x="191"/>
        <item x="116"/>
        <item x="16"/>
        <item x="147"/>
        <item x="302"/>
        <item x="227"/>
        <item x="296"/>
        <item x="168"/>
        <item x="198"/>
        <item x="85"/>
        <item x="280"/>
        <item x="83"/>
        <item x="59"/>
        <item x="143"/>
        <item x="105"/>
        <item x="189"/>
        <item x="258"/>
        <item x="312"/>
        <item x="201"/>
        <item x="149"/>
        <item x="178"/>
        <item x="264"/>
        <item x="256"/>
        <item x="106"/>
        <item x="3"/>
        <item x="278"/>
        <item x="331"/>
        <item x="319"/>
        <item x="272"/>
        <item x="306"/>
        <item x="239"/>
        <item x="190"/>
        <item x="325"/>
        <item x="0"/>
        <item x="316"/>
        <item x="337"/>
        <item x="138"/>
        <item x="265"/>
        <item x="300"/>
        <item x="136"/>
        <item x="174"/>
        <item x="157"/>
        <item x="327"/>
        <item x="166"/>
        <item x="80"/>
        <item x="292"/>
        <item x="133"/>
        <item x="219"/>
        <item x="250"/>
        <item x="39"/>
        <item x="8"/>
        <item x="255"/>
        <item t="default"/>
      </items>
    </pivotField>
    <pivotField compact="0" showAll="0">
      <items count="10">
        <item x="8"/>
        <item x="0"/>
        <item x="1"/>
        <item x="6"/>
        <item x="2"/>
        <item x="4"/>
        <item x="7"/>
        <item x="5"/>
        <item x="3"/>
        <item t="default"/>
      </items>
    </pivotField>
    <pivotField compact="0" numFmtId="4" showAll="0">
      <items count="1181">
        <item x="171"/>
        <item x="56"/>
        <item x="169"/>
        <item x="620"/>
        <item x="1170"/>
        <item x="626"/>
        <item x="1050"/>
        <item x="937"/>
        <item x="176"/>
        <item x="9"/>
        <item x="668"/>
        <item x="306"/>
        <item x="332"/>
        <item x="225"/>
        <item x="305"/>
        <item x="96"/>
        <item x="821"/>
        <item x="379"/>
        <item x="1095"/>
        <item x="99"/>
        <item x="777"/>
        <item x="42"/>
        <item x="781"/>
        <item x="216"/>
        <item x="1178"/>
        <item x="60"/>
        <item x="1023"/>
        <item x="1051"/>
        <item x="538"/>
        <item x="227"/>
        <item x="830"/>
        <item x="730"/>
        <item x="285"/>
        <item x="526"/>
        <item x="1094"/>
        <item x="354"/>
        <item x="328"/>
        <item x="476"/>
        <item x="280"/>
        <item x="201"/>
        <item x="804"/>
        <item x="12"/>
        <item x="1146"/>
        <item x="566"/>
        <item x="784"/>
        <item x="724"/>
        <item x="239"/>
        <item x="1149"/>
        <item x="685"/>
        <item x="639"/>
        <item x="792"/>
        <item x="769"/>
        <item x="359"/>
        <item x="270"/>
        <item x="293"/>
        <item x="1112"/>
        <item x="502"/>
        <item x="138"/>
        <item x="370"/>
        <item x="25"/>
        <item x="428"/>
        <item x="449"/>
        <item x="887"/>
        <item x="440"/>
        <item x="1033"/>
        <item x="74"/>
        <item x="504"/>
        <item x="266"/>
        <item x="1116"/>
        <item x="729"/>
        <item x="480"/>
        <item x="260"/>
        <item x="273"/>
        <item x="283"/>
        <item x="558"/>
        <item x="692"/>
        <item x="727"/>
        <item x="836"/>
        <item x="347"/>
        <item x="258"/>
        <item x="44"/>
        <item x="50"/>
        <item x="933"/>
        <item x="562"/>
        <item x="761"/>
        <item x="384"/>
        <item x="371"/>
        <item x="499"/>
        <item x="817"/>
        <item x="889"/>
        <item x="358"/>
        <item x="1041"/>
        <item x="1001"/>
        <item x="1164"/>
        <item x="36"/>
        <item x="490"/>
        <item x="168"/>
        <item x="890"/>
        <item x="757"/>
        <item x="915"/>
        <item x="1064"/>
        <item x="1066"/>
        <item x="1155"/>
        <item x="625"/>
        <item x="362"/>
        <item x="1089"/>
        <item x="63"/>
        <item x="93"/>
        <item x="101"/>
        <item x="472"/>
        <item x="1074"/>
        <item x="819"/>
        <item x="137"/>
        <item x="631"/>
        <item x="135"/>
        <item x="366"/>
        <item x="688"/>
        <item x="595"/>
        <item x="535"/>
        <item x="131"/>
        <item x="1081"/>
        <item x="464"/>
        <item x="191"/>
        <item x="234"/>
        <item x="381"/>
        <item x="453"/>
        <item x="376"/>
        <item x="955"/>
        <item x="1037"/>
        <item x="17"/>
        <item x="1043"/>
        <item x="544"/>
        <item x="798"/>
        <item x="528"/>
        <item x="551"/>
        <item x="233"/>
        <item x="67"/>
        <item x="604"/>
        <item x="683"/>
        <item x="64"/>
        <item x="984"/>
        <item x="979"/>
        <item x="456"/>
        <item x="249"/>
        <item x="299"/>
        <item x="854"/>
        <item x="1167"/>
        <item x="389"/>
        <item x="530"/>
        <item x="179"/>
        <item x="443"/>
        <item x="140"/>
        <item x="968"/>
        <item x="1120"/>
        <item x="1157"/>
        <item x="796"/>
        <item x="261"/>
        <item x="360"/>
        <item x="317"/>
        <item x="271"/>
        <item x="196"/>
        <item x="653"/>
        <item x="670"/>
        <item x="567"/>
        <item x="926"/>
        <item x="246"/>
        <item x="866"/>
        <item x="788"/>
        <item x="1047"/>
        <item x="1015"/>
        <item x="660"/>
        <item x="416"/>
        <item x="287"/>
        <item x="873"/>
        <item x="1073"/>
        <item x="1161"/>
        <item x="330"/>
        <item x="744"/>
        <item x="28"/>
        <item x="1141"/>
        <item x="107"/>
        <item x="580"/>
        <item x="1021"/>
        <item x="997"/>
        <item x="753"/>
        <item x="86"/>
        <item x="43"/>
        <item x="130"/>
        <item x="356"/>
        <item x="247"/>
        <item x="935"/>
        <item x="859"/>
        <item x="978"/>
        <item x="876"/>
        <item x="638"/>
        <item x="1013"/>
        <item x="88"/>
        <item x="1060"/>
        <item x="158"/>
        <item x="835"/>
        <item x="845"/>
        <item x="897"/>
        <item x="7"/>
        <item x="255"/>
        <item x="238"/>
        <item x="1126"/>
        <item x="442"/>
        <item x="1010"/>
        <item x="448"/>
        <item x="245"/>
        <item x="870"/>
        <item x="240"/>
        <item x="1014"/>
        <item x="494"/>
        <item x="719"/>
        <item x="768"/>
        <item x="780"/>
        <item x="236"/>
        <item x="211"/>
        <item x="547"/>
        <item x="868"/>
        <item x="925"/>
        <item x="710"/>
        <item x="423"/>
        <item x="714"/>
        <item x="1025"/>
        <item x="1168"/>
        <item x="144"/>
        <item x="14"/>
        <item x="402"/>
        <item x="906"/>
        <item x="942"/>
        <item x="175"/>
        <item x="901"/>
        <item x="94"/>
        <item x="1036"/>
        <item x="536"/>
        <item x="785"/>
        <item x="546"/>
        <item x="723"/>
        <item x="801"/>
        <item x="337"/>
        <item x="157"/>
        <item x="189"/>
        <item x="31"/>
        <item x="675"/>
        <item x="764"/>
        <item x="503"/>
        <item x="912"/>
        <item x="197"/>
        <item x="459"/>
        <item x="417"/>
        <item x="199"/>
        <item x="492"/>
        <item x="1150"/>
        <item x="970"/>
        <item x="940"/>
        <item x="563"/>
        <item x="363"/>
        <item x="820"/>
        <item x="97"/>
        <item x="554"/>
        <item x="41"/>
        <item x="736"/>
        <item x="1077"/>
        <item x="811"/>
        <item x="765"/>
        <item x="684"/>
        <item x="162"/>
        <item x="877"/>
        <item x="605"/>
        <item x="772"/>
        <item x="993"/>
        <item x="112"/>
        <item x="658"/>
        <item x="523"/>
        <item x="549"/>
        <item x="815"/>
        <item x="674"/>
        <item x="995"/>
        <item x="458"/>
        <item x="1104"/>
        <item x="611"/>
        <item x="902"/>
        <item x="118"/>
        <item x="908"/>
        <item x="725"/>
        <item x="973"/>
        <item x="125"/>
        <item x="965"/>
        <item x="313"/>
        <item x="1075"/>
        <item x="1148"/>
        <item x="114"/>
        <item x="682"/>
        <item x="662"/>
        <item x="667"/>
        <item x="704"/>
        <item x="475"/>
        <item x="841"/>
        <item x="349"/>
        <item x="434"/>
        <item x="1067"/>
        <item x="590"/>
        <item x="326"/>
        <item x="716"/>
        <item x="742"/>
        <item x="959"/>
        <item x="244"/>
        <item x="383"/>
        <item x="879"/>
        <item x="754"/>
        <item x="883"/>
        <item x="800"/>
        <item x="132"/>
        <item x="6"/>
        <item x="352"/>
        <item x="576"/>
        <item x="739"/>
        <item x="425"/>
        <item x="1071"/>
        <item x="568"/>
        <item x="938"/>
        <item x="265"/>
        <item x="813"/>
        <item x="155"/>
        <item x="205"/>
        <item x="203"/>
        <item x="542"/>
        <item x="321"/>
        <item x="634"/>
        <item x="341"/>
        <item x="640"/>
        <item x="123"/>
        <item x="994"/>
        <item x="550"/>
        <item x="429"/>
        <item x="758"/>
        <item x="53"/>
        <item x="399"/>
        <item x="617"/>
        <item x="78"/>
        <item x="221"/>
        <item x="462"/>
        <item x="195"/>
        <item x="694"/>
        <item x="1119"/>
        <item x="941"/>
        <item x="606"/>
        <item x="1069"/>
        <item x="437"/>
        <item x="243"/>
        <item x="22"/>
        <item x="975"/>
        <item x="613"/>
        <item x="929"/>
        <item x="632"/>
        <item x="947"/>
        <item x="961"/>
        <item x="657"/>
        <item x="589"/>
        <item x="297"/>
        <item x="953"/>
        <item x="996"/>
        <item x="891"/>
        <item x="248"/>
        <item x="1061"/>
        <item x="1117"/>
        <item x="29"/>
        <item x="852"/>
        <item x="574"/>
        <item x="572"/>
        <item x="185"/>
        <item x="895"/>
        <item x="843"/>
        <item x="70"/>
        <item x="644"/>
        <item x="1011"/>
        <item x="560"/>
        <item x="1166"/>
        <item x="487"/>
        <item x="202"/>
        <item x="143"/>
        <item x="905"/>
        <item x="27"/>
        <item x="127"/>
        <item x="1005"/>
        <item x="219"/>
        <item x="648"/>
        <item x="1079"/>
        <item x="954"/>
        <item x="454"/>
        <item x="104"/>
        <item x="281"/>
        <item x="160"/>
        <item x="302"/>
        <item x="1028"/>
        <item x="109"/>
        <item x="832"/>
        <item x="151"/>
        <item x="23"/>
        <item x="529"/>
        <item x="91"/>
        <item x="848"/>
        <item x="774"/>
        <item x="121"/>
        <item x="259"/>
        <item x="1118"/>
        <item x="750"/>
        <item x="982"/>
        <item x="226"/>
        <item x="329"/>
        <item x="45"/>
        <item x="903"/>
        <item x="276"/>
        <item x="1110"/>
        <item x="1090"/>
        <item x="80"/>
        <item x="623"/>
        <item x="145"/>
        <item x="575"/>
        <item x="467"/>
        <item x="663"/>
        <item x="278"/>
        <item x="1142"/>
        <item x="1052"/>
        <item x="1139"/>
        <item x="2"/>
        <item x="26"/>
        <item x="1176"/>
        <item x="39"/>
        <item x="212"/>
        <item x="422"/>
        <item x="608"/>
        <item x="184"/>
        <item x="1153"/>
        <item x="888"/>
        <item x="601"/>
        <item x="916"/>
        <item x="1154"/>
        <item x="353"/>
        <item x="849"/>
        <item x="537"/>
        <item x="986"/>
        <item x="519"/>
        <item x="397"/>
        <item x="311"/>
        <item x="884"/>
        <item x="1109"/>
        <item x="770"/>
        <item x="737"/>
        <item x="863"/>
        <item x="404"/>
        <item x="333"/>
        <item x="885"/>
        <item x="436"/>
        <item x="732"/>
        <item x="38"/>
        <item x="322"/>
        <item x="939"/>
        <item x="949"/>
        <item x="52"/>
        <item x="1058"/>
        <item x="778"/>
        <item x="506"/>
        <item x="594"/>
        <item x="850"/>
        <item x="702"/>
        <item x="367"/>
        <item x="223"/>
        <item x="673"/>
        <item x="936"/>
        <item x="336"/>
        <item x="1179"/>
        <item x="1072"/>
        <item x="116"/>
        <item x="921"/>
        <item x="497"/>
        <item x="452"/>
        <item x="1133"/>
        <item x="13"/>
        <item x="985"/>
        <item x="708"/>
        <item x="865"/>
        <item x="989"/>
        <item x="451"/>
        <item x="468"/>
        <item x="700"/>
        <item x="482"/>
        <item x="553"/>
        <item x="1046"/>
        <item x="427"/>
        <item x="733"/>
        <item x="802"/>
        <item x="207"/>
        <item x="1159"/>
        <item x="1134"/>
        <item x="421"/>
        <item x="8"/>
        <item x="166"/>
        <item x="928"/>
        <item x="119"/>
        <item x="1004"/>
        <item x="931"/>
        <item x="822"/>
        <item x="218"/>
        <item x="1054"/>
        <item x="1084"/>
        <item x="878"/>
        <item x="899"/>
        <item x="1111"/>
        <item x="740"/>
        <item x="286"/>
        <item x="164"/>
        <item x="419"/>
        <item x="552"/>
        <item x="1114"/>
        <item x="898"/>
        <item x="392"/>
        <item x="1003"/>
        <item x="304"/>
        <item x="1042"/>
        <item x="855"/>
        <item x="1076"/>
        <item x="488"/>
        <item x="409"/>
        <item x="194"/>
        <item x="413"/>
        <item x="224"/>
        <item x="142"/>
        <item x="1132"/>
        <item x="206"/>
        <item x="496"/>
        <item x="1035"/>
        <item x="89"/>
        <item x="1062"/>
        <item x="793"/>
        <item x="314"/>
        <item x="650"/>
        <item x="731"/>
        <item x="291"/>
        <item x="598"/>
        <item x="474"/>
        <item x="217"/>
        <item x="68"/>
        <item x="141"/>
        <item x="471"/>
        <item x="773"/>
        <item x="1059"/>
        <item x="54"/>
        <item x="571"/>
        <item x="1171"/>
        <item x="298"/>
        <item x="177"/>
        <item x="517"/>
        <item x="134"/>
        <item x="66"/>
        <item x="455"/>
        <item x="200"/>
        <item x="69"/>
        <item x="659"/>
        <item x="198"/>
        <item x="230"/>
        <item x="990"/>
        <item x="561"/>
        <item x="412"/>
        <item x="635"/>
        <item x="250"/>
        <item x="170"/>
        <item x="1115"/>
        <item x="814"/>
        <item x="738"/>
        <item x="909"/>
        <item x="1101"/>
        <item x="213"/>
        <item x="816"/>
        <item x="340"/>
        <item x="241"/>
        <item x="335"/>
        <item x="983"/>
        <item x="1169"/>
        <item x="33"/>
        <item x="869"/>
        <item x="932"/>
        <item x="603"/>
        <item x="833"/>
        <item x="618"/>
        <item x="257"/>
        <item x="373"/>
        <item x="294"/>
        <item x="424"/>
        <item x="557"/>
        <item x="641"/>
        <item x="263"/>
        <item x="432"/>
        <item x="1016"/>
        <item x="103"/>
        <item x="310"/>
        <item x="678"/>
        <item x="775"/>
        <item x="533"/>
        <item x="771"/>
        <item x="847"/>
        <item x="880"/>
        <item x="37"/>
        <item x="418"/>
        <item x="914"/>
        <item x="355"/>
        <item x="622"/>
        <item x="242"/>
        <item x="691"/>
        <item x="790"/>
        <item x="803"/>
        <item x="108"/>
        <item x="762"/>
        <item x="705"/>
        <item x="277"/>
        <item x="696"/>
        <item x="851"/>
        <item x="19"/>
        <item x="32"/>
        <item x="481"/>
        <item x="268"/>
        <item x="690"/>
        <item x="1008"/>
        <item x="612"/>
        <item x="586"/>
        <item x="1172"/>
        <item x="83"/>
        <item x="728"/>
        <item x="284"/>
        <item x="1097"/>
        <item x="406"/>
        <item x="343"/>
        <item x="1108"/>
        <item x="999"/>
        <item x="602"/>
        <item x="21"/>
        <item x="564"/>
        <item x="505"/>
        <item x="102"/>
        <item x="1022"/>
        <item x="539"/>
        <item x="149"/>
        <item x="805"/>
        <item x="235"/>
        <item x="450"/>
        <item x="139"/>
        <item x="105"/>
        <item x="543"/>
        <item x="1070"/>
        <item x="881"/>
        <item x="1152"/>
        <item x="1044"/>
        <item x="1045"/>
        <item x="47"/>
        <item x="840"/>
        <item x="20"/>
        <item x="795"/>
        <item x="715"/>
        <item x="825"/>
        <item x="172"/>
        <item x="350"/>
        <item x="956"/>
        <item x="493"/>
        <item x="824"/>
        <item x="827"/>
        <item x="394"/>
        <item x="1107"/>
        <item x="414"/>
        <item x="331"/>
        <item x="345"/>
        <item x="98"/>
        <item x="274"/>
        <item x="290"/>
        <item x="282"/>
        <item x="49"/>
        <item x="1093"/>
        <item x="1065"/>
        <item x="411"/>
        <item x="839"/>
        <item x="275"/>
        <item x="339"/>
        <item x="95"/>
        <item x="152"/>
        <item x="787"/>
        <item x="4"/>
        <item x="786"/>
        <item x="510"/>
        <item x="344"/>
        <item x="1088"/>
        <item x="1131"/>
        <item x="57"/>
        <item x="679"/>
        <item x="677"/>
        <item x="637"/>
        <item x="763"/>
        <item x="408"/>
        <item x="208"/>
        <item x="24"/>
        <item x="527"/>
        <item x="473"/>
        <item x="1032"/>
        <item x="183"/>
        <item x="398"/>
        <item x="5"/>
        <item x="652"/>
        <item x="971"/>
        <item x="1080"/>
        <item x="295"/>
        <item x="711"/>
        <item x="706"/>
        <item x="1040"/>
        <item x="232"/>
        <item x="718"/>
        <item x="439"/>
        <item x="1053"/>
        <item x="578"/>
        <item x="378"/>
        <item x="1048"/>
        <item x="254"/>
        <item x="583"/>
        <item x="1135"/>
        <item x="444"/>
        <item x="834"/>
        <item x="587"/>
        <item x="1029"/>
        <item x="431"/>
        <item x="591"/>
        <item x="584"/>
        <item x="1137"/>
        <item x="861"/>
        <item x="1002"/>
        <item x="686"/>
        <item x="1087"/>
        <item x="187"/>
        <item x="759"/>
        <item x="426"/>
        <item x="540"/>
        <item x="559"/>
        <item x="722"/>
        <item x="707"/>
        <item x="514"/>
        <item x="930"/>
        <item x="864"/>
        <item x="619"/>
        <item x="396"/>
        <item x="977"/>
        <item x="346"/>
        <item x="596"/>
        <item x="806"/>
        <item x="950"/>
        <item x="465"/>
        <item x="1091"/>
        <item x="913"/>
        <item x="110"/>
        <item x="607"/>
        <item x="709"/>
        <item x="829"/>
        <item x="159"/>
        <item x="789"/>
        <item x="842"/>
        <item x="766"/>
        <item x="1098"/>
        <item x="1019"/>
        <item x="463"/>
        <item x="73"/>
        <item x="438"/>
        <item x="228"/>
        <item x="599"/>
        <item x="433"/>
        <item x="823"/>
        <item x="1012"/>
        <item x="862"/>
        <item x="509"/>
        <item x="106"/>
        <item x="521"/>
        <item x="59"/>
        <item x="1049"/>
        <item x="585"/>
        <item x="1160"/>
        <item x="461"/>
        <item x="154"/>
        <item x="577"/>
        <item x="229"/>
        <item x="491"/>
        <item x="1056"/>
        <item x="555"/>
        <item x="1106"/>
        <item x="469"/>
        <item x="237"/>
        <item x="960"/>
        <item x="588"/>
        <item x="927"/>
        <item x="204"/>
        <item x="1165"/>
        <item x="1039"/>
        <item x="1145"/>
        <item x="1034"/>
        <item x="128"/>
        <item x="1030"/>
        <item x="966"/>
        <item x="981"/>
        <item x="111"/>
        <item x="886"/>
        <item x="958"/>
        <item x="1124"/>
        <item x="1085"/>
        <item x="943"/>
        <item x="1162"/>
        <item x="308"/>
        <item x="651"/>
        <item x="654"/>
        <item x="701"/>
        <item x="357"/>
        <item x="687"/>
        <item x="489"/>
        <item x="192"/>
        <item x="934"/>
        <item x="712"/>
        <item x="1125"/>
        <item x="15"/>
        <item x="498"/>
        <item x="610"/>
        <item x="633"/>
        <item x="783"/>
        <item x="3"/>
        <item x="828"/>
        <item x="441"/>
        <item x="256"/>
        <item x="1026"/>
        <item x="182"/>
        <item x="892"/>
        <item x="100"/>
        <item x="592"/>
        <item x="81"/>
        <item x="923"/>
        <item x="944"/>
        <item x="945"/>
        <item x="513"/>
        <item x="882"/>
        <item x="220"/>
        <item x="1078"/>
        <item x="446"/>
        <item x="988"/>
        <item x="756"/>
        <item x="726"/>
        <item x="30"/>
        <item x="767"/>
        <item x="289"/>
        <item x="267"/>
        <item x="178"/>
        <item x="1147"/>
        <item x="615"/>
        <item x="695"/>
        <item x="522"/>
        <item x="597"/>
        <item x="1006"/>
        <item x="666"/>
        <item x="148"/>
        <item x="655"/>
        <item x="327"/>
        <item x="447"/>
        <item x="312"/>
        <item x="992"/>
        <item x="991"/>
        <item x="676"/>
        <item x="365"/>
        <item x="71"/>
        <item x="614"/>
        <item x="569"/>
        <item x="210"/>
        <item x="382"/>
        <item x="483"/>
        <item x="0"/>
        <item x="896"/>
        <item x="616"/>
        <item x="62"/>
        <item x="874"/>
        <item x="980"/>
        <item x="34"/>
        <item x="390"/>
        <item x="871"/>
        <item x="649"/>
        <item x="325"/>
        <item x="90"/>
        <item x="741"/>
        <item x="180"/>
        <item x="818"/>
        <item x="460"/>
        <item x="846"/>
        <item x="680"/>
        <item x="1129"/>
        <item x="1024"/>
        <item x="924"/>
        <item x="665"/>
        <item x="445"/>
        <item x="636"/>
        <item x="760"/>
        <item x="361"/>
        <item x="120"/>
        <item x="16"/>
        <item x="190"/>
        <item x="1063"/>
        <item x="621"/>
        <item x="435"/>
        <item x="752"/>
        <item x="264"/>
        <item x="351"/>
        <item x="1092"/>
        <item x="72"/>
        <item x="541"/>
        <item x="40"/>
        <item x="1151"/>
        <item x="369"/>
        <item x="1173"/>
        <item x="372"/>
        <item x="1175"/>
        <item x="507"/>
        <item x="911"/>
        <item x="812"/>
        <item x="1038"/>
        <item x="395"/>
        <item x="545"/>
        <item x="486"/>
        <item x="838"/>
        <item x="301"/>
        <item x="251"/>
        <item x="809"/>
        <item x="1127"/>
        <item x="1031"/>
        <item x="1068"/>
        <item x="87"/>
        <item x="520"/>
        <item x="630"/>
        <item x="581"/>
        <item x="309"/>
        <item x="751"/>
        <item x="51"/>
        <item x="415"/>
        <item x="18"/>
        <item x="831"/>
        <item x="147"/>
        <item x="745"/>
        <item x="65"/>
        <item x="749"/>
        <item x="1122"/>
        <item x="776"/>
        <item x="755"/>
        <item x="126"/>
        <item x="972"/>
        <item x="826"/>
        <item x="872"/>
        <item x="296"/>
        <item x="974"/>
        <item x="342"/>
        <item x="319"/>
        <item x="485"/>
        <item x="1096"/>
        <item x="84"/>
        <item x="681"/>
        <item x="477"/>
        <item x="1136"/>
        <item x="858"/>
        <item x="1018"/>
        <item x="524"/>
        <item x="515"/>
        <item x="920"/>
        <item x="1"/>
        <item x="907"/>
        <item x="405"/>
        <item x="518"/>
        <item x="808"/>
        <item x="624"/>
        <item x="570"/>
        <item x="1156"/>
        <item x="324"/>
        <item x="1121"/>
        <item x="593"/>
        <item x="1086"/>
        <item x="1083"/>
        <item x="193"/>
        <item x="215"/>
        <item x="214"/>
        <item x="79"/>
        <item x="380"/>
        <item x="75"/>
        <item x="391"/>
        <item x="964"/>
        <item x="797"/>
        <item x="478"/>
        <item x="582"/>
        <item x="161"/>
        <item x="893"/>
        <item x="810"/>
        <item x="1144"/>
        <item x="747"/>
        <item x="672"/>
        <item x="735"/>
        <item x="628"/>
        <item x="860"/>
        <item x="150"/>
        <item x="292"/>
        <item x="55"/>
        <item x="1020"/>
        <item x="85"/>
        <item x="918"/>
        <item x="269"/>
        <item x="643"/>
        <item x="794"/>
        <item x="1123"/>
        <item x="188"/>
        <item x="853"/>
        <item x="1099"/>
        <item x="508"/>
        <item x="1130"/>
        <item x="697"/>
        <item x="556"/>
        <item x="457"/>
        <item x="61"/>
        <item x="117"/>
        <item x="129"/>
        <item x="407"/>
        <item x="11"/>
        <item x="420"/>
        <item x="338"/>
        <item x="374"/>
        <item x="146"/>
        <item x="115"/>
        <item x="693"/>
        <item x="962"/>
        <item x="500"/>
        <item x="969"/>
        <item x="1102"/>
        <item x="1009"/>
        <item x="386"/>
        <item x="565"/>
        <item x="1000"/>
        <item x="645"/>
        <item x="393"/>
        <item x="364"/>
        <item x="531"/>
        <item x="495"/>
        <item x="987"/>
        <item x="919"/>
        <item x="181"/>
        <item x="629"/>
        <item x="401"/>
        <item x="1174"/>
        <item x="315"/>
        <item x="348"/>
        <item x="963"/>
        <item x="721"/>
        <item x="222"/>
        <item x="671"/>
        <item x="1017"/>
        <item x="957"/>
        <item x="998"/>
        <item x="209"/>
        <item x="92"/>
        <item x="1140"/>
        <item x="1113"/>
        <item x="844"/>
        <item x="1100"/>
        <item x="186"/>
        <item x="479"/>
        <item x="1158"/>
        <item x="734"/>
        <item x="262"/>
        <item x="951"/>
        <item x="167"/>
        <item x="875"/>
        <item x="113"/>
        <item x="664"/>
        <item x="173"/>
        <item x="703"/>
        <item x="400"/>
        <item x="174"/>
        <item x="573"/>
        <item x="82"/>
        <item x="532"/>
        <item x="388"/>
        <item x="48"/>
        <item x="1057"/>
        <item x="534"/>
        <item x="58"/>
        <item x="1163"/>
        <item x="470"/>
        <item x="272"/>
        <item x="579"/>
        <item x="743"/>
        <item x="746"/>
        <item x="1128"/>
        <item x="377"/>
        <item x="1143"/>
        <item x="300"/>
        <item x="799"/>
        <item x="1055"/>
        <item x="1007"/>
        <item x="511"/>
        <item x="867"/>
        <item x="669"/>
        <item x="516"/>
        <item x="231"/>
        <item x="1138"/>
        <item x="334"/>
        <item x="948"/>
        <item x="642"/>
        <item x="10"/>
        <item x="288"/>
        <item x="952"/>
        <item x="316"/>
        <item x="375"/>
        <item x="713"/>
        <item x="77"/>
        <item x="136"/>
        <item x="656"/>
        <item x="698"/>
        <item x="403"/>
        <item x="609"/>
        <item x="627"/>
        <item x="385"/>
        <item x="717"/>
        <item x="153"/>
        <item x="387"/>
        <item x="303"/>
        <item x="35"/>
        <item x="894"/>
        <item x="699"/>
        <item x="1105"/>
        <item x="967"/>
        <item x="512"/>
        <item x="647"/>
        <item x="466"/>
        <item x="900"/>
        <item x="910"/>
        <item x="748"/>
        <item x="320"/>
        <item x="782"/>
        <item x="1027"/>
        <item x="661"/>
        <item x="1082"/>
        <item x="46"/>
        <item x="856"/>
        <item x="917"/>
        <item x="976"/>
        <item x="904"/>
        <item x="807"/>
        <item x="922"/>
        <item x="946"/>
        <item x="779"/>
        <item x="165"/>
        <item x="430"/>
        <item x="133"/>
        <item x="318"/>
        <item x="501"/>
        <item x="1177"/>
        <item x="600"/>
        <item x="253"/>
        <item x="646"/>
        <item x="252"/>
        <item x="307"/>
        <item x="279"/>
        <item x="857"/>
        <item x="837"/>
        <item x="689"/>
        <item x="548"/>
        <item x="525"/>
        <item x="124"/>
        <item x="720"/>
        <item x="368"/>
        <item x="163"/>
        <item x="323"/>
        <item x="76"/>
        <item x="1103"/>
        <item x="410"/>
        <item x="484"/>
        <item x="791"/>
        <item x="122"/>
        <item x="156"/>
        <item t="default"/>
      </items>
    </pivotField>
    <pivotField compact="0" numFmtId="9" showAll="0">
      <items count="6">
        <item x="0"/>
        <item x="4"/>
        <item x="1"/>
        <item x="3"/>
        <item x="2"/>
        <item t="default"/>
      </items>
    </pivotField>
    <pivotField compact="0" numFmtId="4" showAll="0">
      <items count="1180">
        <item x="0"/>
        <item x="310"/>
        <item x="494"/>
        <item x="1047"/>
        <item x="215"/>
        <item x="180"/>
        <item x="142"/>
        <item x="233"/>
        <item x="254"/>
        <item x="968"/>
        <item x="860"/>
        <item x="913"/>
        <item x="205"/>
        <item x="335"/>
        <item x="18"/>
        <item x="948"/>
        <item x="396"/>
        <item x="861"/>
        <item x="238"/>
        <item x="1083"/>
        <item x="724"/>
        <item x="9"/>
        <item x="418"/>
        <item x="921"/>
        <item x="536"/>
        <item x="526"/>
        <item x="1046"/>
        <item x="347"/>
        <item x="268"/>
        <item x="225"/>
        <item x="147"/>
        <item x="283"/>
        <item x="548"/>
        <item x="902"/>
        <item x="185"/>
        <item x="276"/>
        <item x="773"/>
        <item x="857"/>
        <item x="515"/>
        <item x="407"/>
        <item x="300"/>
        <item x="39"/>
        <item x="414"/>
        <item x="786"/>
        <item x="97"/>
        <item x="128"/>
        <item x="521"/>
        <item x="1086"/>
        <item x="703"/>
        <item x="798"/>
        <item x="1075"/>
        <item x="457"/>
        <item x="1120"/>
        <item x="190"/>
        <item x="270"/>
        <item x="525"/>
        <item x="229"/>
        <item x="830"/>
        <item x="787"/>
        <item x="217"/>
        <item x="186"/>
        <item x="810"/>
        <item x="742"/>
        <item x="174"/>
        <item x="19"/>
        <item x="864"/>
        <item x="509"/>
        <item x="1028"/>
        <item x="202"/>
        <item x="476"/>
        <item x="524"/>
        <item x="356"/>
        <item x="538"/>
        <item x="823"/>
        <item x="1110"/>
        <item x="319"/>
        <item x="489"/>
        <item x="136"/>
        <item x="516"/>
        <item x="32"/>
        <item x="43"/>
        <item x="838"/>
        <item x="1030"/>
        <item x="467"/>
        <item x="935"/>
        <item x="590"/>
        <item x="584"/>
        <item x="68"/>
        <item x="477"/>
        <item x="1081"/>
        <item x="1048"/>
        <item x="542"/>
        <item x="591"/>
        <item x="179"/>
        <item x="417"/>
        <item x="115"/>
        <item x="656"/>
        <item x="169"/>
        <item x="35"/>
        <item x="644"/>
        <item x="98"/>
        <item x="1007"/>
        <item x="348"/>
        <item x="505"/>
        <item x="172"/>
        <item x="766"/>
        <item x="306"/>
        <item x="420"/>
        <item x="70"/>
        <item x="502"/>
        <item x="288"/>
        <item x="159"/>
        <item x="432"/>
        <item x="553"/>
        <item x="809"/>
        <item x="448"/>
        <item x="890"/>
        <item x="403"/>
        <item x="523"/>
        <item x="162"/>
        <item x="274"/>
        <item x="1026"/>
        <item x="1"/>
        <item x="173"/>
        <item x="605"/>
        <item x="973"/>
        <item x="824"/>
        <item x="693"/>
        <item x="923"/>
        <item x="664"/>
        <item x="21"/>
        <item x="623"/>
        <item x="741"/>
        <item x="488"/>
        <item x="1127"/>
        <item x="94"/>
        <item x="34"/>
        <item x="1177"/>
        <item x="691"/>
        <item x="976"/>
        <item x="530"/>
        <item x="546"/>
        <item x="769"/>
        <item x="811"/>
        <item x="187"/>
        <item x="619"/>
        <item x="957"/>
        <item x="269"/>
        <item x="1039"/>
        <item x="995"/>
        <item x="196"/>
        <item x="130"/>
        <item x="506"/>
        <item x="658"/>
        <item x="1114"/>
        <item x="150"/>
        <item x="1094"/>
        <item x="1157"/>
        <item x="200"/>
        <item x="1060"/>
        <item x="330"/>
        <item x="340"/>
        <item x="441"/>
        <item x="251"/>
        <item x="984"/>
        <item x="164"/>
        <item x="618"/>
        <item x="27"/>
        <item x="101"/>
        <item x="970"/>
        <item x="1116"/>
        <item x="367"/>
        <item x="704"/>
        <item x="442"/>
        <item x="514"/>
        <item x="674"/>
        <item x="1044"/>
        <item x="1148"/>
        <item x="645"/>
        <item x="224"/>
        <item x="972"/>
        <item x="889"/>
        <item x="259"/>
        <item x="622"/>
        <item x="1134"/>
        <item x="299"/>
        <item x="381"/>
        <item x="112"/>
        <item x="266"/>
        <item x="1160"/>
        <item x="568"/>
        <item x="1115"/>
        <item x="779"/>
        <item x="412"/>
        <item x="236"/>
        <item x="886"/>
        <item x="293"/>
        <item x="885"/>
        <item x="183"/>
        <item x="1107"/>
        <item x="924"/>
        <item x="155"/>
        <item x="700"/>
        <item x="361"/>
        <item x="360"/>
        <item x="303"/>
        <item x="562"/>
        <item x="485"/>
        <item x="379"/>
        <item x="789"/>
        <item x="29"/>
        <item x="639"/>
        <item x="218"/>
        <item x="901"/>
        <item x="735"/>
        <item x="1014"/>
        <item x="804"/>
        <item x="1003"/>
        <item x="632"/>
        <item x="113"/>
        <item x="1162"/>
        <item x="831"/>
        <item x="950"/>
        <item x="601"/>
        <item x="132"/>
        <item x="61"/>
        <item x="466"/>
        <item x="249"/>
        <item x="517"/>
        <item x="813"/>
        <item x="246"/>
        <item x="643"/>
        <item x="904"/>
        <item x="478"/>
        <item x="745"/>
        <item x="6"/>
        <item x="444"/>
        <item x="106"/>
        <item x="633"/>
        <item x="333"/>
        <item x="69"/>
        <item x="93"/>
        <item x="216"/>
        <item x="212"/>
        <item x="102"/>
        <item x="464"/>
        <item x="817"/>
        <item x="492"/>
        <item x="153"/>
        <item x="615"/>
        <item x="581"/>
        <item x="154"/>
        <item x="511"/>
        <item x="671"/>
        <item x="784"/>
        <item x="987"/>
        <item x="111"/>
        <item x="429"/>
        <item x="107"/>
        <item x="1171"/>
        <item x="863"/>
        <item x="349"/>
        <item x="1056"/>
        <item x="775"/>
        <item x="74"/>
        <item x="133"/>
        <item x="822"/>
        <item x="933"/>
        <item x="302"/>
        <item x="989"/>
        <item x="472"/>
        <item x="609"/>
        <item x="895"/>
        <item x="141"/>
        <item x="1085"/>
        <item x="873"/>
        <item x="206"/>
        <item x="998"/>
        <item x="899"/>
        <item x="855"/>
        <item x="1118"/>
        <item x="701"/>
        <item x="668"/>
        <item x="878"/>
        <item x="1069"/>
        <item x="792"/>
        <item x="747"/>
        <item x="956"/>
        <item x="7"/>
        <item x="641"/>
        <item x="110"/>
        <item x="684"/>
        <item x="232"/>
        <item x="850"/>
        <item x="1135"/>
        <item x="413"/>
        <item x="698"/>
        <item x="5"/>
        <item x="570"/>
        <item x="862"/>
        <item x="732"/>
        <item x="82"/>
        <item x="588"/>
        <item x="177"/>
        <item x="932"/>
        <item x="1016"/>
        <item x="134"/>
        <item x="436"/>
        <item x="1043"/>
        <item x="20"/>
        <item x="576"/>
        <item x="1072"/>
        <item x="358"/>
        <item x="635"/>
        <item x="339"/>
        <item x="598"/>
        <item x="1004"/>
        <item x="1062"/>
        <item x="603"/>
        <item x="540"/>
        <item x="875"/>
        <item x="672"/>
        <item x="125"/>
        <item x="408"/>
        <item x="419"/>
        <item x="722"/>
        <item x="909"/>
        <item x="140"/>
        <item x="587"/>
        <item x="1015"/>
        <item x="388"/>
        <item x="1066"/>
        <item x="908"/>
        <item x="428"/>
        <item x="67"/>
        <item x="888"/>
        <item x="780"/>
        <item x="400"/>
        <item x="482"/>
        <item x="423"/>
        <item x="541"/>
        <item x="1089"/>
        <item x="460"/>
        <item x="840"/>
        <item x="736"/>
        <item x="1175"/>
        <item x="223"/>
        <item x="1084"/>
        <item x="261"/>
        <item x="1092"/>
        <item x="334"/>
        <item x="788"/>
        <item x="678"/>
        <item x="837"/>
        <item x="799"/>
        <item x="60"/>
        <item x="38"/>
        <item x="636"/>
        <item x="59"/>
        <item x="892"/>
        <item x="427"/>
        <item x="982"/>
        <item x="988"/>
        <item x="827"/>
        <item x="611"/>
        <item x="1035"/>
        <item x="962"/>
        <item x="318"/>
        <item x="86"/>
        <item x="493"/>
        <item x="911"/>
        <item x="980"/>
        <item x="657"/>
        <item x="1005"/>
        <item x="608"/>
        <item x="239"/>
        <item x="120"/>
        <item x="227"/>
        <item x="1011"/>
        <item x="56"/>
        <item x="606"/>
        <item x="912"/>
        <item x="874"/>
        <item x="63"/>
        <item x="139"/>
        <item x="677"/>
        <item x="727"/>
        <item x="1151"/>
        <item x="897"/>
        <item x="675"/>
        <item x="13"/>
        <item x="1119"/>
        <item x="465"/>
        <item x="759"/>
        <item x="99"/>
        <item x="665"/>
        <item x="24"/>
        <item x="184"/>
        <item x="176"/>
        <item x="753"/>
        <item x="871"/>
        <item x="163"/>
        <item x="1036"/>
        <item x="774"/>
        <item x="342"/>
        <item x="1058"/>
        <item x="513"/>
        <item x="920"/>
        <item x="404"/>
        <item x="613"/>
        <item x="592"/>
        <item x="522"/>
        <item x="1158"/>
        <item x="991"/>
        <item x="734"/>
        <item x="1124"/>
        <item x="181"/>
        <item x="699"/>
        <item x="1064"/>
        <item x="329"/>
        <item x="290"/>
        <item x="1096"/>
        <item x="320"/>
        <item x="869"/>
        <item x="520"/>
        <item x="796"/>
        <item x="1025"/>
        <item x="848"/>
        <item x="1112"/>
        <item x="965"/>
        <item x="983"/>
        <item x="453"/>
        <item x="362"/>
        <item x="1067"/>
        <item x="782"/>
        <item x="552"/>
        <item x="245"/>
        <item x="887"/>
        <item x="1059"/>
        <item x="327"/>
        <item x="296"/>
        <item x="1006"/>
        <item x="550"/>
        <item x="1049"/>
        <item x="324"/>
        <item x="220"/>
        <item x="666"/>
        <item x="47"/>
        <item x="438"/>
        <item x="551"/>
        <item x="696"/>
        <item x="204"/>
        <item x="371"/>
        <item x="166"/>
        <item x="262"/>
        <item x="825"/>
        <item x="250"/>
        <item x="341"/>
        <item x="16"/>
        <item x="726"/>
        <item x="192"/>
        <item x="715"/>
        <item x="76"/>
        <item x="717"/>
        <item x="40"/>
        <item x="662"/>
        <item x="637"/>
        <item x="565"/>
        <item x="925"/>
        <item x="1128"/>
        <item x="1040"/>
        <item x="207"/>
        <item x="52"/>
        <item x="88"/>
        <item x="231"/>
        <item x="103"/>
        <item x="109"/>
        <item x="256"/>
        <item x="193"/>
        <item x="326"/>
        <item x="486"/>
        <item x="532"/>
        <item x="833"/>
        <item x="64"/>
        <item x="979"/>
        <item x="480"/>
        <item x="896"/>
        <item x="211"/>
        <item x="694"/>
        <item x="213"/>
        <item x="1159"/>
        <item x="331"/>
        <item x="1045"/>
        <item x="295"/>
        <item x="856"/>
        <item x="978"/>
        <item x="1010"/>
        <item x="1017"/>
        <item x="777"/>
        <item x="170"/>
        <item x="135"/>
        <item x="230"/>
        <item x="1023"/>
        <item x="610"/>
        <item x="763"/>
        <item x="820"/>
        <item x="279"/>
        <item x="839"/>
        <item x="866"/>
        <item x="1042"/>
        <item x="654"/>
        <item x="402"/>
        <item x="772"/>
        <item x="421"/>
        <item x="1139"/>
        <item x="1101"/>
        <item x="842"/>
        <item x="194"/>
        <item x="1122"/>
        <item x="945"/>
        <item x="595"/>
        <item x="574"/>
        <item x="123"/>
        <item x="278"/>
        <item x="345"/>
        <item x="253"/>
        <item x="1155"/>
        <item x="496"/>
        <item x="922"/>
        <item x="226"/>
        <item x="77"/>
        <item x="1061"/>
        <item x="1002"/>
        <item x="73"/>
        <item x="686"/>
        <item x="733"/>
        <item x="1099"/>
        <item x="425"/>
        <item x="178"/>
        <item x="1095"/>
        <item x="366"/>
        <item x="1053"/>
        <item x="71"/>
        <item x="1080"/>
        <item x="53"/>
        <item x="828"/>
        <item x="554"/>
        <item x="566"/>
        <item x="1174"/>
        <item x="242"/>
        <item x="969"/>
        <item x="740"/>
        <item x="168"/>
        <item x="1140"/>
        <item x="143"/>
        <item x="495"/>
        <item x="54"/>
        <item x="395"/>
        <item x="529"/>
        <item x="431"/>
        <item x="844"/>
        <item x="344"/>
        <item x="452"/>
        <item x="391"/>
        <item x="484"/>
        <item x="612"/>
        <item x="508"/>
        <item x="1137"/>
        <item x="322"/>
        <item x="939"/>
        <item x="365"/>
        <item x="731"/>
        <item x="1126"/>
        <item x="648"/>
        <item x="690"/>
        <item x="355"/>
        <item x="642"/>
        <item x="308"/>
        <item x="1138"/>
        <item x="1121"/>
        <item x="628"/>
        <item x="241"/>
        <item x="189"/>
        <item x="929"/>
        <item x="439"/>
        <item x="72"/>
        <item x="977"/>
        <item x="1178"/>
        <item x="625"/>
        <item x="616"/>
        <item x="12"/>
        <item x="661"/>
        <item x="802"/>
        <item x="384"/>
        <item x="914"/>
        <item x="446"/>
        <item x="981"/>
        <item x="148"/>
        <item x="816"/>
        <item x="755"/>
        <item x="785"/>
        <item x="569"/>
        <item x="22"/>
        <item x="917"/>
        <item x="89"/>
        <item x="313"/>
        <item x="964"/>
        <item x="918"/>
        <item x="281"/>
        <item x="599"/>
        <item x="473"/>
        <item x="292"/>
        <item x="15"/>
        <item x="676"/>
        <item x="156"/>
        <item x="653"/>
        <item x="1013"/>
        <item x="1100"/>
        <item x="36"/>
        <item x="66"/>
        <item x="260"/>
        <item x="376"/>
        <item x="951"/>
        <item x="491"/>
        <item x="990"/>
        <item x="768"/>
        <item x="445"/>
        <item x="298"/>
        <item x="84"/>
        <item x="1168"/>
        <item x="573"/>
        <item x="37"/>
        <item x="282"/>
        <item x="752"/>
        <item x="363"/>
        <item x="1077"/>
        <item x="1108"/>
        <item x="144"/>
        <item x="504"/>
        <item x="222"/>
        <item x="876"/>
        <item x="1012"/>
        <item x="1073"/>
        <item x="359"/>
        <item x="1173"/>
        <item x="1091"/>
        <item x="199"/>
        <item x="210"/>
        <item x="1152"/>
        <item x="597"/>
        <item x="534"/>
        <item x="315"/>
        <item x="1008"/>
        <item x="537"/>
        <item x="85"/>
        <item x="131"/>
        <item x="958"/>
        <item x="499"/>
        <item x="801"/>
        <item x="1071"/>
        <item x="705"/>
        <item x="510"/>
        <item x="158"/>
        <item x="695"/>
        <item x="808"/>
        <item x="65"/>
        <item x="455"/>
        <item x="1038"/>
        <item x="309"/>
        <item x="118"/>
        <item x="765"/>
        <item x="1163"/>
        <item x="762"/>
        <item x="415"/>
        <item x="564"/>
        <item x="738"/>
        <item x="368"/>
        <item x="680"/>
        <item x="1149"/>
        <item x="575"/>
        <item x="713"/>
        <item x="191"/>
        <item x="46"/>
        <item x="754"/>
        <item x="26"/>
        <item x="1055"/>
        <item x="152"/>
        <item x="390"/>
        <item x="337"/>
        <item x="624"/>
        <item x="681"/>
        <item x="91"/>
        <item x="614"/>
        <item x="171"/>
        <item x="1034"/>
        <item x="4"/>
        <item x="57"/>
        <item x="1078"/>
        <item x="1164"/>
        <item x="369"/>
        <item x="275"/>
        <item x="819"/>
        <item x="770"/>
        <item x="563"/>
        <item x="926"/>
        <item x="872"/>
        <item x="944"/>
        <item x="316"/>
        <item x="1165"/>
        <item x="1019"/>
        <item x="323"/>
        <item x="375"/>
        <item x="1143"/>
        <item x="853"/>
        <item x="953"/>
        <item x="449"/>
        <item x="1090"/>
        <item x="182"/>
        <item x="104"/>
        <item x="1022"/>
        <item x="51"/>
        <item x="682"/>
        <item x="655"/>
        <item x="79"/>
        <item x="555"/>
        <item x="1063"/>
        <item x="640"/>
        <item x="941"/>
        <item x="870"/>
        <item x="167"/>
        <item x="997"/>
        <item x="122"/>
        <item x="500"/>
        <item x="930"/>
        <item x="934"/>
        <item x="1052"/>
        <item x="836"/>
        <item x="688"/>
        <item x="264"/>
        <item x="960"/>
        <item x="451"/>
        <item x="234"/>
        <item x="383"/>
        <item x="161"/>
        <item x="967"/>
        <item x="806"/>
        <item x="607"/>
        <item x="157"/>
        <item x="2"/>
        <item x="756"/>
        <item x="971"/>
        <item x="846"/>
        <item x="265"/>
        <item x="385"/>
        <item x="188"/>
        <item x="829"/>
        <item x="620"/>
        <item x="577"/>
        <item x="1018"/>
        <item x="1131"/>
        <item x="1087"/>
        <item x="1172"/>
        <item x="286"/>
        <item x="689"/>
        <item x="81"/>
        <item x="267"/>
        <item x="235"/>
        <item x="706"/>
        <item x="387"/>
        <item x="42"/>
        <item x="1000"/>
        <item x="841"/>
        <item x="560"/>
        <item x="311"/>
        <item x="350"/>
        <item x="252"/>
        <item x="528"/>
        <item x="600"/>
        <item x="531"/>
        <item x="346"/>
        <item x="1170"/>
        <item x="1093"/>
        <item x="746"/>
        <item x="219"/>
        <item x="398"/>
        <item x="129"/>
        <item x="1147"/>
        <item x="936"/>
        <item x="629"/>
        <item x="469"/>
        <item x="437"/>
        <item x="25"/>
        <item x="519"/>
        <item x="435"/>
        <item x="586"/>
        <item x="461"/>
        <item x="739"/>
        <item x="718"/>
        <item x="160"/>
        <item x="1105"/>
        <item x="1032"/>
        <item x="854"/>
        <item x="165"/>
        <item x="284"/>
        <item x="87"/>
        <item x="589"/>
        <item x="711"/>
        <item x="352"/>
        <item x="993"/>
        <item x="332"/>
        <item x="126"/>
        <item x="31"/>
        <item x="961"/>
        <item x="814"/>
        <item x="544"/>
        <item x="228"/>
        <item x="627"/>
        <item x="800"/>
        <item x="422"/>
        <item x="549"/>
        <item x="443"/>
        <item x="80"/>
        <item x="996"/>
        <item x="879"/>
        <item x="108"/>
        <item x="783"/>
        <item x="328"/>
        <item x="938"/>
        <item x="604"/>
        <item x="561"/>
        <item x="314"/>
        <item x="1144"/>
        <item x="244"/>
        <item x="317"/>
        <item x="221"/>
        <item x="547"/>
        <item x="714"/>
        <item x="149"/>
        <item x="812"/>
        <item x="119"/>
        <item x="114"/>
        <item x="280"/>
        <item x="707"/>
        <item x="868"/>
        <item x="660"/>
        <item x="409"/>
        <item x="49"/>
        <item x="138"/>
        <item x="647"/>
        <item x="243"/>
        <item x="1098"/>
        <item x="807"/>
        <item x="751"/>
        <item x="456"/>
        <item x="533"/>
        <item x="336"/>
        <item x="626"/>
        <item x="900"/>
        <item x="1146"/>
        <item x="1123"/>
        <item x="291"/>
        <item x="884"/>
        <item x="3"/>
        <item x="1088"/>
        <item x="966"/>
        <item x="433"/>
        <item x="45"/>
        <item x="197"/>
        <item x="898"/>
        <item x="709"/>
        <item x="78"/>
        <item x="1129"/>
        <item x="1033"/>
        <item x="859"/>
        <item x="843"/>
        <item x="287"/>
        <item x="535"/>
        <item x="729"/>
        <item x="307"/>
        <item x="781"/>
        <item x="955"/>
        <item x="880"/>
        <item x="891"/>
        <item x="124"/>
        <item x="794"/>
        <item x="117"/>
        <item x="797"/>
        <item x="382"/>
        <item x="487"/>
        <item x="1065"/>
        <item x="596"/>
        <item x="877"/>
        <item x="1154"/>
        <item x="1136"/>
        <item x="761"/>
        <item x="203"/>
        <item x="1076"/>
        <item x="670"/>
        <item x="454"/>
        <item x="744"/>
        <item x="974"/>
        <item x="963"/>
        <item x="1133"/>
        <item x="667"/>
        <item x="638"/>
        <item x="377"/>
        <item x="1031"/>
        <item x="1001"/>
        <item x="248"/>
        <item x="354"/>
        <item x="975"/>
        <item x="96"/>
        <item x="304"/>
        <item x="430"/>
        <item x="497"/>
        <item x="985"/>
        <item x="919"/>
        <item x="748"/>
        <item x="845"/>
        <item x="357"/>
        <item x="916"/>
        <item x="723"/>
        <item x="1074"/>
        <item x="14"/>
        <item x="474"/>
        <item x="725"/>
        <item x="852"/>
        <item x="374"/>
        <item x="1145"/>
        <item x="394"/>
        <item x="559"/>
        <item x="893"/>
        <item x="325"/>
        <item x="558"/>
        <item x="434"/>
        <item x="10"/>
        <item x="481"/>
        <item x="1070"/>
        <item x="905"/>
        <item x="986"/>
        <item x="58"/>
        <item x="728"/>
        <item x="1150"/>
        <item x="572"/>
        <item x="1117"/>
        <item x="881"/>
        <item x="594"/>
        <item x="617"/>
        <item x="297"/>
        <item x="527"/>
        <item x="127"/>
        <item x="851"/>
        <item x="105"/>
        <item x="818"/>
        <item x="263"/>
        <item x="272"/>
        <item x="214"/>
        <item x="447"/>
        <item x="776"/>
        <item x="92"/>
        <item x="771"/>
        <item x="545"/>
        <item x="683"/>
        <item x="937"/>
        <item x="411"/>
        <item x="392"/>
        <item x="602"/>
        <item x="1169"/>
        <item x="1020"/>
        <item x="1009"/>
        <item x="1021"/>
        <item x="1079"/>
        <item x="498"/>
        <item x="543"/>
        <item x="749"/>
        <item x="406"/>
        <item x="634"/>
        <item x="1103"/>
        <item x="578"/>
        <item x="1029"/>
        <item x="687"/>
        <item x="255"/>
        <item x="826"/>
        <item x="710"/>
        <item x="321"/>
        <item x="1132"/>
        <item x="240"/>
        <item x="767"/>
        <item x="849"/>
        <item x="928"/>
        <item x="778"/>
        <item x="1125"/>
        <item x="1054"/>
        <item x="399"/>
        <item x="33"/>
        <item x="556"/>
        <item x="501"/>
        <item x="679"/>
        <item x="90"/>
        <item x="257"/>
        <item x="209"/>
        <item x="1141"/>
        <item x="351"/>
        <item x="582"/>
        <item x="483"/>
        <item x="198"/>
        <item x="470"/>
        <item x="463"/>
        <item x="289"/>
        <item x="708"/>
        <item x="940"/>
        <item x="716"/>
        <item x="758"/>
        <item x="1166"/>
        <item x="271"/>
        <item x="512"/>
        <item x="903"/>
        <item x="11"/>
        <item x="712"/>
        <item x="353"/>
        <item x="571"/>
        <item x="580"/>
        <item x="663"/>
        <item x="393"/>
        <item x="1104"/>
        <item x="805"/>
        <item x="1161"/>
        <item x="821"/>
        <item x="41"/>
        <item x="490"/>
        <item x="301"/>
        <item x="954"/>
        <item x="931"/>
        <item x="145"/>
        <item x="832"/>
        <item x="585"/>
        <item x="201"/>
        <item x="8"/>
        <item x="1041"/>
        <item x="17"/>
        <item x="277"/>
        <item x="793"/>
        <item x="386"/>
        <item x="100"/>
        <item x="468"/>
        <item x="795"/>
        <item x="370"/>
        <item x="649"/>
        <item x="927"/>
        <item x="915"/>
        <item x="1109"/>
        <item x="650"/>
        <item x="579"/>
        <item x="1102"/>
        <item x="195"/>
        <item x="518"/>
        <item x="1111"/>
        <item x="1167"/>
        <item x="847"/>
        <item x="942"/>
        <item x="62"/>
        <item x="858"/>
        <item x="791"/>
        <item x="567"/>
        <item x="1156"/>
        <item x="947"/>
        <item x="440"/>
        <item x="312"/>
        <item x="883"/>
        <item x="401"/>
        <item x="364"/>
        <item x="539"/>
        <item x="894"/>
        <item x="1051"/>
        <item x="146"/>
        <item x="397"/>
        <item x="151"/>
        <item x="803"/>
        <item x="673"/>
        <item x="1097"/>
        <item x="137"/>
        <item x="999"/>
        <item x="1027"/>
        <item x="471"/>
        <item x="557"/>
        <item x="669"/>
        <item x="1142"/>
        <item x="943"/>
        <item x="719"/>
        <item x="459"/>
        <item x="48"/>
        <item x="503"/>
        <item x="593"/>
        <item x="1024"/>
        <item x="946"/>
        <item x="372"/>
        <item x="30"/>
        <item x="1068"/>
        <item x="462"/>
        <item x="994"/>
        <item x="959"/>
        <item x="1106"/>
        <item x="50"/>
        <item x="247"/>
        <item x="305"/>
        <item x="1050"/>
        <item x="95"/>
        <item x="697"/>
        <item x="507"/>
        <item x="651"/>
        <item x="294"/>
        <item x="410"/>
        <item x="405"/>
        <item x="760"/>
        <item x="659"/>
        <item x="258"/>
        <item x="475"/>
        <item x="416"/>
        <item x="55"/>
        <item x="621"/>
        <item x="757"/>
        <item x="28"/>
        <item x="273"/>
        <item x="175"/>
        <item x="790"/>
        <item x="583"/>
        <item x="1037"/>
        <item x="1082"/>
        <item x="424"/>
        <item x="720"/>
        <item x="237"/>
        <item x="426"/>
        <item x="730"/>
        <item x="906"/>
        <item x="834"/>
        <item x="1113"/>
        <item x="737"/>
        <item x="23"/>
        <item x="44"/>
        <item x="338"/>
        <item x="630"/>
        <item x="952"/>
        <item x="1153"/>
        <item x="75"/>
        <item x="702"/>
        <item x="865"/>
        <item x="835"/>
        <item x="1130"/>
        <item x="815"/>
        <item x="721"/>
        <item x="652"/>
        <item x="646"/>
        <item x="121"/>
        <item x="458"/>
        <item x="389"/>
        <item x="907"/>
        <item x="373"/>
        <item x="764"/>
        <item x="882"/>
        <item x="1057"/>
        <item x="910"/>
        <item x="1176"/>
        <item x="750"/>
        <item x="949"/>
        <item x="992"/>
        <item x="450"/>
        <item x="83"/>
        <item x="285"/>
        <item x="479"/>
        <item x="631"/>
        <item x="685"/>
        <item x="380"/>
        <item x="743"/>
        <item x="378"/>
        <item x="208"/>
        <item x="867"/>
        <item x="116"/>
        <item x="343"/>
        <item x="692"/>
        <item t="default"/>
      </items>
    </pivotField>
    <pivotField compact="0" numFmtId="4" showAll="0">
      <items count="2086">
        <item x="600"/>
        <item x="89"/>
        <item x="302"/>
        <item x="155"/>
        <item x="222"/>
        <item x="1619"/>
        <item x="309"/>
        <item x="597"/>
        <item x="711"/>
        <item x="729"/>
        <item x="548"/>
        <item x="234"/>
        <item x="1294"/>
        <item x="1856"/>
        <item x="1862"/>
        <item x="968"/>
        <item x="486"/>
        <item x="2015"/>
        <item x="1523"/>
        <item x="1514"/>
        <item x="955"/>
        <item x="910"/>
        <item x="879"/>
        <item x="1702"/>
        <item x="36"/>
        <item x="1476"/>
        <item x="407"/>
        <item x="2053"/>
        <item x="512"/>
        <item x="1524"/>
        <item x="417"/>
        <item x="614"/>
        <item x="318"/>
        <item x="17"/>
        <item x="1392"/>
        <item x="700"/>
        <item x="462"/>
        <item x="1863"/>
        <item x="374"/>
        <item x="1428"/>
        <item x="1638"/>
        <item x="1824"/>
        <item x="952"/>
        <item x="938"/>
        <item x="540"/>
        <item x="1227"/>
        <item x="502"/>
        <item x="1601"/>
        <item x="43"/>
        <item x="1922"/>
        <item x="1030"/>
        <item x="338"/>
        <item x="826"/>
        <item x="1048"/>
        <item x="424"/>
        <item x="189"/>
        <item x="1051"/>
        <item x="865"/>
        <item x="532"/>
        <item x="198"/>
        <item x="1407"/>
        <item x="442"/>
        <item x="1652"/>
        <item x="1083"/>
        <item x="120"/>
        <item x="169"/>
        <item x="1678"/>
        <item x="1721"/>
        <item x="1574"/>
        <item x="636"/>
        <item x="1518"/>
        <item x="1986"/>
        <item x="1212"/>
        <item x="404"/>
        <item x="1384"/>
        <item x="949"/>
        <item x="449"/>
        <item x="1075"/>
        <item x="1718"/>
        <item x="1457"/>
        <item x="293"/>
        <item x="41"/>
        <item x="1416"/>
        <item x="235"/>
        <item x="306"/>
        <item x="415"/>
        <item x="1241"/>
        <item x="343"/>
        <item x="1675"/>
        <item x="868"/>
        <item x="351"/>
        <item x="928"/>
        <item x="1699"/>
        <item x="225"/>
        <item x="1210"/>
        <item x="1458"/>
        <item x="365"/>
        <item x="565"/>
        <item x="1333"/>
        <item x="966"/>
        <item x="227"/>
        <item x="918"/>
        <item x="1431"/>
        <item x="1687"/>
        <item x="1865"/>
        <item x="1767"/>
        <item x="757"/>
        <item x="375"/>
        <item x="1484"/>
        <item x="672"/>
        <item x="420"/>
        <item x="1261"/>
        <item x="1944"/>
        <item x="9"/>
        <item x="1403"/>
        <item x="585"/>
        <item x="523"/>
        <item x="595"/>
        <item x="119"/>
        <item x="1636"/>
        <item x="1928"/>
        <item x="1565"/>
        <item x="1269"/>
        <item x="877"/>
        <item x="103"/>
        <item x="12"/>
        <item x="66"/>
        <item x="916"/>
        <item x="165"/>
        <item x="398"/>
        <item x="783"/>
        <item x="743"/>
        <item x="1789"/>
        <item x="1138"/>
        <item x="1725"/>
        <item x="762"/>
        <item x="1478"/>
        <item x="528"/>
        <item x="1990"/>
        <item x="1372"/>
        <item x="2054"/>
        <item x="1495"/>
        <item x="706"/>
        <item x="466"/>
        <item x="745"/>
        <item x="233"/>
        <item x="1285"/>
        <item x="1319"/>
        <item x="355"/>
        <item x="895"/>
        <item x="1980"/>
        <item x="735"/>
        <item x="414"/>
        <item x="1110"/>
        <item x="1644"/>
        <item x="764"/>
        <item x="1396"/>
        <item x="13"/>
        <item x="613"/>
        <item x="474"/>
        <item x="108"/>
        <item x="1386"/>
        <item x="633"/>
        <item x="389"/>
        <item x="2004"/>
        <item x="992"/>
        <item x="728"/>
        <item x="241"/>
        <item x="1770"/>
        <item x="1504"/>
        <item x="483"/>
        <item x="1953"/>
        <item x="1068"/>
        <item x="2"/>
        <item x="750"/>
        <item x="1229"/>
        <item x="378"/>
        <item x="1934"/>
        <item x="671"/>
        <item x="1340"/>
        <item x="478"/>
        <item x="1802"/>
        <item x="1006"/>
        <item x="776"/>
        <item x="654"/>
        <item x="810"/>
        <item x="192"/>
        <item x="1871"/>
        <item x="1356"/>
        <item x="1551"/>
        <item x="1370"/>
        <item x="1167"/>
        <item x="298"/>
        <item x="1121"/>
        <item x="1067"/>
        <item x="1823"/>
        <item x="537"/>
        <item x="187"/>
        <item x="1641"/>
        <item x="917"/>
        <item x="702"/>
        <item x="1689"/>
        <item x="366"/>
        <item x="1176"/>
        <item x="1100"/>
        <item x="1673"/>
        <item x="419"/>
        <item x="117"/>
        <item x="529"/>
        <item x="857"/>
        <item x="748"/>
        <item x="411"/>
        <item x="959"/>
        <item x="533"/>
        <item x="73"/>
        <item x="922"/>
        <item x="557"/>
        <item x="1854"/>
        <item x="2080"/>
        <item x="851"/>
        <item x="387"/>
        <item x="737"/>
        <item x="1222"/>
        <item x="458"/>
        <item x="152"/>
        <item x="1411"/>
        <item x="1122"/>
        <item x="1592"/>
        <item x="1390"/>
        <item x="164"/>
        <item x="346"/>
        <item x="1346"/>
        <item x="817"/>
        <item x="314"/>
        <item x="213"/>
        <item x="593"/>
        <item x="637"/>
        <item x="1850"/>
        <item x="924"/>
        <item x="829"/>
        <item x="1845"/>
        <item x="1090"/>
        <item x="1878"/>
        <item x="901"/>
        <item x="1247"/>
        <item x="1187"/>
        <item x="1385"/>
        <item x="1215"/>
        <item x="1410"/>
        <item x="495"/>
        <item x="1926"/>
        <item x="1445"/>
        <item x="1914"/>
        <item x="2050"/>
        <item x="386"/>
        <item x="401"/>
        <item x="61"/>
        <item x="100"/>
        <item x="1616"/>
        <item x="808"/>
        <item x="1462"/>
        <item x="219"/>
        <item x="1723"/>
        <item x="1193"/>
        <item x="25"/>
        <item x="1985"/>
        <item x="1931"/>
        <item x="1339"/>
        <item x="166"/>
        <item x="1178"/>
        <item x="274"/>
        <item x="472"/>
        <item x="296"/>
        <item x="476"/>
        <item x="1836"/>
        <item x="583"/>
        <item x="1870"/>
        <item x="1182"/>
        <item x="260"/>
        <item x="931"/>
        <item x="606"/>
        <item x="397"/>
        <item x="429"/>
        <item x="54"/>
        <item x="944"/>
        <item x="1547"/>
        <item x="2083"/>
        <item x="1468"/>
        <item x="937"/>
        <item x="813"/>
        <item x="1248"/>
        <item x="789"/>
        <item x="377"/>
        <item x="1191"/>
        <item x="311"/>
        <item x="242"/>
        <item x="1291"/>
        <item x="2033"/>
        <item x="1430"/>
        <item x="69"/>
        <item x="403"/>
        <item x="1305"/>
        <item x="1991"/>
        <item x="736"/>
        <item x="388"/>
        <item x="610"/>
        <item x="1831"/>
        <item x="501"/>
        <item x="455"/>
        <item x="1528"/>
        <item x="584"/>
        <item x="513"/>
        <item x="352"/>
        <item x="668"/>
        <item x="1116"/>
        <item x="807"/>
        <item x="899"/>
        <item x="1216"/>
        <item x="906"/>
        <item x="1534"/>
        <item x="787"/>
        <item x="939"/>
        <item x="1044"/>
        <item x="1463"/>
        <item x="267"/>
        <item x="1140"/>
        <item x="42"/>
        <item x="354"/>
        <item x="2072"/>
        <item x="1908"/>
        <item x="2063"/>
        <item x="630"/>
        <item x="848"/>
        <item x="431"/>
        <item x="1060"/>
        <item x="1544"/>
        <item x="1889"/>
        <item x="520"/>
        <item x="57"/>
        <item x="628"/>
        <item x="1724"/>
        <item x="1559"/>
        <item x="517"/>
        <item x="2066"/>
        <item x="1055"/>
        <item x="1972"/>
        <item x="744"/>
        <item x="576"/>
        <item x="33"/>
        <item x="232"/>
        <item x="1040"/>
        <item x="1642"/>
        <item x="1804"/>
        <item x="948"/>
        <item x="1819"/>
        <item x="259"/>
        <item x="1563"/>
        <item x="1379"/>
        <item x="869"/>
        <item x="635"/>
        <item x="114"/>
        <item x="650"/>
        <item x="459"/>
        <item x="707"/>
        <item x="333"/>
        <item x="2039"/>
        <item x="1311"/>
        <item x="2044"/>
        <item x="1487"/>
        <item x="64"/>
        <item x="324"/>
        <item x="1259"/>
        <item x="1292"/>
        <item x="174"/>
        <item x="854"/>
        <item x="58"/>
        <item x="1930"/>
        <item x="74"/>
        <item x="1482"/>
        <item x="216"/>
        <item x="806"/>
        <item x="1942"/>
        <item x="596"/>
        <item x="1600"/>
        <item x="1866"/>
        <item x="1289"/>
        <item x="78"/>
        <item x="510"/>
        <item x="1419"/>
        <item x="1838"/>
        <item x="1174"/>
        <item x="278"/>
        <item x="273"/>
        <item x="1779"/>
        <item x="154"/>
        <item x="1828"/>
        <item x="1664"/>
        <item x="93"/>
        <item x="402"/>
        <item x="451"/>
        <item x="863"/>
        <item x="552"/>
        <item x="1033"/>
        <item x="1753"/>
        <item x="1834"/>
        <item x="367"/>
        <item x="2030"/>
        <item x="218"/>
        <item x="118"/>
        <item x="587"/>
        <item x="849"/>
        <item x="519"/>
        <item x="1839"/>
        <item x="1925"/>
        <item x="919"/>
        <item x="28"/>
        <item x="878"/>
        <item x="775"/>
        <item x="545"/>
        <item x="1864"/>
        <item x="961"/>
        <item x="1434"/>
        <item x="1049"/>
        <item x="1373"/>
        <item x="730"/>
        <item x="300"/>
        <item x="432"/>
        <item x="1251"/>
        <item x="1165"/>
        <item x="53"/>
        <item x="1787"/>
        <item x="742"/>
        <item x="294"/>
        <item x="151"/>
        <item x="784"/>
        <item x="301"/>
        <item x="1164"/>
        <item x="283"/>
        <item x="1852"/>
        <item x="1543"/>
        <item x="1161"/>
        <item x="1470"/>
        <item x="549"/>
        <item x="177"/>
        <item x="44"/>
        <item x="1137"/>
        <item x="1576"/>
        <item x="985"/>
        <item x="1988"/>
        <item x="322"/>
        <item x="819"/>
        <item x="1057"/>
        <item x="1016"/>
        <item x="1381"/>
        <item x="307"/>
        <item x="1134"/>
        <item x="447"/>
        <item x="170"/>
        <item x="900"/>
        <item x="272"/>
        <item x="1890"/>
        <item x="288"/>
        <item x="1371"/>
        <item x="255"/>
        <item x="1432"/>
        <item x="256"/>
        <item x="1063"/>
        <item x="308"/>
        <item x="1208"/>
        <item x="1284"/>
        <item x="566"/>
        <item x="448"/>
        <item x="1358"/>
        <item x="838"/>
        <item x="1321"/>
        <item x="543"/>
        <item x="2061"/>
        <item x="1651"/>
        <item x="913"/>
        <item x="615"/>
        <item x="2055"/>
        <item x="122"/>
        <item x="1736"/>
        <item x="426"/>
        <item x="1088"/>
        <item x="0"/>
        <item x="303"/>
        <item x="265"/>
        <item x="95"/>
        <item x="1147"/>
        <item x="1827"/>
        <item x="763"/>
        <item x="718"/>
        <item x="609"/>
        <item x="616"/>
        <item x="974"/>
        <item x="1886"/>
        <item x="83"/>
        <item x="1086"/>
        <item x="567"/>
        <item x="1684"/>
        <item x="573"/>
        <item x="796"/>
        <item x="1569"/>
        <item x="127"/>
        <item x="923"/>
        <item x="601"/>
        <item x="1408"/>
        <item x="1500"/>
        <item x="1670"/>
        <item x="1714"/>
        <item x="1747"/>
        <item x="866"/>
        <item x="27"/>
        <item x="1400"/>
        <item x="721"/>
        <item x="1901"/>
        <item x="18"/>
        <item x="371"/>
        <item x="927"/>
        <item x="973"/>
        <item x="1772"/>
        <item x="271"/>
        <item x="147"/>
        <item x="675"/>
        <item x="1818"/>
        <item x="1562"/>
        <item x="1741"/>
        <item x="317"/>
        <item x="347"/>
        <item x="1788"/>
        <item x="345"/>
        <item x="1734"/>
        <item x="943"/>
        <item x="1425"/>
        <item x="289"/>
        <item x="1119"/>
        <item x="726"/>
        <item x="514"/>
        <item x="1494"/>
        <item x="321"/>
        <item x="1620"/>
        <item x="634"/>
        <item x="945"/>
        <item x="1726"/>
        <item x="208"/>
        <item x="1459"/>
        <item x="704"/>
        <item x="1205"/>
        <item x="394"/>
        <item x="1630"/>
        <item x="279"/>
        <item x="641"/>
        <item x="1460"/>
        <item x="1225"/>
        <item x="1007"/>
        <item x="1526"/>
        <item x="137"/>
        <item x="31"/>
        <item x="825"/>
        <item x="1897"/>
        <item x="1042"/>
        <item x="1151"/>
        <item x="1955"/>
        <item x="68"/>
        <item x="1304"/>
        <item x="998"/>
        <item x="357"/>
        <item x="1754"/>
        <item x="1577"/>
        <item x="1624"/>
        <item x="526"/>
        <item x="1323"/>
        <item x="1858"/>
        <item x="141"/>
        <item x="1014"/>
        <item x="1994"/>
        <item x="160"/>
        <item x="1781"/>
        <item x="171"/>
        <item x="65"/>
        <item x="130"/>
        <item x="1108"/>
        <item x="113"/>
        <item x="319"/>
        <item x="1022"/>
        <item x="349"/>
        <item x="885"/>
        <item x="897"/>
        <item x="1035"/>
        <item x="1020"/>
        <item x="1799"/>
        <item x="1731"/>
        <item x="855"/>
        <item x="1582"/>
        <item x="1909"/>
        <item x="342"/>
        <item x="1228"/>
        <item x="892"/>
        <item x="1423"/>
        <item x="1611"/>
        <item x="1806"/>
        <item x="335"/>
        <item x="935"/>
        <item x="1059"/>
        <item x="823"/>
        <item x="1361"/>
        <item x="399"/>
        <item x="1705"/>
        <item x="589"/>
        <item x="1414"/>
        <item x="1606"/>
        <item x="1907"/>
        <item x="839"/>
        <item x="1815"/>
        <item x="1937"/>
        <item x="1618"/>
        <item x="562"/>
        <item x="1362"/>
        <item x="592"/>
        <item x="475"/>
        <item x="1077"/>
        <item x="995"/>
        <item x="396"/>
        <item x="331"/>
        <item x="434"/>
        <item x="344"/>
        <item x="215"/>
        <item x="2060"/>
        <item x="738"/>
        <item x="2013"/>
        <item x="1166"/>
        <item x="843"/>
        <item x="1782"/>
        <item x="393"/>
        <item x="1184"/>
        <item x="1977"/>
        <item x="305"/>
        <item x="249"/>
        <item x="205"/>
        <item x="611"/>
        <item x="280"/>
        <item x="1800"/>
        <item x="1295"/>
        <item x="105"/>
        <item x="2047"/>
        <item x="657"/>
        <item x="881"/>
        <item x="433"/>
        <item x="131"/>
        <item x="336"/>
        <item x="756"/>
        <item x="1761"/>
        <item x="14"/>
        <item x="1585"/>
        <item x="125"/>
        <item x="153"/>
        <item x="1995"/>
        <item x="604"/>
        <item x="788"/>
        <item x="123"/>
        <item x="101"/>
        <item x="22"/>
        <item x="1394"/>
        <item x="1748"/>
        <item x="648"/>
        <item x="564"/>
        <item x="1283"/>
        <item x="1181"/>
        <item x="71"/>
        <item x="1466"/>
        <item x="1093"/>
        <item x="50"/>
        <item x="2079"/>
        <item x="1680"/>
        <item x="1738"/>
        <item x="986"/>
        <item x="1910"/>
        <item x="383"/>
        <item x="1189"/>
        <item x="1493"/>
        <item x="800"/>
        <item x="1079"/>
        <item x="173"/>
        <item x="1465"/>
        <item x="421"/>
        <item x="619"/>
        <item x="890"/>
        <item x="646"/>
        <item x="392"/>
        <item x="1798"/>
        <item x="1202"/>
        <item x="904"/>
        <item x="133"/>
        <item x="1357"/>
        <item x="2010"/>
        <item x="111"/>
        <item x="231"/>
        <item x="1131"/>
        <item x="1674"/>
        <item x="1589"/>
        <item x="460"/>
        <item x="1860"/>
        <item x="951"/>
        <item x="1519"/>
        <item x="47"/>
        <item x="1993"/>
        <item x="1657"/>
        <item x="1917"/>
        <item x="1662"/>
        <item x="1342"/>
        <item x="1877"/>
        <item x="627"/>
        <item x="269"/>
        <item x="1564"/>
        <item x="994"/>
        <item x="546"/>
        <item x="1355"/>
        <item x="1214"/>
        <item x="1099"/>
        <item x="1590"/>
        <item x="799"/>
        <item x="2003"/>
        <item x="581"/>
        <item x="425"/>
        <item x="674"/>
        <item x="1480"/>
        <item x="167"/>
        <item x="124"/>
        <item x="915"/>
        <item x="1009"/>
        <item x="2084"/>
        <item x="3"/>
        <item x="1091"/>
        <item x="1415"/>
        <item x="1028"/>
        <item x="1668"/>
        <item x="185"/>
        <item x="1627"/>
        <item x="679"/>
        <item x="135"/>
        <item x="2056"/>
        <item x="1053"/>
        <item x="1446"/>
        <item x="1097"/>
        <item x="926"/>
        <item x="1002"/>
        <item x="976"/>
        <item x="591"/>
        <item x="1911"/>
        <item x="1978"/>
        <item x="7"/>
        <item x="1123"/>
        <item x="2073"/>
        <item x="1704"/>
        <item x="339"/>
        <item x="1378"/>
        <item x="1217"/>
        <item x="539"/>
        <item x="1106"/>
        <item x="1240"/>
        <item x="1050"/>
        <item x="136"/>
        <item x="882"/>
        <item x="1250"/>
        <item x="1558"/>
        <item x="1536"/>
        <item x="261"/>
        <item x="1659"/>
        <item x="1965"/>
        <item x="1338"/>
        <item x="406"/>
        <item x="369"/>
        <item x="445"/>
        <item x="1975"/>
        <item x="1062"/>
        <item x="876"/>
        <item x="638"/>
        <item x="6"/>
        <item x="538"/>
        <item x="861"/>
        <item x="1310"/>
        <item x="715"/>
        <item x="693"/>
        <item x="665"/>
        <item x="1970"/>
        <item x="142"/>
        <item x="1221"/>
        <item x="1005"/>
        <item x="52"/>
        <item x="70"/>
        <item x="1320"/>
        <item x="489"/>
        <item x="1130"/>
        <item x="499"/>
        <item x="1849"/>
        <item x="175"/>
        <item x="830"/>
        <item x="669"/>
        <item x="723"/>
        <item x="579"/>
        <item x="39"/>
        <item x="1039"/>
        <item x="1103"/>
        <item x="238"/>
        <item x="24"/>
        <item x="971"/>
        <item x="380"/>
        <item x="1963"/>
        <item x="1521"/>
        <item x="1776"/>
        <item x="753"/>
        <item x="2078"/>
        <item x="678"/>
        <item x="1183"/>
        <item x="2046"/>
        <item x="780"/>
        <item x="1114"/>
        <item x="1510"/>
        <item x="276"/>
        <item x="667"/>
        <item x="1760"/>
        <item x="953"/>
        <item x="594"/>
        <item x="1401"/>
        <item x="217"/>
        <item x="441"/>
        <item x="1516"/>
        <item x="1710"/>
        <item x="1249"/>
        <item x="588"/>
        <item x="2059"/>
        <item x="1439"/>
        <item x="1469"/>
        <item x="1337"/>
        <item x="662"/>
        <item x="1064"/>
        <item x="1265"/>
        <item x="115"/>
        <item x="129"/>
        <item x="1262"/>
        <item x="758"/>
        <item x="250"/>
        <item x="1650"/>
        <item x="2034"/>
        <item x="1354"/>
        <item x="905"/>
        <item x="703"/>
        <item x="60"/>
        <item x="109"/>
        <item x="824"/>
        <item x="1759"/>
        <item x="1112"/>
        <item x="1383"/>
        <item x="1742"/>
        <item x="1669"/>
        <item x="438"/>
        <item x="993"/>
        <item x="647"/>
        <item x="1243"/>
        <item x="1298"/>
        <item x="1883"/>
        <item x="1085"/>
        <item x="1258"/>
        <item x="1913"/>
        <item x="1549"/>
        <item x="2024"/>
        <item x="353"/>
        <item x="148"/>
        <item x="1136"/>
        <item x="1399"/>
        <item x="1455"/>
        <item x="967"/>
        <item x="320"/>
        <item x="1366"/>
        <item x="181"/>
        <item x="1785"/>
        <item x="86"/>
        <item x="1604"/>
        <item x="1218"/>
        <item x="1329"/>
        <item x="578"/>
        <item x="2081"/>
        <item x="1745"/>
        <item x="1309"/>
        <item x="1211"/>
        <item x="534"/>
        <item x="958"/>
        <item x="1472"/>
        <item x="685"/>
        <item x="1104"/>
        <item x="791"/>
        <item x="902"/>
        <item x="1148"/>
        <item x="211"/>
        <item x="1763"/>
        <item x="1203"/>
        <item x="1286"/>
        <item x="370"/>
        <item x="330"/>
        <item x="237"/>
        <item x="1607"/>
        <item x="1918"/>
        <item x="2065"/>
        <item x="1807"/>
        <item x="469"/>
        <item x="275"/>
        <item x="1424"/>
        <item x="157"/>
        <item x="833"/>
        <item x="1735"/>
        <item x="485"/>
        <item x="1364"/>
        <item x="942"/>
        <item x="376"/>
        <item x="29"/>
        <item x="598"/>
        <item x="1376"/>
        <item x="284"/>
        <item x="368"/>
        <item x="1389"/>
        <item x="1617"/>
        <item x="226"/>
        <item x="247"/>
        <item x="1447"/>
        <item x="1875"/>
        <item x="560"/>
        <item x="954"/>
        <item x="1082"/>
        <item x="1347"/>
        <item x="1505"/>
        <item x="1696"/>
        <item x="1557"/>
        <item x="304"/>
        <item x="1451"/>
        <item x="1144"/>
        <item x="496"/>
        <item x="2064"/>
        <item x="1715"/>
        <item x="92"/>
        <item x="1485"/>
        <item x="493"/>
        <item x="1029"/>
        <item x="258"/>
        <item x="230"/>
        <item x="257"/>
        <item x="720"/>
        <item x="1368"/>
        <item x="746"/>
        <item x="1254"/>
        <item x="1896"/>
        <item x="1844"/>
        <item x="1537"/>
        <item x="925"/>
        <item x="1404"/>
        <item x="1956"/>
        <item x="1774"/>
        <item x="1490"/>
        <item x="281"/>
        <item x="947"/>
        <item x="586"/>
        <item x="696"/>
        <item x="556"/>
        <item x="1750"/>
        <item x="687"/>
        <item x="204"/>
        <item x="1634"/>
        <item x="889"/>
        <item x="698"/>
        <item x="950"/>
        <item x="1156"/>
        <item x="1275"/>
        <item x="184"/>
        <item x="1905"/>
        <item x="1420"/>
        <item x="1481"/>
        <item x="179"/>
        <item x="2076"/>
        <item x="1527"/>
        <item x="1805"/>
        <item x="1640"/>
        <item x="390"/>
        <item x="1552"/>
        <item x="1903"/>
        <item x="1572"/>
        <item x="268"/>
        <item x="159"/>
        <item x="1"/>
        <item x="1795"/>
        <item x="467"/>
        <item x="1409"/>
        <item x="490"/>
        <item x="1453"/>
        <item x="1661"/>
        <item x="1954"/>
        <item x="754"/>
        <item x="531"/>
        <item x="1498"/>
        <item x="836"/>
        <item x="139"/>
        <item x="1898"/>
        <item x="1923"/>
        <item x="1081"/>
        <item x="1301"/>
        <item x="1066"/>
        <item x="507"/>
        <item x="316"/>
        <item x="2045"/>
        <item x="1581"/>
        <item x="1126"/>
        <item x="362"/>
        <item x="373"/>
        <item x="1542"/>
        <item x="409"/>
        <item x="2041"/>
        <item x="348"/>
        <item x="94"/>
        <item x="1797"/>
        <item x="975"/>
        <item x="802"/>
        <item x="1766"/>
        <item x="1613"/>
        <item x="435"/>
        <item x="1938"/>
        <item x="1013"/>
        <item x="760"/>
        <item x="2052"/>
        <item x="1791"/>
        <item x="1933"/>
        <item x="1303"/>
        <item x="1107"/>
        <item x="1596"/>
        <item x="769"/>
        <item x="282"/>
        <item x="1512"/>
        <item x="1821"/>
        <item x="1571"/>
        <item x="1438"/>
        <item x="1448"/>
        <item x="1245"/>
        <item x="1363"/>
        <item x="1707"/>
        <item x="491"/>
        <item x="209"/>
        <item x="1778"/>
        <item x="412"/>
        <item x="692"/>
        <item x="1765"/>
        <item x="1904"/>
        <item x="1003"/>
        <item x="1313"/>
        <item x="859"/>
        <item x="568"/>
        <item x="1703"/>
        <item x="1302"/>
        <item x="1276"/>
        <item x="1010"/>
        <item x="77"/>
        <item x="1635"/>
        <item x="1489"/>
        <item x="1515"/>
        <item x="683"/>
        <item x="887"/>
        <item x="550"/>
        <item x="620"/>
        <item x="1308"/>
        <item x="686"/>
        <item x="1133"/>
        <item x="933"/>
        <item x="183"/>
        <item x="30"/>
        <item x="1280"/>
        <item x="488"/>
        <item x="1943"/>
        <item x="1270"/>
        <item x="1502"/>
        <item x="656"/>
        <item x="712"/>
        <item x="1881"/>
        <item x="99"/>
        <item x="1041"/>
        <item x="1623"/>
        <item x="1239"/>
        <item x="1150"/>
        <item x="1893"/>
        <item x="2032"/>
        <item x="1405"/>
        <item x="8"/>
        <item x="1135"/>
        <item x="2028"/>
        <item x="1665"/>
        <item x="1281"/>
        <item x="121"/>
        <item x="1987"/>
        <item x="161"/>
        <item x="1115"/>
        <item x="1906"/>
        <item x="1224"/>
        <item x="1656"/>
        <item x="782"/>
        <item x="991"/>
        <item x="297"/>
        <item x="713"/>
        <item x="1429"/>
        <item x="1808"/>
        <item x="2012"/>
        <item x="1300"/>
        <item x="1755"/>
        <item x="224"/>
        <item x="23"/>
        <item x="457"/>
        <item x="1170"/>
        <item x="676"/>
        <item x="266"/>
        <item x="1591"/>
        <item x="1979"/>
        <item x="773"/>
        <item x="640"/>
        <item x="794"/>
        <item x="1740"/>
        <item x="761"/>
        <item x="323"/>
        <item x="245"/>
        <item x="1092"/>
        <item x="1330"/>
        <item x="1929"/>
        <item x="200"/>
        <item x="1019"/>
        <item x="176"/>
        <item x="1413"/>
        <item x="1449"/>
        <item x="1000"/>
        <item x="45"/>
        <item x="1045"/>
        <item x="1475"/>
        <item x="622"/>
        <item x="602"/>
        <item x="883"/>
        <item x="10"/>
        <item x="770"/>
        <item x="372"/>
        <item x="444"/>
        <item x="1895"/>
        <item x="149"/>
        <item x="1365"/>
        <item x="553"/>
        <item x="1713"/>
        <item x="178"/>
        <item x="965"/>
        <item x="1633"/>
        <item x="957"/>
        <item x="1188"/>
        <item x="1667"/>
        <item x="1835"/>
        <item x="1397"/>
        <item x="964"/>
        <item x="1314"/>
        <item x="1061"/>
        <item x="327"/>
        <item x="207"/>
        <item x="1733"/>
        <item x="1924"/>
        <item x="837"/>
        <item x="1065"/>
        <item x="516"/>
        <item x="2074"/>
        <item x="1811"/>
        <item x="427"/>
        <item x="1612"/>
        <item x="832"/>
        <item x="1160"/>
        <item x="1793"/>
        <item x="1801"/>
        <item x="1681"/>
        <item x="790"/>
        <item x="1812"/>
        <item x="1679"/>
        <item x="988"/>
        <item x="1554"/>
        <item x="962"/>
        <item x="1768"/>
        <item x="1234"/>
        <item x="456"/>
        <item x="682"/>
        <item x="1548"/>
        <item x="652"/>
        <item x="632"/>
        <item x="1900"/>
        <item x="1867"/>
        <item x="759"/>
        <item x="660"/>
        <item x="1318"/>
        <item x="580"/>
        <item x="555"/>
        <item x="873"/>
        <item x="1124"/>
        <item x="1073"/>
        <item x="717"/>
        <item x="793"/>
        <item x="1080"/>
        <item x="1213"/>
        <item x="450"/>
        <item x="930"/>
        <item x="1461"/>
        <item x="1961"/>
        <item x="894"/>
        <item x="554"/>
        <item x="561"/>
        <item x="812"/>
        <item x="2000"/>
        <item x="382"/>
        <item x="328"/>
        <item x="422"/>
        <item x="1326"/>
        <item x="1486"/>
        <item x="639"/>
        <item x="1433"/>
        <item x="82"/>
        <item x="188"/>
        <item x="1143"/>
        <item x="1992"/>
        <item x="1966"/>
        <item x="1252"/>
        <item x="1533"/>
        <item x="1694"/>
        <item x="1169"/>
        <item x="1393"/>
        <item x="1198"/>
        <item x="716"/>
        <item x="1483"/>
        <item x="146"/>
        <item x="1024"/>
        <item x="90"/>
        <item x="978"/>
        <item x="385"/>
        <item x="1545"/>
        <item x="1096"/>
        <item x="428"/>
        <item x="107"/>
        <item x="340"/>
        <item x="470"/>
        <item x="840"/>
        <item x="1876"/>
        <item x="364"/>
        <item x="361"/>
        <item x="72"/>
        <item x="203"/>
        <item x="277"/>
        <item x="1848"/>
        <item x="1209"/>
        <item x="536"/>
        <item x="126"/>
        <item x="1882"/>
        <item x="1109"/>
        <item x="1599"/>
        <item x="2022"/>
        <item x="1127"/>
        <item x="143"/>
        <item x="582"/>
        <item x="2027"/>
        <item x="1154"/>
        <item x="1327"/>
        <item x="1841"/>
        <item x="858"/>
        <item x="1626"/>
        <item x="334"/>
        <item x="912"/>
        <item x="1989"/>
        <item x="1573"/>
        <item x="1568"/>
        <item x="1570"/>
        <item x="816"/>
        <item x="264"/>
        <item x="1231"/>
        <item x="1743"/>
        <item x="1580"/>
        <item x="1983"/>
        <item x="1672"/>
        <item x="1427"/>
        <item x="1892"/>
        <item x="908"/>
        <item x="4"/>
        <item x="363"/>
        <item x="803"/>
        <item x="1464"/>
        <item x="1842"/>
        <item x="547"/>
        <item x="705"/>
        <item x="1417"/>
        <item x="270"/>
        <item x="841"/>
        <item x="480"/>
        <item x="1084"/>
        <item x="767"/>
        <item x="1593"/>
        <item x="1344"/>
        <item x="571"/>
        <item x="1711"/>
        <item x="1603"/>
        <item x="2031"/>
        <item x="624"/>
        <item x="132"/>
        <item x="821"/>
        <item x="144"/>
        <item x="575"/>
        <item x="1387"/>
        <item x="1026"/>
        <item x="1996"/>
        <item x="1467"/>
        <item x="695"/>
        <item x="1200"/>
        <item x="1615"/>
        <item x="2036"/>
        <item x="607"/>
        <item x="1017"/>
        <item x="1452"/>
        <item x="508"/>
        <item x="1693"/>
        <item x="822"/>
        <item x="535"/>
        <item x="1507"/>
        <item x="290"/>
        <item x="408"/>
        <item x="1660"/>
        <item x="34"/>
        <item x="1625"/>
        <item x="49"/>
        <item x="741"/>
        <item x="1885"/>
        <item x="197"/>
        <item x="254"/>
        <item x="1588"/>
        <item x="980"/>
        <item x="599"/>
        <item x="1034"/>
        <item x="337"/>
        <item x="1076"/>
        <item x="15"/>
        <item x="1201"/>
        <item x="201"/>
        <item x="1349"/>
        <item x="1196"/>
        <item x="285"/>
        <item x="384"/>
        <item x="1837"/>
        <item x="1272"/>
        <item x="2040"/>
        <item x="820"/>
        <item x="2035"/>
        <item x="1587"/>
        <item x="658"/>
        <item x="35"/>
        <item x="1959"/>
        <item x="2006"/>
        <item x="522"/>
        <item x="1450"/>
        <item x="960"/>
        <item x="1343"/>
        <item x="987"/>
        <item x="733"/>
        <item x="1982"/>
        <item x="1915"/>
        <item x="1729"/>
        <item x="37"/>
        <item x="981"/>
        <item x="1328"/>
        <item x="471"/>
        <item x="492"/>
        <item x="1226"/>
        <item x="1538"/>
        <item x="2067"/>
        <item x="1810"/>
        <item x="1712"/>
        <item x="1352"/>
        <item x="574"/>
        <item x="1180"/>
        <item x="659"/>
        <item x="413"/>
        <item x="1517"/>
        <item x="423"/>
        <item x="168"/>
        <item x="1509"/>
        <item x="1129"/>
        <item x="663"/>
        <item x="1829"/>
        <item x="797"/>
        <item x="1177"/>
        <item x="1939"/>
        <item x="1887"/>
        <item x="772"/>
        <item x="418"/>
        <item x="1637"/>
        <item x="1027"/>
        <item x="649"/>
        <item x="1535"/>
        <item x="1290"/>
        <item x="708"/>
        <item x="626"/>
        <item x="1279"/>
        <item x="1967"/>
        <item x="1730"/>
        <item x="163"/>
        <item x="724"/>
        <item x="112"/>
        <item x="1315"/>
        <item x="1162"/>
        <item x="629"/>
        <item x="1153"/>
        <item x="1629"/>
        <item x="977"/>
        <item x="85"/>
        <item x="1087"/>
        <item x="1957"/>
        <item x="329"/>
        <item x="1594"/>
        <item x="1771"/>
        <item x="223"/>
        <item x="1757"/>
        <item x="1288"/>
        <item x="1454"/>
        <item x="655"/>
        <item x="2070"/>
        <item x="2025"/>
        <item x="186"/>
        <item x="1676"/>
        <item x="697"/>
        <item x="1814"/>
        <item x="1575"/>
        <item x="1646"/>
        <item x="1843"/>
        <item x="577"/>
        <item x="110"/>
        <item x="983"/>
        <item x="768"/>
        <item x="410"/>
        <item x="102"/>
        <item x="1598"/>
        <item x="190"/>
        <item x="1395"/>
        <item x="1686"/>
        <item x="464"/>
        <item x="1708"/>
        <item x="84"/>
        <item x="2008"/>
        <item x="19"/>
        <item x="856"/>
        <item x="785"/>
        <item x="781"/>
        <item x="1947"/>
        <item x="1769"/>
        <item x="625"/>
        <item x="1749"/>
        <item x="104"/>
        <item x="2038"/>
        <item x="719"/>
        <item x="1422"/>
        <item x="1078"/>
        <item x="1847"/>
        <item x="1197"/>
        <item x="1643"/>
        <item x="1334"/>
        <item x="1817"/>
        <item x="465"/>
        <item x="1232"/>
        <item x="1004"/>
        <item x="765"/>
        <item x="1968"/>
        <item x="1583"/>
        <item x="740"/>
        <item x="521"/>
        <item x="932"/>
        <item x="801"/>
        <item x="1296"/>
        <item x="212"/>
        <item x="1503"/>
        <item x="714"/>
        <item x="1021"/>
        <item x="1367"/>
        <item x="936"/>
        <item x="253"/>
        <item x="1382"/>
        <item x="1278"/>
        <item x="1809"/>
        <item x="1695"/>
        <item x="2077"/>
        <item x="2062"/>
        <item x="506"/>
        <item x="156"/>
        <item x="1069"/>
        <item x="1204"/>
        <item x="1950"/>
        <item x="694"/>
        <item x="778"/>
        <item x="473"/>
        <item x="982"/>
        <item x="1047"/>
        <item x="1566"/>
        <item x="1869"/>
        <item x="846"/>
        <item x="681"/>
        <item x="1682"/>
        <item x="1773"/>
        <item x="1777"/>
        <item x="2051"/>
        <item x="835"/>
        <item x="1179"/>
        <item x="989"/>
        <item x="87"/>
        <item x="1921"/>
        <item x="1786"/>
        <item x="1317"/>
        <item x="963"/>
        <item x="312"/>
        <item x="2026"/>
        <item x="727"/>
        <item x="461"/>
        <item x="969"/>
        <item x="940"/>
        <item x="972"/>
        <item x="612"/>
        <item x="356"/>
        <item x="1233"/>
        <item x="1023"/>
        <item x="350"/>
        <item x="1826"/>
        <item x="1426"/>
        <item x="2043"/>
        <item x="1255"/>
        <item x="439"/>
        <item x="524"/>
        <item x="1350"/>
        <item x="1185"/>
        <item x="2020"/>
        <item x="1244"/>
        <item x="870"/>
        <item x="605"/>
        <item x="1220"/>
        <item x="1117"/>
        <item x="32"/>
        <item x="907"/>
        <item x="1271"/>
        <item x="1671"/>
        <item x="777"/>
        <item x="1359"/>
        <item x="1074"/>
        <item x="853"/>
        <item x="484"/>
        <item x="1984"/>
        <item x="618"/>
        <item x="774"/>
        <item x="1608"/>
        <item x="243"/>
        <item x="1595"/>
        <item x="1752"/>
        <item x="1622"/>
        <item x="786"/>
        <item x="811"/>
        <item x="814"/>
        <item x="1263"/>
        <item x="1173"/>
        <item x="88"/>
        <item x="1128"/>
        <item x="525"/>
        <item x="1645"/>
        <item x="891"/>
        <item x="1199"/>
        <item x="150"/>
        <item x="1345"/>
        <item x="391"/>
        <item x="468"/>
        <item x="722"/>
        <item x="1855"/>
        <item x="1816"/>
        <item x="381"/>
        <item x="689"/>
        <item x="1171"/>
        <item x="1830"/>
        <item x="1981"/>
        <item x="1872"/>
        <item x="1846"/>
        <item x="1880"/>
        <item x="621"/>
        <item x="358"/>
        <item x="55"/>
        <item x="1331"/>
        <item x="503"/>
        <item x="145"/>
        <item x="673"/>
        <item x="1391"/>
        <item x="1764"/>
        <item x="1256"/>
        <item x="172"/>
        <item x="1070"/>
        <item x="1706"/>
        <item x="1018"/>
        <item x="1919"/>
        <item x="63"/>
        <item x="1691"/>
        <item x="325"/>
        <item x="2048"/>
        <item x="56"/>
        <item x="1560"/>
        <item x="1960"/>
        <item x="834"/>
        <item x="941"/>
        <item x="436"/>
        <item x="1316"/>
        <item x="395"/>
        <item x="710"/>
        <item x="542"/>
        <item x="511"/>
        <item x="1253"/>
        <item x="747"/>
        <item x="1737"/>
        <item x="1873"/>
        <item x="162"/>
        <item x="38"/>
        <item x="970"/>
        <item x="1435"/>
        <item x="16"/>
        <item x="1095"/>
        <item x="1437"/>
        <item x="134"/>
        <item x="903"/>
        <item x="771"/>
        <item x="1268"/>
        <item x="914"/>
        <item x="1155"/>
        <item x="691"/>
        <item x="1861"/>
        <item x="443"/>
        <item x="1513"/>
        <item x="617"/>
        <item x="21"/>
        <item x="1257"/>
        <item x="1477"/>
        <item x="1497"/>
        <item x="1899"/>
        <item x="1794"/>
        <item x="1175"/>
        <item x="732"/>
        <item x="341"/>
        <item x="1421"/>
        <item x="1351"/>
        <item x="75"/>
        <item x="779"/>
        <item x="725"/>
        <item x="867"/>
        <item x="67"/>
        <item x="1540"/>
        <item x="430"/>
        <item x="871"/>
        <item x="1341"/>
        <item x="1192"/>
        <item x="1132"/>
        <item x="530"/>
        <item x="1697"/>
        <item x="454"/>
        <item x="845"/>
        <item x="505"/>
        <item x="248"/>
        <item x="244"/>
        <item x="1936"/>
        <item x="196"/>
        <item x="239"/>
        <item x="96"/>
        <item x="497"/>
        <item x="875"/>
        <item x="1471"/>
        <item x="1098"/>
        <item x="1441"/>
        <item x="1530"/>
        <item x="1851"/>
        <item x="752"/>
        <item x="98"/>
        <item x="1369"/>
        <item x="292"/>
        <item x="1952"/>
        <item x="2019"/>
        <item x="1783"/>
        <item x="1756"/>
        <item x="482"/>
        <item x="326"/>
        <item x="295"/>
        <item x="221"/>
        <item x="313"/>
        <item x="874"/>
        <item x="1894"/>
        <item x="805"/>
        <item x="1683"/>
        <item x="1436"/>
        <item x="494"/>
        <item x="251"/>
        <item x="1102"/>
        <item x="1312"/>
        <item x="1971"/>
        <item x="509"/>
        <item x="1927"/>
        <item x="1398"/>
        <item x="26"/>
        <item x="862"/>
        <item x="310"/>
        <item x="515"/>
        <item x="828"/>
        <item x="1406"/>
        <item x="751"/>
        <item x="1935"/>
        <item x="709"/>
        <item x="1649"/>
        <item x="766"/>
        <item x="246"/>
        <item x="1621"/>
        <item x="623"/>
        <item x="2037"/>
        <item x="1586"/>
        <item x="416"/>
        <item x="1717"/>
        <item x="299"/>
        <item x="850"/>
        <item x="755"/>
        <item x="1946"/>
        <item x="332"/>
        <item x="645"/>
        <item x="1879"/>
        <item x="1444"/>
        <item x="572"/>
        <item x="1025"/>
        <item x="2029"/>
        <item x="1751"/>
        <item x="1663"/>
        <item x="1584"/>
        <item x="920"/>
        <item x="1139"/>
        <item x="1833"/>
        <item x="999"/>
        <item x="1522"/>
        <item x="1491"/>
        <item x="1609"/>
        <item x="1157"/>
        <item x="1709"/>
        <item x="1473"/>
        <item x="1720"/>
        <item x="1499"/>
        <item x="2014"/>
        <item x="236"/>
        <item x="880"/>
        <item x="1976"/>
        <item x="699"/>
        <item x="934"/>
        <item x="544"/>
        <item x="1380"/>
        <item x="1700"/>
        <item x="1520"/>
        <item x="1235"/>
        <item x="2049"/>
        <item x="1698"/>
        <item x="1046"/>
        <item x="551"/>
        <item x="199"/>
        <item x="206"/>
        <item x="1402"/>
        <item x="194"/>
        <item x="59"/>
        <item x="804"/>
        <item x="405"/>
        <item x="570"/>
        <item x="643"/>
        <item x="864"/>
        <item x="1058"/>
        <item x="956"/>
        <item x="1579"/>
        <item x="644"/>
        <item x="1158"/>
        <item x="1597"/>
        <item x="1578"/>
        <item x="240"/>
        <item x="287"/>
        <item x="1440"/>
        <item x="1550"/>
        <item x="1186"/>
        <item x="1219"/>
        <item x="1307"/>
        <item x="315"/>
        <item x="1141"/>
        <item x="527"/>
        <item x="1727"/>
        <item x="97"/>
        <item x="2011"/>
        <item x="1701"/>
        <item x="2001"/>
        <item x="1206"/>
        <item x="1190"/>
        <item x="2009"/>
        <item x="1529"/>
        <item x="2018"/>
        <item x="228"/>
        <item x="827"/>
        <item x="1567"/>
        <item x="138"/>
        <item x="1888"/>
        <item x="1353"/>
        <item x="437"/>
        <item x="1071"/>
        <item x="1105"/>
        <item x="661"/>
        <item x="541"/>
        <item x="884"/>
        <item x="1853"/>
        <item x="1820"/>
        <item x="1974"/>
        <item x="1442"/>
        <item x="2058"/>
        <item x="1784"/>
        <item x="2005"/>
        <item x="1242"/>
        <item x="1912"/>
        <item x="1388"/>
        <item x="1267"/>
        <item x="1015"/>
        <item x="263"/>
        <item x="842"/>
        <item x="979"/>
        <item x="1631"/>
        <item x="400"/>
        <item x="1508"/>
        <item x="1282"/>
        <item x="1443"/>
        <item x="909"/>
        <item x="1739"/>
        <item x="984"/>
        <item x="498"/>
        <item x="1639"/>
        <item x="2017"/>
        <item x="252"/>
        <item x="1142"/>
        <item x="1605"/>
        <item x="1677"/>
        <item x="1194"/>
        <item x="1274"/>
        <item x="1293"/>
        <item x="291"/>
        <item x="809"/>
        <item x="116"/>
        <item x="1532"/>
        <item x="684"/>
        <item x="1012"/>
        <item x="896"/>
        <item x="1690"/>
        <item x="1054"/>
        <item x="1553"/>
        <item x="1052"/>
        <item x="1360"/>
        <item x="1056"/>
        <item x="1101"/>
        <item x="2071"/>
        <item x="1716"/>
        <item x="1685"/>
        <item x="651"/>
        <item x="1902"/>
        <item x="818"/>
        <item x="463"/>
        <item x="815"/>
        <item x="1348"/>
        <item x="1555"/>
        <item x="481"/>
        <item x="795"/>
        <item x="1236"/>
        <item x="1374"/>
        <item x="1964"/>
        <item x="603"/>
        <item x="91"/>
        <item x="1916"/>
        <item x="734"/>
        <item x="929"/>
        <item x="1732"/>
        <item x="1857"/>
        <item x="20"/>
        <item x="1145"/>
        <item x="898"/>
        <item x="1287"/>
        <item x="631"/>
        <item x="886"/>
        <item x="1940"/>
        <item x="518"/>
        <item x="1790"/>
        <item x="1163"/>
        <item x="1958"/>
        <item x="1891"/>
        <item x="1775"/>
        <item x="286"/>
        <item x="946"/>
        <item x="559"/>
        <item x="1324"/>
        <item x="1792"/>
        <item x="220"/>
        <item x="487"/>
        <item x="888"/>
        <item x="569"/>
        <item x="1628"/>
        <item x="1561"/>
        <item x="749"/>
        <item x="1969"/>
        <item x="1456"/>
        <item x="1501"/>
        <item x="1511"/>
        <item x="1654"/>
        <item x="2007"/>
        <item x="1655"/>
        <item x="739"/>
        <item x="1377"/>
        <item x="195"/>
        <item x="1884"/>
        <item x="62"/>
        <item x="76"/>
        <item x="997"/>
        <item x="1688"/>
        <item x="1299"/>
        <item x="453"/>
        <item x="1375"/>
        <item x="1666"/>
        <item x="1546"/>
        <item x="860"/>
        <item x="1746"/>
        <item x="1758"/>
        <item x="452"/>
        <item x="1043"/>
        <item x="1335"/>
        <item x="51"/>
        <item x="2016"/>
        <item x="2021"/>
        <item x="1031"/>
        <item x="1195"/>
        <item x="1032"/>
        <item x="1488"/>
        <item x="1474"/>
        <item x="1840"/>
        <item x="1803"/>
        <item x="670"/>
        <item x="1868"/>
        <item x="792"/>
        <item x="1945"/>
        <item x="2068"/>
        <item x="1260"/>
        <item x="642"/>
        <item x="1273"/>
        <item x="1336"/>
        <item x="680"/>
        <item x="1264"/>
        <item x="1089"/>
        <item x="193"/>
        <item x="2069"/>
        <item x="5"/>
        <item x="1658"/>
        <item x="1038"/>
        <item x="1920"/>
        <item x="1832"/>
        <item x="1859"/>
        <item x="1008"/>
        <item x="996"/>
        <item x="852"/>
        <item x="1648"/>
        <item x="1539"/>
        <item x="1962"/>
        <item x="2002"/>
        <item x="847"/>
        <item x="1072"/>
        <item x="1120"/>
        <item x="1113"/>
        <item x="446"/>
        <item x="558"/>
        <item x="2057"/>
        <item x="106"/>
        <item x="1822"/>
        <item x="1037"/>
        <item x="1941"/>
        <item x="2023"/>
        <item x="1297"/>
        <item x="1948"/>
        <item x="1744"/>
        <item x="1813"/>
        <item x="688"/>
        <item x="46"/>
        <item x="80"/>
        <item x="1207"/>
        <item x="1230"/>
        <item x="182"/>
        <item x="1796"/>
        <item x="1011"/>
        <item x="1780"/>
        <item x="1118"/>
        <item x="1762"/>
        <item x="911"/>
        <item x="1036"/>
        <item x="1692"/>
        <item x="563"/>
        <item x="1719"/>
        <item x="2042"/>
        <item x="477"/>
        <item x="1094"/>
        <item x="1949"/>
        <item x="128"/>
        <item x="1246"/>
        <item x="1506"/>
        <item x="40"/>
        <item x="1479"/>
        <item x="262"/>
        <item x="1152"/>
        <item x="1541"/>
        <item x="1722"/>
        <item x="1322"/>
        <item x="1997"/>
        <item x="1332"/>
        <item x="1973"/>
        <item x="666"/>
        <item x="1999"/>
        <item x="479"/>
        <item x="1266"/>
        <item x="1159"/>
        <item x="1001"/>
        <item x="1306"/>
        <item x="1125"/>
        <item x="1556"/>
        <item x="202"/>
        <item x="79"/>
        <item x="664"/>
        <item x="440"/>
        <item x="1602"/>
        <item x="1647"/>
        <item x="893"/>
        <item x="1610"/>
        <item x="1874"/>
        <item x="2075"/>
        <item x="1728"/>
        <item x="359"/>
        <item x="653"/>
        <item x="1418"/>
        <item x="379"/>
        <item x="1492"/>
        <item x="214"/>
        <item x="11"/>
        <item x="1531"/>
        <item x="48"/>
        <item x="1951"/>
        <item x="921"/>
        <item x="1614"/>
        <item x="590"/>
        <item x="2082"/>
        <item x="191"/>
        <item x="1632"/>
        <item x="608"/>
        <item x="831"/>
        <item x="360"/>
        <item x="701"/>
        <item x="210"/>
        <item x="1998"/>
        <item x="1111"/>
        <item x="1412"/>
        <item x="1932"/>
        <item x="180"/>
        <item x="990"/>
        <item x="500"/>
        <item x="798"/>
        <item x="677"/>
        <item x="1237"/>
        <item x="140"/>
        <item x="731"/>
        <item x="229"/>
        <item x="1149"/>
        <item x="1238"/>
        <item x="1223"/>
        <item x="1325"/>
        <item x="844"/>
        <item x="504"/>
        <item x="1168"/>
        <item x="1172"/>
        <item x="158"/>
        <item x="81"/>
        <item x="872"/>
        <item x="1277"/>
        <item x="1825"/>
        <item x="1525"/>
        <item x="1496"/>
        <item x="1653"/>
        <item x="1146"/>
        <item x="690"/>
        <item t="default"/>
      </items>
    </pivotField>
    <pivotField dataField="1" compact="0" showAll="0">
      <items count="2278">
        <item x="155"/>
        <item x="305"/>
        <item x="223"/>
        <item x="973"/>
        <item x="615"/>
        <item x="755"/>
        <item x="1224"/>
        <item x="1737"/>
        <item x="313"/>
        <item x="235"/>
        <item x="735"/>
        <item x="1375"/>
        <item x="565"/>
        <item x="1014"/>
        <item x="1874"/>
        <item x="2006"/>
        <item x="1631"/>
        <item x="1622"/>
        <item x="1001"/>
        <item x="2013"/>
        <item x="953"/>
        <item x="919"/>
        <item x="1452"/>
        <item x="416"/>
        <item x="498"/>
        <item x="2187"/>
        <item x="526"/>
        <item x="1632"/>
        <item x="633"/>
        <item x="322"/>
        <item x="36"/>
        <item x="1578"/>
        <item x="17"/>
        <item x="724"/>
        <item x="2231"/>
        <item x="474"/>
        <item x="1757"/>
        <item x="1970"/>
        <item x="428"/>
        <item x="982"/>
        <item x="556"/>
        <item x="1485"/>
        <item x="515"/>
        <item x="2014"/>
        <item x="383"/>
        <item x="2032"/>
        <item x="1527"/>
        <item x="860"/>
        <item x="998"/>
        <item x="1183"/>
        <item x="435"/>
        <item x="1303"/>
        <item x="905"/>
        <item x="1717"/>
        <item x="43"/>
        <item x="2085"/>
        <item x="548"/>
        <item x="1084"/>
        <item x="345"/>
        <item x="199"/>
        <item x="1104"/>
        <item x="1772"/>
        <item x="2178"/>
        <item x="986"/>
        <item x="168"/>
        <item x="1801"/>
        <item x="1687"/>
        <item x="656"/>
        <item x="1626"/>
        <item x="1830"/>
        <item x="188"/>
        <item x="1107"/>
        <item x="413"/>
        <item x="1476"/>
        <item x="994"/>
        <item x="1429"/>
        <item x="461"/>
        <item x="1133"/>
        <item x="1502"/>
        <item x="1557"/>
        <item x="454"/>
        <item x="41"/>
        <item x="1141"/>
        <item x="236"/>
        <item x="120"/>
        <item x="1811"/>
        <item x="310"/>
        <item x="1850"/>
        <item x="1351"/>
        <item x="359"/>
        <item x="1487"/>
        <item x="971"/>
        <item x="2154"/>
        <item x="1825"/>
        <item x="1287"/>
        <item x="1558"/>
        <item x="373"/>
        <item x="228"/>
        <item x="1530"/>
        <item x="2017"/>
        <item x="1906"/>
        <item x="296"/>
        <item x="384"/>
        <item x="1512"/>
        <item x="426"/>
        <item x="694"/>
        <item x="431"/>
        <item x="1317"/>
        <item x="1337"/>
        <item x="2109"/>
        <item x="1799"/>
        <item x="351"/>
        <item x="9"/>
        <item x="1796"/>
        <item x="908"/>
        <item x="226"/>
        <item x="1285"/>
        <item x="1755"/>
        <item x="2092"/>
        <item x="582"/>
        <item x="917"/>
        <item x="1419"/>
        <item x="1012"/>
        <item x="961"/>
        <item x="12"/>
        <item x="66"/>
        <item x="1812"/>
        <item x="407"/>
        <item x="771"/>
        <item x="786"/>
        <item x="1543"/>
        <item x="1960"/>
        <item x="1653"/>
        <item x="1854"/>
        <item x="1587"/>
        <item x="1580"/>
        <item x="544"/>
        <item x="1464"/>
        <item x="2232"/>
        <item x="730"/>
        <item x="478"/>
        <item x="234"/>
        <item x="1366"/>
        <item x="1498"/>
        <item x="603"/>
        <item x="538"/>
        <item x="613"/>
        <item x="119"/>
        <item x="1763"/>
        <item x="1677"/>
        <item x="1348"/>
        <item x="632"/>
        <item x="486"/>
        <item x="103"/>
        <item x="108"/>
        <item x="653"/>
        <item x="398"/>
        <item x="2174"/>
        <item x="1041"/>
        <item x="754"/>
        <item x="1910"/>
        <item x="959"/>
        <item x="164"/>
        <item x="2120"/>
        <item x="1126"/>
        <item x="815"/>
        <item x="189"/>
        <item x="1305"/>
        <item x="1931"/>
        <item x="1203"/>
        <item x="490"/>
        <item x="791"/>
        <item x="808"/>
        <item x="674"/>
        <item x="842"/>
        <item x="2158"/>
        <item x="2023"/>
        <item x="1600"/>
        <item x="1234"/>
        <item x="301"/>
        <item x="1519"/>
        <item x="1124"/>
        <item x="774"/>
        <item x="1969"/>
        <item x="186"/>
        <item x="1404"/>
        <item x="960"/>
        <item x="726"/>
        <item x="374"/>
        <item x="363"/>
        <item x="975"/>
        <item x="936"/>
        <item x="2148"/>
        <item x="706"/>
        <item x="762"/>
        <item x="117"/>
        <item x="425"/>
        <item x="1172"/>
        <item x="794"/>
        <item x="1490"/>
        <item x="896"/>
        <item x="1005"/>
        <item x="549"/>
        <item x="13"/>
        <item x="574"/>
        <item x="2002"/>
        <item x="2268"/>
        <item x="1478"/>
        <item x="888"/>
        <item x="1039"/>
        <item x="765"/>
        <item x="1298"/>
        <item x="470"/>
        <item x="242"/>
        <item x="152"/>
        <item x="1609"/>
        <item x="495"/>
        <item x="2"/>
        <item x="779"/>
        <item x="1706"/>
        <item x="387"/>
        <item x="2099"/>
        <item x="693"/>
        <item x="1483"/>
        <item x="1427"/>
        <item x="1603"/>
        <item x="1945"/>
        <item x="1056"/>
        <item x="1435"/>
        <item x="851"/>
        <item x="214"/>
        <item x="657"/>
        <item x="192"/>
        <item x="1447"/>
        <item x="1663"/>
        <item x="1461"/>
        <item x="863"/>
        <item x="1993"/>
        <item x="1149"/>
        <item x="1184"/>
        <item x="2031"/>
        <item x="553"/>
        <item x="1760"/>
        <item x="1323"/>
        <item x="1815"/>
        <item x="1261"/>
        <item x="1244"/>
        <item x="1162"/>
        <item x="1794"/>
        <item x="1477"/>
        <item x="430"/>
        <item x="1506"/>
        <item x="508"/>
        <item x="2090"/>
        <item x="2075"/>
        <item x="545"/>
        <item x="395"/>
        <item x="624"/>
        <item x="777"/>
        <item x="422"/>
        <item x="557"/>
        <item x="100"/>
        <item x="73"/>
        <item x="1562"/>
        <item x="965"/>
        <item x="220"/>
        <item x="1852"/>
        <item x="1268"/>
        <item x="2272"/>
        <item x="25"/>
        <item x="2153"/>
        <item x="396"/>
        <item x="1249"/>
        <item x="275"/>
        <item x="1913"/>
        <item x="1507"/>
        <item x="1185"/>
        <item x="488"/>
        <item x="1982"/>
        <item x="600"/>
        <item x="1253"/>
        <item x="261"/>
        <item x="974"/>
        <item x="625"/>
        <item x="54"/>
        <item x="989"/>
        <item x="1659"/>
        <item x="354"/>
        <item x="1570"/>
        <item x="981"/>
        <item x="318"/>
        <item x="821"/>
        <item x="611"/>
        <item x="1155"/>
        <item x="386"/>
        <item x="1998"/>
        <item x="967"/>
        <item x="315"/>
        <item x="243"/>
        <item x="1371"/>
        <item x="69"/>
        <item x="1242"/>
        <item x="2096"/>
        <item x="942"/>
        <item x="763"/>
        <item x="741"/>
        <item x="1977"/>
        <item x="2055"/>
        <item x="514"/>
        <item x="1637"/>
        <item x="601"/>
        <item x="360"/>
        <item x="690"/>
        <item x="1290"/>
        <item x="1109"/>
        <item x="1781"/>
        <item x="1644"/>
        <item x="1544"/>
        <item x="819"/>
        <item x="983"/>
        <item x="2227"/>
        <item x="1563"/>
        <item x="1205"/>
        <item x="410"/>
        <item x="61"/>
        <item x="362"/>
        <item x="2045"/>
        <item x="1733"/>
        <item x="840"/>
        <item x="2068"/>
        <item x="2245"/>
        <item x="650"/>
        <item x="1190"/>
        <item x="883"/>
        <item x="886"/>
        <item x="442"/>
        <item x="1655"/>
        <item x="534"/>
        <item x="2095"/>
        <item x="1426"/>
        <item x="165"/>
        <item x="531"/>
        <item x="484"/>
        <item x="2248"/>
        <item x="299"/>
        <item x="1112"/>
        <item x="2140"/>
        <item x="773"/>
        <item x="593"/>
        <item x="1992"/>
        <item x="233"/>
        <item x="1096"/>
        <item x="1761"/>
        <item x="1947"/>
        <item x="2022"/>
        <item x="260"/>
        <item x="406"/>
        <item x="1675"/>
        <item x="440"/>
        <item x="2146"/>
        <item x="1471"/>
        <item x="909"/>
        <item x="2273"/>
        <item x="1147"/>
        <item x="2067"/>
        <item x="845"/>
        <item x="731"/>
        <item x="1324"/>
        <item x="1708"/>
        <item x="2216"/>
        <item x="1396"/>
        <item x="2220"/>
        <item x="1265"/>
        <item x="1590"/>
        <item x="64"/>
        <item x="328"/>
        <item x="2206"/>
        <item x="1529"/>
        <item x="893"/>
        <item x="58"/>
        <item x="412"/>
        <item x="1386"/>
        <item x="2094"/>
        <item x="2159"/>
        <item x="74"/>
        <item x="2107"/>
        <item x="1395"/>
        <item x="397"/>
        <item x="78"/>
        <item x="629"/>
        <item x="467"/>
        <item x="2225"/>
        <item x="1241"/>
        <item x="527"/>
        <item x="1160"/>
        <item x="274"/>
        <item x="1178"/>
        <item x="839"/>
        <item x="940"/>
        <item x="1291"/>
        <item x="1921"/>
        <item x="948"/>
        <item x="885"/>
        <item x="1707"/>
        <item x="1974"/>
        <item x="1785"/>
        <item x="411"/>
        <item x="1100"/>
        <item x="903"/>
        <item x="268"/>
        <item x="42"/>
        <item x="2255"/>
        <item x="1888"/>
        <item x="1350"/>
        <item x="1117"/>
        <item x="375"/>
        <item x="219"/>
        <item x="2235"/>
        <item x="605"/>
        <item x="884"/>
        <item x="2044"/>
        <item x="533"/>
        <item x="57"/>
        <item x="648"/>
        <item x="1853"/>
        <item x="1671"/>
        <item x="2089"/>
        <item x="962"/>
        <item x="28"/>
        <item x="1266"/>
        <item x="33"/>
        <item x="807"/>
        <item x="562"/>
        <item x="1007"/>
        <item x="1248"/>
        <item x="1465"/>
        <item x="757"/>
        <item x="303"/>
        <item x="993"/>
        <item x="443"/>
        <item x="1326"/>
        <item x="1232"/>
        <item x="53"/>
        <item x="2270"/>
        <item x="655"/>
        <item x="151"/>
        <item x="816"/>
        <item x="114"/>
        <item x="670"/>
        <item x="304"/>
        <item x="471"/>
        <item x="340"/>
        <item x="2000"/>
        <item x="1257"/>
        <item x="2263"/>
        <item x="2212"/>
        <item x="176"/>
        <item x="1335"/>
        <item x="1372"/>
        <item x="173"/>
        <item x="2156"/>
        <item x="326"/>
        <item x="1584"/>
        <item x="217"/>
        <item x="853"/>
        <item x="838"/>
        <item x="614"/>
        <item x="1716"/>
        <item x="2018"/>
        <item x="1473"/>
        <item x="524"/>
        <item x="1516"/>
        <item x="459"/>
        <item x="1984"/>
        <item x="2165"/>
        <item x="1639"/>
        <item x="280"/>
        <item x="941"/>
        <item x="2048"/>
        <item x="154"/>
        <item x="256"/>
        <item x="1531"/>
        <item x="257"/>
        <item x="312"/>
        <item x="93"/>
        <item x="1283"/>
        <item x="583"/>
        <item x="460"/>
        <item x="1407"/>
        <item x="463"/>
        <item x="560"/>
        <item x="2243"/>
        <item x="569"/>
        <item x="1088"/>
        <item x="2234"/>
        <item x="1980"/>
        <item x="2203"/>
        <item x="2086"/>
        <item x="437"/>
        <item x="118"/>
        <item x="1985"/>
        <item x="306"/>
        <item x="523"/>
        <item x="266"/>
        <item x="1212"/>
        <item x="1973"/>
        <item x="793"/>
        <item x="628"/>
        <item x="635"/>
        <item x="918"/>
        <item x="1952"/>
        <item x="1020"/>
        <item x="2016"/>
        <item x="1533"/>
        <item x="1105"/>
        <item x="83"/>
        <item x="1201"/>
        <item x="1808"/>
        <item x="590"/>
        <item x="1682"/>
        <item x="127"/>
        <item x="619"/>
        <item x="1929"/>
        <item x="770"/>
        <item x="1605"/>
        <item x="1791"/>
        <item x="297"/>
        <item x="1840"/>
        <item x="1231"/>
        <item x="906"/>
        <item x="27"/>
        <item x="286"/>
        <item x="1654"/>
        <item x="1228"/>
        <item x="746"/>
        <item x="1572"/>
        <item x="566"/>
        <item x="18"/>
        <item x="380"/>
        <item x="970"/>
        <item x="44"/>
        <item x="1202"/>
        <item x="1019"/>
        <item x="1689"/>
        <item x="1912"/>
        <item x="272"/>
        <item x="147"/>
        <item x="1032"/>
        <item x="697"/>
        <item x="1873"/>
        <item x="355"/>
        <item x="1114"/>
        <item x="988"/>
        <item x="1069"/>
        <item x="1524"/>
        <item x="311"/>
        <item x="292"/>
        <item x="2004"/>
        <item x="752"/>
        <item x="1198"/>
        <item x="528"/>
        <item x="1599"/>
        <item x="335"/>
        <item x="325"/>
        <item x="1738"/>
        <item x="169"/>
        <item x="273"/>
        <item x="2046"/>
        <item x="291"/>
        <item x="1462"/>
        <item x="1503"/>
        <item x="1120"/>
        <item x="209"/>
        <item x="1767"/>
        <item x="2242"/>
        <item x="2011"/>
        <item x="1365"/>
        <item x="728"/>
        <item x="872"/>
        <item x="798"/>
        <item x="1749"/>
        <item x="661"/>
        <item x="1560"/>
        <item x="1771"/>
        <item x="956"/>
        <item x="634"/>
        <item x="1634"/>
        <item x="137"/>
        <item x="1098"/>
        <item x="122"/>
        <item x="1868"/>
        <item x="1146"/>
        <item x="0"/>
        <item x="330"/>
        <item x="68"/>
        <item x="1385"/>
        <item x="95"/>
        <item x="1343"/>
        <item x="743"/>
        <item x="1439"/>
        <item x="365"/>
        <item x="1890"/>
        <item x="1690"/>
        <item x="2040"/>
        <item x="542"/>
        <item x="2008"/>
        <item x="141"/>
        <item x="1144"/>
        <item x="584"/>
        <item x="996"/>
        <item x="828"/>
        <item x="966"/>
        <item x="1067"/>
        <item x="1504"/>
        <item x="160"/>
        <item x="1923"/>
        <item x="1880"/>
        <item x="65"/>
        <item x="1170"/>
        <item x="2238"/>
        <item x="1495"/>
        <item x="1884"/>
        <item x="2059"/>
        <item x="756"/>
        <item x="1443"/>
        <item x="764"/>
        <item x="1021"/>
        <item x="1075"/>
        <item x="357"/>
        <item x="938"/>
        <item x="1090"/>
        <item x="1073"/>
        <item x="1863"/>
        <item x="894"/>
        <item x="1695"/>
        <item x="1907"/>
        <item x="2069"/>
        <item x="933"/>
        <item x="1963"/>
        <item x="1674"/>
        <item x="1522"/>
        <item x="321"/>
        <item x="342"/>
        <item x="1930"/>
        <item x="1481"/>
        <item x="353"/>
        <item x="1866"/>
        <item x="1181"/>
        <item x="1451"/>
        <item x="408"/>
        <item x="1813"/>
        <item x="2066"/>
        <item x="874"/>
        <item x="654"/>
        <item x="1959"/>
        <item x="2102"/>
        <item x="990"/>
        <item x="1855"/>
        <item x="579"/>
        <item x="2265"/>
        <item x="1559"/>
        <item x="1453"/>
        <item x="610"/>
        <item x="487"/>
        <item x="1280"/>
        <item x="1135"/>
        <item x="403"/>
        <item x="1044"/>
        <item x="281"/>
        <item x="337"/>
        <item x="1301"/>
        <item x="766"/>
        <item x="1058"/>
        <item x="2185"/>
        <item x="31"/>
        <item x="878"/>
        <item x="859"/>
        <item x="2054"/>
        <item x="1216"/>
        <item x="1924"/>
        <item x="2122"/>
        <item x="1255"/>
        <item x="2144"/>
        <item x="309"/>
        <item x="846"/>
        <item x="1047"/>
        <item x="630"/>
        <item x="282"/>
        <item x="1943"/>
        <item x="2064"/>
        <item x="1376"/>
        <item x="1742"/>
        <item x="105"/>
        <item x="678"/>
        <item x="1409"/>
        <item x="2258"/>
        <item x="1900"/>
        <item x="14"/>
        <item x="1920"/>
        <item x="1699"/>
        <item x="125"/>
        <item x="153"/>
        <item x="2163"/>
        <item x="2162"/>
        <item x="622"/>
        <item x="170"/>
        <item x="101"/>
        <item x="22"/>
        <item x="130"/>
        <item x="1488"/>
        <item x="1881"/>
        <item x="668"/>
        <item x="113"/>
        <item x="323"/>
        <item x="581"/>
        <item x="1252"/>
        <item x="925"/>
        <item x="1942"/>
        <item x="349"/>
        <item x="1304"/>
        <item x="1803"/>
        <item x="1728"/>
        <item x="1033"/>
        <item x="1949"/>
        <item x="1406"/>
        <item x="979"/>
        <item x="1116"/>
        <item x="1597"/>
        <item x="857"/>
        <item x="1083"/>
        <item x="930"/>
        <item x="1831"/>
        <item x="607"/>
        <item x="666"/>
        <item x="401"/>
        <item x="1510"/>
        <item x="1722"/>
        <item x="1246"/>
        <item x="133"/>
        <item x="1735"/>
        <item x="2182"/>
        <item x="1848"/>
        <item x="1795"/>
        <item x="2218"/>
        <item x="472"/>
        <item x="405"/>
        <item x="445"/>
        <item x="352"/>
        <item x="997"/>
        <item x="216"/>
        <item x="1627"/>
        <item x="2241"/>
        <item x="1777"/>
        <item x="1430"/>
        <item x="2030"/>
        <item x="1233"/>
        <item x="1289"/>
        <item x="1704"/>
        <item x="831"/>
        <item x="2173"/>
        <item x="772"/>
        <item x="1986"/>
        <item x="696"/>
        <item x="402"/>
        <item x="1582"/>
        <item x="124"/>
        <item x="1843"/>
        <item x="1635"/>
        <item x="2015"/>
        <item x="250"/>
        <item x="206"/>
        <item x="1849"/>
        <item x="3"/>
        <item x="1151"/>
        <item x="1511"/>
        <item x="1081"/>
        <item x="184"/>
        <item x="2223"/>
        <item x="921"/>
        <item x="135"/>
        <item x="444"/>
        <item x="131"/>
        <item x="1110"/>
        <item x="343"/>
        <item x="801"/>
        <item x="785"/>
        <item x="969"/>
        <item x="2276"/>
        <item x="338"/>
        <item x="647"/>
        <item x="1023"/>
        <item x="609"/>
        <item x="2071"/>
        <item x="820"/>
        <item x="1186"/>
        <item x="123"/>
        <item x="1829"/>
        <item x="1034"/>
        <item x="1470"/>
        <item x="1292"/>
        <item x="1168"/>
        <item x="1316"/>
        <item x="136"/>
        <item x="922"/>
        <item x="1364"/>
        <item x="71"/>
        <item x="1325"/>
        <item x="1566"/>
        <item x="1153"/>
        <item x="50"/>
        <item x="1646"/>
        <item x="2267"/>
        <item x="262"/>
        <item x="1779"/>
        <item x="1870"/>
        <item x="1431"/>
        <item x="1424"/>
        <item x="2070"/>
        <item x="415"/>
        <item x="392"/>
        <item x="1263"/>
        <item x="457"/>
        <item x="1425"/>
        <item x="832"/>
        <item x="2142"/>
        <item x="1219"/>
        <item x="1137"/>
        <item x="172"/>
        <item x="1565"/>
        <item x="1259"/>
        <item x="432"/>
        <item x="638"/>
        <item x="1393"/>
        <item x="1941"/>
        <item x="1277"/>
        <item x="554"/>
        <item x="945"/>
        <item x="1448"/>
        <item x="1592"/>
        <item x="739"/>
        <item x="111"/>
        <item x="232"/>
        <item x="687"/>
        <item x="2138"/>
        <item x="681"/>
        <item x="1195"/>
        <item x="2261"/>
        <item x="1055"/>
        <item x="1405"/>
        <item x="1703"/>
        <item x="1997"/>
        <item x="2010"/>
        <item x="864"/>
        <item x="691"/>
        <item x="596"/>
        <item x="1095"/>
        <item x="239"/>
        <item x="47"/>
        <item x="2180"/>
        <item x="2161"/>
        <item x="2079"/>
        <item x="1783"/>
        <item x="389"/>
        <item x="646"/>
        <item x="270"/>
        <item x="1676"/>
        <item x="2130"/>
        <item x="1043"/>
        <item x="1629"/>
        <item x="563"/>
        <item x="1446"/>
        <item x="1161"/>
        <item x="1917"/>
        <item x="782"/>
        <item x="598"/>
        <item x="436"/>
        <item x="2266"/>
        <item x="700"/>
        <item x="1254"/>
        <item x="166"/>
        <item x="2222"/>
        <item x="812"/>
        <item x="2215"/>
        <item x="1176"/>
        <item x="958"/>
        <item x="1061"/>
        <item x="2274"/>
        <item x="689"/>
        <item x="1898"/>
        <item x="999"/>
        <item x="1789"/>
        <item x="2082"/>
        <item x="218"/>
        <item x="1746"/>
        <item x="453"/>
        <item x="1624"/>
        <item x="701"/>
        <item x="536"/>
        <item x="2236"/>
        <item x="1545"/>
        <item x="1158"/>
        <item x="2240"/>
        <item x="1571"/>
        <item x="1423"/>
        <item x="1052"/>
        <item x="1856"/>
        <item x="1121"/>
        <item x="1342"/>
        <item x="2145"/>
        <item x="7"/>
        <item x="129"/>
        <item x="1338"/>
        <item x="251"/>
        <item x="2196"/>
        <item x="1770"/>
        <item x="2256"/>
        <item x="346"/>
        <item x="1445"/>
        <item x="727"/>
        <item x="60"/>
        <item x="109"/>
        <item x="555"/>
        <item x="1174"/>
        <item x="1106"/>
        <item x="1790"/>
        <item x="1670"/>
        <item x="1042"/>
        <item x="2133"/>
        <item x="1333"/>
        <item x="2073"/>
        <item x="361"/>
        <item x="378"/>
        <item x="1200"/>
        <item x="1119"/>
        <item x="1555"/>
        <item x="1013"/>
        <item x="180"/>
        <item x="916"/>
        <item x="1720"/>
        <item x="1293"/>
        <item x="1415"/>
        <item x="595"/>
        <item x="658"/>
        <item x="6"/>
        <item x="1878"/>
        <item x="1286"/>
        <item x="873"/>
        <item x="1574"/>
        <item x="709"/>
        <item x="901"/>
        <item x="717"/>
        <item x="142"/>
        <item x="1296"/>
        <item x="52"/>
        <item x="70"/>
        <item x="1514"/>
        <item x="212"/>
        <item x="1902"/>
        <item x="501"/>
        <item x="1194"/>
        <item x="512"/>
        <item x="336"/>
        <item x="676"/>
        <item x="174"/>
        <item x="2080"/>
        <item x="748"/>
        <item x="2247"/>
        <item x="1950"/>
        <item x="277"/>
        <item x="1523"/>
        <item x="157"/>
        <item x="39"/>
        <item x="867"/>
        <item x="1165"/>
        <item x="24"/>
        <item x="1867"/>
        <item x="497"/>
        <item x="1017"/>
        <item x="616"/>
        <item x="1468"/>
        <item x="287"/>
        <item x="377"/>
        <item x="1482"/>
        <item x="1734"/>
        <item x="227"/>
        <item x="248"/>
        <item x="1000"/>
        <item x="1140"/>
        <item x="1616"/>
        <item x="278"/>
        <item x="1858"/>
        <item x="952"/>
        <item x="307"/>
        <item x="1551"/>
        <item x="509"/>
        <item x="2246"/>
        <item x="612"/>
        <item x="1496"/>
        <item x="259"/>
        <item x="258"/>
        <item x="1836"/>
        <item x="1260"/>
        <item x="606"/>
        <item x="1537"/>
        <item x="1459"/>
        <item x="775"/>
        <item x="684"/>
        <item x="1647"/>
        <item x="1499"/>
        <item x="2123"/>
        <item x="1594"/>
        <item x="115"/>
        <item x="283"/>
        <item x="787"/>
        <item x="992"/>
        <item x="2207"/>
        <item x="720"/>
        <item x="573"/>
        <item x="947"/>
        <item x="2164"/>
        <item x="891"/>
        <item x="929"/>
        <item x="858"/>
        <item x="722"/>
        <item x="1897"/>
        <item x="1222"/>
        <item x="1475"/>
        <item x="1875"/>
        <item x="1356"/>
        <item x="183"/>
        <item x="2063"/>
        <item x="1517"/>
        <item x="1583"/>
        <item x="449"/>
        <item x="178"/>
        <item x="2260"/>
        <item x="667"/>
        <item x="1319"/>
        <item x="1379"/>
        <item x="1948"/>
        <item x="2061"/>
        <item x="1685"/>
        <item x="1143"/>
        <item x="269"/>
        <item x="159"/>
        <item x="276"/>
        <item x="1938"/>
        <item x="1661"/>
        <item x="2197"/>
        <item x="502"/>
        <item x="148"/>
        <item x="1553"/>
        <item x="1493"/>
        <item x="2121"/>
        <item x="1048"/>
        <item x="1800"/>
        <item x="1889"/>
        <item x="324"/>
        <item x="1457"/>
        <item x="1927"/>
        <item x="86"/>
        <item x="2087"/>
        <item x="1598"/>
        <item x="1382"/>
        <item x="2269"/>
        <item x="1123"/>
        <item x="520"/>
        <item x="1394"/>
        <item x="2221"/>
        <item x="1694"/>
        <item x="1189"/>
        <item x="550"/>
        <item x="1004"/>
        <item x="382"/>
        <item x="1166"/>
        <item x="823"/>
        <item x="1652"/>
        <item x="2214"/>
        <item x="356"/>
        <item x="943"/>
        <item x="1940"/>
        <item x="1022"/>
        <item x="1213"/>
        <item x="1730"/>
        <item x="446"/>
        <item x="1725"/>
        <item x="1278"/>
        <item x="2103"/>
        <item x="1367"/>
        <item x="379"/>
        <item x="789"/>
        <item x="238"/>
        <item x="2229"/>
        <item x="1723"/>
        <item x="1384"/>
        <item x="481"/>
        <item x="1712"/>
        <item x="284"/>
        <item x="1618"/>
        <item x="1965"/>
        <item x="1684"/>
        <item x="1547"/>
        <item x="1321"/>
        <item x="1833"/>
        <item x="503"/>
        <item x="210"/>
        <item x="1455"/>
        <item x="987"/>
        <item x="423"/>
        <item x="385"/>
        <item x="716"/>
        <item x="29"/>
        <item x="1904"/>
        <item x="1053"/>
        <item x="1398"/>
        <item x="899"/>
        <item x="1828"/>
        <item x="1383"/>
        <item x="1357"/>
        <item x="1062"/>
        <item x="1882"/>
        <item x="1754"/>
        <item x="1546"/>
        <item x="2028"/>
        <item x="577"/>
        <item x="750"/>
        <item x="1436"/>
        <item x="1611"/>
        <item x="1822"/>
        <item x="1669"/>
        <item x="1392"/>
        <item x="977"/>
        <item x="1209"/>
        <item x="1841"/>
        <item x="1361"/>
        <item x="92"/>
        <item x="1588"/>
        <item x="506"/>
        <item x="1082"/>
        <item x="231"/>
        <item x="736"/>
        <item x="2035"/>
        <item x="745"/>
        <item x="1933"/>
        <item x="1521"/>
        <item x="1215"/>
        <item x="1329"/>
        <item x="2053"/>
        <item x="2050"/>
        <item x="2205"/>
        <item x="1991"/>
        <item x="1500"/>
        <item x="8"/>
        <item x="1199"/>
        <item x="968"/>
        <item x="2201"/>
        <item x="1915"/>
        <item x="121"/>
        <item x="285"/>
        <item x="376"/>
        <item x="2065"/>
        <item x="604"/>
        <item x="1300"/>
        <item x="1885"/>
        <item x="1040"/>
        <item x="711"/>
        <item x="205"/>
        <item x="737"/>
        <item x="1528"/>
        <item x="1753"/>
        <item x="1951"/>
        <item x="995"/>
        <item x="2184"/>
        <item x="1388"/>
        <item x="225"/>
        <item x="539"/>
        <item x="698"/>
        <item x="267"/>
        <item x="1705"/>
        <item x="2147"/>
        <item x="805"/>
        <item x="660"/>
        <item x="826"/>
        <item x="1872"/>
        <item x="1636"/>
        <item x="790"/>
        <item x="1759"/>
        <item x="327"/>
        <item x="417"/>
        <item x="399"/>
        <item x="1664"/>
        <item x="2113"/>
        <item x="201"/>
        <item x="175"/>
        <item x="1"/>
        <item x="479"/>
        <item x="1509"/>
        <item x="2076"/>
        <item x="1505"/>
        <item x="1373"/>
        <item x="45"/>
        <item x="1577"/>
        <item x="1782"/>
        <item x="783"/>
        <item x="547"/>
        <item x="641"/>
        <item x="620"/>
        <item x="1602"/>
        <item x="923"/>
        <item x="870"/>
        <item x="139"/>
        <item x="10"/>
        <item x="802"/>
        <item x="2056"/>
        <item x="456"/>
        <item x="2052"/>
        <item x="1139"/>
        <item x="1658"/>
        <item x="1456"/>
        <item x="570"/>
        <item x="177"/>
        <item x="1752"/>
        <item x="320"/>
        <item x="1003"/>
        <item x="370"/>
        <item x="1981"/>
        <item x="1010"/>
        <item x="1118"/>
        <item x="420"/>
        <item x="332"/>
        <item x="419"/>
        <item x="1865"/>
        <item x="871"/>
        <item x="94"/>
        <item x="530"/>
        <item x="1390"/>
        <item x="1955"/>
        <item x="834"/>
        <item x="1905"/>
        <item x="1610"/>
        <item x="1345"/>
        <item x="1729"/>
        <item x="866"/>
        <item x="1227"/>
        <item x="1936"/>
        <item x="1065"/>
        <item x="1934"/>
        <item x="1944"/>
        <item x="2098"/>
        <item x="1804"/>
        <item x="822"/>
        <item x="1169"/>
        <item x="1956"/>
        <item x="800"/>
        <item x="1036"/>
        <item x="1008"/>
        <item x="1536"/>
        <item x="1454"/>
        <item x="468"/>
        <item x="705"/>
        <item x="1660"/>
        <item x="672"/>
        <item x="1619"/>
        <item x="652"/>
        <item x="2019"/>
        <item x="788"/>
        <item x="682"/>
        <item x="1403"/>
        <item x="1919"/>
        <item x="597"/>
        <item x="572"/>
        <item x="913"/>
        <item x="1131"/>
        <item x="2062"/>
        <item x="742"/>
        <item x="825"/>
        <item x="585"/>
        <item x="1138"/>
        <item x="77"/>
        <item x="1593"/>
        <item x="972"/>
        <item x="1561"/>
        <item x="1623"/>
        <item x="2128"/>
        <item x="707"/>
        <item x="1892"/>
        <item x="927"/>
        <item x="567"/>
        <item x="639"/>
        <item x="578"/>
        <item x="710"/>
        <item x="1197"/>
        <item x="2230"/>
        <item x="182"/>
        <item x="30"/>
        <item x="391"/>
        <item x="333"/>
        <item x="433"/>
        <item x="1589"/>
        <item x="659"/>
        <item x="500"/>
        <item x="2108"/>
        <item x="1349"/>
        <item x="1532"/>
        <item x="1607"/>
        <item x="2160"/>
        <item x="677"/>
        <item x="1550"/>
        <item x="2134"/>
        <item x="1327"/>
        <item x="99"/>
        <item x="1643"/>
        <item x="1097"/>
        <item x="1741"/>
        <item x="1486"/>
        <item x="1273"/>
        <item x="1315"/>
        <item x="740"/>
        <item x="1586"/>
        <item x="146"/>
        <item x="2116"/>
        <item x="394"/>
        <item x="1157"/>
        <item x="439"/>
        <item x="1786"/>
        <item x="1362"/>
        <item x="1297"/>
        <item x="347"/>
        <item x="2155"/>
        <item x="161"/>
        <item x="1177"/>
        <item x="482"/>
        <item x="1776"/>
        <item x="2029"/>
        <item x="814"/>
        <item x="300"/>
        <item x="1727"/>
        <item x="1066"/>
        <item x="1381"/>
        <item x="1891"/>
        <item x="23"/>
        <item x="469"/>
        <item x="552"/>
        <item x="1237"/>
        <item x="126"/>
        <item x="2194"/>
        <item x="1191"/>
        <item x="143"/>
        <item x="2037"/>
        <item x="599"/>
        <item x="2200"/>
        <item x="246"/>
        <item x="1220"/>
        <item x="1413"/>
        <item x="1988"/>
        <item x="898"/>
        <item x="1152"/>
        <item x="1416"/>
        <item x="341"/>
        <item x="2093"/>
        <item x="955"/>
        <item x="2157"/>
        <item x="1072"/>
        <item x="1681"/>
        <item x="1548"/>
        <item x="1050"/>
        <item x="1057"/>
        <item x="1307"/>
        <item x="1693"/>
        <item x="1793"/>
        <item x="2252"/>
        <item x="1101"/>
        <item x="371"/>
        <item x="835"/>
        <item x="1862"/>
        <item x="564"/>
        <item x="1513"/>
        <item x="381"/>
        <item x="149"/>
        <item x="492"/>
        <item x="1839"/>
        <item x="1698"/>
        <item x="1011"/>
        <item x="797"/>
        <item x="1709"/>
        <item x="1262"/>
        <item x="1433"/>
        <item x="1788"/>
        <item x="588"/>
        <item x="1491"/>
        <item x="1399"/>
        <item x="1060"/>
        <item x="208"/>
        <item x="1719"/>
        <item x="2204"/>
        <item x="2088"/>
        <item x="1122"/>
        <item x="2257"/>
        <item x="592"/>
        <item x="1079"/>
        <item x="438"/>
        <item x="1567"/>
        <item x="1275"/>
        <item x="2005"/>
        <item x="1732"/>
        <item x="626"/>
        <item x="1802"/>
        <item x="1070"/>
        <item x="1666"/>
        <item x="1552"/>
        <item x="1908"/>
        <item x="1310"/>
        <item x="2025"/>
        <item x="1086"/>
        <item x="2058"/>
        <item x="551"/>
        <item x="1187"/>
        <item x="1613"/>
        <item x="1391"/>
        <item x="293"/>
        <item x="418"/>
        <item x="1780"/>
        <item x="1896"/>
        <item x="1744"/>
        <item x="49"/>
        <item x="769"/>
        <item x="1968"/>
        <item x="1288"/>
        <item x="198"/>
        <item x="462"/>
        <item x="255"/>
        <item x="1702"/>
        <item x="1027"/>
        <item x="617"/>
        <item x="1089"/>
        <item x="15"/>
        <item x="935"/>
        <item x="1438"/>
        <item x="571"/>
        <item x="844"/>
        <item x="2170"/>
        <item x="1353"/>
        <item x="504"/>
        <item x="1412"/>
        <item x="854"/>
        <item x="1701"/>
        <item x="1334"/>
        <item x="679"/>
        <item x="82"/>
        <item x="187"/>
        <item x="1208"/>
        <item x="35"/>
        <item x="2176"/>
        <item x="537"/>
        <item x="1549"/>
        <item x="1820"/>
        <item x="1006"/>
        <item x="1621"/>
        <item x="1236"/>
        <item x="1035"/>
        <item x="760"/>
        <item x="1077"/>
        <item x="90"/>
        <item x="1025"/>
        <item x="1656"/>
        <item x="37"/>
        <item x="1966"/>
        <item x="107"/>
        <item x="1414"/>
        <item x="483"/>
        <item x="505"/>
        <item x="1302"/>
        <item x="1648"/>
        <item x="875"/>
        <item x="2249"/>
        <item x="591"/>
        <item x="1251"/>
        <item x="372"/>
        <item x="369"/>
        <item x="424"/>
        <item x="702"/>
        <item x="434"/>
        <item x="1193"/>
        <item x="685"/>
        <item x="829"/>
        <item x="72"/>
        <item x="1245"/>
        <item x="204"/>
        <item x="2104"/>
        <item x="2042"/>
        <item x="279"/>
        <item x="1996"/>
        <item x="804"/>
        <item x="1080"/>
        <item x="1284"/>
        <item x="1645"/>
        <item x="1370"/>
        <item x="2036"/>
        <item x="1171"/>
        <item x="1715"/>
        <item x="2135"/>
        <item x="1743"/>
        <item x="1745"/>
        <item x="1400"/>
        <item x="1748"/>
        <item x="1686"/>
        <item x="1683"/>
        <item x="850"/>
        <item x="265"/>
        <item x="1899"/>
        <item x="1876"/>
        <item x="2151"/>
        <item x="1526"/>
        <item x="2049"/>
        <item x="950"/>
        <item x="1247"/>
        <item x="334"/>
        <item x="4"/>
        <item x="1911"/>
        <item x="1564"/>
        <item x="224"/>
        <item x="1989"/>
        <item x="729"/>
        <item x="1894"/>
        <item x="271"/>
        <item x="1369"/>
        <item x="876"/>
        <item x="675"/>
        <item x="1142"/>
        <item x="2198"/>
        <item x="185"/>
        <item x="1797"/>
        <item x="1958"/>
        <item x="1837"/>
        <item x="2132"/>
        <item x="1990"/>
        <item x="110"/>
        <item x="643"/>
        <item x="1030"/>
        <item x="132"/>
        <item x="855"/>
        <item x="1810"/>
        <item x="144"/>
        <item x="1479"/>
        <item x="1834"/>
        <item x="84"/>
        <item x="2166"/>
        <item x="19"/>
        <item x="719"/>
        <item x="813"/>
        <item x="2112"/>
        <item x="2209"/>
        <item x="644"/>
        <item x="1883"/>
        <item x="104"/>
        <item x="521"/>
        <item x="1520"/>
        <item x="1819"/>
        <item x="1136"/>
        <item x="856"/>
        <item x="1762"/>
        <item x="1962"/>
        <item x="892"/>
        <item x="1308"/>
        <item x="1054"/>
        <item x="34"/>
        <item x="1679"/>
        <item x="795"/>
        <item x="2136"/>
        <item x="2039"/>
        <item x="1569"/>
        <item x="535"/>
        <item x="976"/>
        <item x="833"/>
        <item x="213"/>
        <item x="1608"/>
        <item x="344"/>
        <item x="1134"/>
        <item x="980"/>
        <item x="1276"/>
        <item x="202"/>
        <item x="1474"/>
        <item x="1359"/>
        <item x="1953"/>
        <item x="2264"/>
        <item x="1271"/>
        <item x="288"/>
        <item x="393"/>
        <item x="1983"/>
        <item x="2213"/>
        <item x="2208"/>
        <item x="2262"/>
        <item x="519"/>
        <item x="1127"/>
        <item x="1279"/>
        <item x="2126"/>
        <item x="718"/>
        <item x="1432"/>
        <item x="1125"/>
        <item x="810"/>
        <item x="2150"/>
        <item x="2077"/>
        <item x="1029"/>
        <item x="1860"/>
        <item x="1103"/>
        <item x="1678"/>
        <item x="1028"/>
        <item x="881"/>
        <item x="1094"/>
        <item x="2228"/>
        <item x="869"/>
        <item x="1250"/>
        <item x="1954"/>
        <item x="1838"/>
        <item x="1442"/>
        <item x="2084"/>
        <item x="680"/>
        <item x="1625"/>
        <item x="1928"/>
        <item x="167"/>
        <item x="1615"/>
        <item x="1402"/>
        <item x="1975"/>
        <item x="350"/>
        <item x="753"/>
        <item x="473"/>
        <item x="1463"/>
        <item x="429"/>
        <item x="1756"/>
        <item x="669"/>
        <item x="631"/>
        <item x="364"/>
        <item x="732"/>
        <item x="1309"/>
        <item x="1076"/>
        <item x="645"/>
        <item x="1360"/>
        <item x="1861"/>
        <item x="163"/>
        <item x="749"/>
        <item x="792"/>
        <item x="1525"/>
        <item x="112"/>
        <item x="1229"/>
        <item x="649"/>
        <item x="1218"/>
        <item x="1585"/>
        <item x="1440"/>
        <item x="1024"/>
        <item x="1320"/>
        <item x="85"/>
        <item x="1145"/>
        <item x="2124"/>
        <item x="1295"/>
        <item x="32"/>
        <item x="949"/>
        <item x="1352"/>
        <item x="1792"/>
        <item x="1710"/>
        <item x="946"/>
        <item x="496"/>
        <item x="1340"/>
        <item x="1554"/>
        <item x="244"/>
        <item x="2253"/>
        <item x="1887"/>
        <item x="1740"/>
        <item x="450"/>
        <item x="721"/>
        <item x="818"/>
        <item x="843"/>
        <item x="1688"/>
        <item x="1765"/>
        <item x="594"/>
        <item x="1339"/>
        <item x="1374"/>
        <item x="1192"/>
        <item x="1807"/>
        <item x="799"/>
        <item x="1764"/>
        <item x="1274"/>
        <item x="421"/>
        <item x="150"/>
        <item x="102"/>
        <item x="1714"/>
        <item x="602"/>
        <item x="1489"/>
        <item x="476"/>
        <item x="2179"/>
        <item x="2003"/>
        <item x="895"/>
        <item x="817"/>
        <item x="1961"/>
        <item x="390"/>
        <item x="713"/>
        <item x="1909"/>
        <item x="2149"/>
        <item x="2024"/>
        <item x="1994"/>
        <item x="2211"/>
        <item x="744"/>
        <item x="640"/>
        <item x="366"/>
        <item x="1417"/>
        <item x="516"/>
        <item x="145"/>
        <item x="1995"/>
        <item x="1272"/>
        <item x="1484"/>
        <item x="1420"/>
        <item x="477"/>
        <item x="1128"/>
        <item x="1832"/>
        <item x="2081"/>
        <item x="1736"/>
        <item x="1817"/>
        <item x="329"/>
        <item x="2224"/>
        <item x="1696"/>
        <item x="768"/>
        <item x="2127"/>
        <item x="1377"/>
        <item x="738"/>
        <item x="985"/>
        <item x="1074"/>
        <item x="1458"/>
        <item x="447"/>
        <item x="1401"/>
        <item x="404"/>
        <item x="254"/>
        <item x="559"/>
        <item x="525"/>
        <item x="1328"/>
        <item x="1821"/>
        <item x="776"/>
        <item x="1869"/>
        <item x="38"/>
        <item x="1016"/>
        <item x="134"/>
        <item x="2244"/>
        <item x="156"/>
        <item x="803"/>
        <item x="1347"/>
        <item x="957"/>
        <item x="1221"/>
        <item x="715"/>
        <item x="2012"/>
        <item x="455"/>
        <item x="2117"/>
        <item x="636"/>
        <item x="21"/>
        <item x="1332"/>
        <item x="1579"/>
        <item x="485"/>
        <item x="1601"/>
        <item x="2021"/>
        <item x="2057"/>
        <item x="1937"/>
        <item x="704"/>
        <item x="1243"/>
        <item x="1805"/>
        <item x="1914"/>
        <item x="1918"/>
        <item x="759"/>
        <item x="1037"/>
        <item x="87"/>
        <item x="1441"/>
        <item x="75"/>
        <item x="1009"/>
        <item x="316"/>
        <item x="2199"/>
        <item x="911"/>
        <item x="1428"/>
        <item x="1015"/>
        <item x="1196"/>
        <item x="984"/>
        <item x="546"/>
        <item x="466"/>
        <item x="1018"/>
        <item x="880"/>
        <item x="249"/>
        <item x="245"/>
        <item x="358"/>
        <item x="197"/>
        <item x="1972"/>
        <item x="240"/>
        <item x="510"/>
        <item x="915"/>
        <item x="1573"/>
        <item x="1159"/>
        <item x="2219"/>
        <item x="1539"/>
        <item x="1330"/>
        <item x="1640"/>
        <item x="451"/>
        <item x="540"/>
        <item x="1256"/>
        <item x="2192"/>
        <item x="910"/>
        <item x="1494"/>
        <item x="623"/>
        <item x="1460"/>
        <item x="1179"/>
        <item x="295"/>
        <item x="809"/>
        <item x="1449"/>
        <item x="1132"/>
        <item x="890"/>
        <item x="2152"/>
        <item x="637"/>
        <item x="806"/>
        <item x="1724"/>
        <item x="298"/>
        <item x="849"/>
        <item x="1711"/>
        <item x="914"/>
        <item x="837"/>
        <item x="847"/>
        <item x="1240"/>
        <item x="88"/>
        <item x="541"/>
        <item x="1534"/>
        <item x="932"/>
        <item x="252"/>
        <item x="1434"/>
        <item x="1397"/>
        <item x="400"/>
        <item x="2139"/>
        <item x="480"/>
        <item x="747"/>
        <item x="2091"/>
        <item x="1492"/>
        <item x="1238"/>
        <item x="1976"/>
        <item x="902"/>
        <item x="314"/>
        <item x="2034"/>
        <item x="55"/>
        <item x="862"/>
        <item x="1568"/>
        <item x="1501"/>
        <item x="695"/>
        <item x="1903"/>
        <item x="1331"/>
        <item x="2100"/>
        <item x="733"/>
        <item x="1769"/>
        <item x="796"/>
        <item x="171"/>
        <item x="1739"/>
        <item x="1700"/>
        <item x="427"/>
        <item x="1071"/>
        <item x="302"/>
        <item x="887"/>
        <item x="665"/>
        <item x="2033"/>
        <item x="63"/>
        <item x="1542"/>
        <item x="589"/>
        <item x="56"/>
        <item x="1672"/>
        <item x="868"/>
        <item x="2233"/>
        <item x="734"/>
        <item x="931"/>
        <item x="2202"/>
        <item x="1784"/>
        <item x="2026"/>
        <item x="162"/>
        <item x="963"/>
        <item x="1979"/>
        <item x="1049"/>
        <item x="1595"/>
        <item x="16"/>
        <item x="1726"/>
        <item x="1156"/>
        <item x="1535"/>
        <item x="944"/>
        <item x="1846"/>
        <item x="1823"/>
        <item x="1620"/>
        <item x="2143"/>
        <item x="195"/>
        <item x="1311"/>
        <item x="348"/>
        <item x="1518"/>
        <item x="1497"/>
        <item x="194"/>
        <item x="811"/>
        <item x="751"/>
        <item x="907"/>
        <item x="67"/>
        <item x="1650"/>
        <item x="836"/>
        <item x="441"/>
        <item x="414"/>
        <item x="587"/>
        <item x="1267"/>
        <item x="663"/>
        <item x="518"/>
        <item x="1115"/>
        <item x="2101"/>
        <item x="1692"/>
        <item x="1713"/>
        <item x="1691"/>
        <item x="96"/>
        <item x="241"/>
        <item x="1999"/>
        <item x="781"/>
        <item x="1538"/>
        <item x="98"/>
        <item x="1662"/>
        <item x="1389"/>
        <item x="319"/>
        <item x="1206"/>
        <item x="2119"/>
        <item x="2191"/>
        <item x="1925"/>
        <item x="97"/>
        <item x="1893"/>
        <item x="2183"/>
        <item x="1827"/>
        <item x="2171"/>
        <item x="1264"/>
        <item x="494"/>
        <item x="331"/>
        <item x="222"/>
        <item x="317"/>
        <item x="2051"/>
        <item x="2190"/>
        <item x="861"/>
        <item x="1680"/>
        <item x="138"/>
        <item x="1806"/>
        <item x="1444"/>
        <item x="507"/>
        <item x="448"/>
        <item x="1129"/>
        <item x="308"/>
        <item x="683"/>
        <item x="1164"/>
        <item x="558"/>
        <item x="522"/>
        <item x="2001"/>
        <item x="1964"/>
        <item x="2141"/>
        <item x="26"/>
        <item x="1540"/>
        <item x="2275"/>
        <item x="1926"/>
        <item x="1318"/>
        <item x="1480"/>
        <item x="1346"/>
        <item x="529"/>
        <item x="1068"/>
        <item x="2074"/>
        <item x="780"/>
        <item x="1026"/>
        <item x="247"/>
        <item x="642"/>
        <item x="2210"/>
        <item x="1844"/>
        <item x="784"/>
        <item x="409"/>
        <item x="2111"/>
        <item x="339"/>
        <item x="1614"/>
        <item x="1363"/>
        <item x="1541"/>
        <item x="951"/>
        <item x="511"/>
        <item x="1078"/>
        <item x="1758"/>
        <item x="2189"/>
        <item x="1886"/>
        <item x="1697"/>
        <item x="1204"/>
        <item x="1207"/>
        <item x="1630"/>
        <item x="1721"/>
        <item x="1798"/>
        <item x="1269"/>
        <item x="1223"/>
        <item x="1835"/>
        <item x="1575"/>
        <item x="1604"/>
        <item x="2186"/>
        <item x="841"/>
        <item x="116"/>
        <item x="1642"/>
        <item x="237"/>
        <item x="920"/>
        <item x="723"/>
        <item x="708"/>
        <item x="1064"/>
        <item x="978"/>
        <item x="561"/>
        <item x="1472"/>
        <item x="1826"/>
        <item x="1628"/>
        <item x="1111"/>
        <item x="2226"/>
        <item x="1665"/>
        <item x="1824"/>
        <item x="1450"/>
        <item x="1102"/>
        <item x="568"/>
        <item x="200"/>
        <item x="207"/>
        <item x="59"/>
        <item x="2060"/>
        <item x="475"/>
        <item x="848"/>
        <item x="1437"/>
        <item x="1667"/>
        <item x="493"/>
        <item x="904"/>
        <item x="827"/>
        <item x="2041"/>
        <item x="1002"/>
        <item x="1466"/>
        <item x="664"/>
        <item x="1225"/>
        <item x="2131"/>
        <item x="621"/>
        <item x="91"/>
        <item x="2078"/>
        <item x="761"/>
        <item x="290"/>
        <item x="1864"/>
        <item x="1258"/>
        <item x="1294"/>
        <item x="2007"/>
        <item x="543"/>
        <item x="20"/>
        <item x="1210"/>
        <item x="1857"/>
        <item x="1281"/>
        <item x="1368"/>
        <item x="2181"/>
        <item x="1638"/>
        <item x="229"/>
        <item x="532"/>
        <item x="2043"/>
        <item x="1230"/>
        <item x="1916"/>
        <item x="1167"/>
        <item x="289"/>
        <item x="991"/>
        <item x="1410"/>
        <item x="1935"/>
        <item x="924"/>
        <item x="928"/>
        <item x="1747"/>
        <item x="2239"/>
        <item x="2175"/>
        <item x="1673"/>
        <item x="2072"/>
        <item x="264"/>
        <item x="877"/>
        <item x="2137"/>
        <item x="1556"/>
        <item x="1750"/>
        <item x="1617"/>
        <item x="767"/>
        <item x="196"/>
        <item x="1871"/>
        <item x="1031"/>
        <item x="62"/>
        <item x="76"/>
        <item x="1046"/>
        <item x="1814"/>
        <item x="1787"/>
        <item x="1657"/>
        <item x="253"/>
        <item x="1879"/>
        <item x="1099"/>
        <item x="1421"/>
        <item x="51"/>
        <item x="1355"/>
        <item x="2188"/>
        <item x="2193"/>
        <item x="1085"/>
        <item x="294"/>
        <item x="937"/>
        <item x="1591"/>
        <item x="1816"/>
        <item x="1946"/>
        <item x="1108"/>
        <item x="1113"/>
        <item x="692"/>
        <item x="1163"/>
        <item x="2254"/>
        <item x="1842"/>
        <item x="1809"/>
        <item x="671"/>
        <item x="2250"/>
        <item x="852"/>
        <item x="1354"/>
        <item x="1341"/>
        <item x="1148"/>
        <item x="2251"/>
        <item x="5"/>
        <item x="1312"/>
        <item x="1093"/>
        <item x="2083"/>
        <item x="1059"/>
        <item x="889"/>
        <item x="1768"/>
        <item x="2129"/>
        <item x="939"/>
        <item x="1175"/>
        <item x="458"/>
        <item x="651"/>
        <item x="575"/>
        <item x="926"/>
        <item x="106"/>
        <item x="1967"/>
        <item x="2105"/>
        <item x="1092"/>
        <item x="1378"/>
        <item x="2114"/>
        <item x="1932"/>
        <item x="2125"/>
        <item x="2047"/>
        <item x="576"/>
        <item x="1957"/>
        <item x="221"/>
        <item x="499"/>
        <item x="80"/>
        <item x="586"/>
        <item x="1306"/>
        <item x="1939"/>
        <item x="1063"/>
        <item x="1922"/>
        <item x="778"/>
        <item x="1180"/>
        <item x="1901"/>
        <item x="1606"/>
        <item x="1774"/>
        <item x="2177"/>
        <item x="1775"/>
        <item x="1150"/>
        <item x="1469"/>
        <item x="2038"/>
        <item x="1380"/>
        <item x="465"/>
        <item x="2115"/>
        <item x="1467"/>
        <item x="900"/>
        <item x="1895"/>
        <item x="464"/>
        <item x="1322"/>
        <item x="1581"/>
        <item x="1270"/>
        <item x="1217"/>
        <item x="1087"/>
        <item x="1576"/>
        <item x="1987"/>
        <item x="1847"/>
        <item x="2020"/>
        <item x="824"/>
        <item x="2167"/>
        <item x="2110"/>
        <item x="1336"/>
        <item x="89"/>
        <item x="662"/>
        <item x="1422"/>
        <item x="703"/>
        <item x="193"/>
        <item x="897"/>
        <item x="1778"/>
        <item x="1978"/>
        <item x="1344"/>
        <item x="2009"/>
        <item x="1045"/>
        <item x="1188"/>
        <item x="1649"/>
        <item x="1668"/>
        <item x="203"/>
        <item x="79"/>
        <item x="2172"/>
        <item x="882"/>
        <item x="1130"/>
        <item x="1182"/>
        <item x="2237"/>
        <item x="2106"/>
        <item x="2195"/>
        <item x="1877"/>
        <item x="712"/>
        <item x="46"/>
        <item x="1282"/>
        <item x="1515"/>
        <item x="181"/>
        <item x="618"/>
        <item x="11"/>
        <item x="954"/>
        <item x="1091"/>
        <item x="1818"/>
        <item x="1641"/>
        <item x="580"/>
        <item x="1845"/>
        <item x="1731"/>
        <item x="2217"/>
        <item x="489"/>
        <item x="1154"/>
        <item x="128"/>
        <item x="1612"/>
        <item x="191"/>
        <item x="1751"/>
        <item x="627"/>
        <item x="40"/>
        <item x="865"/>
        <item x="263"/>
        <item x="1651"/>
        <item x="368"/>
        <item x="1851"/>
        <item x="1408"/>
        <item x="2168"/>
        <item x="1418"/>
        <item x="1173"/>
        <item x="1508"/>
        <item x="688"/>
        <item x="2169"/>
        <item x="491"/>
        <item x="1226"/>
        <item x="1051"/>
        <item x="1387"/>
        <item x="1038"/>
        <item x="513"/>
        <item x="686"/>
        <item x="452"/>
        <item x="830"/>
        <item x="1718"/>
        <item x="1766"/>
        <item x="934"/>
        <item x="2027"/>
        <item x="2259"/>
        <item x="1859"/>
        <item x="367"/>
        <item x="673"/>
        <item x="388"/>
        <item x="1596"/>
        <item x="215"/>
        <item x="1214"/>
        <item x="1314"/>
        <item x="1299"/>
        <item x="48"/>
        <item x="2118"/>
        <item x="964"/>
        <item x="1411"/>
        <item x="879"/>
        <item x="517"/>
        <item x="608"/>
        <item x="2271"/>
        <item x="1239"/>
        <item x="725"/>
        <item x="81"/>
        <item x="211"/>
        <item x="2097"/>
        <item x="179"/>
        <item x="699"/>
        <item x="1313"/>
        <item x="140"/>
        <item x="912"/>
        <item x="758"/>
        <item x="230"/>
        <item x="1633"/>
        <item x="1773"/>
        <item x="1235"/>
        <item x="158"/>
        <item x="1358"/>
        <item x="1971"/>
        <item x="1211"/>
        <item x="714"/>
        <item x="190"/>
        <item t="default"/>
      </items>
    </pivotField>
    <pivotField compact="0" numFmtId="4" showAll="0">
      <items count="961">
        <item x="205"/>
        <item x="146"/>
        <item x="445"/>
        <item x="477"/>
        <item x="273"/>
        <item x="214"/>
        <item x="920"/>
        <item x="657"/>
        <item x="348"/>
        <item x="634"/>
        <item x="876"/>
        <item x="408"/>
        <item x="36"/>
        <item x="423"/>
        <item x="531"/>
        <item x="652"/>
        <item x="17"/>
        <item x="324"/>
        <item x="295"/>
        <item x="278"/>
        <item x="416"/>
        <item x="908"/>
        <item x="357"/>
        <item x="651"/>
        <item x="693"/>
        <item x="117"/>
        <item x="362"/>
        <item x="494"/>
        <item x="184"/>
        <item x="434"/>
        <item x="43"/>
        <item x="804"/>
        <item x="457"/>
        <item x="345"/>
        <item x="342"/>
        <item x="875"/>
        <item x="595"/>
        <item x="836"/>
        <item x="158"/>
        <item x="207"/>
        <item x="380"/>
        <item x="175"/>
        <item x="355"/>
        <item x="298"/>
        <item x="315"/>
        <item x="325"/>
        <item x="755"/>
        <item x="360"/>
        <item x="215"/>
        <item x="429"/>
        <item x="923"/>
        <item x="209"/>
        <item x="41"/>
        <item x="703"/>
        <item x="768"/>
        <item x="573"/>
        <item x="617"/>
        <item x="12"/>
        <item x="828"/>
        <item x="937"/>
        <item x="101"/>
        <item x="106"/>
        <item x="334"/>
        <item x="154"/>
        <item x="535"/>
        <item x="701"/>
        <item x="485"/>
        <item x="944"/>
        <item x="771"/>
        <item x="554"/>
        <item x="351"/>
        <item x="9"/>
        <item x="740"/>
        <item x="907"/>
        <item x="850"/>
        <item x="516"/>
        <item x="476"/>
        <item x="66"/>
        <item x="544"/>
        <item x="178"/>
        <item x="895"/>
        <item x="116"/>
        <item x="532"/>
        <item x="438"/>
        <item x="300"/>
        <item x="399"/>
        <item x="492"/>
        <item x="585"/>
        <item x="621"/>
        <item x="433"/>
        <item x="724"/>
        <item x="213"/>
        <item x="367"/>
        <item x="354"/>
        <item x="220"/>
        <item x="13"/>
        <item x="393"/>
        <item x="435"/>
        <item x="712"/>
        <item x="316"/>
        <item x="406"/>
        <item x="143"/>
        <item x="173"/>
        <item x="820"/>
        <item x="328"/>
        <item x="265"/>
        <item x="359"/>
        <item x="914"/>
        <item x="612"/>
        <item x="764"/>
        <item x="830"/>
        <item x="153"/>
        <item x="952"/>
        <item x="276"/>
        <item x="474"/>
        <item x="798"/>
        <item x="72"/>
        <item x="899"/>
        <item x="515"/>
        <item x="808"/>
        <item x="2"/>
        <item x="468"/>
        <item x="198"/>
        <item x="61"/>
        <item x="491"/>
        <item x="251"/>
        <item x="234"/>
        <item x="590"/>
        <item x="483"/>
        <item x="306"/>
        <item x="597"/>
        <item x="397"/>
        <item x="33"/>
        <item x="629"/>
        <item x="904"/>
        <item x="387"/>
        <item x="333"/>
        <item x="711"/>
        <item x="700"/>
        <item x="54"/>
        <item x="451"/>
        <item x="577"/>
        <item x="255"/>
        <item x="114"/>
        <item x="221"/>
        <item x="344"/>
        <item x="69"/>
        <item x="25"/>
        <item x="570"/>
        <item x="587"/>
        <item x="841"/>
        <item x="748"/>
        <item x="649"/>
        <item x="327"/>
        <item x="618"/>
        <item x="233"/>
        <item x="611"/>
        <item x="932"/>
        <item x="750"/>
        <item x="304"/>
        <item x="247"/>
        <item x="201"/>
        <item x="401"/>
        <item x="426"/>
        <item x="616"/>
        <item x="536"/>
        <item x="757"/>
        <item x="950"/>
        <item x="628"/>
        <item x="57"/>
        <item x="241"/>
        <item x="449"/>
        <item x="332"/>
        <item x="42"/>
        <item x="58"/>
        <item x="421"/>
        <item x="18"/>
        <item x="792"/>
        <item x="305"/>
        <item x="728"/>
        <item x="53"/>
        <item x="765"/>
        <item x="44"/>
        <item x="155"/>
        <item x="246"/>
        <item x="164"/>
        <item x="111"/>
        <item x="922"/>
        <item x="632"/>
        <item x="64"/>
        <item x="290"/>
        <item x="569"/>
        <item x="493"/>
        <item x="145"/>
        <item x="732"/>
        <item x="142"/>
        <item x="379"/>
        <item x="490"/>
        <item x="263"/>
        <item x="827"/>
        <item x="115"/>
        <item x="77"/>
        <item x="245"/>
        <item x="322"/>
        <item x="574"/>
        <item x="576"/>
        <item x="545"/>
        <item x="801"/>
        <item x="161"/>
        <item x="446"/>
        <item x="866"/>
        <item x="900"/>
        <item x="580"/>
        <item x="73"/>
        <item x="707"/>
        <item x="463"/>
        <item x="480"/>
        <item x="268"/>
        <item x="444"/>
        <item x="927"/>
        <item x="281"/>
        <item x="230"/>
        <item x="0"/>
        <item x="469"/>
        <item x="934"/>
        <item x="259"/>
        <item x="910"/>
        <item x="252"/>
        <item x="301"/>
        <item x="659"/>
        <item x="28"/>
        <item x="231"/>
        <item x="786"/>
        <item x="267"/>
        <item x="643"/>
        <item x="287"/>
        <item x="802"/>
        <item x="297"/>
        <item x="815"/>
        <item x="369"/>
        <item x="622"/>
        <item x="955"/>
        <item x="663"/>
        <item x="594"/>
        <item x="203"/>
        <item x="280"/>
        <item x="486"/>
        <item x="458"/>
        <item x="82"/>
        <item x="553"/>
        <item x="637"/>
        <item x="92"/>
        <item x="427"/>
        <item x="139"/>
        <item x="364"/>
        <item x="648"/>
        <item x="27"/>
        <item x="505"/>
        <item x="442"/>
        <item x="517"/>
        <item x="299"/>
        <item x="378"/>
        <item x="68"/>
        <item x="420"/>
        <item x="239"/>
        <item x="824"/>
        <item x="308"/>
        <item x="498"/>
        <item x="752"/>
        <item x="928"/>
        <item x="269"/>
        <item x="883"/>
        <item x="759"/>
        <item x="473"/>
        <item x="867"/>
        <item x="317"/>
        <item x="455"/>
        <item x="682"/>
        <item x="470"/>
        <item x="244"/>
        <item x="640"/>
        <item x="734"/>
        <item x="722"/>
        <item x="647"/>
        <item x="341"/>
        <item x="193"/>
        <item x="424"/>
        <item x="94"/>
        <item x="131"/>
        <item x="126"/>
        <item x="279"/>
        <item x="840"/>
        <item x="339"/>
        <item x="945"/>
        <item x="253"/>
        <item x="440"/>
        <item x="565"/>
        <item x="50"/>
        <item x="400"/>
        <item x="150"/>
        <item x="685"/>
        <item x="271"/>
        <item x="689"/>
        <item x="123"/>
        <item x="200"/>
        <item x="272"/>
        <item x="903"/>
        <item x="890"/>
        <item x="683"/>
        <item x="260"/>
        <item x="919"/>
        <item x="592"/>
        <item x="926"/>
        <item x="103"/>
        <item x="869"/>
        <item x="717"/>
        <item x="439"/>
        <item x="47"/>
        <item x="886"/>
        <item x="715"/>
        <item x="858"/>
        <item x="825"/>
        <item x="680"/>
        <item x="933"/>
        <item x="293"/>
        <item x="947"/>
        <item x="561"/>
        <item x="791"/>
        <item x="31"/>
        <item x="22"/>
        <item x="14"/>
        <item x="338"/>
        <item x="829"/>
        <item x="65"/>
        <item x="676"/>
        <item x="3"/>
        <item x="292"/>
        <item x="667"/>
        <item x="466"/>
        <item x="837"/>
        <item x="70"/>
        <item x="337"/>
        <item x="898"/>
        <item x="370"/>
        <item x="525"/>
        <item x="877"/>
        <item x="243"/>
        <item x="889"/>
        <item x="296"/>
        <item x="129"/>
        <item x="109"/>
        <item x="542"/>
        <item x="953"/>
        <item x="954"/>
        <item x="854"/>
        <item x="388"/>
        <item x="159"/>
        <item x="916"/>
        <item x="598"/>
        <item x="806"/>
        <item x="650"/>
        <item x="725"/>
        <item x="555"/>
        <item x="549"/>
        <item x="156"/>
        <item x="343"/>
        <item x="121"/>
        <item x="347"/>
        <item x="520"/>
        <item x="484"/>
        <item x="671"/>
        <item x="756"/>
        <item x="249"/>
        <item x="225"/>
        <item x="735"/>
        <item x="135"/>
        <item x="144"/>
        <item x="730"/>
        <item x="171"/>
        <item x="472"/>
        <item x="881"/>
        <item x="776"/>
        <item x="502"/>
        <item x="631"/>
        <item x="321"/>
        <item x="600"/>
        <item x="665"/>
        <item x="190"/>
        <item x="363"/>
        <item x="489"/>
        <item x="777"/>
        <item x="784"/>
        <item x="6"/>
        <item x="673"/>
        <item x="495"/>
        <item x="533"/>
        <item x="320"/>
        <item x="136"/>
        <item x="769"/>
        <item x="119"/>
        <item x="694"/>
        <item x="99"/>
        <item x="196"/>
        <item x="807"/>
        <item x="395"/>
        <item x="288"/>
        <item x="39"/>
        <item x="7"/>
        <item x="888"/>
        <item x="503"/>
        <item x="751"/>
        <item x="24"/>
        <item x="579"/>
        <item x="719"/>
        <item x="318"/>
        <item x="125"/>
        <item x="415"/>
        <item x="60"/>
        <item x="514"/>
        <item x="727"/>
        <item x="147"/>
        <item x="733"/>
        <item x="941"/>
        <item x="52"/>
        <item x="127"/>
        <item x="248"/>
        <item x="560"/>
        <item x="510"/>
        <item x="630"/>
        <item x="826"/>
        <item x="564"/>
        <item x="326"/>
        <item x="658"/>
        <item x="130"/>
        <item x="162"/>
        <item x="120"/>
        <item x="698"/>
        <item x="235"/>
        <item x="194"/>
        <item x="705"/>
        <item x="376"/>
        <item x="185"/>
        <item x="891"/>
        <item x="790"/>
        <item x="475"/>
        <item x="803"/>
        <item x="905"/>
        <item x="410"/>
        <item x="773"/>
        <item x="653"/>
        <item x="795"/>
        <item x="931"/>
        <item x="822"/>
        <item x="817"/>
        <item x="29"/>
        <item x="313"/>
        <item x="107"/>
        <item x="372"/>
        <item x="861"/>
        <item x="541"/>
        <item x="706"/>
        <item x="218"/>
        <item x="893"/>
        <item x="593"/>
        <item x="212"/>
        <item x="464"/>
        <item x="217"/>
        <item x="202"/>
        <item x="639"/>
        <item x="811"/>
        <item x="282"/>
        <item x="319"/>
        <item x="747"/>
        <item x="793"/>
        <item x="527"/>
        <item x="232"/>
        <item x="375"/>
        <item x="137"/>
        <item x="518"/>
        <item x="386"/>
        <item x="112"/>
        <item x="284"/>
        <item x="98"/>
        <item x="412"/>
        <item x="381"/>
        <item x="168"/>
        <item x="335"/>
        <item x="371"/>
        <item x="519"/>
        <item x="929"/>
        <item x="781"/>
        <item x="664"/>
        <item x="277"/>
        <item x="149"/>
        <item x="672"/>
        <item x="256"/>
        <item x="716"/>
        <item x="901"/>
        <item x="140"/>
        <item x="1"/>
        <item x="766"/>
        <item x="913"/>
        <item x="675"/>
        <item x="507"/>
        <item x="411"/>
        <item x="242"/>
        <item x="85"/>
        <item x="93"/>
        <item x="656"/>
        <item x="599"/>
        <item x="821"/>
        <item x="407"/>
        <item x="166"/>
        <item x="208"/>
        <item x="8"/>
        <item x="45"/>
        <item x="165"/>
        <item x="731"/>
        <item x="538"/>
        <item x="349"/>
        <item x="614"/>
        <item x="529"/>
        <item x="151"/>
        <item x="133"/>
        <item x="189"/>
        <item x="736"/>
        <item x="754"/>
        <item x="831"/>
        <item x="141"/>
        <item x="10"/>
        <item x="669"/>
        <item x="170"/>
        <item x="762"/>
        <item x="720"/>
        <item x="814"/>
        <item x="646"/>
        <item x="849"/>
        <item x="812"/>
        <item x="447"/>
        <item x="524"/>
        <item x="604"/>
        <item x="946"/>
        <item x="350"/>
        <item x="454"/>
        <item x="772"/>
        <item x="497"/>
        <item x="583"/>
        <item x="409"/>
        <item x="780"/>
        <item x="654"/>
        <item x="558"/>
        <item x="270"/>
        <item x="389"/>
        <item x="641"/>
        <item x="352"/>
        <item x="81"/>
        <item x="254"/>
        <item x="605"/>
        <item x="302"/>
        <item x="566"/>
        <item x="688"/>
        <item x="562"/>
        <item x="186"/>
        <item x="118"/>
        <item x="91"/>
        <item x="240"/>
        <item x="223"/>
        <item x="450"/>
        <item x="704"/>
        <item x="138"/>
        <item x="626"/>
        <item x="709"/>
        <item x="534"/>
        <item x="742"/>
        <item x="30"/>
        <item x="943"/>
        <item x="816"/>
        <item x="34"/>
        <item x="437"/>
        <item x="314"/>
        <item x="76"/>
        <item x="864"/>
        <item x="366"/>
        <item x="788"/>
        <item x="436"/>
        <item x="262"/>
        <item x="163"/>
        <item x="956"/>
        <item x="385"/>
        <item x="833"/>
        <item x="188"/>
        <item x="847"/>
        <item x="312"/>
        <item x="23"/>
        <item x="496"/>
        <item x="459"/>
        <item x="852"/>
        <item x="285"/>
        <item x="365"/>
        <item x="482"/>
        <item x="853"/>
        <item x="572"/>
        <item x="699"/>
        <item x="418"/>
        <item x="537"/>
        <item x="330"/>
        <item x="250"/>
        <item x="89"/>
        <item x="192"/>
        <item x="4"/>
        <item x="49"/>
        <item x="644"/>
        <item x="460"/>
        <item x="823"/>
        <item x="110"/>
        <item x="633"/>
        <item x="71"/>
        <item x="122"/>
        <item x="35"/>
        <item x="229"/>
        <item x="353"/>
        <item x="176"/>
        <item x="67"/>
        <item x="860"/>
        <item x="100"/>
        <item x="844"/>
        <item x="692"/>
        <item x="32"/>
        <item x="575"/>
        <item x="526"/>
        <item x="394"/>
        <item x="462"/>
        <item x="478"/>
        <item x="105"/>
        <item x="183"/>
        <item x="603"/>
        <item x="331"/>
        <item x="83"/>
        <item x="552"/>
        <item x="84"/>
        <item x="206"/>
        <item x="951"/>
        <item x="108"/>
        <item x="855"/>
        <item x="361"/>
        <item x="467"/>
        <item x="465"/>
        <item x="859"/>
        <item x="286"/>
        <item x="37"/>
        <item x="428"/>
        <item x="197"/>
        <item x="613"/>
        <item x="291"/>
        <item x="323"/>
        <item x="504"/>
        <item x="702"/>
        <item x="911"/>
        <item x="238"/>
        <item x="949"/>
        <item x="396"/>
        <item x="358"/>
        <item x="805"/>
        <item x="743"/>
        <item x="636"/>
        <item x="868"/>
        <item x="610"/>
        <item x="681"/>
        <item x="275"/>
        <item x="522"/>
        <item x="608"/>
        <item x="865"/>
        <item x="540"/>
        <item x="718"/>
        <item x="174"/>
        <item x="857"/>
        <item x="403"/>
        <item x="16"/>
        <item x="329"/>
        <item x="551"/>
        <item x="266"/>
        <item x="511"/>
        <item x="796"/>
        <item x="894"/>
        <item x="398"/>
        <item x="172"/>
        <item x="422"/>
        <item x="661"/>
        <item x="915"/>
        <item x="488"/>
        <item x="942"/>
        <item x="430"/>
        <item x="737"/>
        <item x="102"/>
        <item x="373"/>
        <item x="160"/>
        <item x="391"/>
        <item x="309"/>
        <item x="873"/>
        <item x="813"/>
        <item x="930"/>
        <item x="902"/>
        <item x="582"/>
        <item x="714"/>
        <item x="303"/>
        <item x="307"/>
        <item x="283"/>
        <item x="261"/>
        <item x="782"/>
        <item x="789"/>
        <item x="763"/>
        <item x="925"/>
        <item x="15"/>
        <item x="157"/>
        <item x="940"/>
        <item x="745"/>
        <item x="729"/>
        <item x="767"/>
        <item x="921"/>
        <item x="191"/>
        <item x="783"/>
        <item x="846"/>
        <item x="56"/>
        <item x="19"/>
        <item x="770"/>
        <item x="779"/>
        <item x="887"/>
        <item x="441"/>
        <item x="567"/>
        <item x="586"/>
        <item x="431"/>
        <item x="539"/>
        <item x="63"/>
        <item x="356"/>
        <item x="543"/>
        <item x="501"/>
        <item x="294"/>
        <item x="55"/>
        <item x="274"/>
        <item x="797"/>
        <item x="668"/>
        <item x="392"/>
        <item x="336"/>
        <item x="38"/>
        <item x="655"/>
        <item x="761"/>
        <item x="128"/>
        <item x="96"/>
        <item x="918"/>
        <item x="86"/>
        <item x="619"/>
        <item x="481"/>
        <item x="443"/>
        <item x="413"/>
        <item x="645"/>
        <item x="697"/>
        <item x="746"/>
        <item x="26"/>
        <item x="506"/>
        <item x="563"/>
        <item x="340"/>
        <item x="774"/>
        <item x="556"/>
        <item x="528"/>
        <item x="222"/>
        <item x="346"/>
        <item x="97"/>
        <item x="419"/>
        <item x="739"/>
        <item x="936"/>
        <item x="662"/>
        <item x="588"/>
        <item x="568"/>
        <item x="530"/>
        <item x="851"/>
        <item x="368"/>
        <item x="917"/>
        <item x="132"/>
        <item x="760"/>
        <item x="453"/>
        <item x="152"/>
        <item x="601"/>
        <item x="226"/>
        <item x="938"/>
        <item x="874"/>
        <item x="635"/>
        <item x="224"/>
        <item x="509"/>
        <item x="856"/>
        <item x="838"/>
        <item x="59"/>
        <item x="557"/>
        <item x="602"/>
        <item x="228"/>
        <item x="264"/>
        <item x="237"/>
        <item x="87"/>
        <item x="21"/>
        <item x="559"/>
        <item x="571"/>
        <item x="684"/>
        <item x="880"/>
        <item x="775"/>
        <item x="216"/>
        <item x="642"/>
        <item x="227"/>
        <item x="620"/>
        <item x="879"/>
        <item x="204"/>
        <item x="842"/>
        <item x="738"/>
        <item x="878"/>
        <item x="181"/>
        <item x="487"/>
        <item x="432"/>
        <item x="713"/>
        <item x="547"/>
        <item x="862"/>
        <item x="690"/>
        <item x="584"/>
        <item x="461"/>
        <item x="182"/>
        <item x="839"/>
        <item x="74"/>
        <item x="179"/>
        <item x="414"/>
        <item x="95"/>
        <item x="819"/>
        <item x="679"/>
        <item x="258"/>
        <item x="749"/>
        <item x="79"/>
        <item x="219"/>
        <item x="924"/>
        <item x="591"/>
        <item x="686"/>
        <item x="448"/>
        <item x="818"/>
        <item x="425"/>
        <item x="885"/>
        <item x="384"/>
        <item x="835"/>
        <item x="500"/>
        <item x="113"/>
        <item x="845"/>
        <item x="638"/>
        <item x="289"/>
        <item x="696"/>
        <item x="405"/>
        <item x="848"/>
        <item x="758"/>
        <item x="210"/>
        <item x="20"/>
        <item x="607"/>
        <item x="958"/>
        <item x="624"/>
        <item x="939"/>
        <item x="404"/>
        <item x="896"/>
        <item x="660"/>
        <item x="834"/>
        <item x="596"/>
        <item x="382"/>
        <item x="691"/>
        <item x="499"/>
        <item x="180"/>
        <item x="578"/>
        <item x="627"/>
        <item x="589"/>
        <item x="75"/>
        <item x="169"/>
        <item x="623"/>
        <item x="257"/>
        <item x="678"/>
        <item x="884"/>
        <item x="456"/>
        <item x="794"/>
        <item x="48"/>
        <item x="832"/>
        <item x="187"/>
        <item x="40"/>
        <item x="799"/>
        <item x="104"/>
        <item x="871"/>
        <item x="311"/>
        <item x="897"/>
        <item x="88"/>
        <item x="402"/>
        <item x="548"/>
        <item x="513"/>
        <item x="452"/>
        <item x="615"/>
        <item x="90"/>
        <item x="195"/>
        <item x="695"/>
        <item x="390"/>
        <item x="521"/>
        <item x="948"/>
        <item x="62"/>
        <item x="710"/>
        <item x="550"/>
        <item x="785"/>
        <item x="906"/>
        <item x="383"/>
        <item x="912"/>
        <item x="800"/>
        <item x="5"/>
        <item x="46"/>
        <item x="374"/>
        <item x="957"/>
        <item x="78"/>
        <item x="609"/>
        <item x="778"/>
        <item x="892"/>
        <item x="625"/>
        <item x="377"/>
        <item x="882"/>
        <item x="666"/>
        <item x="310"/>
        <item x="51"/>
        <item x="872"/>
        <item x="134"/>
        <item x="670"/>
        <item x="863"/>
        <item x="677"/>
        <item x="236"/>
        <item x="708"/>
        <item x="11"/>
        <item x="810"/>
        <item x="870"/>
        <item x="674"/>
        <item x="721"/>
        <item x="959"/>
        <item x="471"/>
        <item x="935"/>
        <item x="753"/>
        <item x="787"/>
        <item x="687"/>
        <item x="809"/>
        <item x="843"/>
        <item x="479"/>
        <item x="417"/>
        <item x="606"/>
        <item x="124"/>
        <item x="546"/>
        <item x="523"/>
        <item x="148"/>
        <item x="723"/>
        <item x="199"/>
        <item x="726"/>
        <item x="167"/>
        <item x="909"/>
        <item x="512"/>
        <item x="744"/>
        <item x="177"/>
        <item x="508"/>
        <item x="581"/>
        <item x="80"/>
        <item x="211"/>
        <item x="741"/>
        <item t="default"/>
      </items>
    </pivotField>
    <pivotField compact="0" numFmtId="4" showAll="0">
      <items count="2259">
        <item x="1732"/>
        <item x="2015"/>
        <item x="1280"/>
        <item x="1261"/>
        <item x="2074"/>
        <item x="1400"/>
        <item x="1149"/>
        <item x="1879"/>
        <item x="2061"/>
        <item x="1867"/>
        <item x="2099"/>
        <item x="2014"/>
        <item x="1676"/>
        <item x="875"/>
        <item x="137"/>
        <item x="705"/>
        <item x="1114"/>
        <item x="686"/>
        <item x="1059"/>
        <item x="623"/>
        <item x="1871"/>
        <item x="930"/>
        <item x="2114"/>
        <item x="1072"/>
        <item x="704"/>
        <item x="530"/>
        <item x="1987"/>
        <item x="1880"/>
        <item x="865"/>
        <item x="2128"/>
        <item x="129"/>
        <item x="804"/>
        <item x="1738"/>
        <item x="1316"/>
        <item x="2051"/>
        <item x="529"/>
        <item x="789"/>
        <item x="663"/>
        <item x="439"/>
        <item x="2219"/>
        <item x="1708"/>
        <item x="1456"/>
        <item x="2186"/>
        <item x="597"/>
        <item x="601"/>
        <item x="371"/>
        <item x="1086"/>
        <item x="1393"/>
        <item x="1457"/>
        <item x="1419"/>
        <item x="736"/>
        <item x="827"/>
        <item x="1122"/>
        <item x="735"/>
        <item x="1739"/>
        <item x="1115"/>
        <item x="911"/>
        <item x="115"/>
        <item x="1109"/>
        <item x="98"/>
        <item x="2141"/>
        <item x="1639"/>
        <item x="1386"/>
        <item x="99"/>
        <item x="505"/>
        <item x="2209"/>
        <item x="15"/>
        <item x="1627"/>
        <item x="997"/>
        <item x="690"/>
        <item x="856"/>
        <item x="470"/>
        <item x="303"/>
        <item x="1124"/>
        <item x="899"/>
        <item x="993"/>
        <item x="1521"/>
        <item x="2167"/>
        <item x="186"/>
        <item x="815"/>
        <item x="1900"/>
        <item x="1950"/>
        <item x="751"/>
        <item x="474"/>
        <item x="151"/>
        <item x="1614"/>
        <item x="570"/>
        <item x="405"/>
        <item x="1514"/>
        <item x="2159"/>
        <item x="1862"/>
        <item x="39"/>
        <item x="611"/>
        <item x="318"/>
        <item x="1761"/>
        <item x="1478"/>
        <item x="636"/>
        <item x="1293"/>
        <item x="1613"/>
        <item x="589"/>
        <item x="1747"/>
        <item x="1087"/>
        <item x="1914"/>
        <item x="1959"/>
        <item x="392"/>
        <item x="301"/>
        <item x="232"/>
        <item x="425"/>
        <item x="2068"/>
        <item x="9"/>
        <item x="220"/>
        <item x="1651"/>
        <item x="1685"/>
        <item x="309"/>
        <item x="1769"/>
        <item x="231"/>
        <item x="359"/>
        <item x="628"/>
        <item x="1323"/>
        <item x="1006"/>
        <item x="64"/>
        <item x="1949"/>
        <item x="620"/>
        <item x="2138"/>
        <item x="1468"/>
        <item x="1251"/>
        <item x="2247"/>
        <item x="1624"/>
        <item x="759"/>
        <item x="1998"/>
        <item x="217"/>
        <item x="731"/>
        <item x="2143"/>
        <item x="953"/>
        <item x="1126"/>
        <item x="592"/>
        <item x="165"/>
        <item x="185"/>
        <item x="1365"/>
        <item x="1269"/>
        <item x="1937"/>
        <item x="946"/>
        <item x="1031"/>
        <item x="1214"/>
        <item x="1623"/>
        <item x="1476"/>
        <item x="2172"/>
        <item x="17"/>
        <item x="494"/>
        <item x="233"/>
        <item x="1815"/>
        <item x="966"/>
        <item x="306"/>
        <item x="1779"/>
        <item x="522"/>
        <item x="466"/>
        <item x="1838"/>
        <item x="1727"/>
        <item x="123"/>
        <item x="1518"/>
        <item x="1061"/>
        <item x="2163"/>
        <item x="1431"/>
        <item x="1636"/>
        <item x="593"/>
        <item x="574"/>
        <item x="2140"/>
        <item x="1011"/>
        <item x="1033"/>
        <item x="635"/>
        <item x="1896"/>
        <item x="511"/>
        <item x="450"/>
        <item x="1239"/>
        <item x="867"/>
        <item x="216"/>
        <item x="2103"/>
        <item x="1550"/>
        <item x="913"/>
        <item x="2077"/>
        <item x="955"/>
        <item x="697"/>
        <item x="1618"/>
        <item x="1832"/>
        <item x="1588"/>
        <item x="432"/>
        <item x="552"/>
        <item x="1444"/>
        <item x="1992"/>
        <item x="355"/>
        <item x="990"/>
        <item x="41"/>
        <item x="1499"/>
        <item x="1273"/>
        <item x="2216"/>
        <item x="2249"/>
        <item x="720"/>
        <item x="1463"/>
        <item x="457"/>
        <item x="462"/>
        <item x="1744"/>
        <item x="561"/>
        <item x="1910"/>
        <item x="117"/>
        <item x="225"/>
        <item x="544"/>
        <item x="838"/>
        <item x="413"/>
        <item x="858"/>
        <item x="2092"/>
        <item x="975"/>
        <item x="987"/>
        <item x="1706"/>
        <item x="1258"/>
        <item x="1195"/>
        <item x="1306"/>
        <item x="35"/>
        <item x="1817"/>
        <item x="482"/>
        <item x="538"/>
        <item x="149"/>
        <item x="2040"/>
        <item x="1494"/>
        <item x="1005"/>
        <item x="1406"/>
        <item x="665"/>
        <item x="236"/>
        <item x="648"/>
        <item x="2002"/>
        <item x="787"/>
        <item x="1902"/>
        <item x="685"/>
        <item x="1842"/>
        <item x="625"/>
        <item x="196"/>
        <item x="484"/>
        <item x="271"/>
        <item x="1340"/>
        <item x="297"/>
        <item x="2033"/>
        <item x="767"/>
        <item x="1728"/>
        <item x="1783"/>
        <item x="609"/>
        <item x="1926"/>
        <item x="698"/>
        <item x="2215"/>
        <item x="410"/>
        <item x="72"/>
        <item x="540"/>
        <item x="288"/>
        <item x="769"/>
        <item x="1789"/>
        <item x="132"/>
        <item x="1990"/>
        <item x="902"/>
        <item x="1554"/>
        <item x="369"/>
        <item x="762"/>
        <item x="773"/>
        <item x="2073"/>
        <item x="2016"/>
        <item x="183"/>
        <item x="455"/>
        <item x="1327"/>
        <item x="1836"/>
        <item x="619"/>
        <item x="63"/>
        <item x="379"/>
        <item x="1095"/>
        <item x="1075"/>
        <item x="1799"/>
        <item x="651"/>
        <item x="1570"/>
        <item x="1999"/>
        <item x="2"/>
        <item x="890"/>
        <item x="440"/>
        <item x="408"/>
        <item x="1745"/>
        <item x="702"/>
        <item x="847"/>
        <item x="1138"/>
        <item x="24"/>
        <item x="1132"/>
        <item x="1354"/>
        <item x="459"/>
        <item x="370"/>
        <item x="669"/>
        <item x="979"/>
        <item x="230"/>
        <item x="1502"/>
        <item x="1549"/>
        <item x="258"/>
        <item x="1666"/>
        <item x="2075"/>
        <item x="859"/>
        <item x="1467"/>
        <item x="307"/>
        <item x="1243"/>
        <item x="689"/>
        <item x="1460"/>
        <item x="750"/>
        <item x="1277"/>
        <item x="211"/>
        <item x="295"/>
        <item x="299"/>
        <item x="1173"/>
        <item x="1921"/>
        <item x="1534"/>
        <item x="964"/>
        <item x="1482"/>
        <item x="1191"/>
        <item x="1448"/>
        <item x="12"/>
        <item x="1247"/>
        <item x="1193"/>
        <item x="1935"/>
        <item x="215"/>
        <item x="486"/>
        <item x="2218"/>
        <item x="428"/>
        <item x="878"/>
        <item x="758"/>
        <item x="1420"/>
        <item x="380"/>
        <item x="954"/>
        <item x="952"/>
        <item x="1766"/>
        <item x="1774"/>
        <item x="1770"/>
        <item x="726"/>
        <item x="453"/>
        <item x="1503"/>
        <item x="1098"/>
        <item x="488"/>
        <item x="2054"/>
        <item x="1180"/>
        <item x="2149"/>
        <item x="1907"/>
        <item x="27"/>
        <item x="311"/>
        <item x="382"/>
        <item x="422"/>
        <item x="970"/>
        <item x="338"/>
        <item x="1647"/>
        <item x="1668"/>
        <item x="2199"/>
        <item x="1673"/>
        <item x="358"/>
        <item x="545"/>
        <item x="1579"/>
        <item x="1100"/>
        <item x="1108"/>
        <item x="76"/>
        <item x="2225"/>
        <item x="1337"/>
        <item x="13"/>
        <item x="1787"/>
        <item x="2029"/>
        <item x="1572"/>
        <item x="347"/>
        <item x="761"/>
        <item x="1282"/>
        <item x="1453"/>
        <item x="2119"/>
        <item x="341"/>
        <item x="302"/>
        <item x="121"/>
        <item x="770"/>
        <item x="1451"/>
        <item x="162"/>
        <item x="722"/>
        <item x="1800"/>
        <item x="1742"/>
        <item x="1562"/>
        <item x="2052"/>
        <item x="1175"/>
        <item x="2133"/>
        <item x="1275"/>
        <item x="1980"/>
        <item x="599"/>
        <item x="262"/>
        <item x="423"/>
        <item x="627"/>
        <item x="2008"/>
        <item x="169"/>
        <item x="1504"/>
        <item x="504"/>
        <item x="519"/>
        <item x="393"/>
        <item x="692"/>
        <item x="1877"/>
        <item x="148"/>
        <item x="556"/>
        <item x="790"/>
        <item x="974"/>
        <item x="292"/>
        <item x="356"/>
        <item x="928"/>
        <item x="2105"/>
        <item x="1410"/>
        <item x="91"/>
        <item x="1238"/>
        <item x="239"/>
        <item x="661"/>
        <item x="821"/>
        <item x="1148"/>
        <item x="491"/>
        <item x="1417"/>
        <item x="1597"/>
        <item x="1498"/>
        <item x="1752"/>
        <item x="177"/>
        <item x="383"/>
        <item x="493"/>
        <item x="1601"/>
        <item x="742"/>
        <item x="1552"/>
        <item x="558"/>
        <item x="1697"/>
        <item x="52"/>
        <item x="1855"/>
        <item x="1288"/>
        <item x="1780"/>
        <item x="1544"/>
        <item x="1234"/>
        <item x="2254"/>
        <item x="879"/>
        <item x="817"/>
        <item x="2229"/>
        <item x="1363"/>
        <item x="1974"/>
        <item x="1629"/>
        <item x="2079"/>
        <item x="1435"/>
        <item x="67"/>
        <item x="1465"/>
        <item x="1168"/>
        <item x="240"/>
        <item x="1360"/>
        <item x="2082"/>
        <item x="224"/>
        <item x="1421"/>
        <item x="579"/>
        <item x="1218"/>
        <item x="430"/>
        <item x="976"/>
        <item x="1312"/>
        <item x="1892"/>
        <item x="1440"/>
        <item x="1117"/>
        <item x="1378"/>
        <item x="652"/>
        <item x="869"/>
        <item x="782"/>
        <item x="106"/>
        <item x="2183"/>
        <item x="308"/>
        <item x="1784"/>
        <item x="963"/>
        <item x="1224"/>
        <item x="395"/>
        <item x="1387"/>
        <item x="915"/>
        <item x="1919"/>
        <item x="1344"/>
        <item x="1313"/>
        <item x="223"/>
        <item x="1555"/>
        <item x="62"/>
        <item x="101"/>
        <item x="1474"/>
        <item x="161"/>
        <item x="1696"/>
        <item x="467"/>
        <item x="2053"/>
        <item x="1785"/>
        <item x="938"/>
        <item x="1958"/>
        <item x="71"/>
        <item x="2142"/>
        <item x="1397"/>
        <item x="1911"/>
        <item x="268"/>
        <item x="2025"/>
        <item x="1145"/>
        <item x="1426"/>
        <item x="324"/>
        <item x="300"/>
        <item x="434"/>
        <item x="415"/>
        <item x="1645"/>
        <item x="880"/>
        <item x="534"/>
        <item x="463"/>
        <item x="1802"/>
        <item x="967"/>
        <item x="352"/>
        <item x="527"/>
        <item x="1394"/>
        <item x="881"/>
        <item x="682"/>
        <item x="1325"/>
        <item x="167"/>
        <item x="257"/>
        <item x="2227"/>
        <item x="981"/>
        <item x="394"/>
        <item x="2127"/>
        <item x="2060"/>
        <item x="596"/>
        <item x="524"/>
        <item x="427"/>
        <item x="768"/>
        <item x="2202"/>
        <item x="1840"/>
        <item x="2185"/>
        <item x="1830"/>
        <item x="1264"/>
        <item x="1089"/>
        <item x="1945"/>
        <item x="1479"/>
        <item x="2078"/>
        <item x="1174"/>
        <item x="1510"/>
        <item x="794"/>
        <item x="1162"/>
        <item x="1723"/>
        <item x="322"/>
        <item x="1152"/>
        <item x="1595"/>
        <item x="1101"/>
        <item x="2124"/>
        <item x="935"/>
        <item x="586"/>
        <item x="407"/>
        <item x="1973"/>
        <item x="146"/>
        <item x="1515"/>
        <item x="610"/>
        <item x="748"/>
        <item x="1566"/>
        <item x="941"/>
        <item x="811"/>
        <item x="1160"/>
        <item x="2069"/>
        <item x="1141"/>
        <item x="1376"/>
        <item x="1361"/>
        <item x="1861"/>
        <item x="775"/>
        <item x="2244"/>
        <item x="510"/>
        <item x="1004"/>
        <item x="1231"/>
        <item x="1582"/>
        <item x="283"/>
        <item x="253"/>
        <item x="1553"/>
        <item x="962"/>
        <item x="523"/>
        <item x="643"/>
        <item x="270"/>
        <item x="1591"/>
        <item x="1424"/>
        <item x="1890"/>
        <item x="578"/>
        <item x="778"/>
        <item x="1932"/>
        <item x="333"/>
        <item x="56"/>
        <item x="549"/>
        <item x="206"/>
        <item x="203"/>
        <item x="189"/>
        <item x="1733"/>
        <item x="727"/>
        <item x="630"/>
        <item x="1989"/>
        <item x="1418"/>
        <item x="1256"/>
        <item x="256"/>
        <item x="1985"/>
        <item x="1366"/>
        <item x="968"/>
        <item x="812"/>
        <item x="1626"/>
        <item x="404"/>
        <item x="2129"/>
        <item x="2090"/>
        <item x="1520"/>
        <item x="1353"/>
        <item x="81"/>
        <item x="934"/>
        <item x="1232"/>
        <item x="279"/>
        <item x="553"/>
        <item x="170"/>
        <item x="836"/>
        <item x="903"/>
        <item x="1966"/>
        <item x="1851"/>
        <item x="2132"/>
        <item x="160"/>
        <item x="1796"/>
        <item x="1996"/>
        <item x="73"/>
        <item x="252"/>
        <item x="1242"/>
        <item x="982"/>
        <item x="737"/>
        <item x="1970"/>
        <item x="1032"/>
        <item x="2131"/>
        <item x="1039"/>
        <item x="2072"/>
        <item x="1454"/>
        <item x="541"/>
        <item x="988"/>
        <item x="107"/>
        <item x="693"/>
        <item x="314"/>
        <item x="958"/>
        <item x="888"/>
        <item x="607"/>
        <item x="912"/>
        <item x="1901"/>
        <item x="120"/>
        <item x="26"/>
        <item x="766"/>
        <item x="960"/>
        <item x="1695"/>
        <item x="2031"/>
        <item x="280"/>
        <item x="1067"/>
        <item x="2030"/>
        <item x="2251"/>
        <item x="501"/>
        <item x="577"/>
        <item x="1103"/>
        <item x="172"/>
        <item x="900"/>
        <item x="1903"/>
        <item x="1523"/>
        <item x="1437"/>
        <item x="1865"/>
        <item x="2158"/>
        <item x="337"/>
        <item x="803"/>
        <item x="133"/>
        <item x="1655"/>
        <item x="2253"/>
        <item x="1255"/>
        <item x="1203"/>
        <item x="317"/>
        <item x="1662"/>
        <item x="949"/>
        <item x="1245"/>
        <item x="887"/>
        <item x="156"/>
        <item x="892"/>
        <item x="841"/>
        <item x="1635"/>
        <item x="933"/>
        <item x="1469"/>
        <item x="995"/>
        <item x="180"/>
        <item x="1079"/>
        <item x="1841"/>
        <item x="1390"/>
        <item x="2144"/>
        <item x="1048"/>
        <item x="2226"/>
        <item x="2238"/>
        <item x="147"/>
        <item x="2211"/>
        <item x="1358"/>
        <item x="672"/>
        <item x="2154"/>
        <item x="1267"/>
        <item x="1430"/>
        <item x="1281"/>
        <item x="2085"/>
        <item x="951"/>
        <item x="143"/>
        <item x="808"/>
        <item x="40"/>
        <item x="1823"/>
        <item x="1801"/>
        <item x="559"/>
        <item x="1318"/>
        <item x="1279"/>
        <item x="1490"/>
        <item x="59"/>
        <item x="93"/>
        <item x="656"/>
        <item x="264"/>
        <item x="2190"/>
        <item x="1081"/>
        <item x="254"/>
        <item x="1715"/>
        <item x="1750"/>
        <item x="30"/>
        <item x="1414"/>
        <item x="2200"/>
        <item x="999"/>
        <item x="1111"/>
        <item x="645"/>
        <item x="512"/>
        <item x="1314"/>
        <item x="420"/>
        <item x="2007"/>
        <item x="1012"/>
        <item x="1107"/>
        <item x="1768"/>
        <item x="181"/>
        <item x="991"/>
        <item x="753"/>
        <item x="718"/>
        <item x="1962"/>
        <item x="531"/>
        <item x="1202"/>
        <item x="1952"/>
        <item x="1938"/>
        <item x="403"/>
        <item x="480"/>
        <item x="1513"/>
        <item x="2170"/>
        <item x="897"/>
        <item x="650"/>
        <item x="755"/>
        <item x="580"/>
        <item x="1062"/>
        <item x="336"/>
        <item x="2205"/>
        <item x="2224"/>
        <item x="1287"/>
        <item x="350"/>
        <item x="14"/>
        <item x="51"/>
        <item x="1705"/>
        <item x="112"/>
        <item x="1183"/>
        <item x="1385"/>
        <item x="959"/>
        <item x="662"/>
        <item x="2056"/>
        <item x="1205"/>
        <item x="55"/>
        <item x="1091"/>
        <item x="222"/>
        <item x="1096"/>
        <item x="90"/>
        <item x="340"/>
        <item x="2165"/>
        <item x="1827"/>
        <item x="849"/>
        <item x="605"/>
        <item x="377"/>
        <item x="1782"/>
        <item x="326"/>
        <item x="566"/>
        <item x="419"/>
        <item x="724"/>
        <item x="677"/>
        <item x="1222"/>
        <item x="828"/>
        <item x="321"/>
        <item x="173"/>
        <item x="1105"/>
        <item x="1854"/>
        <item x="1535"/>
        <item x="1948"/>
        <item x="1563"/>
        <item x="19"/>
        <item x="647"/>
        <item x="595"/>
        <item x="468"/>
        <item x="1135"/>
        <item x="1014"/>
        <item x="1112"/>
        <item x="2003"/>
        <item x="66"/>
        <item x="361"/>
        <item x="1646"/>
        <item x="591"/>
        <item x="684"/>
        <item x="2151"/>
        <item x="615"/>
        <item x="614"/>
        <item x="1791"/>
        <item x="2246"/>
        <item x="1675"/>
        <item x="1680"/>
        <item x="320"/>
        <item x="1585"/>
        <item x="569"/>
        <item x="456"/>
        <item x="150"/>
        <item x="1968"/>
        <item x="21"/>
        <item x="671"/>
        <item x="1013"/>
        <item x="1934"/>
        <item x="2050"/>
        <item x="1221"/>
        <item x="331"/>
        <item x="1665"/>
        <item x="1873"/>
        <item x="353"/>
        <item x="175"/>
        <item x="1756"/>
        <item x="1818"/>
        <item x="1913"/>
        <item x="1396"/>
        <item x="1760"/>
        <item x="373"/>
        <item x="1357"/>
        <item x="139"/>
        <item x="1305"/>
        <item x="1338"/>
        <item x="1650"/>
        <item x="229"/>
        <item x="1217"/>
        <item x="409"/>
        <item x="191"/>
        <item x="351"/>
        <item x="1856"/>
        <item x="116"/>
        <item x="1015"/>
        <item x="2242"/>
        <item x="986"/>
        <item x="1631"/>
        <item x="624"/>
        <item x="443"/>
        <item x="1315"/>
        <item x="118"/>
        <item x="119"/>
        <item x="398"/>
        <item x="247"/>
        <item x="676"/>
        <item x="483"/>
        <item x="2122"/>
        <item x="68"/>
        <item x="1920"/>
        <item x="1065"/>
        <item x="1930"/>
        <item x="687"/>
        <item x="1590"/>
        <item x="1317"/>
        <item x="1462"/>
        <item x="1185"/>
        <item x="1691"/>
        <item x="2104"/>
        <item x="1878"/>
        <item x="562"/>
        <item x="1150"/>
        <item x="111"/>
        <item x="520"/>
        <item x="2204"/>
        <item x="1972"/>
        <item x="642"/>
        <item x="1638"/>
        <item x="1192"/>
        <item x="2130"/>
        <item x="1933"/>
        <item x="2044"/>
        <item x="1047"/>
        <item x="907"/>
        <item x="265"/>
        <item x="103"/>
        <item x="464"/>
        <item x="1963"/>
        <item x="250"/>
        <item x="2207"/>
        <item x="1263"/>
        <item x="989"/>
        <item x="1869"/>
        <item x="712"/>
        <item x="1594"/>
        <item x="1035"/>
        <item x="1976"/>
        <item x="1714"/>
        <item x="1395"/>
        <item x="1236"/>
        <item x="1171"/>
        <item x="184"/>
        <item x="1775"/>
        <item x="497"/>
        <item x="1382"/>
        <item x="214"/>
        <item x="287"/>
        <item x="573"/>
        <item x="125"/>
        <item x="2231"/>
        <item x="400"/>
        <item x="255"/>
        <item x="1558"/>
        <item x="437"/>
        <item x="1698"/>
        <item x="376"/>
        <item x="272"/>
        <item x="113"/>
        <item x="498"/>
        <item x="581"/>
        <item x="2243"/>
        <item x="293"/>
        <item x="305"/>
        <item x="834"/>
        <item x="1888"/>
        <item x="925"/>
        <item x="58"/>
        <item x="1189"/>
        <item x="1472"/>
        <item x="1339"/>
        <item x="1541"/>
        <item x="1209"/>
        <item x="1619"/>
        <item x="1870"/>
        <item x="1575"/>
        <item x="144"/>
        <item x="388"/>
        <item x="263"/>
        <item x="816"/>
        <item x="155"/>
        <item x="1177"/>
        <item x="1858"/>
        <item x="2118"/>
        <item x="1564"/>
        <item x="1297"/>
        <item x="84"/>
        <item x="32"/>
        <item x="1445"/>
        <item x="565"/>
        <item x="378"/>
        <item x="680"/>
        <item x="1265"/>
        <item x="1953"/>
        <item x="1684"/>
        <item x="1176"/>
        <item x="2001"/>
        <item x="980"/>
        <item x="818"/>
        <item x="131"/>
        <item x="575"/>
        <item x="2222"/>
        <item x="2070"/>
        <item x="2086"/>
        <item x="1332"/>
        <item x="696"/>
        <item x="1729"/>
        <item x="441"/>
        <item x="1143"/>
        <item x="1994"/>
        <item x="1164"/>
        <item x="1283"/>
        <item x="606"/>
        <item x="1294"/>
        <item x="641"/>
        <item x="2111"/>
        <item x="673"/>
        <item x="1336"/>
        <item x="1511"/>
        <item x="412"/>
        <item x="831"/>
        <item x="1491"/>
        <item x="784"/>
        <item x="1843"/>
        <item x="1679"/>
        <item x="1443"/>
        <item x="269"/>
        <item x="717"/>
        <item x="1110"/>
        <item x="2187"/>
        <item x="2039"/>
        <item x="2182"/>
        <item x="1693"/>
        <item x="278"/>
        <item x="1897"/>
        <item x="2257"/>
        <item x="1551"/>
        <item x="732"/>
        <item x="1240"/>
        <item x="716"/>
        <item x="1276"/>
        <item x="329"/>
        <item x="1709"/>
        <item x="1270"/>
        <item x="0"/>
        <item x="1291"/>
        <item x="560"/>
        <item x="433"/>
        <item x="781"/>
        <item x="835"/>
        <item x="1027"/>
        <item x="1621"/>
        <item x="122"/>
        <item x="1505"/>
        <item x="948"/>
        <item x="2189"/>
        <item x="1689"/>
        <item x="1522"/>
        <item x="1188"/>
        <item x="1137"/>
        <item x="2081"/>
        <item x="1616"/>
        <item x="2196"/>
        <item x="654"/>
        <item x="1206"/>
        <item x="3"/>
        <item x="1574"/>
        <item x="1710"/>
        <item x="1519"/>
        <item x="1026"/>
        <item x="1022"/>
        <item x="801"/>
        <item x="1837"/>
        <item x="399"/>
        <item x="985"/>
        <item x="1736"/>
        <item x="633"/>
        <item x="1129"/>
        <item x="1190"/>
        <item x="1181"/>
        <item x="7"/>
        <item x="2041"/>
        <item x="1495"/>
        <item x="42"/>
        <item x="1487"/>
        <item x="75"/>
        <item x="1244"/>
        <item x="1374"/>
        <item x="2120"/>
        <item x="1268"/>
        <item x="853"/>
        <item x="349"/>
        <item x="2146"/>
        <item x="1536"/>
        <item x="2117"/>
        <item x="1538"/>
        <item x="1543"/>
        <item x="171"/>
        <item x="893"/>
        <item x="1024"/>
        <item x="1092"/>
        <item x="18"/>
        <item x="1375"/>
        <item x="983"/>
        <item x="2048"/>
        <item x="905"/>
        <item x="612"/>
        <item x="449"/>
        <item x="50"/>
        <item x="833"/>
        <item x="1492"/>
        <item x="2013"/>
        <item x="1819"/>
        <item x="2156"/>
        <item x="824"/>
        <item x="276"/>
        <item x="895"/>
        <item x="1528"/>
        <item x="2239"/>
        <item x="1480"/>
        <item x="873"/>
        <item x="629"/>
        <item x="1328"/>
        <item x="1508"/>
        <item x="1156"/>
        <item x="1155"/>
        <item x="273"/>
        <item x="854"/>
        <item x="842"/>
        <item x="1223"/>
        <item x="1759"/>
        <item x="1576"/>
        <item x="1310"/>
        <item x="1872"/>
        <item x="1610"/>
        <item x="1009"/>
        <item x="542"/>
        <item x="772"/>
        <item x="2214"/>
        <item x="1580"/>
        <item x="126"/>
        <item x="2049"/>
        <item x="442"/>
        <item x="334"/>
        <item x="1828"/>
        <item x="798"/>
        <item x="1927"/>
        <item x="1726"/>
        <item x="588"/>
        <item x="1816"/>
        <item x="1496"/>
        <item x="1161"/>
        <item x="723"/>
        <item x="1003"/>
        <item x="166"/>
        <item x="1885"/>
        <item x="102"/>
        <item x="1074"/>
        <item x="1661"/>
        <item x="837"/>
        <item x="1054"/>
        <item x="810"/>
        <item x="319"/>
        <item x="1806"/>
        <item x="749"/>
        <item x="508"/>
        <item x="739"/>
        <item x="916"/>
        <item x="194"/>
        <item x="1212"/>
        <item x="1978"/>
        <item x="1512"/>
        <item x="153"/>
        <item x="1131"/>
        <item x="69"/>
        <item x="2066"/>
        <item x="655"/>
        <item x="2236"/>
        <item x="829"/>
        <item x="992"/>
        <item x="1826"/>
        <item x="127"/>
        <item x="608"/>
        <item x="1682"/>
        <item x="1497"/>
        <item x="1849"/>
        <item x="1537"/>
        <item x="2100"/>
        <item x="1984"/>
        <item x="752"/>
        <item x="2055"/>
        <item x="860"/>
        <item x="1296"/>
        <item x="1844"/>
        <item x="1820"/>
        <item x="1540"/>
        <item x="1352"/>
        <item x="282"/>
        <item x="746"/>
        <item x="1423"/>
        <item x="109"/>
        <item x="2019"/>
        <item x="617"/>
        <item x="779"/>
        <item x="182"/>
        <item x="1002"/>
        <item x="2255"/>
        <item x="357"/>
        <item x="1608"/>
        <item x="1040"/>
        <item x="701"/>
        <item x="855"/>
        <item x="644"/>
        <item x="2058"/>
        <item x="568"/>
        <item x="499"/>
        <item x="213"/>
        <item x="436"/>
        <item x="445"/>
        <item x="1477"/>
        <item x="1701"/>
        <item x="2230"/>
        <item x="1547"/>
        <item x="29"/>
        <item x="479"/>
        <item x="765"/>
        <item x="1134"/>
        <item x="1371"/>
        <item x="1718"/>
        <item x="1667"/>
        <item x="2241"/>
        <item x="49"/>
        <item x="1438"/>
        <item x="1724"/>
        <item x="2106"/>
        <item x="1860"/>
        <item x="339"/>
        <item x="639"/>
        <item x="2208"/>
        <item x="1058"/>
        <item x="1147"/>
        <item x="163"/>
        <item x="2177"/>
        <item x="23"/>
        <item x="277"/>
        <item x="374"/>
        <item x="603"/>
        <item x="1711"/>
        <item x="22"/>
        <item x="1931"/>
        <item x="1942"/>
        <item x="1034"/>
        <item x="1722"/>
        <item x="533"/>
        <item x="814"/>
        <item x="429"/>
        <item x="281"/>
        <item x="1561"/>
        <item x="1725"/>
        <item x="1102"/>
        <item x="8"/>
        <item x="1044"/>
        <item x="2046"/>
        <item x="969"/>
        <item x="2107"/>
        <item x="602"/>
        <item x="202"/>
        <item x="1917"/>
        <item x="756"/>
        <item x="1923"/>
        <item x="795"/>
        <item x="195"/>
        <item x="584"/>
        <item x="567"/>
        <item x="1449"/>
        <item x="2045"/>
        <item x="1846"/>
        <item x="1404"/>
        <item x="2000"/>
        <item x="1319"/>
        <item x="653"/>
        <item x="2037"/>
        <item x="1821"/>
        <item x="209"/>
        <item x="1439"/>
        <item x="1874"/>
        <item x="1939"/>
        <item x="332"/>
        <item x="1545"/>
        <item x="809"/>
        <item x="1151"/>
        <item x="6"/>
        <item x="1578"/>
        <item x="1286"/>
        <item x="1672"/>
        <item x="1399"/>
        <item x="1771"/>
        <item x="1073"/>
        <item x="733"/>
        <item x="1446"/>
        <item x="1036"/>
        <item x="2206"/>
        <item x="679"/>
        <item x="1683"/>
        <item x="36"/>
        <item x="1415"/>
        <item x="138"/>
        <item x="786"/>
        <item x="1158"/>
        <item x="389"/>
        <item x="1253"/>
        <item x="1589"/>
        <item x="922"/>
        <item x="402"/>
        <item x="2011"/>
        <item x="1573"/>
        <item x="266"/>
        <item x="587"/>
        <item x="1235"/>
        <item x="634"/>
        <item x="1416"/>
        <item x="1392"/>
        <item x="1050"/>
        <item x="850"/>
        <item x="1924"/>
        <item x="783"/>
        <item x="235"/>
        <item x="738"/>
        <item x="1501"/>
        <item x="2139"/>
        <item x="1447"/>
        <item x="1961"/>
        <item x="825"/>
        <item x="760"/>
        <item x="1730"/>
        <item x="1940"/>
        <item x="1506"/>
        <item x="830"/>
        <item x="936"/>
        <item x="205"/>
        <item x="2248"/>
        <item x="945"/>
        <item x="2220"/>
        <item x="548"/>
        <item x="1000"/>
        <item x="1565"/>
        <item x="649"/>
        <item x="1068"/>
        <item x="2169"/>
        <item x="1473"/>
        <item x="1097"/>
        <item x="2038"/>
        <item x="996"/>
        <item x="1884"/>
        <item x="1944"/>
        <item x="386"/>
        <item x="532"/>
        <item x="2147"/>
        <item x="2181"/>
        <item x="142"/>
        <item x="797"/>
        <item x="1743"/>
        <item x="1025"/>
        <item x="1656"/>
        <item x="345"/>
        <item x="2035"/>
        <item x="2198"/>
        <item x="594"/>
        <item x="1380"/>
        <item x="674"/>
        <item x="1373"/>
        <item x="1941"/>
        <item x="785"/>
        <item x="1407"/>
        <item x="1640"/>
        <item x="694"/>
        <item x="1557"/>
        <item x="471"/>
        <item x="401"/>
        <item x="585"/>
        <item x="164"/>
        <item x="348"/>
        <item x="2213"/>
        <item x="10"/>
        <item x="1427"/>
        <item x="1249"/>
        <item x="598"/>
        <item x="972"/>
        <item x="251"/>
        <item x="863"/>
        <item x="1719"/>
        <item x="1777"/>
        <item x="1486"/>
        <item x="135"/>
        <item x="1045"/>
        <item x="1184"/>
        <item x="261"/>
        <item x="805"/>
        <item x="43"/>
        <item x="1139"/>
        <item x="1053"/>
        <item x="246"/>
        <item x="550"/>
        <item x="1227"/>
        <item x="2062"/>
        <item x="342"/>
        <item x="1778"/>
        <item x="1628"/>
        <item x="1694"/>
        <item x="1954"/>
        <item x="28"/>
        <item x="48"/>
        <item x="2235"/>
        <item x="1863"/>
        <item x="248"/>
        <item x="2091"/>
        <item x="917"/>
        <item x="367"/>
        <item x="1773"/>
        <item x="435"/>
        <item x="1951"/>
        <item x="1331"/>
        <item x="391"/>
        <item x="289"/>
        <item x="839"/>
        <item x="47"/>
        <item x="1077"/>
        <item x="1853"/>
        <item x="2087"/>
        <item x="105"/>
        <item x="1"/>
        <item x="174"/>
        <item x="978"/>
        <item x="1602"/>
        <item x="1876"/>
        <item x="1362"/>
        <item x="1569"/>
        <item x="1051"/>
        <item x="1433"/>
        <item x="1345"/>
        <item x="621"/>
        <item x="1991"/>
        <item x="159"/>
        <item x="1652"/>
        <item x="2116"/>
        <item x="866"/>
        <item x="1017"/>
        <item x="360"/>
        <item x="416"/>
        <item x="2064"/>
        <item x="1142"/>
        <item x="2096"/>
        <item x="45"/>
        <item x="793"/>
        <item x="1130"/>
        <item x="1596"/>
        <item x="396"/>
        <item x="2145"/>
        <item x="658"/>
        <item x="1765"/>
        <item x="1928"/>
        <item x="1751"/>
        <item x="1350"/>
        <item x="417"/>
        <item x="1792"/>
        <item x="1749"/>
        <item x="1772"/>
        <item x="2004"/>
        <item x="228"/>
        <item x="294"/>
        <item x="2188"/>
        <item x="1128"/>
        <item x="1979"/>
        <item x="1644"/>
        <item x="245"/>
        <item x="535"/>
        <item x="1809"/>
        <item x="961"/>
        <item x="1334"/>
        <item x="34"/>
        <item x="490"/>
        <item x="845"/>
        <item x="1329"/>
        <item x="2191"/>
        <item x="1955"/>
        <item x="330"/>
        <item x="478"/>
        <item x="86"/>
        <item x="473"/>
        <item x="741"/>
        <item x="1969"/>
        <item x="1127"/>
        <item x="563"/>
        <item x="496"/>
        <item x="343"/>
        <item x="1179"/>
        <item x="1309"/>
        <item x="1241"/>
        <item x="92"/>
        <item x="1384"/>
        <item x="1653"/>
        <item x="243"/>
        <item x="1021"/>
        <item x="526"/>
        <item x="1359"/>
        <item x="1166"/>
        <item x="1250"/>
        <item x="2009"/>
        <item x="1324"/>
        <item x="316"/>
        <item x="207"/>
        <item x="547"/>
        <item x="1094"/>
        <item x="241"/>
        <item x="2148"/>
        <item x="1349"/>
        <item x="862"/>
        <item x="1605"/>
        <item x="2195"/>
        <item x="274"/>
        <item x="1208"/>
        <item x="1388"/>
        <item x="1704"/>
        <item x="1488"/>
        <item x="1887"/>
        <item x="1542"/>
        <item x="1889"/>
        <item x="2021"/>
        <item x="1559"/>
        <item x="1057"/>
        <item x="1894"/>
        <item x="1720"/>
        <item x="2047"/>
        <item x="1516"/>
        <item x="381"/>
        <item x="1758"/>
        <item x="1539"/>
        <item x="638"/>
        <item x="600"/>
        <item x="1692"/>
        <item x="744"/>
        <item x="421"/>
        <item x="1292"/>
        <item x="323"/>
        <item x="515"/>
        <item x="1159"/>
        <item x="713"/>
        <item x="1019"/>
        <item x="667"/>
        <item x="1252"/>
        <item x="1637"/>
        <item x="1383"/>
        <item x="940"/>
        <item x="1485"/>
        <item x="1584"/>
        <item x="1788"/>
        <item x="1824"/>
        <item x="868"/>
        <item x="368"/>
        <item x="179"/>
        <item x="1018"/>
        <item x="221"/>
        <item x="500"/>
        <item x="2027"/>
        <item x="2017"/>
        <item x="1233"/>
        <item x="89"/>
        <item x="328"/>
        <item x="1028"/>
        <item x="1886"/>
        <item x="1577"/>
        <item x="70"/>
        <item x="1182"/>
        <item x="242"/>
        <item x="1957"/>
        <item x="130"/>
        <item x="88"/>
        <item x="452"/>
        <item x="37"/>
        <item x="1049"/>
        <item x="2193"/>
        <item x="1071"/>
        <item x="1422"/>
        <item x="1169"/>
        <item x="1187"/>
        <item x="1632"/>
        <item x="1369"/>
        <item x="543"/>
        <item x="1606"/>
        <item x="108"/>
        <item x="1607"/>
        <item x="740"/>
        <item x="1918"/>
        <item x="1304"/>
        <item x="1669"/>
        <item x="590"/>
        <item x="1298"/>
        <item x="734"/>
        <item x="1997"/>
        <item x="1560"/>
        <item x="1198"/>
        <item x="757"/>
        <item x="942"/>
        <item x="1905"/>
        <item x="1611"/>
        <item x="703"/>
        <item x="1402"/>
        <item x="1807"/>
        <item x="885"/>
        <item x="1372"/>
        <item x="502"/>
        <item x="238"/>
        <item x="128"/>
        <item x="771"/>
        <item x="1429"/>
        <item x="889"/>
        <item x="1056"/>
        <item x="1199"/>
        <item x="1659"/>
        <item x="2245"/>
        <item x="477"/>
        <item x="802"/>
        <item x="2232"/>
        <item x="1167"/>
        <item x="1581"/>
        <item x="711"/>
        <item x="1321"/>
        <item x="1458"/>
        <item x="640"/>
        <item x="492"/>
        <item x="1648"/>
        <item x="555"/>
        <item x="910"/>
        <item x="1197"/>
        <item x="1981"/>
        <item x="82"/>
        <item x="800"/>
        <item x="551"/>
        <item x="85"/>
        <item x="275"/>
        <item x="157"/>
        <item x="1466"/>
        <item x="876"/>
        <item x="1428"/>
        <item x="2076"/>
        <item x="1898"/>
        <item x="675"/>
        <item x="1731"/>
        <item x="843"/>
        <item x="210"/>
        <item x="1904"/>
        <item x="706"/>
        <item x="1690"/>
        <item x="943"/>
        <item x="1405"/>
        <item x="366"/>
        <item x="1712"/>
        <item x="956"/>
        <item x="1678"/>
        <item x="1795"/>
        <item x="384"/>
        <item x="365"/>
        <item x="94"/>
        <item x="375"/>
        <item x="516"/>
        <item x="927"/>
        <item x="1716"/>
        <item x="1983"/>
        <item x="1600"/>
        <item x="788"/>
        <item x="1333"/>
        <item x="1432"/>
        <item x="799"/>
        <item x="1411"/>
        <item x="198"/>
        <item x="472"/>
        <item x="372"/>
        <item x="1517"/>
        <item x="1481"/>
        <item x="1355"/>
        <item x="201"/>
        <item x="1489"/>
        <item x="1864"/>
        <item x="909"/>
        <item x="715"/>
        <item x="1290"/>
        <item x="554"/>
        <item x="2115"/>
        <item x="1586"/>
        <item x="192"/>
        <item x="1210"/>
        <item x="1001"/>
        <item x="346"/>
        <item x="1170"/>
        <item x="4"/>
        <item x="187"/>
        <item x="296"/>
        <item x="1341"/>
        <item x="1798"/>
        <item x="1219"/>
        <item x="1254"/>
        <item x="747"/>
        <item x="2179"/>
        <item x="1615"/>
        <item x="2020"/>
        <item x="1178"/>
        <item x="1834"/>
        <item x="1016"/>
        <item x="1909"/>
        <item x="920"/>
        <item x="1042"/>
        <item x="1278"/>
        <item x="97"/>
        <item x="851"/>
        <item x="1603"/>
        <item x="896"/>
        <item x="325"/>
        <item x="626"/>
        <item x="1967"/>
        <item x="1943"/>
        <item x="2250"/>
        <item x="1088"/>
        <item x="1308"/>
        <item x="1677"/>
        <item x="670"/>
        <item x="362"/>
        <item x="1527"/>
        <item x="822"/>
        <item x="1848"/>
        <item x="414"/>
        <item x="2134"/>
        <item x="819"/>
        <item x="188"/>
        <item x="1348"/>
        <item x="446"/>
        <item x="1080"/>
        <item x="1330"/>
        <item x="864"/>
        <item x="237"/>
        <item x="840"/>
        <item x="1599"/>
        <item x="2136"/>
        <item x="904"/>
        <item x="1335"/>
        <item x="618"/>
        <item x="444"/>
        <item x="145"/>
        <item x="1657"/>
        <item x="335"/>
        <item x="2010"/>
        <item x="1119"/>
        <item x="1556"/>
        <item x="2197"/>
        <item x="844"/>
        <item x="1172"/>
        <item x="426"/>
        <item x="1850"/>
        <item x="1699"/>
        <item x="763"/>
        <item x="1964"/>
        <item x="2083"/>
        <item x="1965"/>
        <item x="390"/>
        <item x="1977"/>
        <item x="1531"/>
        <item x="1069"/>
        <item x="1078"/>
        <item x="1226"/>
        <item x="1688"/>
        <item x="2109"/>
        <item x="921"/>
        <item x="525"/>
        <item x="1285"/>
        <item x="1530"/>
        <item x="158"/>
        <item x="1567"/>
        <item x="1893"/>
        <item x="1322"/>
        <item x="1347"/>
        <item x="1881"/>
        <item x="796"/>
        <item x="1825"/>
        <item x="832"/>
        <item x="2126"/>
        <item x="664"/>
        <item x="2110"/>
        <item x="1220"/>
        <item x="465"/>
        <item x="2071"/>
        <item x="631"/>
        <item x="546"/>
        <item x="80"/>
        <item x="1064"/>
        <item x="1753"/>
        <item x="1116"/>
        <item x="2034"/>
        <item x="1908"/>
        <item x="1391"/>
        <item x="60"/>
        <item x="1794"/>
        <item x="1133"/>
        <item x="1593"/>
        <item x="944"/>
        <item x="1810"/>
        <item x="2161"/>
        <item x="1452"/>
        <item x="939"/>
        <item x="1781"/>
        <item x="1052"/>
        <item x="1055"/>
        <item x="387"/>
        <item x="2024"/>
        <item x="1470"/>
        <item x="886"/>
        <item x="1857"/>
        <item x="1734"/>
        <item x="1658"/>
        <item x="1852"/>
        <item x="517"/>
        <item x="776"/>
        <item x="1882"/>
        <item x="1509"/>
        <item x="1008"/>
        <item x="1113"/>
        <item x="1186"/>
        <item x="977"/>
        <item x="454"/>
        <item x="1441"/>
        <item x="1320"/>
        <item x="1118"/>
        <item x="1947"/>
        <item x="1389"/>
        <item x="973"/>
        <item x="2234"/>
        <item x="1060"/>
        <item x="1793"/>
        <item x="707"/>
        <item x="1266"/>
        <item x="1804"/>
        <item x="2065"/>
        <item x="792"/>
        <item x="475"/>
        <item x="2042"/>
        <item x="1211"/>
        <item x="1262"/>
        <item x="725"/>
        <item x="714"/>
        <item x="284"/>
        <item x="1442"/>
        <item x="1754"/>
        <item x="1300"/>
        <item x="709"/>
        <item x="1529"/>
        <item x="1533"/>
        <item x="1020"/>
        <item x="1326"/>
        <item x="521"/>
        <item x="1450"/>
        <item x="489"/>
        <item x="1525"/>
        <item x="764"/>
        <item x="1674"/>
        <item x="397"/>
        <item x="924"/>
        <item x="2043"/>
        <item x="1746"/>
        <item x="1299"/>
        <item x="2173"/>
        <item x="1381"/>
        <item x="1010"/>
        <item x="2112"/>
        <item x="870"/>
        <item x="431"/>
        <item x="1136"/>
        <item x="743"/>
        <item x="1532"/>
        <item x="1029"/>
        <item x="2125"/>
        <item x="354"/>
        <item x="2123"/>
        <item x="537"/>
        <item x="83"/>
        <item x="33"/>
        <item x="846"/>
        <item x="114"/>
        <item x="528"/>
        <item x="1925"/>
        <item x="1670"/>
        <item x="745"/>
        <item x="310"/>
        <item x="285"/>
        <item x="2217"/>
        <item x="458"/>
        <item x="806"/>
        <item x="2203"/>
        <item x="1085"/>
        <item x="2155"/>
        <item x="777"/>
        <item x="871"/>
        <item x="1663"/>
        <item x="1475"/>
        <item x="1259"/>
        <item x="53"/>
        <item x="481"/>
        <item x="1971"/>
        <item x="438"/>
        <item x="5"/>
        <item x="918"/>
        <item x="315"/>
        <item x="1434"/>
        <item x="1617"/>
        <item x="984"/>
        <item x="507"/>
        <item x="1120"/>
        <item x="304"/>
        <item x="965"/>
        <item x="1483"/>
        <item x="1274"/>
        <item x="2168"/>
        <item x="1883"/>
        <item x="31"/>
        <item x="2095"/>
        <item x="1895"/>
        <item x="1986"/>
        <item x="1408"/>
        <item x="2137"/>
        <item x="1845"/>
        <item x="1814"/>
        <item x="110"/>
        <item x="1700"/>
        <item x="1899"/>
        <item x="2006"/>
        <item x="1455"/>
        <item x="447"/>
        <item x="424"/>
        <item x="219"/>
        <item x="2121"/>
        <item x="660"/>
        <item x="1713"/>
        <item x="2164"/>
        <item x="1808"/>
        <item x="1622"/>
        <item x="536"/>
        <item x="1230"/>
        <item x="61"/>
        <item x="1311"/>
        <item x="1681"/>
        <item x="852"/>
        <item x="1125"/>
        <item x="564"/>
        <item x="728"/>
        <item x="411"/>
        <item x="1284"/>
        <item x="20"/>
        <item x="950"/>
        <item x="2210"/>
        <item x="2023"/>
        <item x="791"/>
        <item x="1425"/>
        <item x="1367"/>
        <item x="998"/>
        <item x="1041"/>
        <item x="199"/>
        <item x="2150"/>
        <item x="100"/>
        <item x="813"/>
        <item x="1546"/>
        <item x="1484"/>
        <item x="729"/>
        <item x="2113"/>
        <item x="2175"/>
        <item x="637"/>
        <item x="908"/>
        <item x="678"/>
        <item x="267"/>
        <item x="2201"/>
        <item x="1063"/>
        <item x="1703"/>
        <item x="826"/>
        <item x="506"/>
        <item x="1307"/>
        <item x="1912"/>
        <item x="1686"/>
        <item x="2018"/>
        <item x="2221"/>
        <item x="1916"/>
        <item x="226"/>
        <item x="1612"/>
        <item x="1803"/>
        <item x="2059"/>
        <item x="134"/>
        <item x="312"/>
        <item x="96"/>
        <item x="54"/>
        <item x="1790"/>
        <item x="823"/>
        <item x="1196"/>
        <item x="937"/>
        <item x="2022"/>
        <item x="1671"/>
        <item x="2135"/>
        <item x="451"/>
        <item x="1106"/>
        <item x="141"/>
        <item x="2026"/>
        <item x="780"/>
        <item x="1571"/>
        <item x="1988"/>
        <item x="1403"/>
        <item x="74"/>
        <item x="1436"/>
        <item x="152"/>
        <item x="613"/>
        <item x="616"/>
        <item x="1123"/>
        <item x="1471"/>
        <item x="1721"/>
        <item x="1303"/>
        <item x="1786"/>
        <item x="2194"/>
        <item x="1757"/>
        <item x="691"/>
        <item x="1070"/>
        <item x="1213"/>
        <item x="1412"/>
        <item x="1237"/>
        <item x="244"/>
        <item x="2184"/>
        <item x="1735"/>
        <item x="168"/>
        <item x="1157"/>
        <item x="2212"/>
        <item x="1066"/>
        <item x="1956"/>
        <item x="1246"/>
        <item x="286"/>
        <item x="1831"/>
        <item x="249"/>
        <item x="668"/>
        <item x="1194"/>
        <item x="518"/>
        <item x="469"/>
        <item x="1046"/>
        <item x="884"/>
        <item x="2174"/>
        <item x="1811"/>
        <item x="140"/>
        <item x="1633"/>
        <item x="1493"/>
        <item x="1906"/>
        <item x="971"/>
        <item x="234"/>
        <item x="1982"/>
        <item x="2063"/>
        <item x="124"/>
        <item x="2097"/>
        <item x="1583"/>
        <item x="929"/>
        <item x="1702"/>
        <item x="700"/>
        <item x="914"/>
        <item x="1272"/>
        <item x="95"/>
        <item x="503"/>
        <item x="1642"/>
        <item x="2094"/>
        <item x="298"/>
        <item x="1598"/>
        <item x="1654"/>
        <item x="681"/>
        <item x="1207"/>
        <item x="2178"/>
        <item x="883"/>
        <item x="923"/>
        <item x="571"/>
        <item x="25"/>
        <item x="1620"/>
        <item x="1748"/>
        <item x="2084"/>
        <item x="1228"/>
        <item x="327"/>
        <item x="1975"/>
        <item x="1946"/>
        <item x="2152"/>
        <item x="807"/>
        <item x="1401"/>
        <item x="688"/>
        <item x="197"/>
        <item x="1007"/>
        <item x="1649"/>
        <item x="1379"/>
        <item x="2228"/>
        <item x="730"/>
        <item x="2067"/>
        <item x="514"/>
        <item x="1609"/>
        <item x="2036"/>
        <item x="2192"/>
        <item x="1664"/>
        <item x="539"/>
        <item x="1526"/>
        <item x="1351"/>
        <item x="104"/>
        <item x="57"/>
        <item x="1812"/>
        <item x="1859"/>
        <item x="16"/>
        <item x="1459"/>
        <item x="2032"/>
        <item x="418"/>
        <item x="719"/>
        <item x="1030"/>
        <item x="1763"/>
        <item x="2233"/>
        <item x="931"/>
        <item x="1461"/>
        <item x="1257"/>
        <item x="1813"/>
        <item x="2160"/>
        <item x="2057"/>
        <item x="2237"/>
        <item x="1936"/>
        <item x="1146"/>
        <item x="1037"/>
        <item x="1368"/>
        <item x="2256"/>
        <item x="1507"/>
        <item x="1084"/>
        <item x="1868"/>
        <item x="1915"/>
        <item x="461"/>
        <item x="901"/>
        <item x="476"/>
        <item x="1839"/>
        <item x="1737"/>
        <item x="1630"/>
        <item x="872"/>
        <item x="659"/>
        <item x="582"/>
        <item x="1776"/>
        <item x="1797"/>
        <item x="583"/>
        <item x="1104"/>
        <item x="1356"/>
        <item x="2098"/>
        <item x="1929"/>
        <item x="79"/>
        <item x="1090"/>
        <item x="1634"/>
        <item x="11"/>
        <item x="898"/>
        <item x="193"/>
        <item x="2108"/>
        <item x="291"/>
        <item x="1154"/>
        <item x="313"/>
        <item x="1343"/>
        <item x="1875"/>
        <item x="1076"/>
        <item x="1687"/>
        <item x="632"/>
        <item x="2005"/>
        <item x="557"/>
        <item x="882"/>
        <item x="1215"/>
        <item x="1165"/>
        <item x="1216"/>
        <item x="509"/>
        <item x="1140"/>
        <item x="894"/>
        <item x="1364"/>
        <item x="857"/>
        <item x="406"/>
        <item x="919"/>
        <item x="2088"/>
        <item x="260"/>
        <item x="1093"/>
        <item x="2166"/>
        <item x="344"/>
        <item x="1500"/>
        <item x="1922"/>
        <item x="877"/>
        <item x="77"/>
        <item x="646"/>
        <item x="848"/>
        <item x="1805"/>
        <item x="1740"/>
        <item x="1342"/>
        <item x="495"/>
        <item x="2176"/>
        <item x="2171"/>
        <item x="2153"/>
        <item x="1200"/>
        <item x="1229"/>
        <item x="1767"/>
        <item x="1153"/>
        <item x="1271"/>
        <item x="65"/>
        <item x="994"/>
        <item x="1295"/>
        <item x="1464"/>
        <item x="204"/>
        <item x="2028"/>
        <item x="212"/>
        <item x="1741"/>
        <item x="1524"/>
        <item x="1548"/>
        <item x="1038"/>
        <item x="259"/>
        <item x="2012"/>
        <item x="2162"/>
        <item x="1764"/>
        <item x="87"/>
        <item x="2102"/>
        <item x="1995"/>
        <item x="1829"/>
        <item x="1023"/>
        <item x="891"/>
        <item x="2157"/>
        <item x="385"/>
        <item x="1121"/>
        <item x="622"/>
        <item x="44"/>
        <item x="1717"/>
        <item x="460"/>
        <item x="1289"/>
        <item x="1204"/>
        <item x="1993"/>
        <item x="2180"/>
        <item x="1248"/>
        <item x="1099"/>
        <item x="78"/>
        <item x="2223"/>
        <item x="699"/>
        <item x="2089"/>
        <item x="1083"/>
        <item x="1163"/>
        <item x="1835"/>
        <item x="1660"/>
        <item x="820"/>
        <item x="1568"/>
        <item x="708"/>
        <item x="874"/>
        <item x="657"/>
        <item x="200"/>
        <item x="227"/>
        <item x="1260"/>
        <item x="513"/>
        <item x="2093"/>
        <item x="1891"/>
        <item x="1043"/>
        <item x="1822"/>
        <item x="861"/>
        <item x="218"/>
        <item x="666"/>
        <item x="906"/>
        <item x="1370"/>
        <item x="2240"/>
        <item x="1144"/>
        <item x="1755"/>
        <item x="1866"/>
        <item x="572"/>
        <item x="176"/>
        <item x="1301"/>
        <item x="290"/>
        <item x="604"/>
        <item x="178"/>
        <item x="1302"/>
        <item x="1377"/>
        <item x="1643"/>
        <item x="1398"/>
        <item x="2252"/>
        <item x="1225"/>
        <item x="576"/>
        <item x="1641"/>
        <item x="363"/>
        <item x="190"/>
        <item x="1847"/>
        <item x="1413"/>
        <item x="932"/>
        <item x="1762"/>
        <item x="38"/>
        <item x="774"/>
        <item x="1625"/>
        <item x="926"/>
        <item x="364"/>
        <item x="695"/>
        <item x="448"/>
        <item x="683"/>
        <item x="487"/>
        <item x="2080"/>
        <item x="1082"/>
        <item x="754"/>
        <item x="485"/>
        <item x="1604"/>
        <item x="1707"/>
        <item x="1833"/>
        <item x="721"/>
        <item x="1587"/>
        <item x="947"/>
        <item x="154"/>
        <item x="1592"/>
        <item x="46"/>
        <item x="1409"/>
        <item x="136"/>
        <item x="208"/>
        <item x="2101"/>
        <item x="957"/>
        <item x="1960"/>
        <item x="1201"/>
        <item x="1346"/>
        <item x="710"/>
        <item t="default"/>
      </items>
    </pivotField>
    <pivotField compact="0" showAll="0">
      <items count="2077">
        <item x="1857"/>
        <item x="1197"/>
        <item x="1594"/>
        <item x="1178"/>
        <item x="764"/>
        <item x="1353"/>
        <item x="514"/>
        <item x="602"/>
        <item x="137"/>
        <item x="1856"/>
        <item x="996"/>
        <item x="1715"/>
        <item x="1826"/>
        <item x="884"/>
        <item x="1899"/>
        <item x="427"/>
        <item x="1911"/>
        <item x="1546"/>
        <item x="576"/>
        <item x="513"/>
        <item x="1229"/>
        <item x="679"/>
        <item x="1933"/>
        <item x="1728"/>
        <item x="2039"/>
        <item x="1007"/>
        <item x="752"/>
        <item x="458"/>
        <item x="1046"/>
        <item x="662"/>
        <item x="580"/>
        <item x="365"/>
        <item x="1080"/>
        <item x="1304"/>
        <item x="1354"/>
        <item x="1727"/>
        <item x="813"/>
        <item x="1047"/>
        <item x="1889"/>
        <item x="1719"/>
        <item x="129"/>
        <item x="641"/>
        <item x="114"/>
        <item x="937"/>
        <item x="832"/>
        <item x="97"/>
        <item x="664"/>
        <item x="786"/>
        <item x="1021"/>
        <item x="1056"/>
        <item x="853"/>
        <item x="941"/>
        <item x="2009"/>
        <item x="1575"/>
        <item x="822"/>
        <item x="1599"/>
        <item x="1297"/>
        <item x="703"/>
        <item x="678"/>
        <item x="704"/>
        <item x="1410"/>
        <item x="1956"/>
        <item x="98"/>
        <item x="1054"/>
        <item x="1465"/>
        <item x="1320"/>
        <item x="121"/>
        <item x="1512"/>
        <item x="185"/>
        <item x="1503"/>
        <item x="1042"/>
        <item x="491"/>
        <item x="1970"/>
        <item x="15"/>
        <item x="299"/>
        <item x="717"/>
        <item x="1747"/>
        <item x="774"/>
        <item x="1992"/>
        <item x="1794"/>
        <item x="1406"/>
        <item x="396"/>
        <item x="1491"/>
        <item x="615"/>
        <item x="462"/>
        <item x="1906"/>
        <item x="1626"/>
        <item x="550"/>
        <item x="1186"/>
        <item x="1760"/>
        <item x="614"/>
        <item x="1236"/>
        <item x="450"/>
        <item x="1986"/>
        <item x="815"/>
        <item x="568"/>
        <item x="554"/>
        <item x="572"/>
        <item x="2067"/>
        <item x="1554"/>
        <item x="1022"/>
        <item x="1492"/>
        <item x="571"/>
        <item x="1635"/>
        <item x="41"/>
        <item x="1375"/>
        <item x="384"/>
        <item x="672"/>
        <item x="1058"/>
        <item x="1604"/>
        <item x="1619"/>
        <item x="150"/>
        <item x="671"/>
        <item x="1523"/>
        <item x="1770"/>
        <item x="1331"/>
        <item x="949"/>
        <item x="1309"/>
        <item x="1470"/>
        <item x="1972"/>
        <item x="998"/>
        <item x="354"/>
        <item x="599"/>
        <item x="314"/>
        <item x="123"/>
        <item x="1966"/>
        <item x="1949"/>
        <item x="234"/>
        <item x="475"/>
        <item x="1272"/>
        <item x="725"/>
        <item x="954"/>
        <item x="1365"/>
        <item x="1756"/>
        <item x="229"/>
        <item x="1345"/>
        <item x="1169"/>
        <item x="1780"/>
        <item x="1710"/>
        <item x="1657"/>
        <item x="215"/>
        <item x="1969"/>
        <item x="1979"/>
        <item x="9"/>
        <item x="149"/>
        <item x="132"/>
        <item x="2006"/>
        <item x="1640"/>
        <item x="1357"/>
        <item x="1181"/>
        <item x="919"/>
        <item x="1429"/>
        <item x="1602"/>
        <item x="1642"/>
        <item x="604"/>
        <item x="1793"/>
        <item x="146"/>
        <item x="65"/>
        <item x="214"/>
        <item x="1606"/>
        <item x="521"/>
        <item x="1190"/>
        <item x="73"/>
        <item x="903"/>
        <item x="780"/>
        <item x="1689"/>
        <item x="971"/>
        <item x="1581"/>
        <item x="254"/>
        <item x="420"/>
        <item x="213"/>
        <item x="406"/>
        <item x="1798"/>
        <item x="1348"/>
        <item x="728"/>
        <item x="1749"/>
        <item x="589"/>
        <item x="454"/>
        <item x="1396"/>
        <item x="1754"/>
        <item x="1590"/>
        <item x="1231"/>
        <item x="1284"/>
        <item x="1595"/>
        <item x="1158"/>
        <item x="2008"/>
        <item x="441"/>
        <item x="1359"/>
        <item x="2023"/>
        <item x="721"/>
        <item x="497"/>
        <item x="284"/>
        <item x="64"/>
        <item x="1748"/>
        <item x="1830"/>
        <item x="1397"/>
        <item x="643"/>
        <item x="190"/>
        <item x="1324"/>
        <item x="1624"/>
        <item x="480"/>
        <item x="1872"/>
        <item x="1789"/>
        <item x="1703"/>
        <item x="176"/>
        <item x="487"/>
        <item x="1733"/>
        <item x="416"/>
        <item x="1393"/>
        <item x="1294"/>
        <item x="222"/>
        <item x="1199"/>
        <item x="1255"/>
        <item x="1436"/>
        <item x="1079"/>
        <item x="515"/>
        <item x="168"/>
        <item x="1739"/>
        <item x="2045"/>
        <item x="348"/>
        <item x="1005"/>
        <item x="1118"/>
        <item x="973"/>
        <item x="1982"/>
        <item x="333"/>
        <item x="443"/>
        <item x="336"/>
        <item x="848"/>
        <item x="432"/>
        <item x="303"/>
        <item x="1577"/>
        <item x="666"/>
        <item x="1937"/>
        <item x="1878"/>
        <item x="1610"/>
        <item x="72"/>
        <item x="2068"/>
        <item x="1175"/>
        <item x="1892"/>
        <item x="1960"/>
        <item x="1107"/>
        <item x="19"/>
        <item x="661"/>
        <item x="1455"/>
        <item x="334"/>
        <item x="1973"/>
        <item x="972"/>
        <item x="247"/>
        <item x="931"/>
        <item x="650"/>
        <item x="1591"/>
        <item x="447"/>
        <item x="1713"/>
        <item x="51"/>
        <item x="999"/>
        <item x="171"/>
        <item x="639"/>
        <item x="428"/>
        <item x="1813"/>
        <item x="939"/>
        <item x="734"/>
        <item x="1114"/>
        <item x="795"/>
        <item x="231"/>
        <item x="892"/>
        <item x="184"/>
        <item x="1377"/>
        <item x="471"/>
        <item x="1266"/>
        <item x="1321"/>
        <item x="267"/>
        <item x="279"/>
        <item x="302"/>
        <item x="1449"/>
        <item x="164"/>
        <item x="607"/>
        <item x="371"/>
        <item x="399"/>
        <item x="1939"/>
        <item x="275"/>
        <item x="2038"/>
        <item x="1204"/>
        <item x="276"/>
        <item x="1638"/>
        <item x="868"/>
        <item x="1248"/>
        <item x="1690"/>
        <item x="796"/>
        <item x="1743"/>
        <item x="658"/>
        <item x="1125"/>
        <item x="295"/>
        <item x="574"/>
        <item x="2064"/>
        <item x="1166"/>
        <item x="2036"/>
        <item x="1035"/>
        <item x="1955"/>
        <item x="1551"/>
        <item x="1883"/>
        <item x="1069"/>
        <item x="116"/>
        <item x="21"/>
        <item x="792"/>
        <item x="840"/>
        <item x="1070"/>
        <item x="689"/>
        <item x="1543"/>
        <item x="1560"/>
        <item x="653"/>
        <item x="1977"/>
        <item x="179"/>
        <item x="990"/>
        <item x="859"/>
        <item x="1538"/>
        <item x="1243"/>
        <item x="626"/>
        <item x="1437"/>
        <item x="228"/>
        <item x="547"/>
        <item x="411"/>
        <item x="139"/>
        <item x="220"/>
        <item x="738"/>
        <item x="733"/>
        <item x="1333"/>
        <item x="1684"/>
        <item x="298"/>
        <item x="183"/>
        <item x="1159"/>
        <item x="106"/>
        <item x="469"/>
        <item x="525"/>
        <item x="1127"/>
        <item x="1433"/>
        <item x="826"/>
        <item x="1034"/>
        <item x="291"/>
        <item x="1250"/>
        <item x="750"/>
        <item x="598"/>
        <item x="89"/>
        <item x="1677"/>
        <item x="28"/>
        <item x="1777"/>
        <item x="1403"/>
        <item x="193"/>
        <item x="1673"/>
        <item x="1630"/>
        <item x="594"/>
        <item x="1771"/>
        <item x="1435"/>
        <item x="230"/>
        <item x="439"/>
        <item x="258"/>
        <item x="459"/>
        <item x="1071"/>
        <item x="250"/>
        <item x="737"/>
        <item x="656"/>
        <item x="1781"/>
        <item x="293"/>
        <item x="1073"/>
        <item x="2027"/>
        <item x="1335"/>
        <item x="1670"/>
        <item x="911"/>
        <item x="627"/>
        <item x="166"/>
        <item x="1138"/>
        <item x="1588"/>
        <item x="504"/>
        <item x="1230"/>
        <item x="1815"/>
        <item x="1567"/>
        <item x="1477"/>
        <item x="1522"/>
        <item x="709"/>
        <item x="1934"/>
        <item x="201"/>
        <item x="1888"/>
        <item x="25"/>
        <item x="1376"/>
        <item x="1102"/>
        <item x="640"/>
        <item x="1041"/>
        <item x="835"/>
        <item x="537"/>
        <item x="1180"/>
        <item x="1950"/>
        <item x="1868"/>
        <item x="2001"/>
        <item x="1631"/>
        <item x="962"/>
        <item x="1162"/>
        <item x="1636"/>
        <item x="351"/>
        <item x="1852"/>
        <item x="956"/>
        <item x="1182"/>
        <item x="187"/>
        <item x="1373"/>
        <item x="861"/>
        <item x="1545"/>
        <item x="223"/>
        <item x="1926"/>
        <item x="2055"/>
        <item x="90"/>
        <item x="1245"/>
        <item x="452"/>
        <item x="120"/>
        <item x="2"/>
        <item x="967"/>
        <item x="715"/>
        <item x="1139"/>
        <item x="76"/>
        <item x="118"/>
        <item x="1776"/>
        <item x="316"/>
        <item x="768"/>
        <item x="1627"/>
        <item x="587"/>
        <item x="305"/>
        <item x="1103"/>
        <item x="804"/>
        <item x="182"/>
        <item x="1316"/>
        <item x="2030"/>
        <item x="1700"/>
        <item x="561"/>
        <item x="1220"/>
        <item x="540"/>
        <item x="1475"/>
        <item x="1948"/>
        <item x="1737"/>
        <item x="790"/>
        <item x="912"/>
        <item x="1184"/>
        <item x="380"/>
        <item x="1519"/>
        <item x="1720"/>
        <item x="623"/>
        <item x="549"/>
        <item x="935"/>
        <item x="816"/>
        <item x="1467"/>
        <item x="1903"/>
        <item x="174"/>
        <item x="846"/>
        <item x="732"/>
        <item x="565"/>
        <item x="1098"/>
        <item x="1725"/>
        <item x="101"/>
        <item x="1803"/>
        <item x="1661"/>
        <item x="541"/>
        <item x="788"/>
        <item x="1323"/>
        <item x="1985"/>
        <item x="1765"/>
        <item x="1273"/>
        <item x="559"/>
        <item x="1890"/>
        <item x="1161"/>
        <item x="307"/>
        <item x="1448"/>
        <item x="1361"/>
        <item x="353"/>
        <item x="209"/>
        <item x="2044"/>
        <item x="264"/>
        <item x="1096"/>
        <item x="663"/>
        <item x="676"/>
        <item x="445"/>
        <item x="329"/>
        <item x="374"/>
        <item x="757"/>
        <item x="523"/>
        <item x="899"/>
        <item x="1957"/>
        <item x="539"/>
        <item x="1774"/>
        <item x="1817"/>
        <item x="777"/>
        <item x="1941"/>
        <item x="161"/>
        <item x="122"/>
        <item x="88"/>
        <item x="477"/>
        <item x="1943"/>
        <item x="636"/>
        <item x="1024"/>
        <item x="1089"/>
        <item x="304"/>
        <item x="1288"/>
        <item x="1938"/>
        <item x="570"/>
        <item x="649"/>
        <item x="686"/>
        <item x="1726"/>
        <item x="17"/>
        <item x="553"/>
        <item x="1839"/>
        <item x="259"/>
        <item x="1112"/>
        <item x="325"/>
        <item x="836"/>
        <item x="748"/>
        <item x="979"/>
        <item x="1013"/>
        <item x="364"/>
        <item x="1105"/>
        <item x="297"/>
        <item x="557"/>
        <item x="367"/>
        <item x="765"/>
        <item x="508"/>
        <item x="181"/>
        <item x="1843"/>
        <item x="1027"/>
        <item x="723"/>
        <item x="1778"/>
        <item x="1446"/>
        <item x="1786"/>
        <item x="261"/>
        <item x="1196"/>
        <item x="632"/>
        <item x="1044"/>
        <item x="2059"/>
        <item x="244"/>
        <item x="1301"/>
        <item x="618"/>
        <item x="422"/>
        <item x="1444"/>
        <item x="1592"/>
        <item x="647"/>
        <item x="918"/>
        <item x="959"/>
        <item x="1530"/>
        <item x="180"/>
        <item x="392"/>
        <item x="496"/>
        <item x="1355"/>
        <item x="1829"/>
        <item x="1915"/>
        <item x="660"/>
        <item x="1701"/>
        <item x="1210"/>
        <item x="1426"/>
        <item x="567"/>
        <item x="1296"/>
        <item x="43"/>
        <item x="1094"/>
        <item x="994"/>
        <item x="421"/>
        <item x="75"/>
        <item x="930"/>
        <item x="485"/>
        <item x="1485"/>
        <item x="268"/>
        <item x="1445"/>
        <item x="455"/>
        <item x="69"/>
        <item x="1164"/>
        <item x="947"/>
        <item x="926"/>
        <item x="290"/>
        <item x="787"/>
        <item x="466"/>
        <item x="1328"/>
        <item x="2072"/>
        <item x="1002"/>
        <item x="1894"/>
        <item x="844"/>
        <item x="1855"/>
        <item x="577"/>
        <item x="1709"/>
        <item x="993"/>
        <item x="204"/>
        <item x="85"/>
        <item x="856"/>
        <item x="1502"/>
        <item x="1675"/>
        <item x="144"/>
        <item x="1239"/>
        <item x="724"/>
        <item x="83"/>
        <item x="769"/>
        <item x="112"/>
        <item x="1997"/>
        <item x="1553"/>
        <item x="1920"/>
        <item x="1388"/>
        <item x="1101"/>
        <item x="1879"/>
        <item x="481"/>
        <item x="1680"/>
        <item x="716"/>
        <item x="583"/>
        <item x="1120"/>
        <item x="251"/>
        <item x="154"/>
        <item x="296"/>
        <item x="1040"/>
        <item x="1456"/>
        <item x="218"/>
        <item x="925"/>
        <item x="761"/>
        <item x="1616"/>
        <item x="1291"/>
        <item x="1908"/>
        <item x="785"/>
        <item x="2013"/>
        <item x="246"/>
        <item x="770"/>
        <item x="934"/>
        <item x="1945"/>
        <item x="1263"/>
        <item x="1238"/>
        <item x="313"/>
        <item x="517"/>
        <item x="1671"/>
        <item x="1812"/>
        <item x="163"/>
        <item x="1212"/>
        <item x="2048"/>
        <item x="2034"/>
        <item x="484"/>
        <item x="1116"/>
        <item x="473"/>
        <item x="2050"/>
        <item x="236"/>
        <item x="722"/>
        <item x="442"/>
        <item x="797"/>
        <item x="1907"/>
        <item x="729"/>
        <item x="1566"/>
        <item x="1837"/>
        <item x="1240"/>
        <item x="1533"/>
        <item x="1858"/>
        <item x="1919"/>
        <item x="1958"/>
        <item x="1350"/>
        <item x="1724"/>
        <item x="1217"/>
        <item x="227"/>
        <item x="31"/>
        <item x="1757"/>
        <item x="1351"/>
        <item x="413"/>
        <item x="548"/>
        <item x="63"/>
        <item x="1586"/>
        <item x="155"/>
        <item x="933"/>
        <item x="1500"/>
        <item x="1505"/>
        <item x="37"/>
        <item x="194"/>
        <item x="2005"/>
        <item x="1155"/>
        <item x="2063"/>
        <item x="609"/>
        <item x="874"/>
        <item x="566"/>
        <item x="1227"/>
        <item x="2054"/>
        <item x="318"/>
        <item x="61"/>
        <item x="1900"/>
        <item x="902"/>
        <item x="700"/>
        <item x="1732"/>
        <item x="1913"/>
        <item x="133"/>
        <item x="424"/>
        <item x="461"/>
        <item x="837"/>
        <item x="1820"/>
        <item x="456"/>
        <item x="158"/>
        <item x="784"/>
        <item x="1278"/>
        <item x="588"/>
        <item x="490"/>
        <item x="527"/>
        <item x="667"/>
        <item x="1951"/>
        <item x="1386"/>
        <item x="249"/>
        <item x="1219"/>
        <item x="14"/>
        <item x="776"/>
        <item x="363"/>
        <item x="2025"/>
        <item x="1374"/>
        <item x="68"/>
        <item x="727"/>
        <item x="355"/>
        <item x="1141"/>
        <item x="1870"/>
        <item x="591"/>
        <item x="125"/>
        <item x="1443"/>
        <item x="802"/>
        <item x="535"/>
        <item x="1242"/>
        <item x="1280"/>
        <item x="13"/>
        <item x="238"/>
        <item x="564"/>
        <item x="646"/>
        <item x="1528"/>
        <item x="451"/>
        <item x="320"/>
        <item x="1573"/>
        <item x="1995"/>
        <item x="1424"/>
        <item x="900"/>
        <item x="1270"/>
        <item x="23"/>
        <item x="1185"/>
        <item x="807"/>
        <item x="1785"/>
        <item x="93"/>
        <item x="1269"/>
        <item x="1653"/>
        <item x="1850"/>
        <item x="1228"/>
        <item x="1016"/>
        <item x="2051"/>
        <item x="30"/>
        <item x="2019"/>
        <item x="59"/>
        <item x="1854"/>
        <item x="975"/>
        <item x="1095"/>
        <item x="240"/>
        <item x="27"/>
        <item x="986"/>
        <item x="675"/>
        <item x="1508"/>
        <item x="1795"/>
        <item x="1234"/>
        <item x="1172"/>
        <item x="1391"/>
        <item x="1307"/>
        <item x="1153"/>
        <item x="1392"/>
        <item x="1223"/>
        <item x="1438"/>
        <item x="239"/>
        <item x="731"/>
        <item x="1420"/>
        <item x="385"/>
        <item x="331"/>
        <item x="1736"/>
        <item x="633"/>
        <item x="1891"/>
        <item x="1461"/>
        <item x="1513"/>
        <item x="946"/>
        <item x="1796"/>
        <item x="865"/>
        <item x="1247"/>
        <item x="1299"/>
        <item x="257"/>
        <item x="1200"/>
        <item x="1682"/>
        <item x="1384"/>
        <item x="2041"/>
        <item x="401"/>
        <item x="854"/>
        <item x="1648"/>
        <item x="1511"/>
        <item x="1552"/>
        <item x="888"/>
        <item x="762"/>
        <item x="2046"/>
        <item x="92"/>
        <item x="1405"/>
        <item x="905"/>
        <item x="743"/>
        <item x="1450"/>
        <item x="651"/>
        <item x="1225"/>
        <item x="1702"/>
        <item x="1998"/>
        <item x="1130"/>
        <item x="1585"/>
        <item x="1672"/>
        <item x="1559"/>
        <item x="1404"/>
        <item x="130"/>
        <item x="433"/>
        <item x="692"/>
        <item x="714"/>
        <item x="1224"/>
        <item x="1305"/>
        <item x="1532"/>
        <item x="1961"/>
        <item x="735"/>
        <item x="1967"/>
        <item x="38"/>
        <item x="1669"/>
        <item x="191"/>
        <item x="1489"/>
        <item x="148"/>
        <item x="12"/>
        <item x="203"/>
        <item x="592"/>
        <item x="1611"/>
        <item x="1086"/>
        <item x="1886"/>
        <item x="621"/>
        <item x="1412"/>
        <item x="1154"/>
        <item x="22"/>
        <item x="1300"/>
        <item x="1043"/>
        <item x="1418"/>
        <item x="5"/>
        <item x="1407"/>
        <item x="1946"/>
        <item x="622"/>
        <item x="1193"/>
        <item x="169"/>
        <item x="772"/>
        <item x="511"/>
        <item x="634"/>
        <item x="1863"/>
        <item x="1468"/>
        <item x="509"/>
        <item x="657"/>
        <item x="801"/>
        <item x="1838"/>
        <item x="1459"/>
        <item x="431"/>
        <item x="1029"/>
        <item x="1576"/>
        <item x="894"/>
        <item x="1687"/>
        <item x="2010"/>
        <item x="478"/>
        <item x="1428"/>
        <item x="248"/>
        <item x="375"/>
        <item x="560"/>
        <item x="838"/>
        <item x="1540"/>
        <item x="237"/>
        <item x="702"/>
        <item x="1954"/>
        <item x="1921"/>
        <item x="1860"/>
        <item x="143"/>
        <item x="1708"/>
        <item x="1423"/>
        <item x="2029"/>
        <item x="1441"/>
        <item x="1106"/>
        <item x="904"/>
        <item x="1059"/>
        <item x="1792"/>
        <item x="670"/>
        <item x="1481"/>
        <item x="389"/>
        <item x="1968"/>
        <item x="753"/>
        <item x="530"/>
        <item x="1655"/>
        <item x="1808"/>
        <item x="685"/>
        <item x="124"/>
        <item x="707"/>
        <item x="713"/>
        <item x="811"/>
        <item x="104"/>
        <item x="84"/>
        <item x="1282"/>
        <item x="908"/>
        <item x="1509"/>
        <item x="266"/>
        <item x="507"/>
        <item x="1249"/>
        <item x="613"/>
        <item x="1077"/>
        <item x="476"/>
        <item x="1849"/>
        <item x="1340"/>
        <item x="1651"/>
        <item x="1769"/>
        <item x="170"/>
        <item x="1458"/>
        <item x="1674"/>
        <item x="1912"/>
        <item x="1758"/>
        <item x="536"/>
        <item x="741"/>
        <item x="1751"/>
        <item x="958"/>
        <item x="569"/>
        <item x="620"/>
        <item x="512"/>
        <item x="1226"/>
        <item x="1310"/>
        <item x="2066"/>
        <item x="1113"/>
        <item x="1875"/>
        <item x="1463"/>
        <item x="821"/>
        <item x="590"/>
        <item x="326"/>
        <item x="281"/>
        <item x="851"/>
        <item x="1205"/>
        <item x="1980"/>
        <item x="1706"/>
        <item x="882"/>
        <item x="1633"/>
        <item x="1646"/>
        <item x="500"/>
        <item x="79"/>
        <item x="845"/>
        <item x="1014"/>
        <item x="49"/>
        <item x="1953"/>
        <item x="285"/>
        <item x="277"/>
        <item x="142"/>
        <item x="1910"/>
        <item x="705"/>
        <item x="863"/>
        <item x="791"/>
        <item x="923"/>
        <item x="57"/>
        <item x="895"/>
        <item x="200"/>
        <item x="997"/>
        <item x="8"/>
        <item x="1133"/>
        <item x="1944"/>
        <item x="1012"/>
        <item x="430"/>
        <item x="1570"/>
        <item x="870"/>
        <item x="1587"/>
        <item x="1916"/>
        <item x="1628"/>
        <item x="418"/>
        <item x="423"/>
        <item x="970"/>
        <item x="52"/>
        <item x="1768"/>
        <item x="1947"/>
        <item x="775"/>
        <item x="1494"/>
        <item x="110"/>
        <item x="630"/>
        <item x="1821"/>
        <item x="1189"/>
        <item x="1213"/>
        <item x="322"/>
        <item x="929"/>
        <item x="945"/>
        <item x="1486"/>
        <item x="1085"/>
        <item x="1194"/>
        <item x="7"/>
        <item x="1156"/>
        <item x="600"/>
        <item x="916"/>
        <item x="1764"/>
        <item x="617"/>
        <item x="980"/>
        <item x="1268"/>
        <item x="1924"/>
        <item x="696"/>
        <item x="760"/>
        <item x="157"/>
        <item x="1066"/>
        <item x="269"/>
        <item x="606"/>
        <item x="398"/>
        <item x="1562"/>
        <item x="1063"/>
        <item x="1831"/>
        <item x="952"/>
        <item x="944"/>
        <item x="35"/>
        <item x="1498"/>
        <item x="361"/>
        <item x="1160"/>
        <item x="479"/>
        <item x="1460"/>
        <item x="850"/>
        <item x="1409"/>
        <item x="1722"/>
        <item x="1075"/>
        <item x="789"/>
        <item x="1917"/>
        <item x="403"/>
        <item x="1232"/>
        <item x="1572"/>
        <item x="1597"/>
        <item x="1148"/>
        <item x="1537"/>
        <item x="2058"/>
        <item x="866"/>
        <item x="701"/>
        <item x="253"/>
        <item x="372"/>
        <item x="955"/>
        <item x="1805"/>
        <item x="113"/>
        <item x="1395"/>
        <item x="763"/>
        <item x="586"/>
        <item x="131"/>
        <item x="349"/>
        <item x="434"/>
        <item x="858"/>
        <item x="1788"/>
        <item x="597"/>
        <item x="1422"/>
        <item x="1740"/>
        <item x="914"/>
        <item x="252"/>
        <item x="1721"/>
        <item x="619"/>
        <item x="235"/>
        <item x="67"/>
        <item x="1062"/>
        <item x="578"/>
        <item x="1313"/>
        <item x="694"/>
        <item x="1696"/>
        <item x="1065"/>
        <item x="1496"/>
        <item x="756"/>
        <item x="1401"/>
        <item x="1135"/>
        <item x="575"/>
        <item x="1678"/>
        <item x="1008"/>
        <item x="936"/>
        <item x="1163"/>
        <item x="1419"/>
        <item x="1534"/>
        <item x="429"/>
        <item x="1652"/>
        <item x="1237"/>
        <item x="889"/>
        <item x="1286"/>
        <item x="1548"/>
        <item x="102"/>
        <item x="470"/>
        <item x="2062"/>
        <item x="1659"/>
        <item x="1416"/>
        <item x="494"/>
        <item x="1759"/>
        <item x="2012"/>
        <item x="2017"/>
        <item x="147"/>
        <item x="219"/>
        <item x="460"/>
        <item x="152"/>
        <item x="857"/>
        <item x="1371"/>
        <item x="1074"/>
        <item x="317"/>
        <item x="383"/>
        <item x="1176"/>
        <item x="1378"/>
        <item x="412"/>
        <item x="913"/>
        <item x="1615"/>
        <item x="1925"/>
        <item x="438"/>
        <item x="1510"/>
        <item x="2065"/>
        <item x="1241"/>
        <item x="1208"/>
        <item x="1342"/>
        <item x="1691"/>
        <item x="1656"/>
        <item x="1994"/>
        <item x="1487"/>
        <item x="1038"/>
        <item x="652"/>
        <item x="1527"/>
        <item x="1800"/>
        <item x="321"/>
        <item x="20"/>
        <item x="1693"/>
        <item x="1583"/>
        <item x="1763"/>
        <item x="1201"/>
        <item x="2049"/>
        <item x="1692"/>
        <item x="1484"/>
        <item x="1940"/>
        <item x="1959"/>
        <item x="2075"/>
        <item x="1417"/>
        <item x="612"/>
        <item x="529"/>
        <item x="1617"/>
        <item x="833"/>
        <item x="107"/>
        <item x="1681"/>
        <item x="1346"/>
        <item x="1658"/>
        <item x="1766"/>
        <item x="1884"/>
        <item x="1030"/>
        <item x="10"/>
        <item x="1337"/>
        <item x="362"/>
        <item x="1363"/>
        <item x="1326"/>
        <item x="1129"/>
        <item x="1214"/>
        <item x="751"/>
        <item x="1866"/>
        <item x="493"/>
        <item x="1603"/>
        <item x="1898"/>
        <item x="1031"/>
        <item x="1623"/>
        <item x="1876"/>
        <item x="356"/>
        <item x="693"/>
        <item x="495"/>
        <item x="745"/>
        <item x="1784"/>
        <item x="71"/>
        <item x="1364"/>
        <item x="668"/>
        <item x="128"/>
        <item x="1442"/>
        <item x="1010"/>
        <item x="1814"/>
        <item x="1260"/>
        <item x="1251"/>
        <item x="1561"/>
        <item x="1292"/>
        <item x="1718"/>
        <item x="135"/>
        <item x="794"/>
        <item x="1362"/>
        <item x="2057"/>
        <item x="1137"/>
        <item x="1006"/>
        <item x="1349"/>
        <item x="1962"/>
        <item x="545"/>
        <item x="1430"/>
        <item x="1150"/>
        <item x="966"/>
        <item x="1344"/>
        <item x="245"/>
        <item x="755"/>
        <item x="1399"/>
        <item x="1983"/>
        <item x="960"/>
        <item x="1931"/>
        <item x="887"/>
        <item x="45"/>
        <item x="224"/>
        <item x="301"/>
        <item x="1140"/>
        <item x="74"/>
        <item x="1478"/>
        <item x="233"/>
        <item x="1618"/>
        <item x="1471"/>
        <item x="208"/>
        <item x="2031"/>
        <item x="1644"/>
        <item x="1173"/>
        <item x="36"/>
        <item x="1589"/>
        <item x="241"/>
        <item x="957"/>
        <item x="1235"/>
        <item x="1051"/>
        <item x="87"/>
        <item x="486"/>
        <item x="843"/>
        <item x="1499"/>
        <item x="342"/>
        <item x="327"/>
        <item x="343"/>
        <item x="1704"/>
        <item x="742"/>
        <item x="1052"/>
        <item x="391"/>
        <item x="435"/>
        <item x="300"/>
        <item x="1524"/>
        <item x="1755"/>
        <item x="81"/>
        <item x="1314"/>
        <item x="1145"/>
        <item x="1339"/>
        <item x="352"/>
        <item x="42"/>
        <item x="376"/>
        <item x="339"/>
        <item x="610"/>
        <item x="943"/>
        <item x="1882"/>
        <item x="1824"/>
        <item x="3"/>
        <item x="977"/>
        <item x="24"/>
        <item x="1198"/>
        <item x="1097"/>
        <item x="1192"/>
        <item x="1896"/>
        <item x="311"/>
        <item x="1209"/>
        <item x="1504"/>
        <item x="1480"/>
        <item x="875"/>
        <item x="1152"/>
        <item x="173"/>
        <item x="719"/>
        <item x="119"/>
        <item x="890"/>
        <item x="1049"/>
        <item x="1474"/>
        <item x="605"/>
        <item x="1233"/>
        <item x="1806"/>
        <item x="1564"/>
        <item x="1036"/>
        <item x="1425"/>
        <item x="11"/>
        <item x="1082"/>
        <item x="593"/>
        <item x="1267"/>
        <item x="799"/>
        <item x="1832"/>
        <item x="1993"/>
        <item x="1734"/>
        <item x="483"/>
        <item x="1801"/>
        <item x="1731"/>
        <item x="1697"/>
        <item x="1845"/>
        <item x="1100"/>
        <item x="629"/>
        <item x="260"/>
        <item x="407"/>
        <item x="1452"/>
        <item x="332"/>
        <item x="390"/>
        <item x="1170"/>
        <item x="1109"/>
        <item x="924"/>
        <item x="1271"/>
        <item x="1121"/>
        <item x="1639"/>
        <item x="426"/>
        <item x="1327"/>
        <item x="1"/>
        <item x="1695"/>
        <item x="1142"/>
        <item x="1662"/>
        <item x="1649"/>
        <item x="404"/>
        <item x="655"/>
        <item x="1787"/>
        <item x="1790"/>
        <item x="1668"/>
        <item x="940"/>
        <item x="823"/>
        <item x="1295"/>
        <item x="2052"/>
        <item x="544"/>
        <item x="782"/>
        <item x="1717"/>
        <item x="1356"/>
        <item x="1306"/>
        <item x="1413"/>
        <item x="551"/>
        <item x="388"/>
        <item x="1394"/>
        <item x="1869"/>
        <item x="408"/>
        <item x="1568"/>
        <item x="217"/>
        <item x="1061"/>
        <item x="749"/>
        <item x="878"/>
        <item x="1825"/>
        <item x="2022"/>
        <item x="210"/>
        <item x="841"/>
        <item x="105"/>
        <item x="806"/>
        <item x="111"/>
        <item x="1699"/>
        <item x="1427"/>
        <item x="1464"/>
        <item x="932"/>
        <item x="368"/>
        <item x="896"/>
        <item x="1930"/>
        <item x="347"/>
        <item x="747"/>
        <item x="1971"/>
        <item x="883"/>
        <item x="1705"/>
        <item x="1246"/>
        <item x="915"/>
        <item x="2037"/>
        <item x="1865"/>
        <item x="271"/>
        <item x="1520"/>
        <item x="53"/>
        <item x="1650"/>
        <item x="386"/>
        <item x="688"/>
        <item x="1329"/>
        <item x="1087"/>
        <item x="710"/>
        <item x="1343"/>
        <item x="951"/>
        <item x="2073"/>
        <item x="1369"/>
        <item x="1621"/>
        <item x="1202"/>
        <item x="595"/>
        <item x="879"/>
        <item x="417"/>
        <item x="616"/>
        <item x="159"/>
        <item x="387"/>
        <item x="1612"/>
        <item x="225"/>
        <item x="1476"/>
        <item x="1809"/>
        <item x="414"/>
        <item x="927"/>
        <item x="974"/>
        <item x="1535"/>
        <item x="1880"/>
        <item x="1358"/>
        <item x="160"/>
        <item x="2014"/>
        <item x="310"/>
        <item x="1952"/>
        <item x="1981"/>
        <item x="585"/>
        <item x="1608"/>
        <item x="207"/>
        <item x="306"/>
        <item x="328"/>
        <item x="1804"/>
        <item x="1810"/>
        <item x="1853"/>
        <item x="1400"/>
        <item x="1408"/>
        <item x="520"/>
        <item x="1472"/>
        <item x="1550"/>
        <item x="817"/>
        <item x="379"/>
        <item x="103"/>
        <item x="91"/>
        <item x="988"/>
        <item x="631"/>
        <item x="555"/>
        <item x="39"/>
        <item x="1871"/>
        <item x="1132"/>
        <item x="444"/>
        <item x="510"/>
        <item x="449"/>
        <item x="909"/>
        <item x="29"/>
        <item x="1712"/>
        <item x="1221"/>
        <item x="1885"/>
        <item x="172"/>
        <item x="1203"/>
        <item x="54"/>
        <item x="1905"/>
        <item x="274"/>
        <item x="819"/>
        <item x="1844"/>
        <item x="1298"/>
        <item x="100"/>
        <item x="359"/>
        <item x="1823"/>
        <item x="1308"/>
        <item x="654"/>
        <item x="1897"/>
        <item x="1762"/>
        <item x="56"/>
        <item x="1799"/>
        <item x="402"/>
        <item x="2002"/>
        <item x="897"/>
        <item x="1753"/>
        <item x="4"/>
        <item x="810"/>
        <item x="6"/>
        <item x="282"/>
        <item x="584"/>
        <item x="808"/>
        <item x="642"/>
        <item x="138"/>
        <item x="995"/>
        <item x="869"/>
        <item x="534"/>
        <item x="531"/>
        <item x="312"/>
        <item x="330"/>
        <item x="1398"/>
        <item x="1637"/>
        <item x="2024"/>
        <item x="2021"/>
        <item x="1206"/>
        <item x="2035"/>
        <item x="108"/>
        <item x="1558"/>
        <item x="953"/>
        <item x="1143"/>
        <item x="1877"/>
        <item x="1679"/>
        <item x="377"/>
        <item x="1256"/>
        <item x="1904"/>
        <item x="1932"/>
        <item x="740"/>
        <item x="1660"/>
        <item x="70"/>
        <item x="199"/>
        <item x="860"/>
        <item x="1539"/>
        <item x="984"/>
        <item x="1126"/>
        <item x="1336"/>
        <item x="1893"/>
        <item x="2032"/>
        <item x="350"/>
        <item x="1818"/>
        <item x="162"/>
        <item x="1846"/>
        <item x="382"/>
        <item x="226"/>
        <item x="178"/>
        <item x="543"/>
        <item x="134"/>
        <item x="910"/>
        <item x="1179"/>
        <item x="1144"/>
        <item x="1643"/>
        <item x="506"/>
        <item x="1275"/>
        <item x="1411"/>
        <item x="648"/>
        <item x="744"/>
        <item x="1090"/>
        <item x="188"/>
        <item x="1840"/>
        <item x="1026"/>
        <item x="1115"/>
        <item x="115"/>
        <item x="1347"/>
        <item x="1466"/>
        <item x="2026"/>
        <item x="1783"/>
        <item x="969"/>
        <item x="1134"/>
        <item x="1370"/>
        <item x="1861"/>
        <item x="1836"/>
        <item x="1694"/>
        <item x="1521"/>
        <item x="645"/>
        <item x="1745"/>
        <item x="1848"/>
        <item x="415"/>
        <item x="730"/>
        <item x="907"/>
        <item x="562"/>
        <item x="881"/>
        <item x="283"/>
        <item x="1048"/>
        <item x="2042"/>
        <item x="1547"/>
        <item x="1434"/>
        <item x="524"/>
        <item x="638"/>
        <item x="1901"/>
        <item x="1004"/>
        <item x="1262"/>
        <item x="1258"/>
        <item x="1773"/>
        <item x="1664"/>
        <item x="1341"/>
        <item x="1187"/>
        <item x="683"/>
        <item x="2053"/>
        <item x="288"/>
        <item x="62"/>
        <item x="2018"/>
        <item x="95"/>
        <item x="1218"/>
        <item x="708"/>
        <item x="1542"/>
        <item x="1032"/>
        <item x="1319"/>
        <item x="60"/>
        <item x="746"/>
        <item x="834"/>
        <item x="1601"/>
        <item x="77"/>
        <item x="1128"/>
        <item x="1827"/>
        <item x="255"/>
        <item x="127"/>
        <item x="1119"/>
        <item x="1964"/>
        <item x="1110"/>
        <item x="1290"/>
        <item x="1750"/>
        <item x="1368"/>
        <item x="1402"/>
        <item x="394"/>
        <item x="1613"/>
        <item x="981"/>
        <item x="242"/>
        <item x="1711"/>
        <item x="1965"/>
        <item x="1569"/>
        <item x="1819"/>
        <item x="1334"/>
        <item x="968"/>
        <item x="1488"/>
        <item x="1146"/>
        <item x="2056"/>
        <item x="1117"/>
        <item x="831"/>
        <item x="1019"/>
        <item x="624"/>
        <item x="1439"/>
        <item x="1093"/>
        <item x="1563"/>
        <item x="920"/>
        <item x="1807"/>
        <item x="1775"/>
        <item x="1744"/>
        <item x="232"/>
        <item x="467"/>
        <item x="1707"/>
        <item x="1779"/>
        <item x="1151"/>
        <item x="1685"/>
        <item x="1999"/>
        <item x="1816"/>
        <item x="468"/>
        <item x="1259"/>
        <item x="1834"/>
        <item x="1942"/>
        <item x="2071"/>
        <item x="1507"/>
        <item x="324"/>
        <item x="677"/>
        <item x="319"/>
        <item x="1039"/>
        <item x="1536"/>
        <item x="1828"/>
        <item x="1580"/>
        <item x="849"/>
        <item x="1490"/>
        <item x="419"/>
        <item x="498"/>
        <item x="1517"/>
        <item x="579"/>
        <item x="518"/>
        <item x="2028"/>
        <item x="1325"/>
        <item x="1081"/>
        <item x="436"/>
        <item x="1072"/>
        <item x="1864"/>
        <item x="1050"/>
        <item x="1009"/>
        <item x="1772"/>
        <item x="370"/>
        <item x="820"/>
        <item x="175"/>
        <item x="1462"/>
        <item x="1195"/>
        <item x="1620"/>
        <item x="867"/>
        <item x="698"/>
        <item x="440"/>
        <item x="519"/>
        <item x="156"/>
        <item x="1654"/>
        <item x="601"/>
        <item x="1216"/>
        <item x="1099"/>
        <item x="1252"/>
        <item x="205"/>
        <item x="503"/>
        <item x="1037"/>
        <item x="922"/>
        <item x="1716"/>
        <item x="798"/>
        <item x="1380"/>
        <item x="687"/>
        <item x="1104"/>
        <item x="126"/>
        <item x="262"/>
        <item x="289"/>
        <item x="1372"/>
        <item x="522"/>
        <item x="1015"/>
        <item x="1741"/>
        <item x="1625"/>
        <item x="891"/>
        <item x="1092"/>
        <item x="1091"/>
        <item x="1108"/>
        <item x="335"/>
        <item x="502"/>
        <item x="2040"/>
        <item x="1064"/>
        <item x="526"/>
        <item x="1847"/>
        <item x="1338"/>
        <item x="55"/>
        <item x="1367"/>
        <item x="961"/>
        <item x="1859"/>
        <item x="1593"/>
        <item x="1067"/>
        <item x="1183"/>
        <item x="1605"/>
        <item x="1289"/>
        <item x="1873"/>
        <item x="1501"/>
        <item x="1895"/>
        <item x="373"/>
        <item x="505"/>
        <item x="1987"/>
        <item x="1497"/>
        <item x="315"/>
        <item x="195"/>
        <item x="211"/>
        <item x="1003"/>
        <item x="280"/>
        <item x="862"/>
        <item x="1632"/>
        <item x="1473"/>
        <item x="771"/>
        <item x="928"/>
        <item x="82"/>
        <item x="1518"/>
        <item x="516"/>
        <item x="1584"/>
        <item x="1147"/>
        <item x="1928"/>
        <item x="1447"/>
        <item x="800"/>
        <item x="830"/>
        <item x="345"/>
        <item x="1525"/>
        <item x="1131"/>
        <item x="542"/>
        <item x="1641"/>
        <item x="917"/>
        <item x="1244"/>
        <item x="0"/>
        <item x="680"/>
        <item x="1887"/>
        <item x="1025"/>
        <item x="1565"/>
        <item x="1330"/>
        <item x="2015"/>
        <item x="982"/>
        <item x="46"/>
        <item x="1382"/>
        <item x="829"/>
        <item x="58"/>
        <item x="1607"/>
        <item x="872"/>
        <item x="1984"/>
        <item x="1791"/>
        <item x="1317"/>
        <item x="712"/>
        <item x="2003"/>
        <item x="1851"/>
        <item x="1922"/>
        <item x="1598"/>
        <item x="381"/>
        <item x="221"/>
        <item x="1663"/>
        <item x="1171"/>
        <item x="1011"/>
        <item x="1311"/>
        <item x="1254"/>
        <item x="1666"/>
        <item x="1835"/>
        <item x="292"/>
        <item x="901"/>
        <item x="1767"/>
        <item x="983"/>
        <item x="2061"/>
        <item x="378"/>
        <item x="492"/>
        <item x="1068"/>
        <item x="489"/>
        <item x="1053"/>
        <item x="265"/>
        <item x="1318"/>
        <item x="80"/>
        <item x="86"/>
        <item x="573"/>
        <item x="1746"/>
        <item x="1614"/>
        <item x="192"/>
        <item x="847"/>
        <item x="94"/>
        <item x="145"/>
        <item x="625"/>
        <item x="1976"/>
        <item x="1752"/>
        <item x="26"/>
        <item x="1506"/>
        <item x="1088"/>
        <item x="1571"/>
        <item x="2004"/>
        <item x="1842"/>
        <item x="482"/>
        <item x="1735"/>
        <item x="243"/>
        <item x="582"/>
        <item x="695"/>
        <item x="1988"/>
        <item x="1020"/>
        <item x="665"/>
        <item x="338"/>
        <item x="1274"/>
        <item x="1168"/>
        <item x="212"/>
        <item x="1841"/>
        <item x="690"/>
        <item x="1265"/>
        <item x="32"/>
        <item x="1990"/>
        <item x="1582"/>
        <item x="167"/>
        <item x="596"/>
        <item x="766"/>
        <item x="308"/>
        <item x="1549"/>
        <item x="669"/>
        <item x="1261"/>
        <item x="1665"/>
        <item x="1578"/>
        <item x="1526"/>
        <item x="1453"/>
        <item x="581"/>
        <item x="1667"/>
        <item x="96"/>
        <item x="1495"/>
        <item x="1211"/>
        <item x="360"/>
        <item x="488"/>
        <item x="2070"/>
        <item x="1332"/>
        <item x="1923"/>
        <item x="1381"/>
        <item x="400"/>
        <item x="1557"/>
        <item x="1645"/>
        <item x="1421"/>
        <item x="346"/>
        <item x="117"/>
        <item x="323"/>
        <item x="1023"/>
        <item x="1383"/>
        <item x="109"/>
        <item x="1055"/>
        <item x="992"/>
        <item x="1634"/>
        <item x="987"/>
        <item x="637"/>
        <item x="805"/>
        <item x="1493"/>
        <item x="1515"/>
        <item x="546"/>
        <item x="34"/>
        <item x="1122"/>
        <item x="793"/>
        <item x="824"/>
        <item x="1541"/>
        <item x="1111"/>
        <item x="270"/>
        <item x="1253"/>
        <item x="873"/>
        <item x="603"/>
        <item x="1281"/>
        <item x="682"/>
        <item x="1989"/>
        <item x="818"/>
        <item x="1909"/>
        <item x="1622"/>
        <item x="1811"/>
        <item x="1531"/>
        <item x="1544"/>
        <item x="1609"/>
        <item x="1285"/>
        <item x="1874"/>
        <item x="783"/>
        <item x="337"/>
        <item x="1555"/>
        <item x="1918"/>
        <item x="1352"/>
        <item x="1479"/>
        <item x="1596"/>
        <item x="1366"/>
        <item x="1440"/>
        <item x="773"/>
        <item x="893"/>
        <item x="1389"/>
        <item x="99"/>
        <item x="1387"/>
        <item x="448"/>
        <item x="885"/>
        <item x="812"/>
        <item x="852"/>
        <item x="673"/>
        <item x="196"/>
        <item x="1529"/>
        <item x="767"/>
        <item x="697"/>
        <item x="1454"/>
        <item x="991"/>
        <item x="1165"/>
        <item x="393"/>
        <item x="1000"/>
        <item x="1729"/>
        <item x="465"/>
        <item x="1415"/>
        <item x="1431"/>
        <item x="357"/>
        <item x="198"/>
        <item x="2011"/>
        <item x="499"/>
        <item x="453"/>
        <item x="720"/>
        <item x="1076"/>
        <item x="842"/>
        <item x="1688"/>
        <item x="256"/>
        <item x="2074"/>
        <item x="2007"/>
        <item x="532"/>
        <item x="1390"/>
        <item x="1276"/>
        <item x="151"/>
        <item x="803"/>
        <item x="1279"/>
        <item x="1083"/>
        <item x="1283"/>
        <item x="1698"/>
        <item x="1136"/>
        <item x="759"/>
        <item x="779"/>
        <item x="44"/>
        <item x="1782"/>
        <item x="294"/>
        <item x="1600"/>
        <item x="1045"/>
        <item x="828"/>
        <item x="366"/>
        <item x="876"/>
        <item x="608"/>
        <item x="877"/>
        <item x="827"/>
        <item x="1207"/>
        <item x="1293"/>
        <item x="635"/>
        <item x="1451"/>
        <item x="1914"/>
        <item x="964"/>
        <item x="711"/>
        <item x="141"/>
        <item x="1902"/>
        <item x="538"/>
        <item x="880"/>
        <item x="718"/>
        <item x="1991"/>
        <item x="1929"/>
        <item x="47"/>
        <item x="1723"/>
        <item x="1057"/>
        <item x="18"/>
        <item x="1797"/>
        <item x="1556"/>
        <item x="699"/>
        <item x="706"/>
        <item x="1414"/>
        <item x="33"/>
        <item x="1761"/>
        <item x="273"/>
        <item x="1974"/>
        <item x="1174"/>
        <item x="948"/>
        <item x="410"/>
        <item x="1927"/>
        <item x="1629"/>
        <item x="1302"/>
        <item x="50"/>
        <item x="781"/>
        <item x="78"/>
        <item x="405"/>
        <item x="1001"/>
        <item x="2060"/>
        <item x="1149"/>
        <item x="1516"/>
        <item x="1881"/>
        <item x="153"/>
        <item x="1579"/>
        <item x="809"/>
        <item x="16"/>
        <item x="1683"/>
        <item x="1714"/>
        <item x="754"/>
        <item x="1177"/>
        <item x="1287"/>
        <item x="369"/>
        <item x="736"/>
        <item x="1303"/>
        <item x="825"/>
        <item x="197"/>
        <item x="758"/>
        <item x="978"/>
        <item x="437"/>
        <item x="344"/>
        <item x="1084"/>
        <item x="1018"/>
        <item x="395"/>
        <item x="674"/>
        <item x="1028"/>
        <item x="1191"/>
        <item x="855"/>
        <item x="501"/>
        <item x="1432"/>
        <item x="1264"/>
        <item x="558"/>
        <item x="165"/>
        <item x="1123"/>
        <item x="309"/>
        <item x="1482"/>
        <item x="177"/>
        <item x="446"/>
        <item x="1188"/>
        <item x="1867"/>
        <item x="1078"/>
        <item x="965"/>
        <item x="563"/>
        <item x="1730"/>
        <item x="1060"/>
        <item x="556"/>
        <item x="40"/>
        <item x="963"/>
        <item x="358"/>
        <item x="1978"/>
        <item x="341"/>
        <item x="425"/>
        <item x="397"/>
        <item x="1802"/>
        <item x="1963"/>
        <item x="976"/>
        <item x="1822"/>
        <item x="950"/>
        <item x="1033"/>
        <item x="1738"/>
        <item x="2020"/>
        <item x="938"/>
        <item x="1975"/>
        <item x="921"/>
        <item x="1277"/>
        <item x="989"/>
        <item x="659"/>
        <item x="1124"/>
        <item x="1996"/>
        <item x="814"/>
        <item x="474"/>
        <item x="263"/>
        <item x="202"/>
        <item x="216"/>
        <item x="2033"/>
        <item x="2069"/>
        <item x="1514"/>
        <item x="778"/>
        <item x="1360"/>
        <item x="2047"/>
        <item x="464"/>
        <item x="457"/>
        <item x="942"/>
        <item x="691"/>
        <item x="136"/>
        <item x="1379"/>
        <item x="272"/>
        <item x="864"/>
        <item x="1222"/>
        <item x="278"/>
        <item x="189"/>
        <item x="2043"/>
        <item x="1574"/>
        <item x="628"/>
        <item x="1833"/>
        <item x="463"/>
        <item x="1315"/>
        <item x="552"/>
        <item x="1257"/>
        <item x="839"/>
        <item x="644"/>
        <item x="1167"/>
        <item x="2000"/>
        <item x="1385"/>
        <item x="871"/>
        <item x="1457"/>
        <item x="726"/>
        <item x="340"/>
        <item x="681"/>
        <item x="1469"/>
        <item x="533"/>
        <item x="985"/>
        <item x="287"/>
        <item x="1017"/>
        <item x="528"/>
        <item x="1157"/>
        <item x="611"/>
        <item x="48"/>
        <item x="206"/>
        <item x="409"/>
        <item x="140"/>
        <item x="684"/>
        <item x="1322"/>
        <item x="472"/>
        <item x="1215"/>
        <item x="1483"/>
        <item x="66"/>
        <item x="739"/>
        <item x="1647"/>
        <item x="1936"/>
        <item x="286"/>
        <item x="886"/>
        <item x="1935"/>
        <item x="2016"/>
        <item x="1742"/>
        <item x="1686"/>
        <item x="1312"/>
        <item x="906"/>
        <item x="1862"/>
        <item x="898"/>
        <item x="1676"/>
        <item x="186"/>
        <item t="default"/>
      </items>
    </pivotField>
    <pivotField compact="0" showAll="0">
      <items count="7">
        <item x="1"/>
        <item x="2"/>
        <item x="5"/>
        <item x="3"/>
        <item x="4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54">
        <item x="649"/>
        <item x="691"/>
        <item x="314"/>
        <item x="164"/>
        <item x="238"/>
        <item x="740"/>
        <item x="440"/>
        <item x="216"/>
        <item x="613"/>
        <item x="499"/>
        <item x="463"/>
        <item x="357"/>
        <item x="206"/>
        <item x="107"/>
        <item x="503"/>
        <item x="28"/>
        <item x="140"/>
        <item x="232"/>
        <item x="513"/>
        <item x="273"/>
        <item x="97"/>
        <item x="427"/>
        <item x="254"/>
        <item x="453"/>
        <item x="378"/>
        <item x="635"/>
        <item x="210"/>
        <item x="220"/>
        <item x="159"/>
        <item x="36"/>
        <item x="332"/>
        <item x="260"/>
        <item x="296"/>
        <item x="366"/>
        <item x="462"/>
        <item x="194"/>
        <item x="472"/>
        <item x="548"/>
        <item x="361"/>
        <item x="196"/>
        <item x="668"/>
        <item x="249"/>
        <item x="679"/>
        <item x="39"/>
        <item x="738"/>
        <item x="732"/>
        <item x="334"/>
        <item x="127"/>
        <item x="688"/>
        <item x="584"/>
        <item x="119"/>
        <item x="1"/>
        <item x="380"/>
        <item x="2"/>
        <item x="432"/>
        <item x="692"/>
        <item x="493"/>
        <item x="674"/>
        <item x="154"/>
        <item x="96"/>
        <item x="518"/>
        <item x="483"/>
        <item x="74"/>
        <item x="29"/>
        <item x="43"/>
        <item x="307"/>
        <item x="330"/>
        <item x="664"/>
        <item x="575"/>
        <item x="589"/>
        <item x="746"/>
        <item x="235"/>
        <item x="603"/>
        <item x="178"/>
        <item x="368"/>
        <item x="532"/>
        <item x="342"/>
        <item x="626"/>
        <item x="258"/>
        <item x="57"/>
        <item x="91"/>
        <item x="619"/>
        <item x="719"/>
        <item x="699"/>
        <item x="632"/>
        <item x="662"/>
        <item x="162"/>
        <item x="597"/>
        <item x="509"/>
        <item x="271"/>
        <item x="94"/>
        <item x="743"/>
        <item x="250"/>
        <item x="581"/>
        <item x="391"/>
        <item x="547"/>
        <item x="566"/>
        <item x="406"/>
        <item x="587"/>
        <item x="687"/>
        <item x="735"/>
        <item x="25"/>
        <item x="384"/>
        <item x="267"/>
        <item x="716"/>
        <item x="715"/>
        <item x="227"/>
        <item x="424"/>
        <item x="430"/>
        <item x="395"/>
        <item x="492"/>
        <item x="511"/>
        <item x="323"/>
        <item x="747"/>
        <item x="337"/>
        <item x="538"/>
        <item x="482"/>
        <item x="313"/>
        <item x="172"/>
        <item x="338"/>
        <item x="466"/>
        <item x="348"/>
        <item x="180"/>
        <item x="292"/>
        <item x="257"/>
        <item x="684"/>
        <item x="274"/>
        <item x="407"/>
        <item x="485"/>
        <item x="102"/>
        <item x="241"/>
        <item x="293"/>
        <item x="373"/>
        <item x="389"/>
        <item x="439"/>
        <item x="17"/>
        <item x="624"/>
        <item x="599"/>
        <item x="263"/>
        <item x="745"/>
        <item x="428"/>
        <item x="398"/>
        <item x="390"/>
        <item x="494"/>
        <item x="534"/>
        <item x="90"/>
        <item x="558"/>
        <item x="177"/>
        <item x="52"/>
        <item x="131"/>
        <item x="467"/>
        <item x="226"/>
        <item x="93"/>
        <item x="557"/>
        <item x="352"/>
        <item x="229"/>
        <item x="471"/>
        <item x="620"/>
        <item x="505"/>
        <item x="601"/>
        <item x="752"/>
        <item x="487"/>
        <item x="312"/>
        <item x="165"/>
        <item x="418"/>
        <item x="586"/>
        <item x="709"/>
        <item x="475"/>
        <item x="268"/>
        <item x="516"/>
        <item x="591"/>
        <item x="48"/>
        <item x="385"/>
        <item x="98"/>
        <item x="306"/>
        <item x="527"/>
        <item x="21"/>
        <item x="750"/>
        <item x="593"/>
        <item x="120"/>
        <item x="80"/>
        <item x="356"/>
        <item x="38"/>
        <item x="409"/>
        <item x="615"/>
        <item x="697"/>
        <item x="114"/>
        <item x="500"/>
        <item x="284"/>
        <item x="23"/>
        <item x="221"/>
        <item x="410"/>
        <item x="729"/>
        <item x="452"/>
        <item x="617"/>
        <item x="186"/>
        <item x="651"/>
        <item x="207"/>
        <item x="643"/>
        <item x="486"/>
        <item x="526"/>
        <item x="124"/>
        <item x="530"/>
        <item x="677"/>
        <item x="259"/>
        <item x="404"/>
        <item x="680"/>
        <item x="723"/>
        <item x="724"/>
        <item x="671"/>
        <item x="144"/>
        <item x="157"/>
        <item x="139"/>
        <item x="209"/>
        <item x="125"/>
        <item x="610"/>
        <item x="700"/>
        <item x="283"/>
        <item x="95"/>
        <item x="60"/>
        <item x="720"/>
        <item x="224"/>
        <item x="104"/>
        <item x="34"/>
        <item x="681"/>
        <item x="393"/>
        <item x="282"/>
        <item x="474"/>
        <item x="443"/>
        <item x="277"/>
        <item x="191"/>
        <item x="614"/>
        <item x="637"/>
        <item x="246"/>
        <item x="176"/>
        <item x="429"/>
        <item x="722"/>
        <item x="507"/>
        <item x="376"/>
        <item x="667"/>
        <item x="417"/>
        <item x="604"/>
        <item x="364"/>
        <item x="742"/>
        <item x="419"/>
        <item x="435"/>
        <item x="666"/>
        <item x="242"/>
        <item x="333"/>
        <item x="349"/>
        <item x="535"/>
        <item x="553"/>
        <item x="225"/>
        <item x="434"/>
        <item x="415"/>
        <item x="182"/>
        <item x="542"/>
        <item x="479"/>
        <item x="280"/>
        <item x="450"/>
        <item x="336"/>
        <item x="539"/>
        <item x="297"/>
        <item x="291"/>
        <item x="711"/>
        <item x="353"/>
        <item x="543"/>
        <item x="79"/>
        <item x="728"/>
        <item x="576"/>
        <item x="135"/>
        <item x="41"/>
        <item x="281"/>
        <item x="18"/>
        <item x="645"/>
        <item x="465"/>
        <item x="272"/>
        <item x="672"/>
        <item x="75"/>
        <item x="616"/>
        <item x="171"/>
        <item x="322"/>
        <item x="8"/>
        <item x="65"/>
        <item x="612"/>
        <item x="308"/>
        <item x="187"/>
        <item x="67"/>
        <item x="495"/>
        <item x="290"/>
        <item x="214"/>
        <item x="300"/>
        <item x="179"/>
        <item x="301"/>
        <item x="346"/>
        <item x="37"/>
        <item x="544"/>
        <item x="655"/>
        <item x="497"/>
        <item x="609"/>
        <item x="315"/>
        <item x="595"/>
        <item x="456"/>
        <item x="58"/>
        <item x="269"/>
        <item x="190"/>
        <item x="359"/>
        <item x="442"/>
        <item x="733"/>
        <item x="174"/>
        <item x="47"/>
        <item x="121"/>
        <item x="15"/>
        <item x="727"/>
        <item x="379"/>
        <item x="279"/>
        <item x="113"/>
        <item x="423"/>
        <item x="441"/>
        <item x="92"/>
        <item x="161"/>
        <item x="628"/>
        <item x="707"/>
        <item x="82"/>
        <item x="408"/>
        <item x="248"/>
        <item x="151"/>
        <item x="50"/>
        <item x="670"/>
        <item x="304"/>
        <item x="143"/>
        <item x="327"/>
        <item x="402"/>
        <item x="682"/>
        <item x="412"/>
        <item x="133"/>
        <item x="239"/>
        <item x="344"/>
        <item x="26"/>
        <item x="101"/>
        <item x="192"/>
        <item x="245"/>
        <item x="708"/>
        <item x="110"/>
        <item x="158"/>
        <item x="627"/>
        <item x="152"/>
        <item x="377"/>
        <item x="386"/>
        <item x="577"/>
        <item x="49"/>
        <item x="730"/>
        <item x="62"/>
        <item x="669"/>
        <item x="331"/>
        <item x="117"/>
        <item x="12"/>
        <item x="5"/>
        <item x="646"/>
        <item x="108"/>
        <item x="477"/>
        <item x="288"/>
        <item x="289"/>
        <item x="491"/>
        <item x="541"/>
        <item x="51"/>
        <item x="358"/>
        <item x="148"/>
        <item x="652"/>
        <item x="618"/>
        <item x="298"/>
        <item x="634"/>
        <item x="123"/>
        <item x="365"/>
        <item x="529"/>
        <item x="240"/>
        <item x="564"/>
        <item x="622"/>
        <item x="237"/>
        <item x="54"/>
        <item x="30"/>
        <item x="69"/>
        <item x="14"/>
        <item x="583"/>
        <item x="20"/>
        <item x="71"/>
        <item x="588"/>
        <item x="549"/>
        <item x="579"/>
        <item x="731"/>
        <item x="185"/>
        <item x="255"/>
        <item x="744"/>
        <item x="204"/>
        <item x="654"/>
        <item x="704"/>
        <item x="109"/>
        <item x="285"/>
        <item x="88"/>
        <item x="189"/>
        <item x="265"/>
        <item x="561"/>
        <item x="714"/>
        <item x="11"/>
        <item x="77"/>
        <item x="205"/>
        <item x="66"/>
        <item x="585"/>
        <item x="457"/>
        <item x="198"/>
        <item x="222"/>
        <item x="266"/>
        <item x="211"/>
        <item x="524"/>
        <item x="546"/>
        <item x="208"/>
        <item x="213"/>
        <item x="341"/>
        <item x="126"/>
        <item x="702"/>
        <item x="683"/>
        <item x="56"/>
        <item x="706"/>
        <item x="739"/>
        <item x="473"/>
        <item x="625"/>
        <item x="112"/>
        <item x="233"/>
        <item x="276"/>
        <item x="689"/>
        <item x="347"/>
        <item x="501"/>
        <item x="639"/>
        <item x="219"/>
        <item x="540"/>
        <item x="73"/>
        <item x="698"/>
        <item x="690"/>
        <item x="629"/>
        <item x="741"/>
        <item x="228"/>
        <item x="236"/>
        <item x="580"/>
        <item x="464"/>
        <item x="134"/>
        <item x="381"/>
        <item x="422"/>
        <item x="705"/>
        <item x="446"/>
        <item x="45"/>
        <item x="383"/>
        <item x="302"/>
        <item x="147"/>
        <item x="436"/>
        <item x="594"/>
        <item x="343"/>
        <item x="454"/>
        <item x="751"/>
        <item x="270"/>
        <item x="375"/>
        <item x="521"/>
        <item x="218"/>
        <item x="605"/>
        <item x="675"/>
        <item x="444"/>
        <item x="563"/>
        <item x="275"/>
        <item x="128"/>
        <item x="369"/>
        <item x="305"/>
        <item x="262"/>
        <item x="387"/>
        <item x="4"/>
        <item x="7"/>
        <item x="320"/>
        <item x="414"/>
        <item x="33"/>
        <item x="231"/>
        <item x="641"/>
        <item x="16"/>
        <item x="531"/>
        <item x="426"/>
        <item x="653"/>
        <item x="582"/>
        <item x="545"/>
        <item x="251"/>
        <item x="572"/>
        <item x="168"/>
        <item x="324"/>
        <item x="142"/>
        <item x="512"/>
        <item x="676"/>
        <item x="559"/>
        <item x="55"/>
        <item x="400"/>
        <item x="574"/>
        <item x="53"/>
        <item x="371"/>
        <item x="498"/>
        <item x="129"/>
        <item x="630"/>
        <item x="661"/>
        <item x="413"/>
        <item x="188"/>
        <item x="537"/>
        <item x="663"/>
        <item x="326"/>
        <item x="525"/>
        <item x="13"/>
        <item x="193"/>
        <item x="647"/>
        <item x="644"/>
        <item x="508"/>
        <item x="551"/>
        <item x="83"/>
        <item x="355"/>
        <item x="382"/>
        <item x="685"/>
        <item x="351"/>
        <item x="202"/>
        <item x="199"/>
        <item x="234"/>
        <item x="122"/>
        <item x="170"/>
        <item x="405"/>
        <item x="345"/>
        <item x="734"/>
        <item x="78"/>
        <item x="656"/>
        <item x="569"/>
        <item x="449"/>
        <item x="319"/>
        <item x="370"/>
        <item x="195"/>
        <item x="570"/>
        <item x="363"/>
        <item x="85"/>
        <item x="166"/>
        <item x="401"/>
        <item x="717"/>
        <item x="40"/>
        <item x="481"/>
        <item x="100"/>
        <item x="286"/>
        <item x="175"/>
        <item x="247"/>
        <item x="138"/>
        <item x="27"/>
        <item x="420"/>
        <item x="416"/>
        <item x="478"/>
        <item x="84"/>
        <item x="200"/>
        <item x="149"/>
        <item x="528"/>
        <item x="63"/>
        <item x="611"/>
        <item x="484"/>
        <item x="169"/>
        <item x="3"/>
        <item x="470"/>
        <item x="76"/>
        <item x="631"/>
        <item x="153"/>
        <item x="693"/>
        <item x="354"/>
        <item x="243"/>
        <item x="431"/>
        <item x="46"/>
        <item x="573"/>
        <item x="68"/>
        <item x="523"/>
        <item x="556"/>
        <item x="403"/>
        <item x="399"/>
        <item x="598"/>
        <item x="552"/>
        <item x="468"/>
        <item x="578"/>
        <item x="638"/>
        <item x="155"/>
        <item x="712"/>
        <item x="657"/>
        <item x="550"/>
        <item x="388"/>
        <item x="264"/>
        <item x="602"/>
        <item x="726"/>
        <item x="374"/>
        <item x="642"/>
        <item x="217"/>
        <item x="480"/>
        <item x="447"/>
        <item x="372"/>
        <item x="392"/>
        <item x="141"/>
        <item x="311"/>
        <item x="130"/>
        <item x="325"/>
        <item x="445"/>
        <item x="451"/>
        <item x="89"/>
        <item x="621"/>
        <item x="554"/>
        <item x="660"/>
        <item x="397"/>
        <item x="81"/>
        <item x="522"/>
        <item x="421"/>
        <item x="44"/>
        <item x="278"/>
        <item x="695"/>
        <item x="496"/>
        <item x="350"/>
        <item x="648"/>
        <item x="6"/>
        <item x="490"/>
        <item x="659"/>
        <item x="253"/>
        <item x="725"/>
        <item x="565"/>
        <item x="623"/>
        <item x="433"/>
        <item x="116"/>
        <item x="87"/>
        <item x="721"/>
        <item x="299"/>
        <item x="510"/>
        <item x="665"/>
        <item x="252"/>
        <item x="256"/>
        <item x="173"/>
        <item x="567"/>
        <item x="163"/>
        <item x="201"/>
        <item x="340"/>
        <item x="335"/>
        <item x="520"/>
        <item x="737"/>
        <item x="0"/>
        <item x="150"/>
        <item x="517"/>
        <item x="339"/>
        <item x="360"/>
        <item x="61"/>
        <item x="678"/>
        <item x="10"/>
        <item x="294"/>
        <item x="560"/>
        <item x="367"/>
        <item x="519"/>
        <item x="24"/>
        <item x="86"/>
        <item x="244"/>
        <item x="261"/>
        <item x="329"/>
        <item x="146"/>
        <item x="316"/>
        <item x="694"/>
        <item x="99"/>
        <item x="362"/>
        <item x="212"/>
        <item x="673"/>
        <item x="701"/>
        <item x="215"/>
        <item x="310"/>
        <item x="59"/>
        <item x="459"/>
        <item x="167"/>
        <item x="137"/>
        <item x="514"/>
        <item x="72"/>
        <item x="111"/>
        <item x="448"/>
        <item x="606"/>
        <item x="425"/>
        <item x="590"/>
        <item x="749"/>
        <item x="197"/>
        <item x="181"/>
        <item x="396"/>
        <item x="303"/>
        <item x="317"/>
        <item x="203"/>
        <item x="506"/>
        <item x="536"/>
        <item x="132"/>
        <item x="115"/>
        <item x="658"/>
        <item x="533"/>
        <item x="105"/>
        <item x="476"/>
        <item x="469"/>
        <item x="736"/>
        <item x="9"/>
        <item x="592"/>
        <item x="568"/>
        <item x="633"/>
        <item x="696"/>
        <item x="156"/>
        <item x="230"/>
        <item x="32"/>
        <item x="504"/>
        <item x="718"/>
        <item x="309"/>
        <item x="295"/>
        <item x="223"/>
        <item x="160"/>
        <item x="70"/>
        <item x="106"/>
        <item x="488"/>
        <item x="321"/>
        <item x="600"/>
        <item x="458"/>
        <item x="328"/>
        <item x="455"/>
        <item x="103"/>
        <item x="22"/>
        <item x="437"/>
        <item x="145"/>
        <item x="713"/>
        <item x="438"/>
        <item x="318"/>
        <item x="394"/>
        <item x="608"/>
        <item x="411"/>
        <item x="640"/>
        <item x="636"/>
        <item x="64"/>
        <item x="571"/>
        <item x="710"/>
        <item x="489"/>
        <item x="515"/>
        <item x="686"/>
        <item x="184"/>
        <item x="19"/>
        <item x="596"/>
        <item x="650"/>
        <item x="562"/>
        <item x="748"/>
        <item x="42"/>
        <item x="31"/>
        <item x="35"/>
        <item x="136"/>
        <item x="287"/>
        <item x="183"/>
        <item x="502"/>
        <item x="607"/>
        <item x="703"/>
        <item x="460"/>
        <item x="555"/>
        <item x="461"/>
        <item x="118"/>
        <item t="default"/>
      </items>
    </pivotField>
    <pivotField compact="0" showAll="0">
      <items count="3">
        <item x="1"/>
        <item x="0"/>
        <item t="default"/>
      </items>
    </pivotField>
    <pivotField axis="axisRow" compact="0" defaultSubtotal="0" showAll="0">
      <items count="4">
        <item x="0"/>
        <item x="1"/>
        <item x="2"/>
        <item x="3"/>
      </items>
    </pivotField>
  </pivotFields>
  <rowFields count="2">
    <field x="26"/>
    <field x="2"/>
  </rowFields>
  <rowItems count="16"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s_Amount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27">
    <pivotField compact="0" showAll="0">
      <items count="2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919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2280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115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2132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1842"/>
        <item x="916"/>
        <item x="917"/>
        <item x="918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750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366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2331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637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1980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compact="0" showAll="0">
      <items count="24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115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749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636"/>
        <item x="1964"/>
        <item x="1965"/>
        <item x="1966"/>
        <item x="1967"/>
        <item x="1968"/>
        <item x="1969"/>
        <item x="1970"/>
        <item x="1971"/>
        <item x="1972"/>
        <item x="1973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1974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t="default"/>
      </items>
    </pivotField>
    <pivotField compact="0" numFmtId="18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11"/>
        <item x="7"/>
        <item x="1"/>
        <item x="9"/>
        <item x="5"/>
        <item x="0"/>
        <item x="3"/>
        <item x="4"/>
        <item x="2"/>
        <item x="8"/>
        <item x="6"/>
        <item x="10"/>
        <item t="default"/>
      </items>
    </pivotField>
    <pivotField compact="0" showAll="0">
      <items count="13">
        <item x="11"/>
        <item x="7"/>
        <item x="1"/>
        <item x="9"/>
        <item x="5"/>
        <item x="0"/>
        <item x="3"/>
        <item x="4"/>
        <item x="2"/>
        <item x="8"/>
        <item x="6"/>
        <item x="1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650">
        <item x="534"/>
        <item x="437"/>
        <item x="626"/>
        <item x="220"/>
        <item x="40"/>
        <item x="505"/>
        <item x="308"/>
        <item x="541"/>
        <item x="126"/>
        <item x="138"/>
        <item x="621"/>
        <item x="101"/>
        <item x="559"/>
        <item x="619"/>
        <item x="114"/>
        <item x="457"/>
        <item x="260"/>
        <item x="293"/>
        <item x="116"/>
        <item x="31"/>
        <item x="109"/>
        <item x="230"/>
        <item x="617"/>
        <item x="159"/>
        <item x="88"/>
        <item x="245"/>
        <item x="302"/>
        <item x="208"/>
        <item x="557"/>
        <item x="487"/>
        <item x="432"/>
        <item x="253"/>
        <item x="102"/>
        <item x="376"/>
        <item x="642"/>
        <item x="484"/>
        <item x="106"/>
        <item x="9"/>
        <item x="425"/>
        <item x="613"/>
        <item x="477"/>
        <item x="196"/>
        <item x="219"/>
        <item x="136"/>
        <item x="605"/>
        <item x="269"/>
        <item x="26"/>
        <item x="201"/>
        <item x="289"/>
        <item x="288"/>
        <item x="115"/>
        <item x="305"/>
        <item x="24"/>
        <item x="21"/>
        <item x="144"/>
        <item x="95"/>
        <item x="357"/>
        <item x="132"/>
        <item x="91"/>
        <item x="433"/>
        <item x="17"/>
        <item x="598"/>
        <item x="52"/>
        <item x="250"/>
        <item x="388"/>
        <item x="554"/>
        <item x="352"/>
        <item x="552"/>
        <item x="622"/>
        <item x="65"/>
        <item x="287"/>
        <item x="430"/>
        <item x="502"/>
        <item x="342"/>
        <item x="583"/>
        <item x="209"/>
        <item x="217"/>
        <item x="400"/>
        <item x="427"/>
        <item x="447"/>
        <item x="117"/>
        <item x="548"/>
        <item x="181"/>
        <item x="364"/>
        <item x="341"/>
        <item x="441"/>
        <item x="218"/>
        <item x="624"/>
        <item x="166"/>
        <item x="157"/>
        <item x="292"/>
        <item x="565"/>
        <item x="648"/>
        <item x="358"/>
        <item x="57"/>
        <item x="167"/>
        <item x="610"/>
        <item x="446"/>
        <item x="595"/>
        <item x="414"/>
        <item x="48"/>
        <item x="551"/>
        <item x="455"/>
        <item x="556"/>
        <item x="353"/>
        <item x="187"/>
        <item x="195"/>
        <item x="227"/>
        <item x="1"/>
        <item x="407"/>
        <item x="395"/>
        <item x="620"/>
        <item x="66"/>
        <item x="108"/>
        <item x="591"/>
        <item x="476"/>
        <item x="323"/>
        <item x="345"/>
        <item x="584"/>
        <item x="79"/>
        <item x="538"/>
        <item x="514"/>
        <item x="97"/>
        <item x="374"/>
        <item x="561"/>
        <item x="222"/>
        <item x="75"/>
        <item x="594"/>
        <item x="497"/>
        <item x="254"/>
        <item x="4"/>
        <item x="173"/>
        <item x="426"/>
        <item x="53"/>
        <item x="192"/>
        <item x="524"/>
        <item x="585"/>
        <item x="486"/>
        <item x="607"/>
        <item x="450"/>
        <item x="113"/>
        <item x="380"/>
        <item x="22"/>
        <item x="8"/>
        <item x="402"/>
        <item x="203"/>
        <item x="602"/>
        <item x="515"/>
        <item x="224"/>
        <item x="549"/>
        <item x="317"/>
        <item x="601"/>
        <item x="298"/>
        <item x="368"/>
        <item x="346"/>
        <item x="519"/>
        <item x="41"/>
        <item x="270"/>
        <item x="55"/>
        <item x="417"/>
        <item x="644"/>
        <item x="158"/>
        <item x="268"/>
        <item x="347"/>
        <item x="259"/>
        <item x="495"/>
        <item x="623"/>
        <item x="68"/>
        <item x="50"/>
        <item x="49"/>
        <item x="525"/>
        <item x="242"/>
        <item x="544"/>
        <item x="100"/>
        <item x="322"/>
        <item x="397"/>
        <item x="401"/>
        <item x="211"/>
        <item x="176"/>
        <item x="528"/>
        <item x="237"/>
        <item x="14"/>
        <item x="234"/>
        <item x="543"/>
        <item x="396"/>
        <item x="354"/>
        <item x="71"/>
        <item x="272"/>
        <item x="501"/>
        <item x="179"/>
        <item x="558"/>
        <item x="249"/>
        <item x="153"/>
        <item x="442"/>
        <item x="47"/>
        <item x="74"/>
        <item x="119"/>
        <item x="643"/>
        <item x="184"/>
        <item x="284"/>
        <item x="498"/>
        <item x="35"/>
        <item x="536"/>
        <item x="377"/>
        <item x="84"/>
        <item x="264"/>
        <item x="633"/>
        <item x="45"/>
        <item x="529"/>
        <item x="386"/>
        <item x="366"/>
        <item x="328"/>
        <item x="304"/>
        <item x="207"/>
        <item x="546"/>
        <item x="371"/>
        <item x="38"/>
        <item x="127"/>
        <item x="125"/>
        <item x="587"/>
        <item x="180"/>
        <item x="334"/>
        <item x="18"/>
        <item x="564"/>
        <item x="599"/>
        <item x="403"/>
        <item x="517"/>
        <item x="246"/>
        <item x="62"/>
        <item x="542"/>
        <item x="539"/>
        <item x="560"/>
        <item x="286"/>
        <item x="597"/>
        <item x="434"/>
        <item x="168"/>
        <item x="221"/>
        <item x="162"/>
        <item x="577"/>
        <item x="130"/>
        <item x="416"/>
        <item x="373"/>
        <item x="243"/>
        <item x="412"/>
        <item x="89"/>
        <item x="392"/>
        <item x="646"/>
        <item x="568"/>
        <item x="7"/>
        <item x="611"/>
        <item x="299"/>
        <item x="133"/>
        <item x="121"/>
        <item x="628"/>
        <item x="444"/>
        <item x="464"/>
        <item x="618"/>
        <item x="151"/>
        <item x="572"/>
        <item x="78"/>
        <item x="112"/>
        <item x="472"/>
        <item x="449"/>
        <item x="161"/>
        <item x="72"/>
        <item x="329"/>
        <item x="406"/>
        <item x="163"/>
        <item x="189"/>
        <item x="105"/>
        <item x="578"/>
        <item x="569"/>
        <item x="452"/>
        <item x="460"/>
        <item x="533"/>
        <item x="504"/>
        <item x="275"/>
        <item x="188"/>
        <item x="198"/>
        <item x="467"/>
        <item x="223"/>
        <item x="491"/>
        <item x="265"/>
        <item x="399"/>
        <item x="439"/>
        <item x="635"/>
        <item x="263"/>
        <item x="135"/>
        <item x="39"/>
        <item x="409"/>
        <item x="482"/>
        <item x="537"/>
        <item x="379"/>
        <item x="390"/>
        <item x="588"/>
        <item x="394"/>
        <item x="316"/>
        <item x="456"/>
        <item x="226"/>
        <item x="555"/>
        <item x="629"/>
        <item x="451"/>
        <item x="321"/>
        <item x="178"/>
        <item x="640"/>
        <item x="367"/>
        <item x="294"/>
        <item x="326"/>
        <item x="140"/>
        <item x="438"/>
        <item x="111"/>
        <item x="612"/>
        <item x="170"/>
        <item x="175"/>
        <item x="143"/>
        <item x="469"/>
        <item x="266"/>
        <item x="424"/>
        <item x="473"/>
        <item x="411"/>
        <item x="28"/>
        <item x="104"/>
        <item x="103"/>
        <item x="461"/>
        <item x="566"/>
        <item x="262"/>
        <item x="307"/>
        <item x="431"/>
        <item x="174"/>
        <item x="440"/>
        <item x="641"/>
        <item x="369"/>
        <item x="575"/>
        <item x="632"/>
        <item x="164"/>
        <item x="30"/>
        <item x="13"/>
        <item x="348"/>
        <item x="489"/>
        <item x="480"/>
        <item x="475"/>
        <item x="86"/>
        <item x="107"/>
        <item x="360"/>
        <item x="522"/>
        <item x="193"/>
        <item x="384"/>
        <item x="177"/>
        <item x="625"/>
        <item x="355"/>
        <item x="393"/>
        <item x="82"/>
        <item x="15"/>
        <item x="479"/>
        <item x="5"/>
        <item x="630"/>
        <item x="311"/>
        <item x="647"/>
        <item x="60"/>
        <item x="468"/>
        <item x="453"/>
        <item x="37"/>
        <item x="257"/>
        <item x="92"/>
        <item x="251"/>
        <item x="20"/>
        <item x="496"/>
        <item x="421"/>
        <item x="520"/>
        <item x="98"/>
        <item x="235"/>
        <item x="513"/>
        <item x="99"/>
        <item x="155"/>
        <item x="573"/>
        <item x="518"/>
        <item x="389"/>
        <item x="350"/>
        <item x="214"/>
        <item x="309"/>
        <item x="70"/>
        <item x="185"/>
        <item x="128"/>
        <item x="530"/>
        <item x="110"/>
        <item x="562"/>
        <item x="87"/>
        <item x="521"/>
        <item x="271"/>
        <item x="303"/>
        <item x="378"/>
        <item x="567"/>
        <item x="213"/>
        <item x="503"/>
        <item x="553"/>
        <item x="493"/>
        <item x="276"/>
        <item x="523"/>
        <item x="255"/>
        <item x="391"/>
        <item x="240"/>
        <item x="2"/>
        <item x="429"/>
        <item x="500"/>
        <item x="571"/>
        <item x="186"/>
        <item x="215"/>
        <item x="337"/>
        <item x="46"/>
        <item x="194"/>
        <item x="6"/>
        <item x="458"/>
        <item x="372"/>
        <item x="81"/>
        <item x="279"/>
        <item x="335"/>
        <item x="142"/>
        <item x="290"/>
        <item x="205"/>
        <item x="463"/>
        <item x="258"/>
        <item x="535"/>
        <item x="206"/>
        <item x="285"/>
        <item x="51"/>
        <item x="408"/>
        <item x="32"/>
        <item x="507"/>
        <item x="210"/>
        <item x="63"/>
        <item x="229"/>
        <item x="581"/>
        <item x="462"/>
        <item x="69"/>
        <item x="361"/>
        <item x="67"/>
        <item x="274"/>
        <item x="330"/>
        <item x="313"/>
        <item x="59"/>
        <item x="483"/>
        <item x="510"/>
        <item x="419"/>
        <item x="169"/>
        <item x="191"/>
        <item x="428"/>
        <item x="574"/>
        <item x="420"/>
        <item x="231"/>
        <item x="579"/>
        <item x="614"/>
        <item x="54"/>
        <item x="182"/>
        <item x="550"/>
        <item x="12"/>
        <item x="247"/>
        <item x="351"/>
        <item x="56"/>
        <item x="295"/>
        <item x="80"/>
        <item x="83"/>
        <item x="145"/>
        <item x="527"/>
        <item x="43"/>
        <item x="160"/>
        <item x="23"/>
        <item x="310"/>
        <item x="608"/>
        <item x="492"/>
        <item x="466"/>
        <item x="435"/>
        <item x="600"/>
        <item x="340"/>
        <item x="338"/>
        <item x="314"/>
        <item x="233"/>
        <item x="256"/>
        <item x="148"/>
        <item x="315"/>
        <item x="382"/>
        <item x="27"/>
        <item x="200"/>
        <item x="0"/>
        <item x="318"/>
        <item x="547"/>
        <item x="324"/>
        <item x="241"/>
        <item x="508"/>
        <item x="422"/>
        <item x="532"/>
        <item x="282"/>
        <item x="183"/>
        <item x="385"/>
        <item x="615"/>
        <item x="506"/>
        <item x="415"/>
        <item x="123"/>
        <item x="129"/>
        <item x="34"/>
        <item x="604"/>
        <item x="488"/>
        <item x="29"/>
        <item x="131"/>
        <item x="526"/>
        <item x="375"/>
        <item x="580"/>
        <item x="465"/>
        <item x="90"/>
        <item x="634"/>
        <item x="470"/>
        <item x="225"/>
        <item x="301"/>
        <item x="589"/>
        <item x="344"/>
        <item x="362"/>
        <item x="332"/>
        <item x="582"/>
        <item x="471"/>
        <item x="627"/>
        <item x="485"/>
        <item x="454"/>
        <item x="563"/>
        <item x="73"/>
        <item x="94"/>
        <item x="333"/>
        <item x="171"/>
        <item x="232"/>
        <item x="36"/>
        <item x="120"/>
        <item x="11"/>
        <item x="197"/>
        <item x="154"/>
        <item x="146"/>
        <item x="204"/>
        <item x="190"/>
        <item x="248"/>
        <item x="593"/>
        <item x="516"/>
        <item x="436"/>
        <item x="509"/>
        <item x="281"/>
        <item x="413"/>
        <item x="590"/>
        <item x="19"/>
        <item x="423"/>
        <item x="199"/>
        <item x="283"/>
        <item x="639"/>
        <item x="96"/>
        <item x="278"/>
        <item x="152"/>
        <item x="586"/>
        <item x="531"/>
        <item x="202"/>
        <item x="325"/>
        <item x="381"/>
        <item x="481"/>
        <item x="252"/>
        <item x="156"/>
        <item x="645"/>
        <item x="592"/>
        <item x="443"/>
        <item x="306"/>
        <item x="25"/>
        <item x="336"/>
        <item x="85"/>
        <item x="137"/>
        <item x="404"/>
        <item x="418"/>
        <item x="312"/>
        <item x="172"/>
        <item x="512"/>
        <item x="118"/>
        <item x="277"/>
        <item x="280"/>
        <item x="631"/>
        <item x="343"/>
        <item x="387"/>
        <item x="596"/>
        <item x="448"/>
        <item x="410"/>
        <item x="139"/>
        <item x="370"/>
        <item x="16"/>
        <item x="61"/>
        <item x="339"/>
        <item x="64"/>
        <item x="239"/>
        <item x="124"/>
        <item x="545"/>
        <item x="398"/>
        <item x="33"/>
        <item x="212"/>
        <item x="319"/>
        <item x="606"/>
        <item x="147"/>
        <item x="511"/>
        <item x="76"/>
        <item x="638"/>
        <item x="494"/>
        <item x="576"/>
        <item x="616"/>
        <item x="58"/>
        <item x="77"/>
        <item x="122"/>
        <item x="637"/>
        <item x="149"/>
        <item x="216"/>
        <item x="244"/>
        <item x="383"/>
        <item x="261"/>
        <item x="570"/>
        <item x="490"/>
        <item x="42"/>
        <item x="297"/>
        <item x="228"/>
        <item x="540"/>
        <item x="236"/>
        <item x="141"/>
        <item x="296"/>
        <item x="327"/>
        <item x="459"/>
        <item x="273"/>
        <item x="474"/>
        <item x="478"/>
        <item x="44"/>
        <item x="359"/>
        <item x="609"/>
        <item x="300"/>
        <item x="3"/>
        <item x="499"/>
        <item x="320"/>
        <item x="291"/>
        <item x="93"/>
        <item x="331"/>
        <item x="165"/>
        <item x="603"/>
        <item x="238"/>
        <item x="405"/>
        <item x="134"/>
        <item x="150"/>
        <item x="445"/>
        <item x="267"/>
        <item x="356"/>
        <item x="349"/>
        <item x="363"/>
        <item x="365"/>
        <item x="636"/>
        <item x="10"/>
        <item t="default"/>
      </items>
    </pivotField>
    <pivotField compact="0" showAll="0">
      <items count="152">
        <item x="58"/>
        <item x="57"/>
        <item x="65"/>
        <item x="3"/>
        <item x="28"/>
        <item x="42"/>
        <item x="18"/>
        <item x="43"/>
        <item x="93"/>
        <item x="122"/>
        <item x="94"/>
        <item x="31"/>
        <item x="89"/>
        <item x="11"/>
        <item x="51"/>
        <item x="12"/>
        <item x="109"/>
        <item x="66"/>
        <item x="1"/>
        <item x="56"/>
        <item x="9"/>
        <item x="15"/>
        <item x="134"/>
        <item x="4"/>
        <item x="35"/>
        <item x="44"/>
        <item x="78"/>
        <item x="52"/>
        <item x="19"/>
        <item x="6"/>
        <item x="5"/>
        <item x="14"/>
        <item x="24"/>
        <item x="38"/>
        <item x="68"/>
        <item x="147"/>
        <item x="47"/>
        <item x="112"/>
        <item x="139"/>
        <item x="95"/>
        <item x="97"/>
        <item x="146"/>
        <item x="136"/>
        <item x="125"/>
        <item x="141"/>
        <item x="144"/>
        <item x="88"/>
        <item x="119"/>
        <item x="30"/>
        <item x="37"/>
        <item x="27"/>
        <item x="76"/>
        <item x="105"/>
        <item x="102"/>
        <item x="71"/>
        <item x="111"/>
        <item x="127"/>
        <item x="80"/>
        <item x="41"/>
        <item x="145"/>
        <item x="29"/>
        <item x="49"/>
        <item x="39"/>
        <item x="73"/>
        <item x="114"/>
        <item x="75"/>
        <item x="48"/>
        <item x="131"/>
        <item x="118"/>
        <item x="132"/>
        <item x="53"/>
        <item x="98"/>
        <item x="140"/>
        <item x="150"/>
        <item x="115"/>
        <item x="62"/>
        <item x="99"/>
        <item x="113"/>
        <item x="8"/>
        <item x="103"/>
        <item x="126"/>
        <item x="106"/>
        <item x="107"/>
        <item x="74"/>
        <item x="54"/>
        <item x="81"/>
        <item x="64"/>
        <item x="70"/>
        <item x="61"/>
        <item x="108"/>
        <item x="91"/>
        <item x="84"/>
        <item x="59"/>
        <item x="101"/>
        <item x="79"/>
        <item x="26"/>
        <item x="63"/>
        <item x="55"/>
        <item x="67"/>
        <item x="60"/>
        <item x="87"/>
        <item x="46"/>
        <item x="23"/>
        <item x="21"/>
        <item x="7"/>
        <item x="92"/>
        <item x="116"/>
        <item x="20"/>
        <item x="86"/>
        <item x="69"/>
        <item x="22"/>
        <item x="72"/>
        <item x="123"/>
        <item x="120"/>
        <item x="85"/>
        <item x="143"/>
        <item x="135"/>
        <item x="36"/>
        <item x="2"/>
        <item x="121"/>
        <item x="33"/>
        <item x="129"/>
        <item x="128"/>
        <item x="25"/>
        <item x="34"/>
        <item x="117"/>
        <item x="83"/>
        <item x="13"/>
        <item x="124"/>
        <item x="148"/>
        <item x="17"/>
        <item x="110"/>
        <item x="32"/>
        <item x="50"/>
        <item x="16"/>
        <item x="82"/>
        <item x="96"/>
        <item x="0"/>
        <item x="142"/>
        <item x="138"/>
        <item x="77"/>
        <item x="10"/>
        <item x="40"/>
        <item x="133"/>
        <item x="149"/>
        <item x="130"/>
        <item x="45"/>
        <item x="137"/>
        <item x="100"/>
        <item x="104"/>
        <item x="90"/>
        <item t="default"/>
      </items>
    </pivotField>
    <pivotField compact="0" showAll="0">
      <items count="180">
        <item x="23"/>
        <item x="95"/>
        <item x="48"/>
        <item x="63"/>
        <item x="14"/>
        <item x="47"/>
        <item x="99"/>
        <item x="2"/>
        <item x="150"/>
        <item x="83"/>
        <item x="119"/>
        <item x="56"/>
        <item x="61"/>
        <item x="80"/>
        <item x="31"/>
        <item x="78"/>
        <item x="28"/>
        <item x="72"/>
        <item x="7"/>
        <item x="21"/>
        <item x="107"/>
        <item x="34"/>
        <item x="114"/>
        <item x="81"/>
        <item x="5"/>
        <item x="36"/>
        <item x="18"/>
        <item x="115"/>
        <item x="113"/>
        <item x="73"/>
        <item x="58"/>
        <item x="33"/>
        <item x="52"/>
        <item x="32"/>
        <item x="41"/>
        <item x="144"/>
        <item x="74"/>
        <item x="100"/>
        <item x="42"/>
        <item x="122"/>
        <item x="128"/>
        <item x="12"/>
        <item x="26"/>
        <item x="39"/>
        <item x="59"/>
        <item x="124"/>
        <item x="50"/>
        <item x="54"/>
        <item x="20"/>
        <item x="40"/>
        <item x="0"/>
        <item x="106"/>
        <item x="19"/>
        <item x="158"/>
        <item x="112"/>
        <item x="137"/>
        <item x="141"/>
        <item x="133"/>
        <item x="6"/>
        <item x="13"/>
        <item x="146"/>
        <item x="8"/>
        <item x="159"/>
        <item x="108"/>
        <item x="142"/>
        <item x="123"/>
        <item x="45"/>
        <item x="43"/>
        <item x="90"/>
        <item x="9"/>
        <item x="30"/>
        <item x="98"/>
        <item x="102"/>
        <item x="16"/>
        <item x="57"/>
        <item x="29"/>
        <item x="136"/>
        <item x="66"/>
        <item x="130"/>
        <item x="84"/>
        <item x="1"/>
        <item x="161"/>
        <item x="10"/>
        <item x="82"/>
        <item x="25"/>
        <item x="35"/>
        <item x="27"/>
        <item x="49"/>
        <item x="140"/>
        <item x="15"/>
        <item x="46"/>
        <item x="175"/>
        <item x="152"/>
        <item x="103"/>
        <item x="116"/>
        <item x="75"/>
        <item x="87"/>
        <item x="68"/>
        <item x="3"/>
        <item x="76"/>
        <item x="138"/>
        <item x="129"/>
        <item x="24"/>
        <item x="143"/>
        <item x="88"/>
        <item x="127"/>
        <item x="96"/>
        <item x="94"/>
        <item x="89"/>
        <item x="139"/>
        <item x="151"/>
        <item x="110"/>
        <item x="17"/>
        <item x="154"/>
        <item x="174"/>
        <item x="153"/>
        <item x="93"/>
        <item x="71"/>
        <item x="70"/>
        <item x="118"/>
        <item x="37"/>
        <item x="86"/>
        <item x="38"/>
        <item x="104"/>
        <item x="149"/>
        <item x="4"/>
        <item x="167"/>
        <item x="165"/>
        <item x="60"/>
        <item x="65"/>
        <item x="79"/>
        <item x="148"/>
        <item x="105"/>
        <item x="132"/>
        <item x="51"/>
        <item x="172"/>
        <item x="55"/>
        <item x="62"/>
        <item x="91"/>
        <item x="53"/>
        <item x="170"/>
        <item x="92"/>
        <item x="44"/>
        <item x="69"/>
        <item x="169"/>
        <item x="145"/>
        <item x="117"/>
        <item x="166"/>
        <item x="134"/>
        <item x="121"/>
        <item x="160"/>
        <item x="162"/>
        <item x="126"/>
        <item x="64"/>
        <item x="176"/>
        <item x="131"/>
        <item x="11"/>
        <item x="111"/>
        <item x="77"/>
        <item x="163"/>
        <item x="85"/>
        <item x="125"/>
        <item x="155"/>
        <item x="97"/>
        <item x="101"/>
        <item x="177"/>
        <item x="178"/>
        <item x="168"/>
        <item x="120"/>
        <item x="135"/>
        <item x="22"/>
        <item x="147"/>
        <item x="67"/>
        <item x="164"/>
        <item x="171"/>
        <item x="156"/>
        <item x="157"/>
        <item x="109"/>
        <item x="173"/>
        <item t="default"/>
      </items>
    </pivotField>
    <pivotField compact="0" showAll="0">
      <items count="346">
        <item x="204"/>
        <item x="203"/>
        <item x="332"/>
        <item x="259"/>
        <item x="95"/>
        <item x="206"/>
        <item x="19"/>
        <item x="320"/>
        <item x="220"/>
        <item x="188"/>
        <item x="192"/>
        <item x="107"/>
        <item x="131"/>
        <item x="317"/>
        <item x="6"/>
        <item x="90"/>
        <item x="20"/>
        <item x="242"/>
        <item x="22"/>
        <item x="298"/>
        <item x="177"/>
        <item x="213"/>
        <item x="183"/>
        <item x="57"/>
        <item x="307"/>
        <item x="209"/>
        <item x="324"/>
        <item x="158"/>
        <item x="21"/>
        <item x="30"/>
        <item x="160"/>
        <item x="101"/>
        <item x="62"/>
        <item x="170"/>
        <item x="291"/>
        <item x="86"/>
        <item x="308"/>
        <item x="165"/>
        <item x="329"/>
        <item x="214"/>
        <item x="232"/>
        <item x="68"/>
        <item x="76"/>
        <item x="297"/>
        <item x="295"/>
        <item x="69"/>
        <item x="47"/>
        <item x="23"/>
        <item x="230"/>
        <item x="92"/>
        <item x="290"/>
        <item x="137"/>
        <item x="118"/>
        <item x="334"/>
        <item x="338"/>
        <item x="267"/>
        <item x="65"/>
        <item x="253"/>
        <item x="34"/>
        <item x="88"/>
        <item x="45"/>
        <item x="82"/>
        <item x="212"/>
        <item x="274"/>
        <item x="315"/>
        <item x="172"/>
        <item x="24"/>
        <item x="141"/>
        <item x="140"/>
        <item x="56"/>
        <item x="271"/>
        <item x="236"/>
        <item x="91"/>
        <item x="254"/>
        <item x="251"/>
        <item x="233"/>
        <item x="74"/>
        <item x="127"/>
        <item x="187"/>
        <item x="262"/>
        <item x="333"/>
        <item x="304"/>
        <item x="145"/>
        <item x="215"/>
        <item x="323"/>
        <item x="169"/>
        <item x="162"/>
        <item x="148"/>
        <item x="200"/>
        <item x="284"/>
        <item x="261"/>
        <item x="29"/>
        <item x="135"/>
        <item x="202"/>
        <item x="104"/>
        <item x="167"/>
        <item x="294"/>
        <item x="63"/>
        <item x="208"/>
        <item x="322"/>
        <item x="293"/>
        <item x="344"/>
        <item x="235"/>
        <item x="53"/>
        <item x="97"/>
        <item x="11"/>
        <item x="55"/>
        <item x="193"/>
        <item x="81"/>
        <item x="180"/>
        <item x="263"/>
        <item x="289"/>
        <item x="123"/>
        <item x="1"/>
        <item x="155"/>
        <item x="318"/>
        <item x="282"/>
        <item x="231"/>
        <item x="288"/>
        <item x="115"/>
        <item x="49"/>
        <item x="247"/>
        <item x="31"/>
        <item x="60"/>
        <item x="303"/>
        <item x="14"/>
        <item x="269"/>
        <item x="98"/>
        <item x="154"/>
        <item x="151"/>
        <item x="100"/>
        <item x="35"/>
        <item x="228"/>
        <item x="222"/>
        <item x="336"/>
        <item x="321"/>
        <item x="130"/>
        <item x="270"/>
        <item x="305"/>
        <item x="61"/>
        <item x="18"/>
        <item x="244"/>
        <item x="110"/>
        <item x="89"/>
        <item x="276"/>
        <item x="50"/>
        <item x="335"/>
        <item x="197"/>
        <item x="93"/>
        <item x="126"/>
        <item x="122"/>
        <item x="96"/>
        <item x="102"/>
        <item x="326"/>
        <item x="186"/>
        <item x="44"/>
        <item x="281"/>
        <item x="268"/>
        <item x="79"/>
        <item x="87"/>
        <item x="73"/>
        <item x="40"/>
        <item x="164"/>
        <item x="139"/>
        <item x="27"/>
        <item x="195"/>
        <item x="77"/>
        <item x="243"/>
        <item x="120"/>
        <item x="286"/>
        <item x="277"/>
        <item x="64"/>
        <item x="71"/>
        <item x="340"/>
        <item x="129"/>
        <item x="223"/>
        <item x="210"/>
        <item x="117"/>
        <item x="114"/>
        <item x="179"/>
        <item x="25"/>
        <item x="184"/>
        <item x="119"/>
        <item x="182"/>
        <item x="108"/>
        <item x="339"/>
        <item x="9"/>
        <item x="54"/>
        <item x="72"/>
        <item x="196"/>
        <item x="199"/>
        <item x="217"/>
        <item x="252"/>
        <item x="257"/>
        <item x="342"/>
        <item x="94"/>
        <item x="144"/>
        <item x="216"/>
        <item x="109"/>
        <item x="237"/>
        <item x="311"/>
        <item x="112"/>
        <item x="153"/>
        <item x="224"/>
        <item x="229"/>
        <item x="42"/>
        <item x="121"/>
        <item x="43"/>
        <item x="240"/>
        <item x="70"/>
        <item x="58"/>
        <item x="84"/>
        <item x="343"/>
        <item x="234"/>
        <item x="66"/>
        <item x="225"/>
        <item x="194"/>
        <item x="181"/>
        <item x="238"/>
        <item x="36"/>
        <item x="113"/>
        <item x="218"/>
        <item x="4"/>
        <item x="99"/>
        <item x="134"/>
        <item x="28"/>
        <item x="156"/>
        <item x="171"/>
        <item x="132"/>
        <item x="48"/>
        <item x="330"/>
        <item x="146"/>
        <item x="275"/>
        <item x="314"/>
        <item x="313"/>
        <item x="41"/>
        <item x="310"/>
        <item x="279"/>
        <item x="67"/>
        <item x="299"/>
        <item x="52"/>
        <item x="207"/>
        <item x="161"/>
        <item x="46"/>
        <item x="2"/>
        <item x="150"/>
        <item x="173"/>
        <item x="241"/>
        <item x="37"/>
        <item x="111"/>
        <item x="125"/>
        <item x="78"/>
        <item x="285"/>
        <item x="211"/>
        <item x="221"/>
        <item x="273"/>
        <item x="12"/>
        <item x="38"/>
        <item x="26"/>
        <item x="266"/>
        <item x="51"/>
        <item x="260"/>
        <item x="248"/>
        <item x="152"/>
        <item x="287"/>
        <item x="128"/>
        <item x="301"/>
        <item x="185"/>
        <item x="7"/>
        <item x="341"/>
        <item x="226"/>
        <item x="17"/>
        <item x="159"/>
        <item x="33"/>
        <item x="205"/>
        <item x="15"/>
        <item x="5"/>
        <item x="283"/>
        <item x="176"/>
        <item x="32"/>
        <item x="175"/>
        <item x="246"/>
        <item x="103"/>
        <item x="10"/>
        <item x="124"/>
        <item x="328"/>
        <item x="249"/>
        <item x="163"/>
        <item x="309"/>
        <item x="13"/>
        <item x="75"/>
        <item x="142"/>
        <item x="245"/>
        <item x="191"/>
        <item x="116"/>
        <item x="16"/>
        <item x="147"/>
        <item x="302"/>
        <item x="227"/>
        <item x="296"/>
        <item x="168"/>
        <item x="198"/>
        <item x="85"/>
        <item x="280"/>
        <item x="83"/>
        <item x="59"/>
        <item x="143"/>
        <item x="105"/>
        <item x="189"/>
        <item x="258"/>
        <item x="312"/>
        <item x="201"/>
        <item x="149"/>
        <item x="178"/>
        <item x="264"/>
        <item x="256"/>
        <item x="106"/>
        <item x="3"/>
        <item x="278"/>
        <item x="331"/>
        <item x="319"/>
        <item x="272"/>
        <item x="306"/>
        <item x="239"/>
        <item x="190"/>
        <item x="325"/>
        <item x="0"/>
        <item x="316"/>
        <item x="337"/>
        <item x="138"/>
        <item x="265"/>
        <item x="300"/>
        <item x="136"/>
        <item x="174"/>
        <item x="157"/>
        <item x="327"/>
        <item x="166"/>
        <item x="80"/>
        <item x="292"/>
        <item x="133"/>
        <item x="219"/>
        <item x="250"/>
        <item x="39"/>
        <item x="8"/>
        <item x="255"/>
        <item t="default"/>
      </items>
    </pivotField>
    <pivotField compact="0" showAll="0">
      <items count="10">
        <item x="8"/>
        <item x="0"/>
        <item x="1"/>
        <item x="6"/>
        <item x="2"/>
        <item x="4"/>
        <item x="7"/>
        <item x="5"/>
        <item x="3"/>
        <item t="default"/>
      </items>
    </pivotField>
    <pivotField compact="0" numFmtId="4" showAll="0">
      <items count="1181">
        <item x="171"/>
        <item x="56"/>
        <item x="169"/>
        <item x="620"/>
        <item x="1170"/>
        <item x="626"/>
        <item x="1050"/>
        <item x="937"/>
        <item x="176"/>
        <item x="9"/>
        <item x="668"/>
        <item x="306"/>
        <item x="332"/>
        <item x="225"/>
        <item x="305"/>
        <item x="96"/>
        <item x="821"/>
        <item x="379"/>
        <item x="1095"/>
        <item x="99"/>
        <item x="777"/>
        <item x="42"/>
        <item x="781"/>
        <item x="216"/>
        <item x="1178"/>
        <item x="60"/>
        <item x="1023"/>
        <item x="1051"/>
        <item x="538"/>
        <item x="227"/>
        <item x="830"/>
        <item x="730"/>
        <item x="285"/>
        <item x="526"/>
        <item x="1094"/>
        <item x="354"/>
        <item x="328"/>
        <item x="476"/>
        <item x="280"/>
        <item x="201"/>
        <item x="804"/>
        <item x="12"/>
        <item x="1146"/>
        <item x="566"/>
        <item x="784"/>
        <item x="724"/>
        <item x="239"/>
        <item x="1149"/>
        <item x="685"/>
        <item x="639"/>
        <item x="792"/>
        <item x="769"/>
        <item x="359"/>
        <item x="270"/>
        <item x="293"/>
        <item x="1112"/>
        <item x="502"/>
        <item x="138"/>
        <item x="370"/>
        <item x="25"/>
        <item x="428"/>
        <item x="449"/>
        <item x="887"/>
        <item x="440"/>
        <item x="1033"/>
        <item x="74"/>
        <item x="504"/>
        <item x="266"/>
        <item x="1116"/>
        <item x="729"/>
        <item x="480"/>
        <item x="260"/>
        <item x="273"/>
        <item x="283"/>
        <item x="558"/>
        <item x="692"/>
        <item x="727"/>
        <item x="836"/>
        <item x="347"/>
        <item x="258"/>
        <item x="44"/>
        <item x="50"/>
        <item x="933"/>
        <item x="562"/>
        <item x="761"/>
        <item x="384"/>
        <item x="371"/>
        <item x="499"/>
        <item x="817"/>
        <item x="889"/>
        <item x="358"/>
        <item x="1041"/>
        <item x="1001"/>
        <item x="1164"/>
        <item x="36"/>
        <item x="490"/>
        <item x="168"/>
        <item x="890"/>
        <item x="757"/>
        <item x="915"/>
        <item x="1064"/>
        <item x="1066"/>
        <item x="1155"/>
        <item x="625"/>
        <item x="362"/>
        <item x="1089"/>
        <item x="63"/>
        <item x="93"/>
        <item x="101"/>
        <item x="472"/>
        <item x="1074"/>
        <item x="819"/>
        <item x="137"/>
        <item x="631"/>
        <item x="135"/>
        <item x="366"/>
        <item x="688"/>
        <item x="595"/>
        <item x="535"/>
        <item x="131"/>
        <item x="1081"/>
        <item x="464"/>
        <item x="191"/>
        <item x="234"/>
        <item x="381"/>
        <item x="453"/>
        <item x="376"/>
        <item x="955"/>
        <item x="1037"/>
        <item x="17"/>
        <item x="1043"/>
        <item x="544"/>
        <item x="798"/>
        <item x="528"/>
        <item x="551"/>
        <item x="233"/>
        <item x="67"/>
        <item x="604"/>
        <item x="683"/>
        <item x="64"/>
        <item x="984"/>
        <item x="979"/>
        <item x="456"/>
        <item x="249"/>
        <item x="299"/>
        <item x="854"/>
        <item x="1167"/>
        <item x="389"/>
        <item x="530"/>
        <item x="179"/>
        <item x="443"/>
        <item x="140"/>
        <item x="968"/>
        <item x="1120"/>
        <item x="1157"/>
        <item x="796"/>
        <item x="261"/>
        <item x="360"/>
        <item x="317"/>
        <item x="271"/>
        <item x="196"/>
        <item x="653"/>
        <item x="670"/>
        <item x="567"/>
        <item x="926"/>
        <item x="246"/>
        <item x="866"/>
        <item x="788"/>
        <item x="1047"/>
        <item x="1015"/>
        <item x="660"/>
        <item x="416"/>
        <item x="287"/>
        <item x="873"/>
        <item x="1073"/>
        <item x="1161"/>
        <item x="330"/>
        <item x="744"/>
        <item x="28"/>
        <item x="1141"/>
        <item x="107"/>
        <item x="580"/>
        <item x="1021"/>
        <item x="997"/>
        <item x="753"/>
        <item x="86"/>
        <item x="43"/>
        <item x="130"/>
        <item x="356"/>
        <item x="247"/>
        <item x="935"/>
        <item x="859"/>
        <item x="978"/>
        <item x="876"/>
        <item x="638"/>
        <item x="1013"/>
        <item x="88"/>
        <item x="1060"/>
        <item x="158"/>
        <item x="835"/>
        <item x="845"/>
        <item x="897"/>
        <item x="7"/>
        <item x="255"/>
        <item x="238"/>
        <item x="1126"/>
        <item x="442"/>
        <item x="1010"/>
        <item x="448"/>
        <item x="245"/>
        <item x="870"/>
        <item x="240"/>
        <item x="1014"/>
        <item x="494"/>
        <item x="719"/>
        <item x="768"/>
        <item x="780"/>
        <item x="236"/>
        <item x="211"/>
        <item x="547"/>
        <item x="868"/>
        <item x="925"/>
        <item x="710"/>
        <item x="423"/>
        <item x="714"/>
        <item x="1025"/>
        <item x="1168"/>
        <item x="144"/>
        <item x="14"/>
        <item x="402"/>
        <item x="906"/>
        <item x="942"/>
        <item x="175"/>
        <item x="901"/>
        <item x="94"/>
        <item x="1036"/>
        <item x="536"/>
        <item x="785"/>
        <item x="546"/>
        <item x="723"/>
        <item x="801"/>
        <item x="337"/>
        <item x="157"/>
        <item x="189"/>
        <item x="31"/>
        <item x="675"/>
        <item x="764"/>
        <item x="503"/>
        <item x="912"/>
        <item x="197"/>
        <item x="459"/>
        <item x="417"/>
        <item x="199"/>
        <item x="492"/>
        <item x="1150"/>
        <item x="970"/>
        <item x="940"/>
        <item x="563"/>
        <item x="363"/>
        <item x="820"/>
        <item x="97"/>
        <item x="554"/>
        <item x="41"/>
        <item x="736"/>
        <item x="1077"/>
        <item x="811"/>
        <item x="765"/>
        <item x="684"/>
        <item x="162"/>
        <item x="877"/>
        <item x="605"/>
        <item x="772"/>
        <item x="993"/>
        <item x="112"/>
        <item x="658"/>
        <item x="523"/>
        <item x="549"/>
        <item x="815"/>
        <item x="674"/>
        <item x="995"/>
        <item x="458"/>
        <item x="1104"/>
        <item x="611"/>
        <item x="902"/>
        <item x="118"/>
        <item x="908"/>
        <item x="725"/>
        <item x="973"/>
        <item x="125"/>
        <item x="965"/>
        <item x="313"/>
        <item x="1075"/>
        <item x="1148"/>
        <item x="114"/>
        <item x="682"/>
        <item x="662"/>
        <item x="667"/>
        <item x="704"/>
        <item x="475"/>
        <item x="841"/>
        <item x="349"/>
        <item x="434"/>
        <item x="1067"/>
        <item x="590"/>
        <item x="326"/>
        <item x="716"/>
        <item x="742"/>
        <item x="959"/>
        <item x="244"/>
        <item x="383"/>
        <item x="879"/>
        <item x="754"/>
        <item x="883"/>
        <item x="800"/>
        <item x="132"/>
        <item x="6"/>
        <item x="352"/>
        <item x="576"/>
        <item x="739"/>
        <item x="425"/>
        <item x="1071"/>
        <item x="568"/>
        <item x="938"/>
        <item x="265"/>
        <item x="813"/>
        <item x="155"/>
        <item x="205"/>
        <item x="203"/>
        <item x="542"/>
        <item x="321"/>
        <item x="634"/>
        <item x="341"/>
        <item x="640"/>
        <item x="123"/>
        <item x="994"/>
        <item x="550"/>
        <item x="429"/>
        <item x="758"/>
        <item x="53"/>
        <item x="399"/>
        <item x="617"/>
        <item x="78"/>
        <item x="221"/>
        <item x="462"/>
        <item x="195"/>
        <item x="694"/>
        <item x="1119"/>
        <item x="941"/>
        <item x="606"/>
        <item x="1069"/>
        <item x="437"/>
        <item x="243"/>
        <item x="22"/>
        <item x="975"/>
        <item x="613"/>
        <item x="929"/>
        <item x="632"/>
        <item x="947"/>
        <item x="961"/>
        <item x="657"/>
        <item x="589"/>
        <item x="297"/>
        <item x="953"/>
        <item x="996"/>
        <item x="891"/>
        <item x="248"/>
        <item x="1061"/>
        <item x="1117"/>
        <item x="29"/>
        <item x="852"/>
        <item x="574"/>
        <item x="572"/>
        <item x="185"/>
        <item x="895"/>
        <item x="843"/>
        <item x="70"/>
        <item x="644"/>
        <item x="1011"/>
        <item x="560"/>
        <item x="1166"/>
        <item x="487"/>
        <item x="202"/>
        <item x="143"/>
        <item x="905"/>
        <item x="27"/>
        <item x="127"/>
        <item x="1005"/>
        <item x="219"/>
        <item x="648"/>
        <item x="1079"/>
        <item x="954"/>
        <item x="454"/>
        <item x="104"/>
        <item x="281"/>
        <item x="160"/>
        <item x="302"/>
        <item x="1028"/>
        <item x="109"/>
        <item x="832"/>
        <item x="151"/>
        <item x="23"/>
        <item x="529"/>
        <item x="91"/>
        <item x="848"/>
        <item x="774"/>
        <item x="121"/>
        <item x="259"/>
        <item x="1118"/>
        <item x="750"/>
        <item x="982"/>
        <item x="226"/>
        <item x="329"/>
        <item x="45"/>
        <item x="903"/>
        <item x="276"/>
        <item x="1110"/>
        <item x="1090"/>
        <item x="80"/>
        <item x="623"/>
        <item x="145"/>
        <item x="575"/>
        <item x="467"/>
        <item x="663"/>
        <item x="278"/>
        <item x="1142"/>
        <item x="1052"/>
        <item x="1139"/>
        <item x="2"/>
        <item x="26"/>
        <item x="1176"/>
        <item x="39"/>
        <item x="212"/>
        <item x="422"/>
        <item x="608"/>
        <item x="184"/>
        <item x="1153"/>
        <item x="888"/>
        <item x="601"/>
        <item x="916"/>
        <item x="1154"/>
        <item x="353"/>
        <item x="849"/>
        <item x="537"/>
        <item x="986"/>
        <item x="519"/>
        <item x="397"/>
        <item x="311"/>
        <item x="884"/>
        <item x="1109"/>
        <item x="770"/>
        <item x="737"/>
        <item x="863"/>
        <item x="404"/>
        <item x="333"/>
        <item x="885"/>
        <item x="436"/>
        <item x="732"/>
        <item x="38"/>
        <item x="322"/>
        <item x="939"/>
        <item x="949"/>
        <item x="52"/>
        <item x="1058"/>
        <item x="778"/>
        <item x="506"/>
        <item x="594"/>
        <item x="850"/>
        <item x="702"/>
        <item x="367"/>
        <item x="223"/>
        <item x="673"/>
        <item x="936"/>
        <item x="336"/>
        <item x="1179"/>
        <item x="1072"/>
        <item x="116"/>
        <item x="921"/>
        <item x="497"/>
        <item x="452"/>
        <item x="1133"/>
        <item x="13"/>
        <item x="985"/>
        <item x="708"/>
        <item x="865"/>
        <item x="989"/>
        <item x="451"/>
        <item x="468"/>
        <item x="700"/>
        <item x="482"/>
        <item x="553"/>
        <item x="1046"/>
        <item x="427"/>
        <item x="733"/>
        <item x="802"/>
        <item x="207"/>
        <item x="1159"/>
        <item x="1134"/>
        <item x="421"/>
        <item x="8"/>
        <item x="166"/>
        <item x="928"/>
        <item x="119"/>
        <item x="1004"/>
        <item x="931"/>
        <item x="822"/>
        <item x="218"/>
        <item x="1054"/>
        <item x="1084"/>
        <item x="878"/>
        <item x="899"/>
        <item x="1111"/>
        <item x="740"/>
        <item x="286"/>
        <item x="164"/>
        <item x="419"/>
        <item x="552"/>
        <item x="1114"/>
        <item x="898"/>
        <item x="392"/>
        <item x="1003"/>
        <item x="304"/>
        <item x="1042"/>
        <item x="855"/>
        <item x="1076"/>
        <item x="488"/>
        <item x="409"/>
        <item x="194"/>
        <item x="413"/>
        <item x="224"/>
        <item x="142"/>
        <item x="1132"/>
        <item x="206"/>
        <item x="496"/>
        <item x="1035"/>
        <item x="89"/>
        <item x="1062"/>
        <item x="793"/>
        <item x="314"/>
        <item x="650"/>
        <item x="731"/>
        <item x="291"/>
        <item x="598"/>
        <item x="474"/>
        <item x="217"/>
        <item x="68"/>
        <item x="141"/>
        <item x="471"/>
        <item x="773"/>
        <item x="1059"/>
        <item x="54"/>
        <item x="571"/>
        <item x="1171"/>
        <item x="298"/>
        <item x="177"/>
        <item x="517"/>
        <item x="134"/>
        <item x="66"/>
        <item x="455"/>
        <item x="200"/>
        <item x="69"/>
        <item x="659"/>
        <item x="198"/>
        <item x="230"/>
        <item x="990"/>
        <item x="561"/>
        <item x="412"/>
        <item x="635"/>
        <item x="250"/>
        <item x="170"/>
        <item x="1115"/>
        <item x="814"/>
        <item x="738"/>
        <item x="909"/>
        <item x="1101"/>
        <item x="213"/>
        <item x="816"/>
        <item x="340"/>
        <item x="241"/>
        <item x="335"/>
        <item x="983"/>
        <item x="1169"/>
        <item x="33"/>
        <item x="869"/>
        <item x="932"/>
        <item x="603"/>
        <item x="833"/>
        <item x="618"/>
        <item x="257"/>
        <item x="373"/>
        <item x="294"/>
        <item x="424"/>
        <item x="557"/>
        <item x="641"/>
        <item x="263"/>
        <item x="432"/>
        <item x="1016"/>
        <item x="103"/>
        <item x="310"/>
        <item x="678"/>
        <item x="775"/>
        <item x="533"/>
        <item x="771"/>
        <item x="847"/>
        <item x="880"/>
        <item x="37"/>
        <item x="418"/>
        <item x="914"/>
        <item x="355"/>
        <item x="622"/>
        <item x="242"/>
        <item x="691"/>
        <item x="790"/>
        <item x="803"/>
        <item x="108"/>
        <item x="762"/>
        <item x="705"/>
        <item x="277"/>
        <item x="696"/>
        <item x="851"/>
        <item x="19"/>
        <item x="32"/>
        <item x="481"/>
        <item x="268"/>
        <item x="690"/>
        <item x="1008"/>
        <item x="612"/>
        <item x="586"/>
        <item x="1172"/>
        <item x="83"/>
        <item x="728"/>
        <item x="284"/>
        <item x="1097"/>
        <item x="406"/>
        <item x="343"/>
        <item x="1108"/>
        <item x="999"/>
        <item x="602"/>
        <item x="21"/>
        <item x="564"/>
        <item x="505"/>
        <item x="102"/>
        <item x="1022"/>
        <item x="539"/>
        <item x="149"/>
        <item x="805"/>
        <item x="235"/>
        <item x="450"/>
        <item x="139"/>
        <item x="105"/>
        <item x="543"/>
        <item x="1070"/>
        <item x="881"/>
        <item x="1152"/>
        <item x="1044"/>
        <item x="1045"/>
        <item x="47"/>
        <item x="840"/>
        <item x="20"/>
        <item x="795"/>
        <item x="715"/>
        <item x="825"/>
        <item x="172"/>
        <item x="350"/>
        <item x="956"/>
        <item x="493"/>
        <item x="824"/>
        <item x="827"/>
        <item x="394"/>
        <item x="1107"/>
        <item x="414"/>
        <item x="331"/>
        <item x="345"/>
        <item x="98"/>
        <item x="274"/>
        <item x="290"/>
        <item x="282"/>
        <item x="49"/>
        <item x="1093"/>
        <item x="1065"/>
        <item x="411"/>
        <item x="839"/>
        <item x="275"/>
        <item x="339"/>
        <item x="95"/>
        <item x="152"/>
        <item x="787"/>
        <item x="4"/>
        <item x="786"/>
        <item x="510"/>
        <item x="344"/>
        <item x="1088"/>
        <item x="1131"/>
        <item x="57"/>
        <item x="679"/>
        <item x="677"/>
        <item x="637"/>
        <item x="763"/>
        <item x="408"/>
        <item x="208"/>
        <item x="24"/>
        <item x="527"/>
        <item x="473"/>
        <item x="1032"/>
        <item x="183"/>
        <item x="398"/>
        <item x="5"/>
        <item x="652"/>
        <item x="971"/>
        <item x="1080"/>
        <item x="295"/>
        <item x="711"/>
        <item x="706"/>
        <item x="1040"/>
        <item x="232"/>
        <item x="718"/>
        <item x="439"/>
        <item x="1053"/>
        <item x="578"/>
        <item x="378"/>
        <item x="1048"/>
        <item x="254"/>
        <item x="583"/>
        <item x="1135"/>
        <item x="444"/>
        <item x="834"/>
        <item x="587"/>
        <item x="1029"/>
        <item x="431"/>
        <item x="591"/>
        <item x="584"/>
        <item x="1137"/>
        <item x="861"/>
        <item x="1002"/>
        <item x="686"/>
        <item x="1087"/>
        <item x="187"/>
        <item x="759"/>
        <item x="426"/>
        <item x="540"/>
        <item x="559"/>
        <item x="722"/>
        <item x="707"/>
        <item x="514"/>
        <item x="930"/>
        <item x="864"/>
        <item x="619"/>
        <item x="396"/>
        <item x="977"/>
        <item x="346"/>
        <item x="596"/>
        <item x="806"/>
        <item x="950"/>
        <item x="465"/>
        <item x="1091"/>
        <item x="913"/>
        <item x="110"/>
        <item x="607"/>
        <item x="709"/>
        <item x="829"/>
        <item x="159"/>
        <item x="789"/>
        <item x="842"/>
        <item x="766"/>
        <item x="1098"/>
        <item x="1019"/>
        <item x="463"/>
        <item x="73"/>
        <item x="438"/>
        <item x="228"/>
        <item x="599"/>
        <item x="433"/>
        <item x="823"/>
        <item x="1012"/>
        <item x="862"/>
        <item x="509"/>
        <item x="106"/>
        <item x="521"/>
        <item x="59"/>
        <item x="1049"/>
        <item x="585"/>
        <item x="1160"/>
        <item x="461"/>
        <item x="154"/>
        <item x="577"/>
        <item x="229"/>
        <item x="491"/>
        <item x="1056"/>
        <item x="555"/>
        <item x="1106"/>
        <item x="469"/>
        <item x="237"/>
        <item x="960"/>
        <item x="588"/>
        <item x="927"/>
        <item x="204"/>
        <item x="1165"/>
        <item x="1039"/>
        <item x="1145"/>
        <item x="1034"/>
        <item x="128"/>
        <item x="1030"/>
        <item x="966"/>
        <item x="981"/>
        <item x="111"/>
        <item x="886"/>
        <item x="958"/>
        <item x="1124"/>
        <item x="1085"/>
        <item x="943"/>
        <item x="1162"/>
        <item x="308"/>
        <item x="651"/>
        <item x="654"/>
        <item x="701"/>
        <item x="357"/>
        <item x="687"/>
        <item x="489"/>
        <item x="192"/>
        <item x="934"/>
        <item x="712"/>
        <item x="1125"/>
        <item x="15"/>
        <item x="498"/>
        <item x="610"/>
        <item x="633"/>
        <item x="783"/>
        <item x="3"/>
        <item x="828"/>
        <item x="441"/>
        <item x="256"/>
        <item x="1026"/>
        <item x="182"/>
        <item x="892"/>
        <item x="100"/>
        <item x="592"/>
        <item x="81"/>
        <item x="923"/>
        <item x="944"/>
        <item x="945"/>
        <item x="513"/>
        <item x="882"/>
        <item x="220"/>
        <item x="1078"/>
        <item x="446"/>
        <item x="988"/>
        <item x="756"/>
        <item x="726"/>
        <item x="30"/>
        <item x="767"/>
        <item x="289"/>
        <item x="267"/>
        <item x="178"/>
        <item x="1147"/>
        <item x="615"/>
        <item x="695"/>
        <item x="522"/>
        <item x="597"/>
        <item x="1006"/>
        <item x="666"/>
        <item x="148"/>
        <item x="655"/>
        <item x="327"/>
        <item x="447"/>
        <item x="312"/>
        <item x="992"/>
        <item x="991"/>
        <item x="676"/>
        <item x="365"/>
        <item x="71"/>
        <item x="614"/>
        <item x="569"/>
        <item x="210"/>
        <item x="382"/>
        <item x="483"/>
        <item x="0"/>
        <item x="896"/>
        <item x="616"/>
        <item x="62"/>
        <item x="874"/>
        <item x="980"/>
        <item x="34"/>
        <item x="390"/>
        <item x="871"/>
        <item x="649"/>
        <item x="325"/>
        <item x="90"/>
        <item x="741"/>
        <item x="180"/>
        <item x="818"/>
        <item x="460"/>
        <item x="846"/>
        <item x="680"/>
        <item x="1129"/>
        <item x="1024"/>
        <item x="924"/>
        <item x="665"/>
        <item x="445"/>
        <item x="636"/>
        <item x="760"/>
        <item x="361"/>
        <item x="120"/>
        <item x="16"/>
        <item x="190"/>
        <item x="1063"/>
        <item x="621"/>
        <item x="435"/>
        <item x="752"/>
        <item x="264"/>
        <item x="351"/>
        <item x="1092"/>
        <item x="72"/>
        <item x="541"/>
        <item x="40"/>
        <item x="1151"/>
        <item x="369"/>
        <item x="1173"/>
        <item x="372"/>
        <item x="1175"/>
        <item x="507"/>
        <item x="911"/>
        <item x="812"/>
        <item x="1038"/>
        <item x="395"/>
        <item x="545"/>
        <item x="486"/>
        <item x="838"/>
        <item x="301"/>
        <item x="251"/>
        <item x="809"/>
        <item x="1127"/>
        <item x="1031"/>
        <item x="1068"/>
        <item x="87"/>
        <item x="520"/>
        <item x="630"/>
        <item x="581"/>
        <item x="309"/>
        <item x="751"/>
        <item x="51"/>
        <item x="415"/>
        <item x="18"/>
        <item x="831"/>
        <item x="147"/>
        <item x="745"/>
        <item x="65"/>
        <item x="749"/>
        <item x="1122"/>
        <item x="776"/>
        <item x="755"/>
        <item x="126"/>
        <item x="972"/>
        <item x="826"/>
        <item x="872"/>
        <item x="296"/>
        <item x="974"/>
        <item x="342"/>
        <item x="319"/>
        <item x="485"/>
        <item x="1096"/>
        <item x="84"/>
        <item x="681"/>
        <item x="477"/>
        <item x="1136"/>
        <item x="858"/>
        <item x="1018"/>
        <item x="524"/>
        <item x="515"/>
        <item x="920"/>
        <item x="1"/>
        <item x="907"/>
        <item x="405"/>
        <item x="518"/>
        <item x="808"/>
        <item x="624"/>
        <item x="570"/>
        <item x="1156"/>
        <item x="324"/>
        <item x="1121"/>
        <item x="593"/>
        <item x="1086"/>
        <item x="1083"/>
        <item x="193"/>
        <item x="215"/>
        <item x="214"/>
        <item x="79"/>
        <item x="380"/>
        <item x="75"/>
        <item x="391"/>
        <item x="964"/>
        <item x="797"/>
        <item x="478"/>
        <item x="582"/>
        <item x="161"/>
        <item x="893"/>
        <item x="810"/>
        <item x="1144"/>
        <item x="747"/>
        <item x="672"/>
        <item x="735"/>
        <item x="628"/>
        <item x="860"/>
        <item x="150"/>
        <item x="292"/>
        <item x="55"/>
        <item x="1020"/>
        <item x="85"/>
        <item x="918"/>
        <item x="269"/>
        <item x="643"/>
        <item x="794"/>
        <item x="1123"/>
        <item x="188"/>
        <item x="853"/>
        <item x="1099"/>
        <item x="508"/>
        <item x="1130"/>
        <item x="697"/>
        <item x="556"/>
        <item x="457"/>
        <item x="61"/>
        <item x="117"/>
        <item x="129"/>
        <item x="407"/>
        <item x="11"/>
        <item x="420"/>
        <item x="338"/>
        <item x="374"/>
        <item x="146"/>
        <item x="115"/>
        <item x="693"/>
        <item x="962"/>
        <item x="500"/>
        <item x="969"/>
        <item x="1102"/>
        <item x="1009"/>
        <item x="386"/>
        <item x="565"/>
        <item x="1000"/>
        <item x="645"/>
        <item x="393"/>
        <item x="364"/>
        <item x="531"/>
        <item x="495"/>
        <item x="987"/>
        <item x="919"/>
        <item x="181"/>
        <item x="629"/>
        <item x="401"/>
        <item x="1174"/>
        <item x="315"/>
        <item x="348"/>
        <item x="963"/>
        <item x="721"/>
        <item x="222"/>
        <item x="671"/>
        <item x="1017"/>
        <item x="957"/>
        <item x="998"/>
        <item x="209"/>
        <item x="92"/>
        <item x="1140"/>
        <item x="1113"/>
        <item x="844"/>
        <item x="1100"/>
        <item x="186"/>
        <item x="479"/>
        <item x="1158"/>
        <item x="734"/>
        <item x="262"/>
        <item x="951"/>
        <item x="167"/>
        <item x="875"/>
        <item x="113"/>
        <item x="664"/>
        <item x="173"/>
        <item x="703"/>
        <item x="400"/>
        <item x="174"/>
        <item x="573"/>
        <item x="82"/>
        <item x="532"/>
        <item x="388"/>
        <item x="48"/>
        <item x="1057"/>
        <item x="534"/>
        <item x="58"/>
        <item x="1163"/>
        <item x="470"/>
        <item x="272"/>
        <item x="579"/>
        <item x="743"/>
        <item x="746"/>
        <item x="1128"/>
        <item x="377"/>
        <item x="1143"/>
        <item x="300"/>
        <item x="799"/>
        <item x="1055"/>
        <item x="1007"/>
        <item x="511"/>
        <item x="867"/>
        <item x="669"/>
        <item x="516"/>
        <item x="231"/>
        <item x="1138"/>
        <item x="334"/>
        <item x="948"/>
        <item x="642"/>
        <item x="10"/>
        <item x="288"/>
        <item x="952"/>
        <item x="316"/>
        <item x="375"/>
        <item x="713"/>
        <item x="77"/>
        <item x="136"/>
        <item x="656"/>
        <item x="698"/>
        <item x="403"/>
        <item x="609"/>
        <item x="627"/>
        <item x="385"/>
        <item x="717"/>
        <item x="153"/>
        <item x="387"/>
        <item x="303"/>
        <item x="35"/>
        <item x="894"/>
        <item x="699"/>
        <item x="1105"/>
        <item x="967"/>
        <item x="512"/>
        <item x="647"/>
        <item x="466"/>
        <item x="900"/>
        <item x="910"/>
        <item x="748"/>
        <item x="320"/>
        <item x="782"/>
        <item x="1027"/>
        <item x="661"/>
        <item x="1082"/>
        <item x="46"/>
        <item x="856"/>
        <item x="917"/>
        <item x="976"/>
        <item x="904"/>
        <item x="807"/>
        <item x="922"/>
        <item x="946"/>
        <item x="779"/>
        <item x="165"/>
        <item x="430"/>
        <item x="133"/>
        <item x="318"/>
        <item x="501"/>
        <item x="1177"/>
        <item x="600"/>
        <item x="253"/>
        <item x="646"/>
        <item x="252"/>
        <item x="307"/>
        <item x="279"/>
        <item x="857"/>
        <item x="837"/>
        <item x="689"/>
        <item x="548"/>
        <item x="525"/>
        <item x="124"/>
        <item x="720"/>
        <item x="368"/>
        <item x="163"/>
        <item x="323"/>
        <item x="76"/>
        <item x="1103"/>
        <item x="410"/>
        <item x="484"/>
        <item x="791"/>
        <item x="122"/>
        <item x="156"/>
        <item t="default"/>
      </items>
    </pivotField>
    <pivotField compact="0" numFmtId="9" showAll="0">
      <items count="6">
        <item x="0"/>
        <item x="4"/>
        <item x="1"/>
        <item x="3"/>
        <item x="2"/>
        <item t="default"/>
      </items>
    </pivotField>
    <pivotField compact="0" numFmtId="4" showAll="0">
      <items count="1180">
        <item x="0"/>
        <item x="310"/>
        <item x="494"/>
        <item x="1047"/>
        <item x="215"/>
        <item x="180"/>
        <item x="142"/>
        <item x="233"/>
        <item x="254"/>
        <item x="968"/>
        <item x="860"/>
        <item x="913"/>
        <item x="205"/>
        <item x="335"/>
        <item x="18"/>
        <item x="948"/>
        <item x="396"/>
        <item x="861"/>
        <item x="238"/>
        <item x="1083"/>
        <item x="724"/>
        <item x="9"/>
        <item x="418"/>
        <item x="921"/>
        <item x="536"/>
        <item x="526"/>
        <item x="1046"/>
        <item x="347"/>
        <item x="268"/>
        <item x="225"/>
        <item x="147"/>
        <item x="283"/>
        <item x="548"/>
        <item x="902"/>
        <item x="185"/>
        <item x="276"/>
        <item x="773"/>
        <item x="857"/>
        <item x="515"/>
        <item x="407"/>
        <item x="300"/>
        <item x="39"/>
        <item x="414"/>
        <item x="786"/>
        <item x="97"/>
        <item x="128"/>
        <item x="521"/>
        <item x="1086"/>
        <item x="703"/>
        <item x="798"/>
        <item x="1075"/>
        <item x="457"/>
        <item x="1120"/>
        <item x="190"/>
        <item x="270"/>
        <item x="525"/>
        <item x="229"/>
        <item x="830"/>
        <item x="787"/>
        <item x="217"/>
        <item x="186"/>
        <item x="810"/>
        <item x="742"/>
        <item x="174"/>
        <item x="19"/>
        <item x="864"/>
        <item x="509"/>
        <item x="1028"/>
        <item x="202"/>
        <item x="476"/>
        <item x="524"/>
        <item x="356"/>
        <item x="538"/>
        <item x="823"/>
        <item x="1110"/>
        <item x="319"/>
        <item x="489"/>
        <item x="136"/>
        <item x="516"/>
        <item x="32"/>
        <item x="43"/>
        <item x="838"/>
        <item x="1030"/>
        <item x="467"/>
        <item x="935"/>
        <item x="590"/>
        <item x="584"/>
        <item x="68"/>
        <item x="477"/>
        <item x="1081"/>
        <item x="1048"/>
        <item x="542"/>
        <item x="591"/>
        <item x="179"/>
        <item x="417"/>
        <item x="115"/>
        <item x="656"/>
        <item x="169"/>
        <item x="35"/>
        <item x="644"/>
        <item x="98"/>
        <item x="1007"/>
        <item x="348"/>
        <item x="505"/>
        <item x="172"/>
        <item x="766"/>
        <item x="306"/>
        <item x="420"/>
        <item x="70"/>
        <item x="502"/>
        <item x="288"/>
        <item x="159"/>
        <item x="432"/>
        <item x="553"/>
        <item x="809"/>
        <item x="448"/>
        <item x="890"/>
        <item x="403"/>
        <item x="523"/>
        <item x="162"/>
        <item x="274"/>
        <item x="1026"/>
        <item x="1"/>
        <item x="173"/>
        <item x="605"/>
        <item x="973"/>
        <item x="824"/>
        <item x="693"/>
        <item x="923"/>
        <item x="664"/>
        <item x="21"/>
        <item x="623"/>
        <item x="741"/>
        <item x="488"/>
        <item x="1127"/>
        <item x="94"/>
        <item x="34"/>
        <item x="1177"/>
        <item x="691"/>
        <item x="976"/>
        <item x="530"/>
        <item x="546"/>
        <item x="769"/>
        <item x="811"/>
        <item x="187"/>
        <item x="619"/>
        <item x="957"/>
        <item x="269"/>
        <item x="1039"/>
        <item x="995"/>
        <item x="196"/>
        <item x="130"/>
        <item x="506"/>
        <item x="658"/>
        <item x="1114"/>
        <item x="150"/>
        <item x="1094"/>
        <item x="1157"/>
        <item x="200"/>
        <item x="1060"/>
        <item x="330"/>
        <item x="340"/>
        <item x="441"/>
        <item x="251"/>
        <item x="984"/>
        <item x="164"/>
        <item x="618"/>
        <item x="27"/>
        <item x="101"/>
        <item x="970"/>
        <item x="1116"/>
        <item x="367"/>
        <item x="704"/>
        <item x="442"/>
        <item x="514"/>
        <item x="674"/>
        <item x="1044"/>
        <item x="1148"/>
        <item x="645"/>
        <item x="224"/>
        <item x="972"/>
        <item x="889"/>
        <item x="259"/>
        <item x="622"/>
        <item x="1134"/>
        <item x="299"/>
        <item x="381"/>
        <item x="112"/>
        <item x="266"/>
        <item x="1160"/>
        <item x="568"/>
        <item x="1115"/>
        <item x="779"/>
        <item x="412"/>
        <item x="236"/>
        <item x="886"/>
        <item x="293"/>
        <item x="885"/>
        <item x="183"/>
        <item x="1107"/>
        <item x="924"/>
        <item x="155"/>
        <item x="700"/>
        <item x="361"/>
        <item x="360"/>
        <item x="303"/>
        <item x="562"/>
        <item x="485"/>
        <item x="379"/>
        <item x="789"/>
        <item x="29"/>
        <item x="639"/>
        <item x="218"/>
        <item x="901"/>
        <item x="735"/>
        <item x="1014"/>
        <item x="804"/>
        <item x="1003"/>
        <item x="632"/>
        <item x="113"/>
        <item x="1162"/>
        <item x="831"/>
        <item x="950"/>
        <item x="601"/>
        <item x="132"/>
        <item x="61"/>
        <item x="466"/>
        <item x="249"/>
        <item x="517"/>
        <item x="813"/>
        <item x="246"/>
        <item x="643"/>
        <item x="904"/>
        <item x="478"/>
        <item x="745"/>
        <item x="6"/>
        <item x="444"/>
        <item x="106"/>
        <item x="633"/>
        <item x="333"/>
        <item x="69"/>
        <item x="93"/>
        <item x="216"/>
        <item x="212"/>
        <item x="102"/>
        <item x="464"/>
        <item x="817"/>
        <item x="492"/>
        <item x="153"/>
        <item x="615"/>
        <item x="581"/>
        <item x="154"/>
        <item x="511"/>
        <item x="671"/>
        <item x="784"/>
        <item x="987"/>
        <item x="111"/>
        <item x="429"/>
        <item x="107"/>
        <item x="1171"/>
        <item x="863"/>
        <item x="349"/>
        <item x="1056"/>
        <item x="775"/>
        <item x="74"/>
        <item x="133"/>
        <item x="822"/>
        <item x="933"/>
        <item x="302"/>
        <item x="989"/>
        <item x="472"/>
        <item x="609"/>
        <item x="895"/>
        <item x="141"/>
        <item x="1085"/>
        <item x="873"/>
        <item x="206"/>
        <item x="998"/>
        <item x="899"/>
        <item x="855"/>
        <item x="1118"/>
        <item x="701"/>
        <item x="668"/>
        <item x="878"/>
        <item x="1069"/>
        <item x="792"/>
        <item x="747"/>
        <item x="956"/>
        <item x="7"/>
        <item x="641"/>
        <item x="110"/>
        <item x="684"/>
        <item x="232"/>
        <item x="850"/>
        <item x="1135"/>
        <item x="413"/>
        <item x="698"/>
        <item x="5"/>
        <item x="570"/>
        <item x="862"/>
        <item x="732"/>
        <item x="82"/>
        <item x="588"/>
        <item x="177"/>
        <item x="932"/>
        <item x="1016"/>
        <item x="134"/>
        <item x="436"/>
        <item x="1043"/>
        <item x="20"/>
        <item x="576"/>
        <item x="1072"/>
        <item x="358"/>
        <item x="635"/>
        <item x="339"/>
        <item x="598"/>
        <item x="1004"/>
        <item x="1062"/>
        <item x="603"/>
        <item x="540"/>
        <item x="875"/>
        <item x="672"/>
        <item x="125"/>
        <item x="408"/>
        <item x="419"/>
        <item x="722"/>
        <item x="909"/>
        <item x="140"/>
        <item x="587"/>
        <item x="1015"/>
        <item x="388"/>
        <item x="1066"/>
        <item x="908"/>
        <item x="428"/>
        <item x="67"/>
        <item x="888"/>
        <item x="780"/>
        <item x="400"/>
        <item x="482"/>
        <item x="423"/>
        <item x="541"/>
        <item x="1089"/>
        <item x="460"/>
        <item x="840"/>
        <item x="736"/>
        <item x="1175"/>
        <item x="223"/>
        <item x="1084"/>
        <item x="261"/>
        <item x="1092"/>
        <item x="334"/>
        <item x="788"/>
        <item x="678"/>
        <item x="837"/>
        <item x="799"/>
        <item x="60"/>
        <item x="38"/>
        <item x="636"/>
        <item x="59"/>
        <item x="892"/>
        <item x="427"/>
        <item x="982"/>
        <item x="988"/>
        <item x="827"/>
        <item x="611"/>
        <item x="1035"/>
        <item x="962"/>
        <item x="318"/>
        <item x="86"/>
        <item x="493"/>
        <item x="911"/>
        <item x="980"/>
        <item x="657"/>
        <item x="1005"/>
        <item x="608"/>
        <item x="239"/>
        <item x="120"/>
        <item x="227"/>
        <item x="1011"/>
        <item x="56"/>
        <item x="606"/>
        <item x="912"/>
        <item x="874"/>
        <item x="63"/>
        <item x="139"/>
        <item x="677"/>
        <item x="727"/>
        <item x="1151"/>
        <item x="897"/>
        <item x="675"/>
        <item x="13"/>
        <item x="1119"/>
        <item x="465"/>
        <item x="759"/>
        <item x="99"/>
        <item x="665"/>
        <item x="24"/>
        <item x="184"/>
        <item x="176"/>
        <item x="753"/>
        <item x="871"/>
        <item x="163"/>
        <item x="1036"/>
        <item x="774"/>
        <item x="342"/>
        <item x="1058"/>
        <item x="513"/>
        <item x="920"/>
        <item x="404"/>
        <item x="613"/>
        <item x="592"/>
        <item x="522"/>
        <item x="1158"/>
        <item x="991"/>
        <item x="734"/>
        <item x="1124"/>
        <item x="181"/>
        <item x="699"/>
        <item x="1064"/>
        <item x="329"/>
        <item x="290"/>
        <item x="1096"/>
        <item x="320"/>
        <item x="869"/>
        <item x="520"/>
        <item x="796"/>
        <item x="1025"/>
        <item x="848"/>
        <item x="1112"/>
        <item x="965"/>
        <item x="983"/>
        <item x="453"/>
        <item x="362"/>
        <item x="1067"/>
        <item x="782"/>
        <item x="552"/>
        <item x="245"/>
        <item x="887"/>
        <item x="1059"/>
        <item x="327"/>
        <item x="296"/>
        <item x="1006"/>
        <item x="550"/>
        <item x="1049"/>
        <item x="324"/>
        <item x="220"/>
        <item x="666"/>
        <item x="47"/>
        <item x="438"/>
        <item x="551"/>
        <item x="696"/>
        <item x="204"/>
        <item x="371"/>
        <item x="166"/>
        <item x="262"/>
        <item x="825"/>
        <item x="250"/>
        <item x="341"/>
        <item x="16"/>
        <item x="726"/>
        <item x="192"/>
        <item x="715"/>
        <item x="76"/>
        <item x="717"/>
        <item x="40"/>
        <item x="662"/>
        <item x="637"/>
        <item x="565"/>
        <item x="925"/>
        <item x="1128"/>
        <item x="1040"/>
        <item x="207"/>
        <item x="52"/>
        <item x="88"/>
        <item x="231"/>
        <item x="103"/>
        <item x="109"/>
        <item x="256"/>
        <item x="193"/>
        <item x="326"/>
        <item x="486"/>
        <item x="532"/>
        <item x="833"/>
        <item x="64"/>
        <item x="979"/>
        <item x="480"/>
        <item x="896"/>
        <item x="211"/>
        <item x="694"/>
        <item x="213"/>
        <item x="1159"/>
        <item x="331"/>
        <item x="1045"/>
        <item x="295"/>
        <item x="856"/>
        <item x="978"/>
        <item x="1010"/>
        <item x="1017"/>
        <item x="777"/>
        <item x="170"/>
        <item x="135"/>
        <item x="230"/>
        <item x="1023"/>
        <item x="610"/>
        <item x="763"/>
        <item x="820"/>
        <item x="279"/>
        <item x="839"/>
        <item x="866"/>
        <item x="1042"/>
        <item x="654"/>
        <item x="402"/>
        <item x="772"/>
        <item x="421"/>
        <item x="1139"/>
        <item x="1101"/>
        <item x="842"/>
        <item x="194"/>
        <item x="1122"/>
        <item x="945"/>
        <item x="595"/>
        <item x="574"/>
        <item x="123"/>
        <item x="278"/>
        <item x="345"/>
        <item x="253"/>
        <item x="1155"/>
        <item x="496"/>
        <item x="922"/>
        <item x="226"/>
        <item x="77"/>
        <item x="1061"/>
        <item x="1002"/>
        <item x="73"/>
        <item x="686"/>
        <item x="733"/>
        <item x="1099"/>
        <item x="425"/>
        <item x="178"/>
        <item x="1095"/>
        <item x="366"/>
        <item x="1053"/>
        <item x="71"/>
        <item x="1080"/>
        <item x="53"/>
        <item x="828"/>
        <item x="554"/>
        <item x="566"/>
        <item x="1174"/>
        <item x="242"/>
        <item x="969"/>
        <item x="740"/>
        <item x="168"/>
        <item x="1140"/>
        <item x="143"/>
        <item x="495"/>
        <item x="54"/>
        <item x="395"/>
        <item x="529"/>
        <item x="431"/>
        <item x="844"/>
        <item x="344"/>
        <item x="452"/>
        <item x="391"/>
        <item x="484"/>
        <item x="612"/>
        <item x="508"/>
        <item x="1137"/>
        <item x="322"/>
        <item x="939"/>
        <item x="365"/>
        <item x="731"/>
        <item x="1126"/>
        <item x="648"/>
        <item x="690"/>
        <item x="355"/>
        <item x="642"/>
        <item x="308"/>
        <item x="1138"/>
        <item x="1121"/>
        <item x="628"/>
        <item x="241"/>
        <item x="189"/>
        <item x="929"/>
        <item x="439"/>
        <item x="72"/>
        <item x="977"/>
        <item x="1178"/>
        <item x="625"/>
        <item x="616"/>
        <item x="12"/>
        <item x="661"/>
        <item x="802"/>
        <item x="384"/>
        <item x="914"/>
        <item x="446"/>
        <item x="981"/>
        <item x="148"/>
        <item x="816"/>
        <item x="755"/>
        <item x="785"/>
        <item x="569"/>
        <item x="22"/>
        <item x="917"/>
        <item x="89"/>
        <item x="313"/>
        <item x="964"/>
        <item x="918"/>
        <item x="281"/>
        <item x="599"/>
        <item x="473"/>
        <item x="292"/>
        <item x="15"/>
        <item x="676"/>
        <item x="156"/>
        <item x="653"/>
        <item x="1013"/>
        <item x="1100"/>
        <item x="36"/>
        <item x="66"/>
        <item x="260"/>
        <item x="376"/>
        <item x="951"/>
        <item x="491"/>
        <item x="990"/>
        <item x="768"/>
        <item x="445"/>
        <item x="298"/>
        <item x="84"/>
        <item x="1168"/>
        <item x="573"/>
        <item x="37"/>
        <item x="282"/>
        <item x="752"/>
        <item x="363"/>
        <item x="1077"/>
        <item x="1108"/>
        <item x="144"/>
        <item x="504"/>
        <item x="222"/>
        <item x="876"/>
        <item x="1012"/>
        <item x="1073"/>
        <item x="359"/>
        <item x="1173"/>
        <item x="1091"/>
        <item x="199"/>
        <item x="210"/>
        <item x="1152"/>
        <item x="597"/>
        <item x="534"/>
        <item x="315"/>
        <item x="1008"/>
        <item x="537"/>
        <item x="85"/>
        <item x="131"/>
        <item x="958"/>
        <item x="499"/>
        <item x="801"/>
        <item x="1071"/>
        <item x="705"/>
        <item x="510"/>
        <item x="158"/>
        <item x="695"/>
        <item x="808"/>
        <item x="65"/>
        <item x="455"/>
        <item x="1038"/>
        <item x="309"/>
        <item x="118"/>
        <item x="765"/>
        <item x="1163"/>
        <item x="762"/>
        <item x="415"/>
        <item x="564"/>
        <item x="738"/>
        <item x="368"/>
        <item x="680"/>
        <item x="1149"/>
        <item x="575"/>
        <item x="713"/>
        <item x="191"/>
        <item x="46"/>
        <item x="754"/>
        <item x="26"/>
        <item x="1055"/>
        <item x="152"/>
        <item x="390"/>
        <item x="337"/>
        <item x="624"/>
        <item x="681"/>
        <item x="91"/>
        <item x="614"/>
        <item x="171"/>
        <item x="1034"/>
        <item x="4"/>
        <item x="57"/>
        <item x="1078"/>
        <item x="1164"/>
        <item x="369"/>
        <item x="275"/>
        <item x="819"/>
        <item x="770"/>
        <item x="563"/>
        <item x="926"/>
        <item x="872"/>
        <item x="944"/>
        <item x="316"/>
        <item x="1165"/>
        <item x="1019"/>
        <item x="323"/>
        <item x="375"/>
        <item x="1143"/>
        <item x="853"/>
        <item x="953"/>
        <item x="449"/>
        <item x="1090"/>
        <item x="182"/>
        <item x="104"/>
        <item x="1022"/>
        <item x="51"/>
        <item x="682"/>
        <item x="655"/>
        <item x="79"/>
        <item x="555"/>
        <item x="1063"/>
        <item x="640"/>
        <item x="941"/>
        <item x="870"/>
        <item x="167"/>
        <item x="997"/>
        <item x="122"/>
        <item x="500"/>
        <item x="930"/>
        <item x="934"/>
        <item x="1052"/>
        <item x="836"/>
        <item x="688"/>
        <item x="264"/>
        <item x="960"/>
        <item x="451"/>
        <item x="234"/>
        <item x="383"/>
        <item x="161"/>
        <item x="967"/>
        <item x="806"/>
        <item x="607"/>
        <item x="157"/>
        <item x="2"/>
        <item x="756"/>
        <item x="971"/>
        <item x="846"/>
        <item x="265"/>
        <item x="385"/>
        <item x="188"/>
        <item x="829"/>
        <item x="620"/>
        <item x="577"/>
        <item x="1018"/>
        <item x="1131"/>
        <item x="1087"/>
        <item x="1172"/>
        <item x="286"/>
        <item x="689"/>
        <item x="81"/>
        <item x="267"/>
        <item x="235"/>
        <item x="706"/>
        <item x="387"/>
        <item x="42"/>
        <item x="1000"/>
        <item x="841"/>
        <item x="560"/>
        <item x="311"/>
        <item x="350"/>
        <item x="252"/>
        <item x="528"/>
        <item x="600"/>
        <item x="531"/>
        <item x="346"/>
        <item x="1170"/>
        <item x="1093"/>
        <item x="746"/>
        <item x="219"/>
        <item x="398"/>
        <item x="129"/>
        <item x="1147"/>
        <item x="936"/>
        <item x="629"/>
        <item x="469"/>
        <item x="437"/>
        <item x="25"/>
        <item x="519"/>
        <item x="435"/>
        <item x="586"/>
        <item x="461"/>
        <item x="739"/>
        <item x="718"/>
        <item x="160"/>
        <item x="1105"/>
        <item x="1032"/>
        <item x="854"/>
        <item x="165"/>
        <item x="284"/>
        <item x="87"/>
        <item x="589"/>
        <item x="711"/>
        <item x="352"/>
        <item x="993"/>
        <item x="332"/>
        <item x="126"/>
        <item x="31"/>
        <item x="961"/>
        <item x="814"/>
        <item x="544"/>
        <item x="228"/>
        <item x="627"/>
        <item x="800"/>
        <item x="422"/>
        <item x="549"/>
        <item x="443"/>
        <item x="80"/>
        <item x="996"/>
        <item x="879"/>
        <item x="108"/>
        <item x="783"/>
        <item x="328"/>
        <item x="938"/>
        <item x="604"/>
        <item x="561"/>
        <item x="314"/>
        <item x="1144"/>
        <item x="244"/>
        <item x="317"/>
        <item x="221"/>
        <item x="547"/>
        <item x="714"/>
        <item x="149"/>
        <item x="812"/>
        <item x="119"/>
        <item x="114"/>
        <item x="280"/>
        <item x="707"/>
        <item x="868"/>
        <item x="660"/>
        <item x="409"/>
        <item x="49"/>
        <item x="138"/>
        <item x="647"/>
        <item x="243"/>
        <item x="1098"/>
        <item x="807"/>
        <item x="751"/>
        <item x="456"/>
        <item x="533"/>
        <item x="336"/>
        <item x="626"/>
        <item x="900"/>
        <item x="1146"/>
        <item x="1123"/>
        <item x="291"/>
        <item x="884"/>
        <item x="3"/>
        <item x="1088"/>
        <item x="966"/>
        <item x="433"/>
        <item x="45"/>
        <item x="197"/>
        <item x="898"/>
        <item x="709"/>
        <item x="78"/>
        <item x="1129"/>
        <item x="1033"/>
        <item x="859"/>
        <item x="843"/>
        <item x="287"/>
        <item x="535"/>
        <item x="729"/>
        <item x="307"/>
        <item x="781"/>
        <item x="955"/>
        <item x="880"/>
        <item x="891"/>
        <item x="124"/>
        <item x="794"/>
        <item x="117"/>
        <item x="797"/>
        <item x="382"/>
        <item x="487"/>
        <item x="1065"/>
        <item x="596"/>
        <item x="877"/>
        <item x="1154"/>
        <item x="1136"/>
        <item x="761"/>
        <item x="203"/>
        <item x="1076"/>
        <item x="670"/>
        <item x="454"/>
        <item x="744"/>
        <item x="974"/>
        <item x="963"/>
        <item x="1133"/>
        <item x="667"/>
        <item x="638"/>
        <item x="377"/>
        <item x="1031"/>
        <item x="1001"/>
        <item x="248"/>
        <item x="354"/>
        <item x="975"/>
        <item x="96"/>
        <item x="304"/>
        <item x="430"/>
        <item x="497"/>
        <item x="985"/>
        <item x="919"/>
        <item x="748"/>
        <item x="845"/>
        <item x="357"/>
        <item x="916"/>
        <item x="723"/>
        <item x="1074"/>
        <item x="14"/>
        <item x="474"/>
        <item x="725"/>
        <item x="852"/>
        <item x="374"/>
        <item x="1145"/>
        <item x="394"/>
        <item x="559"/>
        <item x="893"/>
        <item x="325"/>
        <item x="558"/>
        <item x="434"/>
        <item x="10"/>
        <item x="481"/>
        <item x="1070"/>
        <item x="905"/>
        <item x="986"/>
        <item x="58"/>
        <item x="728"/>
        <item x="1150"/>
        <item x="572"/>
        <item x="1117"/>
        <item x="881"/>
        <item x="594"/>
        <item x="617"/>
        <item x="297"/>
        <item x="527"/>
        <item x="127"/>
        <item x="851"/>
        <item x="105"/>
        <item x="818"/>
        <item x="263"/>
        <item x="272"/>
        <item x="214"/>
        <item x="447"/>
        <item x="776"/>
        <item x="92"/>
        <item x="771"/>
        <item x="545"/>
        <item x="683"/>
        <item x="937"/>
        <item x="411"/>
        <item x="392"/>
        <item x="602"/>
        <item x="1169"/>
        <item x="1020"/>
        <item x="1009"/>
        <item x="1021"/>
        <item x="1079"/>
        <item x="498"/>
        <item x="543"/>
        <item x="749"/>
        <item x="406"/>
        <item x="634"/>
        <item x="1103"/>
        <item x="578"/>
        <item x="1029"/>
        <item x="687"/>
        <item x="255"/>
        <item x="826"/>
        <item x="710"/>
        <item x="321"/>
        <item x="1132"/>
        <item x="240"/>
        <item x="767"/>
        <item x="849"/>
        <item x="928"/>
        <item x="778"/>
        <item x="1125"/>
        <item x="1054"/>
        <item x="399"/>
        <item x="33"/>
        <item x="556"/>
        <item x="501"/>
        <item x="679"/>
        <item x="90"/>
        <item x="257"/>
        <item x="209"/>
        <item x="1141"/>
        <item x="351"/>
        <item x="582"/>
        <item x="483"/>
        <item x="198"/>
        <item x="470"/>
        <item x="463"/>
        <item x="289"/>
        <item x="708"/>
        <item x="940"/>
        <item x="716"/>
        <item x="758"/>
        <item x="1166"/>
        <item x="271"/>
        <item x="512"/>
        <item x="903"/>
        <item x="11"/>
        <item x="712"/>
        <item x="353"/>
        <item x="571"/>
        <item x="580"/>
        <item x="663"/>
        <item x="393"/>
        <item x="1104"/>
        <item x="805"/>
        <item x="1161"/>
        <item x="821"/>
        <item x="41"/>
        <item x="490"/>
        <item x="301"/>
        <item x="954"/>
        <item x="931"/>
        <item x="145"/>
        <item x="832"/>
        <item x="585"/>
        <item x="201"/>
        <item x="8"/>
        <item x="1041"/>
        <item x="17"/>
        <item x="277"/>
        <item x="793"/>
        <item x="386"/>
        <item x="100"/>
        <item x="468"/>
        <item x="795"/>
        <item x="370"/>
        <item x="649"/>
        <item x="927"/>
        <item x="915"/>
        <item x="1109"/>
        <item x="650"/>
        <item x="579"/>
        <item x="1102"/>
        <item x="195"/>
        <item x="518"/>
        <item x="1111"/>
        <item x="1167"/>
        <item x="847"/>
        <item x="942"/>
        <item x="62"/>
        <item x="858"/>
        <item x="791"/>
        <item x="567"/>
        <item x="1156"/>
        <item x="947"/>
        <item x="440"/>
        <item x="312"/>
        <item x="883"/>
        <item x="401"/>
        <item x="364"/>
        <item x="539"/>
        <item x="894"/>
        <item x="1051"/>
        <item x="146"/>
        <item x="397"/>
        <item x="151"/>
        <item x="803"/>
        <item x="673"/>
        <item x="1097"/>
        <item x="137"/>
        <item x="999"/>
        <item x="1027"/>
        <item x="471"/>
        <item x="557"/>
        <item x="669"/>
        <item x="1142"/>
        <item x="943"/>
        <item x="719"/>
        <item x="459"/>
        <item x="48"/>
        <item x="503"/>
        <item x="593"/>
        <item x="1024"/>
        <item x="946"/>
        <item x="372"/>
        <item x="30"/>
        <item x="1068"/>
        <item x="462"/>
        <item x="994"/>
        <item x="959"/>
        <item x="1106"/>
        <item x="50"/>
        <item x="247"/>
        <item x="305"/>
        <item x="1050"/>
        <item x="95"/>
        <item x="697"/>
        <item x="507"/>
        <item x="651"/>
        <item x="294"/>
        <item x="410"/>
        <item x="405"/>
        <item x="760"/>
        <item x="659"/>
        <item x="258"/>
        <item x="475"/>
        <item x="416"/>
        <item x="55"/>
        <item x="621"/>
        <item x="757"/>
        <item x="28"/>
        <item x="273"/>
        <item x="175"/>
        <item x="790"/>
        <item x="583"/>
        <item x="1037"/>
        <item x="1082"/>
        <item x="424"/>
        <item x="720"/>
        <item x="237"/>
        <item x="426"/>
        <item x="730"/>
        <item x="906"/>
        <item x="834"/>
        <item x="1113"/>
        <item x="737"/>
        <item x="23"/>
        <item x="44"/>
        <item x="338"/>
        <item x="630"/>
        <item x="952"/>
        <item x="1153"/>
        <item x="75"/>
        <item x="702"/>
        <item x="865"/>
        <item x="835"/>
        <item x="1130"/>
        <item x="815"/>
        <item x="721"/>
        <item x="652"/>
        <item x="646"/>
        <item x="121"/>
        <item x="458"/>
        <item x="389"/>
        <item x="907"/>
        <item x="373"/>
        <item x="764"/>
        <item x="882"/>
        <item x="1057"/>
        <item x="910"/>
        <item x="1176"/>
        <item x="750"/>
        <item x="949"/>
        <item x="992"/>
        <item x="450"/>
        <item x="83"/>
        <item x="285"/>
        <item x="479"/>
        <item x="631"/>
        <item x="685"/>
        <item x="380"/>
        <item x="743"/>
        <item x="378"/>
        <item x="208"/>
        <item x="867"/>
        <item x="116"/>
        <item x="343"/>
        <item x="692"/>
        <item t="default"/>
      </items>
    </pivotField>
    <pivotField compact="0" numFmtId="4" showAll="0">
      <items count="2086">
        <item x="600"/>
        <item x="89"/>
        <item x="302"/>
        <item x="155"/>
        <item x="222"/>
        <item x="1619"/>
        <item x="309"/>
        <item x="597"/>
        <item x="711"/>
        <item x="729"/>
        <item x="548"/>
        <item x="234"/>
        <item x="1294"/>
        <item x="1856"/>
        <item x="1862"/>
        <item x="968"/>
        <item x="486"/>
        <item x="2015"/>
        <item x="1523"/>
        <item x="1514"/>
        <item x="955"/>
        <item x="910"/>
        <item x="879"/>
        <item x="1702"/>
        <item x="36"/>
        <item x="1476"/>
        <item x="407"/>
        <item x="2053"/>
        <item x="512"/>
        <item x="1524"/>
        <item x="417"/>
        <item x="614"/>
        <item x="318"/>
        <item x="17"/>
        <item x="1392"/>
        <item x="700"/>
        <item x="462"/>
        <item x="1863"/>
        <item x="374"/>
        <item x="1428"/>
        <item x="1638"/>
        <item x="1824"/>
        <item x="952"/>
        <item x="938"/>
        <item x="540"/>
        <item x="1227"/>
        <item x="502"/>
        <item x="1601"/>
        <item x="43"/>
        <item x="1922"/>
        <item x="1030"/>
        <item x="338"/>
        <item x="826"/>
        <item x="1048"/>
        <item x="424"/>
        <item x="189"/>
        <item x="1051"/>
        <item x="865"/>
        <item x="532"/>
        <item x="198"/>
        <item x="1407"/>
        <item x="442"/>
        <item x="1652"/>
        <item x="1083"/>
        <item x="120"/>
        <item x="169"/>
        <item x="1678"/>
        <item x="1721"/>
        <item x="1574"/>
        <item x="636"/>
        <item x="1518"/>
        <item x="1986"/>
        <item x="1212"/>
        <item x="404"/>
        <item x="1384"/>
        <item x="949"/>
        <item x="449"/>
        <item x="1075"/>
        <item x="1718"/>
        <item x="1457"/>
        <item x="293"/>
        <item x="41"/>
        <item x="1416"/>
        <item x="235"/>
        <item x="306"/>
        <item x="415"/>
        <item x="1241"/>
        <item x="343"/>
        <item x="1675"/>
        <item x="868"/>
        <item x="351"/>
        <item x="928"/>
        <item x="1699"/>
        <item x="225"/>
        <item x="1210"/>
        <item x="1458"/>
        <item x="365"/>
        <item x="565"/>
        <item x="1333"/>
        <item x="966"/>
        <item x="227"/>
        <item x="918"/>
        <item x="1431"/>
        <item x="1687"/>
        <item x="1865"/>
        <item x="1767"/>
        <item x="757"/>
        <item x="375"/>
        <item x="1484"/>
        <item x="672"/>
        <item x="420"/>
        <item x="1261"/>
        <item x="1944"/>
        <item x="9"/>
        <item x="1403"/>
        <item x="585"/>
        <item x="523"/>
        <item x="595"/>
        <item x="119"/>
        <item x="1636"/>
        <item x="1928"/>
        <item x="1565"/>
        <item x="1269"/>
        <item x="877"/>
        <item x="103"/>
        <item x="12"/>
        <item x="66"/>
        <item x="916"/>
        <item x="165"/>
        <item x="398"/>
        <item x="783"/>
        <item x="743"/>
        <item x="1789"/>
        <item x="1138"/>
        <item x="1725"/>
        <item x="762"/>
        <item x="1478"/>
        <item x="528"/>
        <item x="1990"/>
        <item x="1372"/>
        <item x="2054"/>
        <item x="1495"/>
        <item x="706"/>
        <item x="466"/>
        <item x="745"/>
        <item x="233"/>
        <item x="1285"/>
        <item x="1319"/>
        <item x="355"/>
        <item x="895"/>
        <item x="1980"/>
        <item x="735"/>
        <item x="414"/>
        <item x="1110"/>
        <item x="1644"/>
        <item x="764"/>
        <item x="1396"/>
        <item x="13"/>
        <item x="613"/>
        <item x="474"/>
        <item x="108"/>
        <item x="1386"/>
        <item x="633"/>
        <item x="389"/>
        <item x="2004"/>
        <item x="992"/>
        <item x="728"/>
        <item x="241"/>
        <item x="1770"/>
        <item x="1504"/>
        <item x="483"/>
        <item x="1953"/>
        <item x="1068"/>
        <item x="2"/>
        <item x="750"/>
        <item x="1229"/>
        <item x="378"/>
        <item x="1934"/>
        <item x="671"/>
        <item x="1340"/>
        <item x="478"/>
        <item x="1802"/>
        <item x="1006"/>
        <item x="776"/>
        <item x="654"/>
        <item x="810"/>
        <item x="192"/>
        <item x="1871"/>
        <item x="1356"/>
        <item x="1551"/>
        <item x="1370"/>
        <item x="1167"/>
        <item x="298"/>
        <item x="1121"/>
        <item x="1067"/>
        <item x="1823"/>
        <item x="537"/>
        <item x="187"/>
        <item x="1641"/>
        <item x="917"/>
        <item x="702"/>
        <item x="1689"/>
        <item x="366"/>
        <item x="1176"/>
        <item x="1100"/>
        <item x="1673"/>
        <item x="419"/>
        <item x="117"/>
        <item x="529"/>
        <item x="857"/>
        <item x="748"/>
        <item x="411"/>
        <item x="959"/>
        <item x="533"/>
        <item x="73"/>
        <item x="922"/>
        <item x="557"/>
        <item x="1854"/>
        <item x="2080"/>
        <item x="851"/>
        <item x="387"/>
        <item x="737"/>
        <item x="1222"/>
        <item x="458"/>
        <item x="152"/>
        <item x="1411"/>
        <item x="1122"/>
        <item x="1592"/>
        <item x="1390"/>
        <item x="164"/>
        <item x="346"/>
        <item x="1346"/>
        <item x="817"/>
        <item x="314"/>
        <item x="213"/>
        <item x="593"/>
        <item x="637"/>
        <item x="1850"/>
        <item x="924"/>
        <item x="829"/>
        <item x="1845"/>
        <item x="1090"/>
        <item x="1878"/>
        <item x="901"/>
        <item x="1247"/>
        <item x="1187"/>
        <item x="1385"/>
        <item x="1215"/>
        <item x="1410"/>
        <item x="495"/>
        <item x="1926"/>
        <item x="1445"/>
        <item x="1914"/>
        <item x="2050"/>
        <item x="386"/>
        <item x="401"/>
        <item x="61"/>
        <item x="100"/>
        <item x="1616"/>
        <item x="808"/>
        <item x="1462"/>
        <item x="219"/>
        <item x="1723"/>
        <item x="1193"/>
        <item x="25"/>
        <item x="1985"/>
        <item x="1931"/>
        <item x="1339"/>
        <item x="166"/>
        <item x="1178"/>
        <item x="274"/>
        <item x="472"/>
        <item x="296"/>
        <item x="476"/>
        <item x="1836"/>
        <item x="583"/>
        <item x="1870"/>
        <item x="1182"/>
        <item x="260"/>
        <item x="931"/>
        <item x="606"/>
        <item x="397"/>
        <item x="429"/>
        <item x="54"/>
        <item x="944"/>
        <item x="1547"/>
        <item x="2083"/>
        <item x="1468"/>
        <item x="937"/>
        <item x="813"/>
        <item x="1248"/>
        <item x="789"/>
        <item x="377"/>
        <item x="1191"/>
        <item x="311"/>
        <item x="242"/>
        <item x="1291"/>
        <item x="2033"/>
        <item x="1430"/>
        <item x="69"/>
        <item x="403"/>
        <item x="1305"/>
        <item x="1991"/>
        <item x="736"/>
        <item x="388"/>
        <item x="610"/>
        <item x="1831"/>
        <item x="501"/>
        <item x="455"/>
        <item x="1528"/>
        <item x="584"/>
        <item x="513"/>
        <item x="352"/>
        <item x="668"/>
        <item x="1116"/>
        <item x="807"/>
        <item x="899"/>
        <item x="1216"/>
        <item x="906"/>
        <item x="1534"/>
        <item x="787"/>
        <item x="939"/>
        <item x="1044"/>
        <item x="1463"/>
        <item x="267"/>
        <item x="1140"/>
        <item x="42"/>
        <item x="354"/>
        <item x="2072"/>
        <item x="1908"/>
        <item x="2063"/>
        <item x="630"/>
        <item x="848"/>
        <item x="431"/>
        <item x="1060"/>
        <item x="1544"/>
        <item x="1889"/>
        <item x="520"/>
        <item x="57"/>
        <item x="628"/>
        <item x="1724"/>
        <item x="1559"/>
        <item x="517"/>
        <item x="2066"/>
        <item x="1055"/>
        <item x="1972"/>
        <item x="744"/>
        <item x="576"/>
        <item x="33"/>
        <item x="232"/>
        <item x="1040"/>
        <item x="1642"/>
        <item x="1804"/>
        <item x="948"/>
        <item x="1819"/>
        <item x="259"/>
        <item x="1563"/>
        <item x="1379"/>
        <item x="869"/>
        <item x="635"/>
        <item x="114"/>
        <item x="650"/>
        <item x="459"/>
        <item x="707"/>
        <item x="333"/>
        <item x="2039"/>
        <item x="1311"/>
        <item x="2044"/>
        <item x="1487"/>
        <item x="64"/>
        <item x="324"/>
        <item x="1259"/>
        <item x="1292"/>
        <item x="174"/>
        <item x="854"/>
        <item x="58"/>
        <item x="1930"/>
        <item x="74"/>
        <item x="1482"/>
        <item x="216"/>
        <item x="806"/>
        <item x="1942"/>
        <item x="596"/>
        <item x="1600"/>
        <item x="1866"/>
        <item x="1289"/>
        <item x="78"/>
        <item x="510"/>
        <item x="1419"/>
        <item x="1838"/>
        <item x="1174"/>
        <item x="278"/>
        <item x="273"/>
        <item x="1779"/>
        <item x="154"/>
        <item x="1828"/>
        <item x="1664"/>
        <item x="93"/>
        <item x="402"/>
        <item x="451"/>
        <item x="863"/>
        <item x="552"/>
        <item x="1033"/>
        <item x="1753"/>
        <item x="1834"/>
        <item x="367"/>
        <item x="2030"/>
        <item x="218"/>
        <item x="118"/>
        <item x="587"/>
        <item x="849"/>
        <item x="519"/>
        <item x="1839"/>
        <item x="1925"/>
        <item x="919"/>
        <item x="28"/>
        <item x="878"/>
        <item x="775"/>
        <item x="545"/>
        <item x="1864"/>
        <item x="961"/>
        <item x="1434"/>
        <item x="1049"/>
        <item x="1373"/>
        <item x="730"/>
        <item x="300"/>
        <item x="432"/>
        <item x="1251"/>
        <item x="1165"/>
        <item x="53"/>
        <item x="1787"/>
        <item x="742"/>
        <item x="294"/>
        <item x="151"/>
        <item x="784"/>
        <item x="301"/>
        <item x="1164"/>
        <item x="283"/>
        <item x="1852"/>
        <item x="1543"/>
        <item x="1161"/>
        <item x="1470"/>
        <item x="549"/>
        <item x="177"/>
        <item x="44"/>
        <item x="1137"/>
        <item x="1576"/>
        <item x="985"/>
        <item x="1988"/>
        <item x="322"/>
        <item x="819"/>
        <item x="1057"/>
        <item x="1016"/>
        <item x="1381"/>
        <item x="307"/>
        <item x="1134"/>
        <item x="447"/>
        <item x="170"/>
        <item x="900"/>
        <item x="272"/>
        <item x="1890"/>
        <item x="288"/>
        <item x="1371"/>
        <item x="255"/>
        <item x="1432"/>
        <item x="256"/>
        <item x="1063"/>
        <item x="308"/>
        <item x="1208"/>
        <item x="1284"/>
        <item x="566"/>
        <item x="448"/>
        <item x="1358"/>
        <item x="838"/>
        <item x="1321"/>
        <item x="543"/>
        <item x="2061"/>
        <item x="1651"/>
        <item x="913"/>
        <item x="615"/>
        <item x="2055"/>
        <item x="122"/>
        <item x="1736"/>
        <item x="426"/>
        <item x="1088"/>
        <item x="0"/>
        <item x="303"/>
        <item x="265"/>
        <item x="95"/>
        <item x="1147"/>
        <item x="1827"/>
        <item x="763"/>
        <item x="718"/>
        <item x="609"/>
        <item x="616"/>
        <item x="974"/>
        <item x="1886"/>
        <item x="83"/>
        <item x="1086"/>
        <item x="567"/>
        <item x="1684"/>
        <item x="573"/>
        <item x="796"/>
        <item x="1569"/>
        <item x="127"/>
        <item x="923"/>
        <item x="601"/>
        <item x="1408"/>
        <item x="1500"/>
        <item x="1670"/>
        <item x="1714"/>
        <item x="1747"/>
        <item x="866"/>
        <item x="27"/>
        <item x="1400"/>
        <item x="721"/>
        <item x="1901"/>
        <item x="18"/>
        <item x="371"/>
        <item x="927"/>
        <item x="973"/>
        <item x="1772"/>
        <item x="271"/>
        <item x="147"/>
        <item x="675"/>
        <item x="1818"/>
        <item x="1562"/>
        <item x="1741"/>
        <item x="317"/>
        <item x="347"/>
        <item x="1788"/>
        <item x="345"/>
        <item x="1734"/>
        <item x="943"/>
        <item x="1425"/>
        <item x="289"/>
        <item x="1119"/>
        <item x="726"/>
        <item x="514"/>
        <item x="1494"/>
        <item x="321"/>
        <item x="1620"/>
        <item x="634"/>
        <item x="945"/>
        <item x="1726"/>
        <item x="208"/>
        <item x="1459"/>
        <item x="704"/>
        <item x="1205"/>
        <item x="394"/>
        <item x="1630"/>
        <item x="279"/>
        <item x="641"/>
        <item x="1460"/>
        <item x="1225"/>
        <item x="1007"/>
        <item x="1526"/>
        <item x="137"/>
        <item x="31"/>
        <item x="825"/>
        <item x="1897"/>
        <item x="1042"/>
        <item x="1151"/>
        <item x="1955"/>
        <item x="68"/>
        <item x="1304"/>
        <item x="998"/>
        <item x="357"/>
        <item x="1754"/>
        <item x="1577"/>
        <item x="1624"/>
        <item x="526"/>
        <item x="1323"/>
        <item x="1858"/>
        <item x="141"/>
        <item x="1014"/>
        <item x="1994"/>
        <item x="160"/>
        <item x="1781"/>
        <item x="171"/>
        <item x="65"/>
        <item x="130"/>
        <item x="1108"/>
        <item x="113"/>
        <item x="319"/>
        <item x="1022"/>
        <item x="349"/>
        <item x="885"/>
        <item x="897"/>
        <item x="1035"/>
        <item x="1020"/>
        <item x="1799"/>
        <item x="1731"/>
        <item x="855"/>
        <item x="1582"/>
        <item x="1909"/>
        <item x="342"/>
        <item x="1228"/>
        <item x="892"/>
        <item x="1423"/>
        <item x="1611"/>
        <item x="1806"/>
        <item x="335"/>
        <item x="935"/>
        <item x="1059"/>
        <item x="823"/>
        <item x="1361"/>
        <item x="399"/>
        <item x="1705"/>
        <item x="589"/>
        <item x="1414"/>
        <item x="1606"/>
        <item x="1907"/>
        <item x="839"/>
        <item x="1815"/>
        <item x="1937"/>
        <item x="1618"/>
        <item x="562"/>
        <item x="1362"/>
        <item x="592"/>
        <item x="475"/>
        <item x="1077"/>
        <item x="995"/>
        <item x="396"/>
        <item x="331"/>
        <item x="434"/>
        <item x="344"/>
        <item x="215"/>
        <item x="2060"/>
        <item x="738"/>
        <item x="2013"/>
        <item x="1166"/>
        <item x="843"/>
        <item x="1782"/>
        <item x="393"/>
        <item x="1184"/>
        <item x="1977"/>
        <item x="305"/>
        <item x="249"/>
        <item x="205"/>
        <item x="611"/>
        <item x="280"/>
        <item x="1800"/>
        <item x="1295"/>
        <item x="105"/>
        <item x="2047"/>
        <item x="657"/>
        <item x="881"/>
        <item x="433"/>
        <item x="131"/>
        <item x="336"/>
        <item x="756"/>
        <item x="1761"/>
        <item x="14"/>
        <item x="1585"/>
        <item x="125"/>
        <item x="153"/>
        <item x="1995"/>
        <item x="604"/>
        <item x="788"/>
        <item x="123"/>
        <item x="101"/>
        <item x="22"/>
        <item x="1394"/>
        <item x="1748"/>
        <item x="648"/>
        <item x="564"/>
        <item x="1283"/>
        <item x="1181"/>
        <item x="71"/>
        <item x="1466"/>
        <item x="1093"/>
        <item x="50"/>
        <item x="2079"/>
        <item x="1680"/>
        <item x="1738"/>
        <item x="986"/>
        <item x="1910"/>
        <item x="383"/>
        <item x="1189"/>
        <item x="1493"/>
        <item x="800"/>
        <item x="1079"/>
        <item x="173"/>
        <item x="1465"/>
        <item x="421"/>
        <item x="619"/>
        <item x="890"/>
        <item x="646"/>
        <item x="392"/>
        <item x="1798"/>
        <item x="1202"/>
        <item x="904"/>
        <item x="133"/>
        <item x="1357"/>
        <item x="2010"/>
        <item x="111"/>
        <item x="231"/>
        <item x="1131"/>
        <item x="1674"/>
        <item x="1589"/>
        <item x="460"/>
        <item x="1860"/>
        <item x="951"/>
        <item x="1519"/>
        <item x="47"/>
        <item x="1993"/>
        <item x="1657"/>
        <item x="1917"/>
        <item x="1662"/>
        <item x="1342"/>
        <item x="1877"/>
        <item x="627"/>
        <item x="269"/>
        <item x="1564"/>
        <item x="994"/>
        <item x="546"/>
        <item x="1355"/>
        <item x="1214"/>
        <item x="1099"/>
        <item x="1590"/>
        <item x="799"/>
        <item x="2003"/>
        <item x="581"/>
        <item x="425"/>
        <item x="674"/>
        <item x="1480"/>
        <item x="167"/>
        <item x="124"/>
        <item x="915"/>
        <item x="1009"/>
        <item x="2084"/>
        <item x="3"/>
        <item x="1091"/>
        <item x="1415"/>
        <item x="1028"/>
        <item x="1668"/>
        <item x="185"/>
        <item x="1627"/>
        <item x="679"/>
        <item x="135"/>
        <item x="2056"/>
        <item x="1053"/>
        <item x="1446"/>
        <item x="1097"/>
        <item x="926"/>
        <item x="1002"/>
        <item x="976"/>
        <item x="591"/>
        <item x="1911"/>
        <item x="1978"/>
        <item x="7"/>
        <item x="1123"/>
        <item x="2073"/>
        <item x="1704"/>
        <item x="339"/>
        <item x="1378"/>
        <item x="1217"/>
        <item x="539"/>
        <item x="1106"/>
        <item x="1240"/>
        <item x="1050"/>
        <item x="136"/>
        <item x="882"/>
        <item x="1250"/>
        <item x="1558"/>
        <item x="1536"/>
        <item x="261"/>
        <item x="1659"/>
        <item x="1965"/>
        <item x="1338"/>
        <item x="406"/>
        <item x="369"/>
        <item x="445"/>
        <item x="1975"/>
        <item x="1062"/>
        <item x="876"/>
        <item x="638"/>
        <item x="6"/>
        <item x="538"/>
        <item x="861"/>
        <item x="1310"/>
        <item x="715"/>
        <item x="693"/>
        <item x="665"/>
        <item x="1970"/>
        <item x="142"/>
        <item x="1221"/>
        <item x="1005"/>
        <item x="52"/>
        <item x="70"/>
        <item x="1320"/>
        <item x="489"/>
        <item x="1130"/>
        <item x="499"/>
        <item x="1849"/>
        <item x="175"/>
        <item x="830"/>
        <item x="669"/>
        <item x="723"/>
        <item x="579"/>
        <item x="39"/>
        <item x="1039"/>
        <item x="1103"/>
        <item x="238"/>
        <item x="24"/>
        <item x="971"/>
        <item x="380"/>
        <item x="1963"/>
        <item x="1521"/>
        <item x="1776"/>
        <item x="753"/>
        <item x="2078"/>
        <item x="678"/>
        <item x="1183"/>
        <item x="2046"/>
        <item x="780"/>
        <item x="1114"/>
        <item x="1510"/>
        <item x="276"/>
        <item x="667"/>
        <item x="1760"/>
        <item x="953"/>
        <item x="594"/>
        <item x="1401"/>
        <item x="217"/>
        <item x="441"/>
        <item x="1516"/>
        <item x="1710"/>
        <item x="1249"/>
        <item x="588"/>
        <item x="2059"/>
        <item x="1439"/>
        <item x="1469"/>
        <item x="1337"/>
        <item x="662"/>
        <item x="1064"/>
        <item x="1265"/>
        <item x="115"/>
        <item x="129"/>
        <item x="1262"/>
        <item x="758"/>
        <item x="250"/>
        <item x="1650"/>
        <item x="2034"/>
        <item x="1354"/>
        <item x="905"/>
        <item x="703"/>
        <item x="60"/>
        <item x="109"/>
        <item x="824"/>
        <item x="1759"/>
        <item x="1112"/>
        <item x="1383"/>
        <item x="1742"/>
        <item x="1669"/>
        <item x="438"/>
        <item x="993"/>
        <item x="647"/>
        <item x="1243"/>
        <item x="1298"/>
        <item x="1883"/>
        <item x="1085"/>
        <item x="1258"/>
        <item x="1913"/>
        <item x="1549"/>
        <item x="2024"/>
        <item x="353"/>
        <item x="148"/>
        <item x="1136"/>
        <item x="1399"/>
        <item x="1455"/>
        <item x="967"/>
        <item x="320"/>
        <item x="1366"/>
        <item x="181"/>
        <item x="1785"/>
        <item x="86"/>
        <item x="1604"/>
        <item x="1218"/>
        <item x="1329"/>
        <item x="578"/>
        <item x="2081"/>
        <item x="1745"/>
        <item x="1309"/>
        <item x="1211"/>
        <item x="534"/>
        <item x="958"/>
        <item x="1472"/>
        <item x="685"/>
        <item x="1104"/>
        <item x="791"/>
        <item x="902"/>
        <item x="1148"/>
        <item x="211"/>
        <item x="1763"/>
        <item x="1203"/>
        <item x="1286"/>
        <item x="370"/>
        <item x="330"/>
        <item x="237"/>
        <item x="1607"/>
        <item x="1918"/>
        <item x="2065"/>
        <item x="1807"/>
        <item x="469"/>
        <item x="275"/>
        <item x="1424"/>
        <item x="157"/>
        <item x="833"/>
        <item x="1735"/>
        <item x="485"/>
        <item x="1364"/>
        <item x="942"/>
        <item x="376"/>
        <item x="29"/>
        <item x="598"/>
        <item x="1376"/>
        <item x="284"/>
        <item x="368"/>
        <item x="1389"/>
        <item x="1617"/>
        <item x="226"/>
        <item x="247"/>
        <item x="1447"/>
        <item x="1875"/>
        <item x="560"/>
        <item x="954"/>
        <item x="1082"/>
        <item x="1347"/>
        <item x="1505"/>
        <item x="1696"/>
        <item x="1557"/>
        <item x="304"/>
        <item x="1451"/>
        <item x="1144"/>
        <item x="496"/>
        <item x="2064"/>
        <item x="1715"/>
        <item x="92"/>
        <item x="1485"/>
        <item x="493"/>
        <item x="1029"/>
        <item x="258"/>
        <item x="230"/>
        <item x="257"/>
        <item x="720"/>
        <item x="1368"/>
        <item x="746"/>
        <item x="1254"/>
        <item x="1896"/>
        <item x="1844"/>
        <item x="1537"/>
        <item x="925"/>
        <item x="1404"/>
        <item x="1956"/>
        <item x="1774"/>
        <item x="1490"/>
        <item x="281"/>
        <item x="947"/>
        <item x="586"/>
        <item x="696"/>
        <item x="556"/>
        <item x="1750"/>
        <item x="687"/>
        <item x="204"/>
        <item x="1634"/>
        <item x="889"/>
        <item x="698"/>
        <item x="950"/>
        <item x="1156"/>
        <item x="1275"/>
        <item x="184"/>
        <item x="1905"/>
        <item x="1420"/>
        <item x="1481"/>
        <item x="179"/>
        <item x="2076"/>
        <item x="1527"/>
        <item x="1805"/>
        <item x="1640"/>
        <item x="390"/>
        <item x="1552"/>
        <item x="1903"/>
        <item x="1572"/>
        <item x="268"/>
        <item x="159"/>
        <item x="1"/>
        <item x="1795"/>
        <item x="467"/>
        <item x="1409"/>
        <item x="490"/>
        <item x="1453"/>
        <item x="1661"/>
        <item x="1954"/>
        <item x="754"/>
        <item x="531"/>
        <item x="1498"/>
        <item x="836"/>
        <item x="139"/>
        <item x="1898"/>
        <item x="1923"/>
        <item x="1081"/>
        <item x="1301"/>
        <item x="1066"/>
        <item x="507"/>
        <item x="316"/>
        <item x="2045"/>
        <item x="1581"/>
        <item x="1126"/>
        <item x="362"/>
        <item x="373"/>
        <item x="1542"/>
        <item x="409"/>
        <item x="2041"/>
        <item x="348"/>
        <item x="94"/>
        <item x="1797"/>
        <item x="975"/>
        <item x="802"/>
        <item x="1766"/>
        <item x="1613"/>
        <item x="435"/>
        <item x="1938"/>
        <item x="1013"/>
        <item x="760"/>
        <item x="2052"/>
        <item x="1791"/>
        <item x="1933"/>
        <item x="1303"/>
        <item x="1107"/>
        <item x="1596"/>
        <item x="769"/>
        <item x="282"/>
        <item x="1512"/>
        <item x="1821"/>
        <item x="1571"/>
        <item x="1438"/>
        <item x="1448"/>
        <item x="1245"/>
        <item x="1363"/>
        <item x="1707"/>
        <item x="491"/>
        <item x="209"/>
        <item x="1778"/>
        <item x="412"/>
        <item x="692"/>
        <item x="1765"/>
        <item x="1904"/>
        <item x="1003"/>
        <item x="1313"/>
        <item x="859"/>
        <item x="568"/>
        <item x="1703"/>
        <item x="1302"/>
        <item x="1276"/>
        <item x="1010"/>
        <item x="77"/>
        <item x="1635"/>
        <item x="1489"/>
        <item x="1515"/>
        <item x="683"/>
        <item x="887"/>
        <item x="550"/>
        <item x="620"/>
        <item x="1308"/>
        <item x="686"/>
        <item x="1133"/>
        <item x="933"/>
        <item x="183"/>
        <item x="30"/>
        <item x="1280"/>
        <item x="488"/>
        <item x="1943"/>
        <item x="1270"/>
        <item x="1502"/>
        <item x="656"/>
        <item x="712"/>
        <item x="1881"/>
        <item x="99"/>
        <item x="1041"/>
        <item x="1623"/>
        <item x="1239"/>
        <item x="1150"/>
        <item x="1893"/>
        <item x="2032"/>
        <item x="1405"/>
        <item x="8"/>
        <item x="1135"/>
        <item x="2028"/>
        <item x="1665"/>
        <item x="1281"/>
        <item x="121"/>
        <item x="1987"/>
        <item x="161"/>
        <item x="1115"/>
        <item x="1906"/>
        <item x="1224"/>
        <item x="1656"/>
        <item x="782"/>
        <item x="991"/>
        <item x="297"/>
        <item x="713"/>
        <item x="1429"/>
        <item x="1808"/>
        <item x="2012"/>
        <item x="1300"/>
        <item x="1755"/>
        <item x="224"/>
        <item x="23"/>
        <item x="457"/>
        <item x="1170"/>
        <item x="676"/>
        <item x="266"/>
        <item x="1591"/>
        <item x="1979"/>
        <item x="773"/>
        <item x="640"/>
        <item x="794"/>
        <item x="1740"/>
        <item x="761"/>
        <item x="323"/>
        <item x="245"/>
        <item x="1092"/>
        <item x="1330"/>
        <item x="1929"/>
        <item x="200"/>
        <item x="1019"/>
        <item x="176"/>
        <item x="1413"/>
        <item x="1449"/>
        <item x="1000"/>
        <item x="45"/>
        <item x="1045"/>
        <item x="1475"/>
        <item x="622"/>
        <item x="602"/>
        <item x="883"/>
        <item x="10"/>
        <item x="770"/>
        <item x="372"/>
        <item x="444"/>
        <item x="1895"/>
        <item x="149"/>
        <item x="1365"/>
        <item x="553"/>
        <item x="1713"/>
        <item x="178"/>
        <item x="965"/>
        <item x="1633"/>
        <item x="957"/>
        <item x="1188"/>
        <item x="1667"/>
        <item x="1835"/>
        <item x="1397"/>
        <item x="964"/>
        <item x="1314"/>
        <item x="1061"/>
        <item x="327"/>
        <item x="207"/>
        <item x="1733"/>
        <item x="1924"/>
        <item x="837"/>
        <item x="1065"/>
        <item x="516"/>
        <item x="2074"/>
        <item x="1811"/>
        <item x="427"/>
        <item x="1612"/>
        <item x="832"/>
        <item x="1160"/>
        <item x="1793"/>
        <item x="1801"/>
        <item x="1681"/>
        <item x="790"/>
        <item x="1812"/>
        <item x="1679"/>
        <item x="988"/>
        <item x="1554"/>
        <item x="962"/>
        <item x="1768"/>
        <item x="1234"/>
        <item x="456"/>
        <item x="682"/>
        <item x="1548"/>
        <item x="652"/>
        <item x="632"/>
        <item x="1900"/>
        <item x="1867"/>
        <item x="759"/>
        <item x="660"/>
        <item x="1318"/>
        <item x="580"/>
        <item x="555"/>
        <item x="873"/>
        <item x="1124"/>
        <item x="1073"/>
        <item x="717"/>
        <item x="793"/>
        <item x="1080"/>
        <item x="1213"/>
        <item x="450"/>
        <item x="930"/>
        <item x="1461"/>
        <item x="1961"/>
        <item x="894"/>
        <item x="554"/>
        <item x="561"/>
        <item x="812"/>
        <item x="2000"/>
        <item x="382"/>
        <item x="328"/>
        <item x="422"/>
        <item x="1326"/>
        <item x="1486"/>
        <item x="639"/>
        <item x="1433"/>
        <item x="82"/>
        <item x="188"/>
        <item x="1143"/>
        <item x="1992"/>
        <item x="1966"/>
        <item x="1252"/>
        <item x="1533"/>
        <item x="1694"/>
        <item x="1169"/>
        <item x="1393"/>
        <item x="1198"/>
        <item x="716"/>
        <item x="1483"/>
        <item x="146"/>
        <item x="1024"/>
        <item x="90"/>
        <item x="978"/>
        <item x="385"/>
        <item x="1545"/>
        <item x="1096"/>
        <item x="428"/>
        <item x="107"/>
        <item x="340"/>
        <item x="470"/>
        <item x="840"/>
        <item x="1876"/>
        <item x="364"/>
        <item x="361"/>
        <item x="72"/>
        <item x="203"/>
        <item x="277"/>
        <item x="1848"/>
        <item x="1209"/>
        <item x="536"/>
        <item x="126"/>
        <item x="1882"/>
        <item x="1109"/>
        <item x="1599"/>
        <item x="2022"/>
        <item x="1127"/>
        <item x="143"/>
        <item x="582"/>
        <item x="2027"/>
        <item x="1154"/>
        <item x="1327"/>
        <item x="1841"/>
        <item x="858"/>
        <item x="1626"/>
        <item x="334"/>
        <item x="912"/>
        <item x="1989"/>
        <item x="1573"/>
        <item x="1568"/>
        <item x="1570"/>
        <item x="816"/>
        <item x="264"/>
        <item x="1231"/>
        <item x="1743"/>
        <item x="1580"/>
        <item x="1983"/>
        <item x="1672"/>
        <item x="1427"/>
        <item x="1892"/>
        <item x="908"/>
        <item x="4"/>
        <item x="363"/>
        <item x="803"/>
        <item x="1464"/>
        <item x="1842"/>
        <item x="547"/>
        <item x="705"/>
        <item x="1417"/>
        <item x="270"/>
        <item x="841"/>
        <item x="480"/>
        <item x="1084"/>
        <item x="767"/>
        <item x="1593"/>
        <item x="1344"/>
        <item x="571"/>
        <item x="1711"/>
        <item x="1603"/>
        <item x="2031"/>
        <item x="624"/>
        <item x="132"/>
        <item x="821"/>
        <item x="144"/>
        <item x="575"/>
        <item x="1387"/>
        <item x="1026"/>
        <item x="1996"/>
        <item x="1467"/>
        <item x="695"/>
        <item x="1200"/>
        <item x="1615"/>
        <item x="2036"/>
        <item x="607"/>
        <item x="1017"/>
        <item x="1452"/>
        <item x="508"/>
        <item x="1693"/>
        <item x="822"/>
        <item x="535"/>
        <item x="1507"/>
        <item x="290"/>
        <item x="408"/>
        <item x="1660"/>
        <item x="34"/>
        <item x="1625"/>
        <item x="49"/>
        <item x="741"/>
        <item x="1885"/>
        <item x="197"/>
        <item x="254"/>
        <item x="1588"/>
        <item x="980"/>
        <item x="599"/>
        <item x="1034"/>
        <item x="337"/>
        <item x="1076"/>
        <item x="15"/>
        <item x="1201"/>
        <item x="201"/>
        <item x="1349"/>
        <item x="1196"/>
        <item x="285"/>
        <item x="384"/>
        <item x="1837"/>
        <item x="1272"/>
        <item x="2040"/>
        <item x="820"/>
        <item x="2035"/>
        <item x="1587"/>
        <item x="658"/>
        <item x="35"/>
        <item x="1959"/>
        <item x="2006"/>
        <item x="522"/>
        <item x="1450"/>
        <item x="960"/>
        <item x="1343"/>
        <item x="987"/>
        <item x="733"/>
        <item x="1982"/>
        <item x="1915"/>
        <item x="1729"/>
        <item x="37"/>
        <item x="981"/>
        <item x="1328"/>
        <item x="471"/>
        <item x="492"/>
        <item x="1226"/>
        <item x="1538"/>
        <item x="2067"/>
        <item x="1810"/>
        <item x="1712"/>
        <item x="1352"/>
        <item x="574"/>
        <item x="1180"/>
        <item x="659"/>
        <item x="413"/>
        <item x="1517"/>
        <item x="423"/>
        <item x="168"/>
        <item x="1509"/>
        <item x="1129"/>
        <item x="663"/>
        <item x="1829"/>
        <item x="797"/>
        <item x="1177"/>
        <item x="1939"/>
        <item x="1887"/>
        <item x="772"/>
        <item x="418"/>
        <item x="1637"/>
        <item x="1027"/>
        <item x="649"/>
        <item x="1535"/>
        <item x="1290"/>
        <item x="708"/>
        <item x="626"/>
        <item x="1279"/>
        <item x="1967"/>
        <item x="1730"/>
        <item x="163"/>
        <item x="724"/>
        <item x="112"/>
        <item x="1315"/>
        <item x="1162"/>
        <item x="629"/>
        <item x="1153"/>
        <item x="1629"/>
        <item x="977"/>
        <item x="85"/>
        <item x="1087"/>
        <item x="1957"/>
        <item x="329"/>
        <item x="1594"/>
        <item x="1771"/>
        <item x="223"/>
        <item x="1757"/>
        <item x="1288"/>
        <item x="1454"/>
        <item x="655"/>
        <item x="2070"/>
        <item x="2025"/>
        <item x="186"/>
        <item x="1676"/>
        <item x="697"/>
        <item x="1814"/>
        <item x="1575"/>
        <item x="1646"/>
        <item x="1843"/>
        <item x="577"/>
        <item x="110"/>
        <item x="983"/>
        <item x="768"/>
        <item x="410"/>
        <item x="102"/>
        <item x="1598"/>
        <item x="190"/>
        <item x="1395"/>
        <item x="1686"/>
        <item x="464"/>
        <item x="1708"/>
        <item x="84"/>
        <item x="2008"/>
        <item x="19"/>
        <item x="856"/>
        <item x="785"/>
        <item x="781"/>
        <item x="1947"/>
        <item x="1769"/>
        <item x="625"/>
        <item x="1749"/>
        <item x="104"/>
        <item x="2038"/>
        <item x="719"/>
        <item x="1422"/>
        <item x="1078"/>
        <item x="1847"/>
        <item x="1197"/>
        <item x="1643"/>
        <item x="1334"/>
        <item x="1817"/>
        <item x="465"/>
        <item x="1232"/>
        <item x="1004"/>
        <item x="765"/>
        <item x="1968"/>
        <item x="1583"/>
        <item x="740"/>
        <item x="521"/>
        <item x="932"/>
        <item x="801"/>
        <item x="1296"/>
        <item x="212"/>
        <item x="1503"/>
        <item x="714"/>
        <item x="1021"/>
        <item x="1367"/>
        <item x="936"/>
        <item x="253"/>
        <item x="1382"/>
        <item x="1278"/>
        <item x="1809"/>
        <item x="1695"/>
        <item x="2077"/>
        <item x="2062"/>
        <item x="506"/>
        <item x="156"/>
        <item x="1069"/>
        <item x="1204"/>
        <item x="1950"/>
        <item x="694"/>
        <item x="778"/>
        <item x="473"/>
        <item x="982"/>
        <item x="1047"/>
        <item x="1566"/>
        <item x="1869"/>
        <item x="846"/>
        <item x="681"/>
        <item x="1682"/>
        <item x="1773"/>
        <item x="1777"/>
        <item x="2051"/>
        <item x="835"/>
        <item x="1179"/>
        <item x="989"/>
        <item x="87"/>
        <item x="1921"/>
        <item x="1786"/>
        <item x="1317"/>
        <item x="963"/>
        <item x="312"/>
        <item x="2026"/>
        <item x="727"/>
        <item x="461"/>
        <item x="969"/>
        <item x="940"/>
        <item x="972"/>
        <item x="612"/>
        <item x="356"/>
        <item x="1233"/>
        <item x="1023"/>
        <item x="350"/>
        <item x="1826"/>
        <item x="1426"/>
        <item x="2043"/>
        <item x="1255"/>
        <item x="439"/>
        <item x="524"/>
        <item x="1350"/>
        <item x="1185"/>
        <item x="2020"/>
        <item x="1244"/>
        <item x="870"/>
        <item x="605"/>
        <item x="1220"/>
        <item x="1117"/>
        <item x="32"/>
        <item x="907"/>
        <item x="1271"/>
        <item x="1671"/>
        <item x="777"/>
        <item x="1359"/>
        <item x="1074"/>
        <item x="853"/>
        <item x="484"/>
        <item x="1984"/>
        <item x="618"/>
        <item x="774"/>
        <item x="1608"/>
        <item x="243"/>
        <item x="1595"/>
        <item x="1752"/>
        <item x="1622"/>
        <item x="786"/>
        <item x="811"/>
        <item x="814"/>
        <item x="1263"/>
        <item x="1173"/>
        <item x="88"/>
        <item x="1128"/>
        <item x="525"/>
        <item x="1645"/>
        <item x="891"/>
        <item x="1199"/>
        <item x="150"/>
        <item x="1345"/>
        <item x="391"/>
        <item x="468"/>
        <item x="722"/>
        <item x="1855"/>
        <item x="1816"/>
        <item x="381"/>
        <item x="689"/>
        <item x="1171"/>
        <item x="1830"/>
        <item x="1981"/>
        <item x="1872"/>
        <item x="1846"/>
        <item x="1880"/>
        <item x="621"/>
        <item x="358"/>
        <item x="55"/>
        <item x="1331"/>
        <item x="503"/>
        <item x="145"/>
        <item x="673"/>
        <item x="1391"/>
        <item x="1764"/>
        <item x="1256"/>
        <item x="172"/>
        <item x="1070"/>
        <item x="1706"/>
        <item x="1018"/>
        <item x="1919"/>
        <item x="63"/>
        <item x="1691"/>
        <item x="325"/>
        <item x="2048"/>
        <item x="56"/>
        <item x="1560"/>
        <item x="1960"/>
        <item x="834"/>
        <item x="941"/>
        <item x="436"/>
        <item x="1316"/>
        <item x="395"/>
        <item x="710"/>
        <item x="542"/>
        <item x="511"/>
        <item x="1253"/>
        <item x="747"/>
        <item x="1737"/>
        <item x="1873"/>
        <item x="162"/>
        <item x="38"/>
        <item x="970"/>
        <item x="1435"/>
        <item x="16"/>
        <item x="1095"/>
        <item x="1437"/>
        <item x="134"/>
        <item x="903"/>
        <item x="771"/>
        <item x="1268"/>
        <item x="914"/>
        <item x="1155"/>
        <item x="691"/>
        <item x="1861"/>
        <item x="443"/>
        <item x="1513"/>
        <item x="617"/>
        <item x="21"/>
        <item x="1257"/>
        <item x="1477"/>
        <item x="1497"/>
        <item x="1899"/>
        <item x="1794"/>
        <item x="1175"/>
        <item x="732"/>
        <item x="341"/>
        <item x="1421"/>
        <item x="1351"/>
        <item x="75"/>
        <item x="779"/>
        <item x="725"/>
        <item x="867"/>
        <item x="67"/>
        <item x="1540"/>
        <item x="430"/>
        <item x="871"/>
        <item x="1341"/>
        <item x="1192"/>
        <item x="1132"/>
        <item x="530"/>
        <item x="1697"/>
        <item x="454"/>
        <item x="845"/>
        <item x="505"/>
        <item x="248"/>
        <item x="244"/>
        <item x="1936"/>
        <item x="196"/>
        <item x="239"/>
        <item x="96"/>
        <item x="497"/>
        <item x="875"/>
        <item x="1471"/>
        <item x="1098"/>
        <item x="1441"/>
        <item x="1530"/>
        <item x="1851"/>
        <item x="752"/>
        <item x="98"/>
        <item x="1369"/>
        <item x="292"/>
        <item x="1952"/>
        <item x="2019"/>
        <item x="1783"/>
        <item x="1756"/>
        <item x="482"/>
        <item x="326"/>
        <item x="295"/>
        <item x="221"/>
        <item x="313"/>
        <item x="874"/>
        <item x="1894"/>
        <item x="805"/>
        <item x="1683"/>
        <item x="1436"/>
        <item x="494"/>
        <item x="251"/>
        <item x="1102"/>
        <item x="1312"/>
        <item x="1971"/>
        <item x="509"/>
        <item x="1927"/>
        <item x="1398"/>
        <item x="26"/>
        <item x="862"/>
        <item x="310"/>
        <item x="515"/>
        <item x="828"/>
        <item x="1406"/>
        <item x="751"/>
        <item x="1935"/>
        <item x="709"/>
        <item x="1649"/>
        <item x="766"/>
        <item x="246"/>
        <item x="1621"/>
        <item x="623"/>
        <item x="2037"/>
        <item x="1586"/>
        <item x="416"/>
        <item x="1717"/>
        <item x="299"/>
        <item x="850"/>
        <item x="755"/>
        <item x="1946"/>
        <item x="332"/>
        <item x="645"/>
        <item x="1879"/>
        <item x="1444"/>
        <item x="572"/>
        <item x="1025"/>
        <item x="2029"/>
        <item x="1751"/>
        <item x="1663"/>
        <item x="1584"/>
        <item x="920"/>
        <item x="1139"/>
        <item x="1833"/>
        <item x="999"/>
        <item x="1522"/>
        <item x="1491"/>
        <item x="1609"/>
        <item x="1157"/>
        <item x="1709"/>
        <item x="1473"/>
        <item x="1720"/>
        <item x="1499"/>
        <item x="2014"/>
        <item x="236"/>
        <item x="880"/>
        <item x="1976"/>
        <item x="699"/>
        <item x="934"/>
        <item x="544"/>
        <item x="1380"/>
        <item x="1700"/>
        <item x="1520"/>
        <item x="1235"/>
        <item x="2049"/>
        <item x="1698"/>
        <item x="1046"/>
        <item x="551"/>
        <item x="199"/>
        <item x="206"/>
        <item x="1402"/>
        <item x="194"/>
        <item x="59"/>
        <item x="804"/>
        <item x="405"/>
        <item x="570"/>
        <item x="643"/>
        <item x="864"/>
        <item x="1058"/>
        <item x="956"/>
        <item x="1579"/>
        <item x="644"/>
        <item x="1158"/>
        <item x="1597"/>
        <item x="1578"/>
        <item x="240"/>
        <item x="287"/>
        <item x="1440"/>
        <item x="1550"/>
        <item x="1186"/>
        <item x="1219"/>
        <item x="1307"/>
        <item x="315"/>
        <item x="1141"/>
        <item x="527"/>
        <item x="1727"/>
        <item x="97"/>
        <item x="2011"/>
        <item x="1701"/>
        <item x="2001"/>
        <item x="1206"/>
        <item x="1190"/>
        <item x="2009"/>
        <item x="1529"/>
        <item x="2018"/>
        <item x="228"/>
        <item x="827"/>
        <item x="1567"/>
        <item x="138"/>
        <item x="1888"/>
        <item x="1353"/>
        <item x="437"/>
        <item x="1071"/>
        <item x="1105"/>
        <item x="661"/>
        <item x="541"/>
        <item x="884"/>
        <item x="1853"/>
        <item x="1820"/>
        <item x="1974"/>
        <item x="1442"/>
        <item x="2058"/>
        <item x="1784"/>
        <item x="2005"/>
        <item x="1242"/>
        <item x="1912"/>
        <item x="1388"/>
        <item x="1267"/>
        <item x="1015"/>
        <item x="263"/>
        <item x="842"/>
        <item x="979"/>
        <item x="1631"/>
        <item x="400"/>
        <item x="1508"/>
        <item x="1282"/>
        <item x="1443"/>
        <item x="909"/>
        <item x="1739"/>
        <item x="984"/>
        <item x="498"/>
        <item x="1639"/>
        <item x="2017"/>
        <item x="252"/>
        <item x="1142"/>
        <item x="1605"/>
        <item x="1677"/>
        <item x="1194"/>
        <item x="1274"/>
        <item x="1293"/>
        <item x="291"/>
        <item x="809"/>
        <item x="116"/>
        <item x="1532"/>
        <item x="684"/>
        <item x="1012"/>
        <item x="896"/>
        <item x="1690"/>
        <item x="1054"/>
        <item x="1553"/>
        <item x="1052"/>
        <item x="1360"/>
        <item x="1056"/>
        <item x="1101"/>
        <item x="2071"/>
        <item x="1716"/>
        <item x="1685"/>
        <item x="651"/>
        <item x="1902"/>
        <item x="818"/>
        <item x="463"/>
        <item x="815"/>
        <item x="1348"/>
        <item x="1555"/>
        <item x="481"/>
        <item x="795"/>
        <item x="1236"/>
        <item x="1374"/>
        <item x="1964"/>
        <item x="603"/>
        <item x="91"/>
        <item x="1916"/>
        <item x="734"/>
        <item x="929"/>
        <item x="1732"/>
        <item x="1857"/>
        <item x="20"/>
        <item x="1145"/>
        <item x="898"/>
        <item x="1287"/>
        <item x="631"/>
        <item x="886"/>
        <item x="1940"/>
        <item x="518"/>
        <item x="1790"/>
        <item x="1163"/>
        <item x="1958"/>
        <item x="1891"/>
        <item x="1775"/>
        <item x="286"/>
        <item x="946"/>
        <item x="559"/>
        <item x="1324"/>
        <item x="1792"/>
        <item x="220"/>
        <item x="487"/>
        <item x="888"/>
        <item x="569"/>
        <item x="1628"/>
        <item x="1561"/>
        <item x="749"/>
        <item x="1969"/>
        <item x="1456"/>
        <item x="1501"/>
        <item x="1511"/>
        <item x="1654"/>
        <item x="2007"/>
        <item x="1655"/>
        <item x="739"/>
        <item x="1377"/>
        <item x="195"/>
        <item x="1884"/>
        <item x="62"/>
        <item x="76"/>
        <item x="997"/>
        <item x="1688"/>
        <item x="1299"/>
        <item x="453"/>
        <item x="1375"/>
        <item x="1666"/>
        <item x="1546"/>
        <item x="860"/>
        <item x="1746"/>
        <item x="1758"/>
        <item x="452"/>
        <item x="1043"/>
        <item x="1335"/>
        <item x="51"/>
        <item x="2016"/>
        <item x="2021"/>
        <item x="1031"/>
        <item x="1195"/>
        <item x="1032"/>
        <item x="1488"/>
        <item x="1474"/>
        <item x="1840"/>
        <item x="1803"/>
        <item x="670"/>
        <item x="1868"/>
        <item x="792"/>
        <item x="1945"/>
        <item x="2068"/>
        <item x="1260"/>
        <item x="642"/>
        <item x="1273"/>
        <item x="1336"/>
        <item x="680"/>
        <item x="1264"/>
        <item x="1089"/>
        <item x="193"/>
        <item x="2069"/>
        <item x="5"/>
        <item x="1658"/>
        <item x="1038"/>
        <item x="1920"/>
        <item x="1832"/>
        <item x="1859"/>
        <item x="1008"/>
        <item x="996"/>
        <item x="852"/>
        <item x="1648"/>
        <item x="1539"/>
        <item x="1962"/>
        <item x="2002"/>
        <item x="847"/>
        <item x="1072"/>
        <item x="1120"/>
        <item x="1113"/>
        <item x="446"/>
        <item x="558"/>
        <item x="2057"/>
        <item x="106"/>
        <item x="1822"/>
        <item x="1037"/>
        <item x="1941"/>
        <item x="2023"/>
        <item x="1297"/>
        <item x="1948"/>
        <item x="1744"/>
        <item x="1813"/>
        <item x="688"/>
        <item x="46"/>
        <item x="80"/>
        <item x="1207"/>
        <item x="1230"/>
        <item x="182"/>
        <item x="1796"/>
        <item x="1011"/>
        <item x="1780"/>
        <item x="1118"/>
        <item x="1762"/>
        <item x="911"/>
        <item x="1036"/>
        <item x="1692"/>
        <item x="563"/>
        <item x="1719"/>
        <item x="2042"/>
        <item x="477"/>
        <item x="1094"/>
        <item x="1949"/>
        <item x="128"/>
        <item x="1246"/>
        <item x="1506"/>
        <item x="40"/>
        <item x="1479"/>
        <item x="262"/>
        <item x="1152"/>
        <item x="1541"/>
        <item x="1722"/>
        <item x="1322"/>
        <item x="1997"/>
        <item x="1332"/>
        <item x="1973"/>
        <item x="666"/>
        <item x="1999"/>
        <item x="479"/>
        <item x="1266"/>
        <item x="1159"/>
        <item x="1001"/>
        <item x="1306"/>
        <item x="1125"/>
        <item x="1556"/>
        <item x="202"/>
        <item x="79"/>
        <item x="664"/>
        <item x="440"/>
        <item x="1602"/>
        <item x="1647"/>
        <item x="893"/>
        <item x="1610"/>
        <item x="1874"/>
        <item x="2075"/>
        <item x="1728"/>
        <item x="359"/>
        <item x="653"/>
        <item x="1418"/>
        <item x="379"/>
        <item x="1492"/>
        <item x="214"/>
        <item x="11"/>
        <item x="1531"/>
        <item x="48"/>
        <item x="1951"/>
        <item x="921"/>
        <item x="1614"/>
        <item x="590"/>
        <item x="2082"/>
        <item x="191"/>
        <item x="1632"/>
        <item x="608"/>
        <item x="831"/>
        <item x="360"/>
        <item x="701"/>
        <item x="210"/>
        <item x="1998"/>
        <item x="1111"/>
        <item x="1412"/>
        <item x="1932"/>
        <item x="180"/>
        <item x="990"/>
        <item x="500"/>
        <item x="798"/>
        <item x="677"/>
        <item x="1237"/>
        <item x="140"/>
        <item x="731"/>
        <item x="229"/>
        <item x="1149"/>
        <item x="1238"/>
        <item x="1223"/>
        <item x="1325"/>
        <item x="844"/>
        <item x="504"/>
        <item x="1168"/>
        <item x="1172"/>
        <item x="158"/>
        <item x="81"/>
        <item x="872"/>
        <item x="1277"/>
        <item x="1825"/>
        <item x="1525"/>
        <item x="1496"/>
        <item x="1653"/>
        <item x="1146"/>
        <item x="690"/>
        <item t="default"/>
      </items>
    </pivotField>
    <pivotField dataField="1" compact="0" showAll="0">
      <items count="2278">
        <item x="155"/>
        <item x="305"/>
        <item x="223"/>
        <item x="973"/>
        <item x="615"/>
        <item x="755"/>
        <item x="1224"/>
        <item x="1737"/>
        <item x="313"/>
        <item x="235"/>
        <item x="735"/>
        <item x="1375"/>
        <item x="565"/>
        <item x="1014"/>
        <item x="1874"/>
        <item x="2006"/>
        <item x="1631"/>
        <item x="1622"/>
        <item x="1001"/>
        <item x="2013"/>
        <item x="953"/>
        <item x="919"/>
        <item x="1452"/>
        <item x="416"/>
        <item x="498"/>
        <item x="2187"/>
        <item x="526"/>
        <item x="1632"/>
        <item x="633"/>
        <item x="322"/>
        <item x="36"/>
        <item x="1578"/>
        <item x="17"/>
        <item x="724"/>
        <item x="2231"/>
        <item x="474"/>
        <item x="1757"/>
        <item x="1970"/>
        <item x="428"/>
        <item x="982"/>
        <item x="556"/>
        <item x="1485"/>
        <item x="515"/>
        <item x="2014"/>
        <item x="383"/>
        <item x="2032"/>
        <item x="1527"/>
        <item x="860"/>
        <item x="998"/>
        <item x="1183"/>
        <item x="435"/>
        <item x="1303"/>
        <item x="905"/>
        <item x="1717"/>
        <item x="43"/>
        <item x="2085"/>
        <item x="548"/>
        <item x="1084"/>
        <item x="345"/>
        <item x="199"/>
        <item x="1104"/>
        <item x="1772"/>
        <item x="2178"/>
        <item x="986"/>
        <item x="168"/>
        <item x="1801"/>
        <item x="1687"/>
        <item x="656"/>
        <item x="1626"/>
        <item x="1830"/>
        <item x="188"/>
        <item x="1107"/>
        <item x="413"/>
        <item x="1476"/>
        <item x="994"/>
        <item x="1429"/>
        <item x="461"/>
        <item x="1133"/>
        <item x="1502"/>
        <item x="1557"/>
        <item x="454"/>
        <item x="41"/>
        <item x="1141"/>
        <item x="236"/>
        <item x="120"/>
        <item x="1811"/>
        <item x="310"/>
        <item x="1850"/>
        <item x="1351"/>
        <item x="359"/>
        <item x="1487"/>
        <item x="971"/>
        <item x="2154"/>
        <item x="1825"/>
        <item x="1287"/>
        <item x="1558"/>
        <item x="373"/>
        <item x="228"/>
        <item x="1530"/>
        <item x="2017"/>
        <item x="1906"/>
        <item x="296"/>
        <item x="384"/>
        <item x="1512"/>
        <item x="426"/>
        <item x="694"/>
        <item x="431"/>
        <item x="1317"/>
        <item x="1337"/>
        <item x="2109"/>
        <item x="1799"/>
        <item x="351"/>
        <item x="9"/>
        <item x="1796"/>
        <item x="908"/>
        <item x="226"/>
        <item x="1285"/>
        <item x="1755"/>
        <item x="2092"/>
        <item x="582"/>
        <item x="917"/>
        <item x="1419"/>
        <item x="1012"/>
        <item x="961"/>
        <item x="12"/>
        <item x="66"/>
        <item x="1812"/>
        <item x="407"/>
        <item x="771"/>
        <item x="786"/>
        <item x="1543"/>
        <item x="1960"/>
        <item x="1653"/>
        <item x="1854"/>
        <item x="1587"/>
        <item x="1580"/>
        <item x="544"/>
        <item x="1464"/>
        <item x="2232"/>
        <item x="730"/>
        <item x="478"/>
        <item x="234"/>
        <item x="1366"/>
        <item x="1498"/>
        <item x="603"/>
        <item x="538"/>
        <item x="613"/>
        <item x="119"/>
        <item x="1763"/>
        <item x="1677"/>
        <item x="1348"/>
        <item x="632"/>
        <item x="486"/>
        <item x="103"/>
        <item x="108"/>
        <item x="653"/>
        <item x="398"/>
        <item x="2174"/>
        <item x="1041"/>
        <item x="754"/>
        <item x="1910"/>
        <item x="959"/>
        <item x="164"/>
        <item x="2120"/>
        <item x="1126"/>
        <item x="815"/>
        <item x="189"/>
        <item x="1305"/>
        <item x="1931"/>
        <item x="1203"/>
        <item x="490"/>
        <item x="791"/>
        <item x="808"/>
        <item x="674"/>
        <item x="842"/>
        <item x="2158"/>
        <item x="2023"/>
        <item x="1600"/>
        <item x="1234"/>
        <item x="301"/>
        <item x="1519"/>
        <item x="1124"/>
        <item x="774"/>
        <item x="1969"/>
        <item x="186"/>
        <item x="1404"/>
        <item x="960"/>
        <item x="726"/>
        <item x="374"/>
        <item x="363"/>
        <item x="975"/>
        <item x="936"/>
        <item x="2148"/>
        <item x="706"/>
        <item x="762"/>
        <item x="117"/>
        <item x="425"/>
        <item x="1172"/>
        <item x="794"/>
        <item x="1490"/>
        <item x="896"/>
        <item x="1005"/>
        <item x="549"/>
        <item x="13"/>
        <item x="574"/>
        <item x="2002"/>
        <item x="2268"/>
        <item x="1478"/>
        <item x="888"/>
        <item x="1039"/>
        <item x="765"/>
        <item x="1298"/>
        <item x="470"/>
        <item x="242"/>
        <item x="152"/>
        <item x="1609"/>
        <item x="495"/>
        <item x="2"/>
        <item x="779"/>
        <item x="1706"/>
        <item x="387"/>
        <item x="2099"/>
        <item x="693"/>
        <item x="1483"/>
        <item x="1427"/>
        <item x="1603"/>
        <item x="1945"/>
        <item x="1056"/>
        <item x="1435"/>
        <item x="851"/>
        <item x="214"/>
        <item x="657"/>
        <item x="192"/>
        <item x="1447"/>
        <item x="1663"/>
        <item x="1461"/>
        <item x="863"/>
        <item x="1993"/>
        <item x="1149"/>
        <item x="1184"/>
        <item x="2031"/>
        <item x="553"/>
        <item x="1760"/>
        <item x="1323"/>
        <item x="1815"/>
        <item x="1261"/>
        <item x="1244"/>
        <item x="1162"/>
        <item x="1794"/>
        <item x="1477"/>
        <item x="430"/>
        <item x="1506"/>
        <item x="508"/>
        <item x="2090"/>
        <item x="2075"/>
        <item x="545"/>
        <item x="395"/>
        <item x="624"/>
        <item x="777"/>
        <item x="422"/>
        <item x="557"/>
        <item x="100"/>
        <item x="73"/>
        <item x="1562"/>
        <item x="965"/>
        <item x="220"/>
        <item x="1852"/>
        <item x="1268"/>
        <item x="2272"/>
        <item x="25"/>
        <item x="2153"/>
        <item x="396"/>
        <item x="1249"/>
        <item x="275"/>
        <item x="1913"/>
        <item x="1507"/>
        <item x="1185"/>
        <item x="488"/>
        <item x="1982"/>
        <item x="600"/>
        <item x="1253"/>
        <item x="261"/>
        <item x="974"/>
        <item x="625"/>
        <item x="54"/>
        <item x="989"/>
        <item x="1659"/>
        <item x="354"/>
        <item x="1570"/>
        <item x="981"/>
        <item x="318"/>
        <item x="821"/>
        <item x="611"/>
        <item x="1155"/>
        <item x="386"/>
        <item x="1998"/>
        <item x="967"/>
        <item x="315"/>
        <item x="243"/>
        <item x="1371"/>
        <item x="69"/>
        <item x="1242"/>
        <item x="2096"/>
        <item x="942"/>
        <item x="763"/>
        <item x="741"/>
        <item x="1977"/>
        <item x="2055"/>
        <item x="514"/>
        <item x="1637"/>
        <item x="601"/>
        <item x="360"/>
        <item x="690"/>
        <item x="1290"/>
        <item x="1109"/>
        <item x="1781"/>
        <item x="1644"/>
        <item x="1544"/>
        <item x="819"/>
        <item x="983"/>
        <item x="2227"/>
        <item x="1563"/>
        <item x="1205"/>
        <item x="410"/>
        <item x="61"/>
        <item x="362"/>
        <item x="2045"/>
        <item x="1733"/>
        <item x="840"/>
        <item x="2068"/>
        <item x="2245"/>
        <item x="650"/>
        <item x="1190"/>
        <item x="883"/>
        <item x="886"/>
        <item x="442"/>
        <item x="1655"/>
        <item x="534"/>
        <item x="2095"/>
        <item x="1426"/>
        <item x="165"/>
        <item x="531"/>
        <item x="484"/>
        <item x="2248"/>
        <item x="299"/>
        <item x="1112"/>
        <item x="2140"/>
        <item x="773"/>
        <item x="593"/>
        <item x="1992"/>
        <item x="233"/>
        <item x="1096"/>
        <item x="1761"/>
        <item x="1947"/>
        <item x="2022"/>
        <item x="260"/>
        <item x="406"/>
        <item x="1675"/>
        <item x="440"/>
        <item x="2146"/>
        <item x="1471"/>
        <item x="909"/>
        <item x="2273"/>
        <item x="1147"/>
        <item x="2067"/>
        <item x="845"/>
        <item x="731"/>
        <item x="1324"/>
        <item x="1708"/>
        <item x="2216"/>
        <item x="1396"/>
        <item x="2220"/>
        <item x="1265"/>
        <item x="1590"/>
        <item x="64"/>
        <item x="328"/>
        <item x="2206"/>
        <item x="1529"/>
        <item x="893"/>
        <item x="58"/>
        <item x="412"/>
        <item x="1386"/>
        <item x="2094"/>
        <item x="2159"/>
        <item x="74"/>
        <item x="2107"/>
        <item x="1395"/>
        <item x="397"/>
        <item x="78"/>
        <item x="629"/>
        <item x="467"/>
        <item x="2225"/>
        <item x="1241"/>
        <item x="527"/>
        <item x="1160"/>
        <item x="274"/>
        <item x="1178"/>
        <item x="839"/>
        <item x="940"/>
        <item x="1291"/>
        <item x="1921"/>
        <item x="948"/>
        <item x="885"/>
        <item x="1707"/>
        <item x="1974"/>
        <item x="1785"/>
        <item x="411"/>
        <item x="1100"/>
        <item x="903"/>
        <item x="268"/>
        <item x="42"/>
        <item x="2255"/>
        <item x="1888"/>
        <item x="1350"/>
        <item x="1117"/>
        <item x="375"/>
        <item x="219"/>
        <item x="2235"/>
        <item x="605"/>
        <item x="884"/>
        <item x="2044"/>
        <item x="533"/>
        <item x="57"/>
        <item x="648"/>
        <item x="1853"/>
        <item x="1671"/>
        <item x="2089"/>
        <item x="962"/>
        <item x="28"/>
        <item x="1266"/>
        <item x="33"/>
        <item x="807"/>
        <item x="562"/>
        <item x="1007"/>
        <item x="1248"/>
        <item x="1465"/>
        <item x="757"/>
        <item x="303"/>
        <item x="993"/>
        <item x="443"/>
        <item x="1326"/>
        <item x="1232"/>
        <item x="53"/>
        <item x="2270"/>
        <item x="655"/>
        <item x="151"/>
        <item x="816"/>
        <item x="114"/>
        <item x="670"/>
        <item x="304"/>
        <item x="471"/>
        <item x="340"/>
        <item x="2000"/>
        <item x="1257"/>
        <item x="2263"/>
        <item x="2212"/>
        <item x="176"/>
        <item x="1335"/>
        <item x="1372"/>
        <item x="173"/>
        <item x="2156"/>
        <item x="326"/>
        <item x="1584"/>
        <item x="217"/>
        <item x="853"/>
        <item x="838"/>
        <item x="614"/>
        <item x="1716"/>
        <item x="2018"/>
        <item x="1473"/>
        <item x="524"/>
        <item x="1516"/>
        <item x="459"/>
        <item x="1984"/>
        <item x="2165"/>
        <item x="1639"/>
        <item x="280"/>
        <item x="941"/>
        <item x="2048"/>
        <item x="154"/>
        <item x="256"/>
        <item x="1531"/>
        <item x="257"/>
        <item x="312"/>
        <item x="93"/>
        <item x="1283"/>
        <item x="583"/>
        <item x="460"/>
        <item x="1407"/>
        <item x="463"/>
        <item x="560"/>
        <item x="2243"/>
        <item x="569"/>
        <item x="1088"/>
        <item x="2234"/>
        <item x="1980"/>
        <item x="2203"/>
        <item x="2086"/>
        <item x="437"/>
        <item x="118"/>
        <item x="1985"/>
        <item x="306"/>
        <item x="523"/>
        <item x="266"/>
        <item x="1212"/>
        <item x="1973"/>
        <item x="793"/>
        <item x="628"/>
        <item x="635"/>
        <item x="918"/>
        <item x="1952"/>
        <item x="1020"/>
        <item x="2016"/>
        <item x="1533"/>
        <item x="1105"/>
        <item x="83"/>
        <item x="1201"/>
        <item x="1808"/>
        <item x="590"/>
        <item x="1682"/>
        <item x="127"/>
        <item x="619"/>
        <item x="1929"/>
        <item x="770"/>
        <item x="1605"/>
        <item x="1791"/>
        <item x="297"/>
        <item x="1840"/>
        <item x="1231"/>
        <item x="906"/>
        <item x="27"/>
        <item x="286"/>
        <item x="1654"/>
        <item x="1228"/>
        <item x="746"/>
        <item x="1572"/>
        <item x="566"/>
        <item x="18"/>
        <item x="380"/>
        <item x="970"/>
        <item x="44"/>
        <item x="1202"/>
        <item x="1019"/>
        <item x="1689"/>
        <item x="1912"/>
        <item x="272"/>
        <item x="147"/>
        <item x="1032"/>
        <item x="697"/>
        <item x="1873"/>
        <item x="355"/>
        <item x="1114"/>
        <item x="988"/>
        <item x="1069"/>
        <item x="1524"/>
        <item x="311"/>
        <item x="292"/>
        <item x="2004"/>
        <item x="752"/>
        <item x="1198"/>
        <item x="528"/>
        <item x="1599"/>
        <item x="335"/>
        <item x="325"/>
        <item x="1738"/>
        <item x="169"/>
        <item x="273"/>
        <item x="2046"/>
        <item x="291"/>
        <item x="1462"/>
        <item x="1503"/>
        <item x="1120"/>
        <item x="209"/>
        <item x="1767"/>
        <item x="2242"/>
        <item x="2011"/>
        <item x="1365"/>
        <item x="728"/>
        <item x="872"/>
        <item x="798"/>
        <item x="1749"/>
        <item x="661"/>
        <item x="1560"/>
        <item x="1771"/>
        <item x="956"/>
        <item x="634"/>
        <item x="1634"/>
        <item x="137"/>
        <item x="1098"/>
        <item x="122"/>
        <item x="1868"/>
        <item x="1146"/>
        <item x="0"/>
        <item x="330"/>
        <item x="68"/>
        <item x="1385"/>
        <item x="95"/>
        <item x="1343"/>
        <item x="743"/>
        <item x="1439"/>
        <item x="365"/>
        <item x="1890"/>
        <item x="1690"/>
        <item x="2040"/>
        <item x="542"/>
        <item x="2008"/>
        <item x="141"/>
        <item x="1144"/>
        <item x="584"/>
        <item x="996"/>
        <item x="828"/>
        <item x="966"/>
        <item x="1067"/>
        <item x="1504"/>
        <item x="160"/>
        <item x="1923"/>
        <item x="1880"/>
        <item x="65"/>
        <item x="1170"/>
        <item x="2238"/>
        <item x="1495"/>
        <item x="1884"/>
        <item x="2059"/>
        <item x="756"/>
        <item x="1443"/>
        <item x="764"/>
        <item x="1021"/>
        <item x="1075"/>
        <item x="357"/>
        <item x="938"/>
        <item x="1090"/>
        <item x="1073"/>
        <item x="1863"/>
        <item x="894"/>
        <item x="1695"/>
        <item x="1907"/>
        <item x="2069"/>
        <item x="933"/>
        <item x="1963"/>
        <item x="1674"/>
        <item x="1522"/>
        <item x="321"/>
        <item x="342"/>
        <item x="1930"/>
        <item x="1481"/>
        <item x="353"/>
        <item x="1866"/>
        <item x="1181"/>
        <item x="1451"/>
        <item x="408"/>
        <item x="1813"/>
        <item x="2066"/>
        <item x="874"/>
        <item x="654"/>
        <item x="1959"/>
        <item x="2102"/>
        <item x="990"/>
        <item x="1855"/>
        <item x="579"/>
        <item x="2265"/>
        <item x="1559"/>
        <item x="1453"/>
        <item x="610"/>
        <item x="487"/>
        <item x="1280"/>
        <item x="1135"/>
        <item x="403"/>
        <item x="1044"/>
        <item x="281"/>
        <item x="337"/>
        <item x="1301"/>
        <item x="766"/>
        <item x="1058"/>
        <item x="2185"/>
        <item x="31"/>
        <item x="878"/>
        <item x="859"/>
        <item x="2054"/>
        <item x="1216"/>
        <item x="1924"/>
        <item x="2122"/>
        <item x="1255"/>
        <item x="2144"/>
        <item x="309"/>
        <item x="846"/>
        <item x="1047"/>
        <item x="630"/>
        <item x="282"/>
        <item x="1943"/>
        <item x="2064"/>
        <item x="1376"/>
        <item x="1742"/>
        <item x="105"/>
        <item x="678"/>
        <item x="1409"/>
        <item x="2258"/>
        <item x="1900"/>
        <item x="14"/>
        <item x="1920"/>
        <item x="1699"/>
        <item x="125"/>
        <item x="153"/>
        <item x="2163"/>
        <item x="2162"/>
        <item x="622"/>
        <item x="170"/>
        <item x="101"/>
        <item x="22"/>
        <item x="130"/>
        <item x="1488"/>
        <item x="1881"/>
        <item x="668"/>
        <item x="113"/>
        <item x="323"/>
        <item x="581"/>
        <item x="1252"/>
        <item x="925"/>
        <item x="1942"/>
        <item x="349"/>
        <item x="1304"/>
        <item x="1803"/>
        <item x="1728"/>
        <item x="1033"/>
        <item x="1949"/>
        <item x="1406"/>
        <item x="979"/>
        <item x="1116"/>
        <item x="1597"/>
        <item x="857"/>
        <item x="1083"/>
        <item x="930"/>
        <item x="1831"/>
        <item x="607"/>
        <item x="666"/>
        <item x="401"/>
        <item x="1510"/>
        <item x="1722"/>
        <item x="1246"/>
        <item x="133"/>
        <item x="1735"/>
        <item x="2182"/>
        <item x="1848"/>
        <item x="1795"/>
        <item x="2218"/>
        <item x="472"/>
        <item x="405"/>
        <item x="445"/>
        <item x="352"/>
        <item x="997"/>
        <item x="216"/>
        <item x="1627"/>
        <item x="2241"/>
        <item x="1777"/>
        <item x="1430"/>
        <item x="2030"/>
        <item x="1233"/>
        <item x="1289"/>
        <item x="1704"/>
        <item x="831"/>
        <item x="2173"/>
        <item x="772"/>
        <item x="1986"/>
        <item x="696"/>
        <item x="402"/>
        <item x="1582"/>
        <item x="124"/>
        <item x="1843"/>
        <item x="1635"/>
        <item x="2015"/>
        <item x="250"/>
        <item x="206"/>
        <item x="1849"/>
        <item x="3"/>
        <item x="1151"/>
        <item x="1511"/>
        <item x="1081"/>
        <item x="184"/>
        <item x="2223"/>
        <item x="921"/>
        <item x="135"/>
        <item x="444"/>
        <item x="131"/>
        <item x="1110"/>
        <item x="343"/>
        <item x="801"/>
        <item x="785"/>
        <item x="969"/>
        <item x="2276"/>
        <item x="338"/>
        <item x="647"/>
        <item x="1023"/>
        <item x="609"/>
        <item x="2071"/>
        <item x="820"/>
        <item x="1186"/>
        <item x="123"/>
        <item x="1829"/>
        <item x="1034"/>
        <item x="1470"/>
        <item x="1292"/>
        <item x="1168"/>
        <item x="1316"/>
        <item x="136"/>
        <item x="922"/>
        <item x="1364"/>
        <item x="71"/>
        <item x="1325"/>
        <item x="1566"/>
        <item x="1153"/>
        <item x="50"/>
        <item x="1646"/>
        <item x="2267"/>
        <item x="262"/>
        <item x="1779"/>
        <item x="1870"/>
        <item x="1431"/>
        <item x="1424"/>
        <item x="2070"/>
        <item x="415"/>
        <item x="392"/>
        <item x="1263"/>
        <item x="457"/>
        <item x="1425"/>
        <item x="832"/>
        <item x="2142"/>
        <item x="1219"/>
        <item x="1137"/>
        <item x="172"/>
        <item x="1565"/>
        <item x="1259"/>
        <item x="432"/>
        <item x="638"/>
        <item x="1393"/>
        <item x="1941"/>
        <item x="1277"/>
        <item x="554"/>
        <item x="945"/>
        <item x="1448"/>
        <item x="1592"/>
        <item x="739"/>
        <item x="111"/>
        <item x="232"/>
        <item x="687"/>
        <item x="2138"/>
        <item x="681"/>
        <item x="1195"/>
        <item x="2261"/>
        <item x="1055"/>
        <item x="1405"/>
        <item x="1703"/>
        <item x="1997"/>
        <item x="2010"/>
        <item x="864"/>
        <item x="691"/>
        <item x="596"/>
        <item x="1095"/>
        <item x="239"/>
        <item x="47"/>
        <item x="2180"/>
        <item x="2161"/>
        <item x="2079"/>
        <item x="1783"/>
        <item x="389"/>
        <item x="646"/>
        <item x="270"/>
        <item x="1676"/>
        <item x="2130"/>
        <item x="1043"/>
        <item x="1629"/>
        <item x="563"/>
        <item x="1446"/>
        <item x="1161"/>
        <item x="1917"/>
        <item x="782"/>
        <item x="598"/>
        <item x="436"/>
        <item x="2266"/>
        <item x="700"/>
        <item x="1254"/>
        <item x="166"/>
        <item x="2222"/>
        <item x="812"/>
        <item x="2215"/>
        <item x="1176"/>
        <item x="958"/>
        <item x="1061"/>
        <item x="2274"/>
        <item x="689"/>
        <item x="1898"/>
        <item x="999"/>
        <item x="1789"/>
        <item x="2082"/>
        <item x="218"/>
        <item x="1746"/>
        <item x="453"/>
        <item x="1624"/>
        <item x="701"/>
        <item x="536"/>
        <item x="2236"/>
        <item x="1545"/>
        <item x="1158"/>
        <item x="2240"/>
        <item x="1571"/>
        <item x="1423"/>
        <item x="1052"/>
        <item x="1856"/>
        <item x="1121"/>
        <item x="1342"/>
        <item x="2145"/>
        <item x="7"/>
        <item x="129"/>
        <item x="1338"/>
        <item x="251"/>
        <item x="2196"/>
        <item x="1770"/>
        <item x="2256"/>
        <item x="346"/>
        <item x="1445"/>
        <item x="727"/>
        <item x="60"/>
        <item x="109"/>
        <item x="555"/>
        <item x="1174"/>
        <item x="1106"/>
        <item x="1790"/>
        <item x="1670"/>
        <item x="1042"/>
        <item x="2133"/>
        <item x="1333"/>
        <item x="2073"/>
        <item x="361"/>
        <item x="378"/>
        <item x="1200"/>
        <item x="1119"/>
        <item x="1555"/>
        <item x="1013"/>
        <item x="180"/>
        <item x="916"/>
        <item x="1720"/>
        <item x="1293"/>
        <item x="1415"/>
        <item x="595"/>
        <item x="658"/>
        <item x="6"/>
        <item x="1878"/>
        <item x="1286"/>
        <item x="873"/>
        <item x="1574"/>
        <item x="709"/>
        <item x="901"/>
        <item x="717"/>
        <item x="142"/>
        <item x="1296"/>
        <item x="52"/>
        <item x="70"/>
        <item x="1514"/>
        <item x="212"/>
        <item x="1902"/>
        <item x="501"/>
        <item x="1194"/>
        <item x="512"/>
        <item x="336"/>
        <item x="676"/>
        <item x="174"/>
        <item x="2080"/>
        <item x="748"/>
        <item x="2247"/>
        <item x="1950"/>
        <item x="277"/>
        <item x="1523"/>
        <item x="157"/>
        <item x="39"/>
        <item x="867"/>
        <item x="1165"/>
        <item x="24"/>
        <item x="1867"/>
        <item x="497"/>
        <item x="1017"/>
        <item x="616"/>
        <item x="1468"/>
        <item x="287"/>
        <item x="377"/>
        <item x="1482"/>
        <item x="1734"/>
        <item x="227"/>
        <item x="248"/>
        <item x="1000"/>
        <item x="1140"/>
        <item x="1616"/>
        <item x="278"/>
        <item x="1858"/>
        <item x="952"/>
        <item x="307"/>
        <item x="1551"/>
        <item x="509"/>
        <item x="2246"/>
        <item x="612"/>
        <item x="1496"/>
        <item x="259"/>
        <item x="258"/>
        <item x="1836"/>
        <item x="1260"/>
        <item x="606"/>
        <item x="1537"/>
        <item x="1459"/>
        <item x="775"/>
        <item x="684"/>
        <item x="1647"/>
        <item x="1499"/>
        <item x="2123"/>
        <item x="1594"/>
        <item x="115"/>
        <item x="283"/>
        <item x="787"/>
        <item x="992"/>
        <item x="2207"/>
        <item x="720"/>
        <item x="573"/>
        <item x="947"/>
        <item x="2164"/>
        <item x="891"/>
        <item x="929"/>
        <item x="858"/>
        <item x="722"/>
        <item x="1897"/>
        <item x="1222"/>
        <item x="1475"/>
        <item x="1875"/>
        <item x="1356"/>
        <item x="183"/>
        <item x="2063"/>
        <item x="1517"/>
        <item x="1583"/>
        <item x="449"/>
        <item x="178"/>
        <item x="2260"/>
        <item x="667"/>
        <item x="1319"/>
        <item x="1379"/>
        <item x="1948"/>
        <item x="2061"/>
        <item x="1685"/>
        <item x="1143"/>
        <item x="269"/>
        <item x="159"/>
        <item x="276"/>
        <item x="1938"/>
        <item x="1661"/>
        <item x="2197"/>
        <item x="502"/>
        <item x="148"/>
        <item x="1553"/>
        <item x="1493"/>
        <item x="2121"/>
        <item x="1048"/>
        <item x="1800"/>
        <item x="1889"/>
        <item x="324"/>
        <item x="1457"/>
        <item x="1927"/>
        <item x="86"/>
        <item x="2087"/>
        <item x="1598"/>
        <item x="1382"/>
        <item x="2269"/>
        <item x="1123"/>
        <item x="520"/>
        <item x="1394"/>
        <item x="2221"/>
        <item x="1694"/>
        <item x="1189"/>
        <item x="550"/>
        <item x="1004"/>
        <item x="382"/>
        <item x="1166"/>
        <item x="823"/>
        <item x="1652"/>
        <item x="2214"/>
        <item x="356"/>
        <item x="943"/>
        <item x="1940"/>
        <item x="1022"/>
        <item x="1213"/>
        <item x="1730"/>
        <item x="446"/>
        <item x="1725"/>
        <item x="1278"/>
        <item x="2103"/>
        <item x="1367"/>
        <item x="379"/>
        <item x="789"/>
        <item x="238"/>
        <item x="2229"/>
        <item x="1723"/>
        <item x="1384"/>
        <item x="481"/>
        <item x="1712"/>
        <item x="284"/>
        <item x="1618"/>
        <item x="1965"/>
        <item x="1684"/>
        <item x="1547"/>
        <item x="1321"/>
        <item x="1833"/>
        <item x="503"/>
        <item x="210"/>
        <item x="1455"/>
        <item x="987"/>
        <item x="423"/>
        <item x="385"/>
        <item x="716"/>
        <item x="29"/>
        <item x="1904"/>
        <item x="1053"/>
        <item x="1398"/>
        <item x="899"/>
        <item x="1828"/>
        <item x="1383"/>
        <item x="1357"/>
        <item x="1062"/>
        <item x="1882"/>
        <item x="1754"/>
        <item x="1546"/>
        <item x="2028"/>
        <item x="577"/>
        <item x="750"/>
        <item x="1436"/>
        <item x="1611"/>
        <item x="1822"/>
        <item x="1669"/>
        <item x="1392"/>
        <item x="977"/>
        <item x="1209"/>
        <item x="1841"/>
        <item x="1361"/>
        <item x="92"/>
        <item x="1588"/>
        <item x="506"/>
        <item x="1082"/>
        <item x="231"/>
        <item x="736"/>
        <item x="2035"/>
        <item x="745"/>
        <item x="1933"/>
        <item x="1521"/>
        <item x="1215"/>
        <item x="1329"/>
        <item x="2053"/>
        <item x="2050"/>
        <item x="2205"/>
        <item x="1991"/>
        <item x="1500"/>
        <item x="8"/>
        <item x="1199"/>
        <item x="968"/>
        <item x="2201"/>
        <item x="1915"/>
        <item x="121"/>
        <item x="285"/>
        <item x="376"/>
        <item x="2065"/>
        <item x="604"/>
        <item x="1300"/>
        <item x="1885"/>
        <item x="1040"/>
        <item x="711"/>
        <item x="205"/>
        <item x="737"/>
        <item x="1528"/>
        <item x="1753"/>
        <item x="1951"/>
        <item x="995"/>
        <item x="2184"/>
        <item x="1388"/>
        <item x="225"/>
        <item x="539"/>
        <item x="698"/>
        <item x="267"/>
        <item x="1705"/>
        <item x="2147"/>
        <item x="805"/>
        <item x="660"/>
        <item x="826"/>
        <item x="1872"/>
        <item x="1636"/>
        <item x="790"/>
        <item x="1759"/>
        <item x="327"/>
        <item x="417"/>
        <item x="399"/>
        <item x="1664"/>
        <item x="2113"/>
        <item x="201"/>
        <item x="175"/>
        <item x="1"/>
        <item x="479"/>
        <item x="1509"/>
        <item x="2076"/>
        <item x="1505"/>
        <item x="1373"/>
        <item x="45"/>
        <item x="1577"/>
        <item x="1782"/>
        <item x="783"/>
        <item x="547"/>
        <item x="641"/>
        <item x="620"/>
        <item x="1602"/>
        <item x="923"/>
        <item x="870"/>
        <item x="139"/>
        <item x="10"/>
        <item x="802"/>
        <item x="2056"/>
        <item x="456"/>
        <item x="2052"/>
        <item x="1139"/>
        <item x="1658"/>
        <item x="1456"/>
        <item x="570"/>
        <item x="177"/>
        <item x="1752"/>
        <item x="320"/>
        <item x="1003"/>
        <item x="370"/>
        <item x="1981"/>
        <item x="1010"/>
        <item x="1118"/>
        <item x="420"/>
        <item x="332"/>
        <item x="419"/>
        <item x="1865"/>
        <item x="871"/>
        <item x="94"/>
        <item x="530"/>
        <item x="1390"/>
        <item x="1955"/>
        <item x="834"/>
        <item x="1905"/>
        <item x="1610"/>
        <item x="1345"/>
        <item x="1729"/>
        <item x="866"/>
        <item x="1227"/>
        <item x="1936"/>
        <item x="1065"/>
        <item x="1934"/>
        <item x="1944"/>
        <item x="2098"/>
        <item x="1804"/>
        <item x="822"/>
        <item x="1169"/>
        <item x="1956"/>
        <item x="800"/>
        <item x="1036"/>
        <item x="1008"/>
        <item x="1536"/>
        <item x="1454"/>
        <item x="468"/>
        <item x="705"/>
        <item x="1660"/>
        <item x="672"/>
        <item x="1619"/>
        <item x="652"/>
        <item x="2019"/>
        <item x="788"/>
        <item x="682"/>
        <item x="1403"/>
        <item x="1919"/>
        <item x="597"/>
        <item x="572"/>
        <item x="913"/>
        <item x="1131"/>
        <item x="2062"/>
        <item x="742"/>
        <item x="825"/>
        <item x="585"/>
        <item x="1138"/>
        <item x="77"/>
        <item x="1593"/>
        <item x="972"/>
        <item x="1561"/>
        <item x="1623"/>
        <item x="2128"/>
        <item x="707"/>
        <item x="1892"/>
        <item x="927"/>
        <item x="567"/>
        <item x="639"/>
        <item x="578"/>
        <item x="710"/>
        <item x="1197"/>
        <item x="2230"/>
        <item x="182"/>
        <item x="30"/>
        <item x="391"/>
        <item x="333"/>
        <item x="433"/>
        <item x="1589"/>
        <item x="659"/>
        <item x="500"/>
        <item x="2108"/>
        <item x="1349"/>
        <item x="1532"/>
        <item x="1607"/>
        <item x="2160"/>
        <item x="677"/>
        <item x="1550"/>
        <item x="2134"/>
        <item x="1327"/>
        <item x="99"/>
        <item x="1643"/>
        <item x="1097"/>
        <item x="1741"/>
        <item x="1486"/>
        <item x="1273"/>
        <item x="1315"/>
        <item x="740"/>
        <item x="1586"/>
        <item x="146"/>
        <item x="2116"/>
        <item x="394"/>
        <item x="1157"/>
        <item x="439"/>
        <item x="1786"/>
        <item x="1362"/>
        <item x="1297"/>
        <item x="347"/>
        <item x="2155"/>
        <item x="161"/>
        <item x="1177"/>
        <item x="482"/>
        <item x="1776"/>
        <item x="2029"/>
        <item x="814"/>
        <item x="300"/>
        <item x="1727"/>
        <item x="1066"/>
        <item x="1381"/>
        <item x="1891"/>
        <item x="23"/>
        <item x="469"/>
        <item x="552"/>
        <item x="1237"/>
        <item x="126"/>
        <item x="2194"/>
        <item x="1191"/>
        <item x="143"/>
        <item x="2037"/>
        <item x="599"/>
        <item x="2200"/>
        <item x="246"/>
        <item x="1220"/>
        <item x="1413"/>
        <item x="1988"/>
        <item x="898"/>
        <item x="1152"/>
        <item x="1416"/>
        <item x="341"/>
        <item x="2093"/>
        <item x="955"/>
        <item x="2157"/>
        <item x="1072"/>
        <item x="1681"/>
        <item x="1548"/>
        <item x="1050"/>
        <item x="1057"/>
        <item x="1307"/>
        <item x="1693"/>
        <item x="1793"/>
        <item x="2252"/>
        <item x="1101"/>
        <item x="371"/>
        <item x="835"/>
        <item x="1862"/>
        <item x="564"/>
        <item x="1513"/>
        <item x="381"/>
        <item x="149"/>
        <item x="492"/>
        <item x="1839"/>
        <item x="1698"/>
        <item x="1011"/>
        <item x="797"/>
        <item x="1709"/>
        <item x="1262"/>
        <item x="1433"/>
        <item x="1788"/>
        <item x="588"/>
        <item x="1491"/>
        <item x="1399"/>
        <item x="1060"/>
        <item x="208"/>
        <item x="1719"/>
        <item x="2204"/>
        <item x="2088"/>
        <item x="1122"/>
        <item x="2257"/>
        <item x="592"/>
        <item x="1079"/>
        <item x="438"/>
        <item x="1567"/>
        <item x="1275"/>
        <item x="2005"/>
        <item x="1732"/>
        <item x="626"/>
        <item x="1802"/>
        <item x="1070"/>
        <item x="1666"/>
        <item x="1552"/>
        <item x="1908"/>
        <item x="1310"/>
        <item x="2025"/>
        <item x="1086"/>
        <item x="2058"/>
        <item x="551"/>
        <item x="1187"/>
        <item x="1613"/>
        <item x="1391"/>
        <item x="293"/>
        <item x="418"/>
        <item x="1780"/>
        <item x="1896"/>
        <item x="1744"/>
        <item x="49"/>
        <item x="769"/>
        <item x="1968"/>
        <item x="1288"/>
        <item x="198"/>
        <item x="462"/>
        <item x="255"/>
        <item x="1702"/>
        <item x="1027"/>
        <item x="617"/>
        <item x="1089"/>
        <item x="15"/>
        <item x="935"/>
        <item x="1438"/>
        <item x="571"/>
        <item x="844"/>
        <item x="2170"/>
        <item x="1353"/>
        <item x="504"/>
        <item x="1412"/>
        <item x="854"/>
        <item x="1701"/>
        <item x="1334"/>
        <item x="679"/>
        <item x="82"/>
        <item x="187"/>
        <item x="1208"/>
        <item x="35"/>
        <item x="2176"/>
        <item x="537"/>
        <item x="1549"/>
        <item x="1820"/>
        <item x="1006"/>
        <item x="1621"/>
        <item x="1236"/>
        <item x="1035"/>
        <item x="760"/>
        <item x="1077"/>
        <item x="90"/>
        <item x="1025"/>
        <item x="1656"/>
        <item x="37"/>
        <item x="1966"/>
        <item x="107"/>
        <item x="1414"/>
        <item x="483"/>
        <item x="505"/>
        <item x="1302"/>
        <item x="1648"/>
        <item x="875"/>
        <item x="2249"/>
        <item x="591"/>
        <item x="1251"/>
        <item x="372"/>
        <item x="369"/>
        <item x="424"/>
        <item x="702"/>
        <item x="434"/>
        <item x="1193"/>
        <item x="685"/>
        <item x="829"/>
        <item x="72"/>
        <item x="1245"/>
        <item x="204"/>
        <item x="2104"/>
        <item x="2042"/>
        <item x="279"/>
        <item x="1996"/>
        <item x="804"/>
        <item x="1080"/>
        <item x="1284"/>
        <item x="1645"/>
        <item x="1370"/>
        <item x="2036"/>
        <item x="1171"/>
        <item x="1715"/>
        <item x="2135"/>
        <item x="1743"/>
        <item x="1745"/>
        <item x="1400"/>
        <item x="1748"/>
        <item x="1686"/>
        <item x="1683"/>
        <item x="850"/>
        <item x="265"/>
        <item x="1899"/>
        <item x="1876"/>
        <item x="2151"/>
        <item x="1526"/>
        <item x="2049"/>
        <item x="950"/>
        <item x="1247"/>
        <item x="334"/>
        <item x="4"/>
        <item x="1911"/>
        <item x="1564"/>
        <item x="224"/>
        <item x="1989"/>
        <item x="729"/>
        <item x="1894"/>
        <item x="271"/>
        <item x="1369"/>
        <item x="876"/>
        <item x="675"/>
        <item x="1142"/>
        <item x="2198"/>
        <item x="185"/>
        <item x="1797"/>
        <item x="1958"/>
        <item x="1837"/>
        <item x="2132"/>
        <item x="1990"/>
        <item x="110"/>
        <item x="643"/>
        <item x="1030"/>
        <item x="132"/>
        <item x="855"/>
        <item x="1810"/>
        <item x="144"/>
        <item x="1479"/>
        <item x="1834"/>
        <item x="84"/>
        <item x="2166"/>
        <item x="19"/>
        <item x="719"/>
        <item x="813"/>
        <item x="2112"/>
        <item x="2209"/>
        <item x="644"/>
        <item x="1883"/>
        <item x="104"/>
        <item x="521"/>
        <item x="1520"/>
        <item x="1819"/>
        <item x="1136"/>
        <item x="856"/>
        <item x="1762"/>
        <item x="1962"/>
        <item x="892"/>
        <item x="1308"/>
        <item x="1054"/>
        <item x="34"/>
        <item x="1679"/>
        <item x="795"/>
        <item x="2136"/>
        <item x="2039"/>
        <item x="1569"/>
        <item x="535"/>
        <item x="976"/>
        <item x="833"/>
        <item x="213"/>
        <item x="1608"/>
        <item x="344"/>
        <item x="1134"/>
        <item x="980"/>
        <item x="1276"/>
        <item x="202"/>
        <item x="1474"/>
        <item x="1359"/>
        <item x="1953"/>
        <item x="2264"/>
        <item x="1271"/>
        <item x="288"/>
        <item x="393"/>
        <item x="1983"/>
        <item x="2213"/>
        <item x="2208"/>
        <item x="2262"/>
        <item x="519"/>
        <item x="1127"/>
        <item x="1279"/>
        <item x="2126"/>
        <item x="718"/>
        <item x="1432"/>
        <item x="1125"/>
        <item x="810"/>
        <item x="2150"/>
        <item x="2077"/>
        <item x="1029"/>
        <item x="1860"/>
        <item x="1103"/>
        <item x="1678"/>
        <item x="1028"/>
        <item x="881"/>
        <item x="1094"/>
        <item x="2228"/>
        <item x="869"/>
        <item x="1250"/>
        <item x="1954"/>
        <item x="1838"/>
        <item x="1442"/>
        <item x="2084"/>
        <item x="680"/>
        <item x="1625"/>
        <item x="1928"/>
        <item x="167"/>
        <item x="1615"/>
        <item x="1402"/>
        <item x="1975"/>
        <item x="350"/>
        <item x="753"/>
        <item x="473"/>
        <item x="1463"/>
        <item x="429"/>
        <item x="1756"/>
        <item x="669"/>
        <item x="631"/>
        <item x="364"/>
        <item x="732"/>
        <item x="1309"/>
        <item x="1076"/>
        <item x="645"/>
        <item x="1360"/>
        <item x="1861"/>
        <item x="163"/>
        <item x="749"/>
        <item x="792"/>
        <item x="1525"/>
        <item x="112"/>
        <item x="1229"/>
        <item x="649"/>
        <item x="1218"/>
        <item x="1585"/>
        <item x="1440"/>
        <item x="1024"/>
        <item x="1320"/>
        <item x="85"/>
        <item x="1145"/>
        <item x="2124"/>
        <item x="1295"/>
        <item x="32"/>
        <item x="949"/>
        <item x="1352"/>
        <item x="1792"/>
        <item x="1710"/>
        <item x="946"/>
        <item x="496"/>
        <item x="1340"/>
        <item x="1554"/>
        <item x="244"/>
        <item x="2253"/>
        <item x="1887"/>
        <item x="1740"/>
        <item x="450"/>
        <item x="721"/>
        <item x="818"/>
        <item x="843"/>
        <item x="1688"/>
        <item x="1765"/>
        <item x="594"/>
        <item x="1339"/>
        <item x="1374"/>
        <item x="1192"/>
        <item x="1807"/>
        <item x="799"/>
        <item x="1764"/>
        <item x="1274"/>
        <item x="421"/>
        <item x="150"/>
        <item x="102"/>
        <item x="1714"/>
        <item x="602"/>
        <item x="1489"/>
        <item x="476"/>
        <item x="2179"/>
        <item x="2003"/>
        <item x="895"/>
        <item x="817"/>
        <item x="1961"/>
        <item x="390"/>
        <item x="713"/>
        <item x="1909"/>
        <item x="2149"/>
        <item x="2024"/>
        <item x="1994"/>
        <item x="2211"/>
        <item x="744"/>
        <item x="640"/>
        <item x="366"/>
        <item x="1417"/>
        <item x="516"/>
        <item x="145"/>
        <item x="1995"/>
        <item x="1272"/>
        <item x="1484"/>
        <item x="1420"/>
        <item x="477"/>
        <item x="1128"/>
        <item x="1832"/>
        <item x="2081"/>
        <item x="1736"/>
        <item x="1817"/>
        <item x="329"/>
        <item x="2224"/>
        <item x="1696"/>
        <item x="768"/>
        <item x="2127"/>
        <item x="1377"/>
        <item x="738"/>
        <item x="985"/>
        <item x="1074"/>
        <item x="1458"/>
        <item x="447"/>
        <item x="1401"/>
        <item x="404"/>
        <item x="254"/>
        <item x="559"/>
        <item x="525"/>
        <item x="1328"/>
        <item x="1821"/>
        <item x="776"/>
        <item x="1869"/>
        <item x="38"/>
        <item x="1016"/>
        <item x="134"/>
        <item x="2244"/>
        <item x="156"/>
        <item x="803"/>
        <item x="1347"/>
        <item x="957"/>
        <item x="1221"/>
        <item x="715"/>
        <item x="2012"/>
        <item x="455"/>
        <item x="2117"/>
        <item x="636"/>
        <item x="21"/>
        <item x="1332"/>
        <item x="1579"/>
        <item x="485"/>
        <item x="1601"/>
        <item x="2021"/>
        <item x="2057"/>
        <item x="1937"/>
        <item x="704"/>
        <item x="1243"/>
        <item x="1805"/>
        <item x="1914"/>
        <item x="1918"/>
        <item x="759"/>
        <item x="1037"/>
        <item x="87"/>
        <item x="1441"/>
        <item x="75"/>
        <item x="1009"/>
        <item x="316"/>
        <item x="2199"/>
        <item x="911"/>
        <item x="1428"/>
        <item x="1015"/>
        <item x="1196"/>
        <item x="984"/>
        <item x="546"/>
        <item x="466"/>
        <item x="1018"/>
        <item x="880"/>
        <item x="249"/>
        <item x="245"/>
        <item x="358"/>
        <item x="197"/>
        <item x="1972"/>
        <item x="240"/>
        <item x="510"/>
        <item x="915"/>
        <item x="1573"/>
        <item x="1159"/>
        <item x="2219"/>
        <item x="1539"/>
        <item x="1330"/>
        <item x="1640"/>
        <item x="451"/>
        <item x="540"/>
        <item x="1256"/>
        <item x="2192"/>
        <item x="910"/>
        <item x="1494"/>
        <item x="623"/>
        <item x="1460"/>
        <item x="1179"/>
        <item x="295"/>
        <item x="809"/>
        <item x="1449"/>
        <item x="1132"/>
        <item x="890"/>
        <item x="2152"/>
        <item x="637"/>
        <item x="806"/>
        <item x="1724"/>
        <item x="298"/>
        <item x="849"/>
        <item x="1711"/>
        <item x="914"/>
        <item x="837"/>
        <item x="847"/>
        <item x="1240"/>
        <item x="88"/>
        <item x="541"/>
        <item x="1534"/>
        <item x="932"/>
        <item x="252"/>
        <item x="1434"/>
        <item x="1397"/>
        <item x="400"/>
        <item x="2139"/>
        <item x="480"/>
        <item x="747"/>
        <item x="2091"/>
        <item x="1492"/>
        <item x="1238"/>
        <item x="1976"/>
        <item x="902"/>
        <item x="314"/>
        <item x="2034"/>
        <item x="55"/>
        <item x="862"/>
        <item x="1568"/>
        <item x="1501"/>
        <item x="695"/>
        <item x="1903"/>
        <item x="1331"/>
        <item x="2100"/>
        <item x="733"/>
        <item x="1769"/>
        <item x="796"/>
        <item x="171"/>
        <item x="1739"/>
        <item x="1700"/>
        <item x="427"/>
        <item x="1071"/>
        <item x="302"/>
        <item x="887"/>
        <item x="665"/>
        <item x="2033"/>
        <item x="63"/>
        <item x="1542"/>
        <item x="589"/>
        <item x="56"/>
        <item x="1672"/>
        <item x="868"/>
        <item x="2233"/>
        <item x="734"/>
        <item x="931"/>
        <item x="2202"/>
        <item x="1784"/>
        <item x="2026"/>
        <item x="162"/>
        <item x="963"/>
        <item x="1979"/>
        <item x="1049"/>
        <item x="1595"/>
        <item x="16"/>
        <item x="1726"/>
        <item x="1156"/>
        <item x="1535"/>
        <item x="944"/>
        <item x="1846"/>
        <item x="1823"/>
        <item x="1620"/>
        <item x="2143"/>
        <item x="195"/>
        <item x="1311"/>
        <item x="348"/>
        <item x="1518"/>
        <item x="1497"/>
        <item x="194"/>
        <item x="811"/>
        <item x="751"/>
        <item x="907"/>
        <item x="67"/>
        <item x="1650"/>
        <item x="836"/>
        <item x="441"/>
        <item x="414"/>
        <item x="587"/>
        <item x="1267"/>
        <item x="663"/>
        <item x="518"/>
        <item x="1115"/>
        <item x="2101"/>
        <item x="1692"/>
        <item x="1713"/>
        <item x="1691"/>
        <item x="96"/>
        <item x="241"/>
        <item x="1999"/>
        <item x="781"/>
        <item x="1538"/>
        <item x="98"/>
        <item x="1662"/>
        <item x="1389"/>
        <item x="319"/>
        <item x="1206"/>
        <item x="2119"/>
        <item x="2191"/>
        <item x="1925"/>
        <item x="97"/>
        <item x="1893"/>
        <item x="2183"/>
        <item x="1827"/>
        <item x="2171"/>
        <item x="1264"/>
        <item x="494"/>
        <item x="331"/>
        <item x="222"/>
        <item x="317"/>
        <item x="2051"/>
        <item x="2190"/>
        <item x="861"/>
        <item x="1680"/>
        <item x="138"/>
        <item x="1806"/>
        <item x="1444"/>
        <item x="507"/>
        <item x="448"/>
        <item x="1129"/>
        <item x="308"/>
        <item x="683"/>
        <item x="1164"/>
        <item x="558"/>
        <item x="522"/>
        <item x="2001"/>
        <item x="1964"/>
        <item x="2141"/>
        <item x="26"/>
        <item x="1540"/>
        <item x="2275"/>
        <item x="1926"/>
        <item x="1318"/>
        <item x="1480"/>
        <item x="1346"/>
        <item x="529"/>
        <item x="1068"/>
        <item x="2074"/>
        <item x="780"/>
        <item x="1026"/>
        <item x="247"/>
        <item x="642"/>
        <item x="2210"/>
        <item x="1844"/>
        <item x="784"/>
        <item x="409"/>
        <item x="2111"/>
        <item x="339"/>
        <item x="1614"/>
        <item x="1363"/>
        <item x="1541"/>
        <item x="951"/>
        <item x="511"/>
        <item x="1078"/>
        <item x="1758"/>
        <item x="2189"/>
        <item x="1886"/>
        <item x="1697"/>
        <item x="1204"/>
        <item x="1207"/>
        <item x="1630"/>
        <item x="1721"/>
        <item x="1798"/>
        <item x="1269"/>
        <item x="1223"/>
        <item x="1835"/>
        <item x="1575"/>
        <item x="1604"/>
        <item x="2186"/>
        <item x="841"/>
        <item x="116"/>
        <item x="1642"/>
        <item x="237"/>
        <item x="920"/>
        <item x="723"/>
        <item x="708"/>
        <item x="1064"/>
        <item x="978"/>
        <item x="561"/>
        <item x="1472"/>
        <item x="1826"/>
        <item x="1628"/>
        <item x="1111"/>
        <item x="2226"/>
        <item x="1665"/>
        <item x="1824"/>
        <item x="1450"/>
        <item x="1102"/>
        <item x="568"/>
        <item x="200"/>
        <item x="207"/>
        <item x="59"/>
        <item x="2060"/>
        <item x="475"/>
        <item x="848"/>
        <item x="1437"/>
        <item x="1667"/>
        <item x="493"/>
        <item x="904"/>
        <item x="827"/>
        <item x="2041"/>
        <item x="1002"/>
        <item x="1466"/>
        <item x="664"/>
        <item x="1225"/>
        <item x="2131"/>
        <item x="621"/>
        <item x="91"/>
        <item x="2078"/>
        <item x="761"/>
        <item x="290"/>
        <item x="1864"/>
        <item x="1258"/>
        <item x="1294"/>
        <item x="2007"/>
        <item x="543"/>
        <item x="20"/>
        <item x="1210"/>
        <item x="1857"/>
        <item x="1281"/>
        <item x="1368"/>
        <item x="2181"/>
        <item x="1638"/>
        <item x="229"/>
        <item x="532"/>
        <item x="2043"/>
        <item x="1230"/>
        <item x="1916"/>
        <item x="1167"/>
        <item x="289"/>
        <item x="991"/>
        <item x="1410"/>
        <item x="1935"/>
        <item x="924"/>
        <item x="928"/>
        <item x="1747"/>
        <item x="2239"/>
        <item x="2175"/>
        <item x="1673"/>
        <item x="2072"/>
        <item x="264"/>
        <item x="877"/>
        <item x="2137"/>
        <item x="1556"/>
        <item x="1750"/>
        <item x="1617"/>
        <item x="767"/>
        <item x="196"/>
        <item x="1871"/>
        <item x="1031"/>
        <item x="62"/>
        <item x="76"/>
        <item x="1046"/>
        <item x="1814"/>
        <item x="1787"/>
        <item x="1657"/>
        <item x="253"/>
        <item x="1879"/>
        <item x="1099"/>
        <item x="1421"/>
        <item x="51"/>
        <item x="1355"/>
        <item x="2188"/>
        <item x="2193"/>
        <item x="1085"/>
        <item x="294"/>
        <item x="937"/>
        <item x="1591"/>
        <item x="1816"/>
        <item x="1946"/>
        <item x="1108"/>
        <item x="1113"/>
        <item x="692"/>
        <item x="1163"/>
        <item x="2254"/>
        <item x="1842"/>
        <item x="1809"/>
        <item x="671"/>
        <item x="2250"/>
        <item x="852"/>
        <item x="1354"/>
        <item x="1341"/>
        <item x="1148"/>
        <item x="2251"/>
        <item x="5"/>
        <item x="1312"/>
        <item x="1093"/>
        <item x="2083"/>
        <item x="1059"/>
        <item x="889"/>
        <item x="1768"/>
        <item x="2129"/>
        <item x="939"/>
        <item x="1175"/>
        <item x="458"/>
        <item x="651"/>
        <item x="575"/>
        <item x="926"/>
        <item x="106"/>
        <item x="1967"/>
        <item x="2105"/>
        <item x="1092"/>
        <item x="1378"/>
        <item x="2114"/>
        <item x="1932"/>
        <item x="2125"/>
        <item x="2047"/>
        <item x="576"/>
        <item x="1957"/>
        <item x="221"/>
        <item x="499"/>
        <item x="80"/>
        <item x="586"/>
        <item x="1306"/>
        <item x="1939"/>
        <item x="1063"/>
        <item x="1922"/>
        <item x="778"/>
        <item x="1180"/>
        <item x="1901"/>
        <item x="1606"/>
        <item x="1774"/>
        <item x="2177"/>
        <item x="1775"/>
        <item x="1150"/>
        <item x="1469"/>
        <item x="2038"/>
        <item x="1380"/>
        <item x="465"/>
        <item x="2115"/>
        <item x="1467"/>
        <item x="900"/>
        <item x="1895"/>
        <item x="464"/>
        <item x="1322"/>
        <item x="1581"/>
        <item x="1270"/>
        <item x="1217"/>
        <item x="1087"/>
        <item x="1576"/>
        <item x="1987"/>
        <item x="1847"/>
        <item x="2020"/>
        <item x="824"/>
        <item x="2167"/>
        <item x="2110"/>
        <item x="1336"/>
        <item x="89"/>
        <item x="662"/>
        <item x="1422"/>
        <item x="703"/>
        <item x="193"/>
        <item x="897"/>
        <item x="1778"/>
        <item x="1978"/>
        <item x="1344"/>
        <item x="2009"/>
        <item x="1045"/>
        <item x="1188"/>
        <item x="1649"/>
        <item x="1668"/>
        <item x="203"/>
        <item x="79"/>
        <item x="2172"/>
        <item x="882"/>
        <item x="1130"/>
        <item x="1182"/>
        <item x="2237"/>
        <item x="2106"/>
        <item x="2195"/>
        <item x="1877"/>
        <item x="712"/>
        <item x="46"/>
        <item x="1282"/>
        <item x="1515"/>
        <item x="181"/>
        <item x="618"/>
        <item x="11"/>
        <item x="954"/>
        <item x="1091"/>
        <item x="1818"/>
        <item x="1641"/>
        <item x="580"/>
        <item x="1845"/>
        <item x="1731"/>
        <item x="2217"/>
        <item x="489"/>
        <item x="1154"/>
        <item x="128"/>
        <item x="1612"/>
        <item x="191"/>
        <item x="1751"/>
        <item x="627"/>
        <item x="40"/>
        <item x="865"/>
        <item x="263"/>
        <item x="1651"/>
        <item x="368"/>
        <item x="1851"/>
        <item x="1408"/>
        <item x="2168"/>
        <item x="1418"/>
        <item x="1173"/>
        <item x="1508"/>
        <item x="688"/>
        <item x="2169"/>
        <item x="491"/>
        <item x="1226"/>
        <item x="1051"/>
        <item x="1387"/>
        <item x="1038"/>
        <item x="513"/>
        <item x="686"/>
        <item x="452"/>
        <item x="830"/>
        <item x="1718"/>
        <item x="1766"/>
        <item x="934"/>
        <item x="2027"/>
        <item x="2259"/>
        <item x="1859"/>
        <item x="367"/>
        <item x="673"/>
        <item x="388"/>
        <item x="1596"/>
        <item x="215"/>
        <item x="1214"/>
        <item x="1314"/>
        <item x="1299"/>
        <item x="48"/>
        <item x="2118"/>
        <item x="964"/>
        <item x="1411"/>
        <item x="879"/>
        <item x="517"/>
        <item x="608"/>
        <item x="2271"/>
        <item x="1239"/>
        <item x="725"/>
        <item x="81"/>
        <item x="211"/>
        <item x="2097"/>
        <item x="179"/>
        <item x="699"/>
        <item x="1313"/>
        <item x="140"/>
        <item x="912"/>
        <item x="758"/>
        <item x="230"/>
        <item x="1633"/>
        <item x="1773"/>
        <item x="1235"/>
        <item x="158"/>
        <item x="1358"/>
        <item x="1971"/>
        <item x="1211"/>
        <item x="714"/>
        <item x="190"/>
        <item t="default"/>
      </items>
    </pivotField>
    <pivotField compact="0" numFmtId="4" showAll="0">
      <items count="961">
        <item x="205"/>
        <item x="146"/>
        <item x="445"/>
        <item x="477"/>
        <item x="273"/>
        <item x="214"/>
        <item x="920"/>
        <item x="657"/>
        <item x="348"/>
        <item x="634"/>
        <item x="876"/>
        <item x="408"/>
        <item x="36"/>
        <item x="423"/>
        <item x="531"/>
        <item x="652"/>
        <item x="17"/>
        <item x="324"/>
        <item x="295"/>
        <item x="278"/>
        <item x="416"/>
        <item x="908"/>
        <item x="357"/>
        <item x="651"/>
        <item x="693"/>
        <item x="117"/>
        <item x="362"/>
        <item x="494"/>
        <item x="184"/>
        <item x="434"/>
        <item x="43"/>
        <item x="804"/>
        <item x="457"/>
        <item x="345"/>
        <item x="342"/>
        <item x="875"/>
        <item x="595"/>
        <item x="836"/>
        <item x="158"/>
        <item x="207"/>
        <item x="380"/>
        <item x="175"/>
        <item x="355"/>
        <item x="298"/>
        <item x="315"/>
        <item x="325"/>
        <item x="755"/>
        <item x="360"/>
        <item x="215"/>
        <item x="429"/>
        <item x="923"/>
        <item x="209"/>
        <item x="41"/>
        <item x="703"/>
        <item x="768"/>
        <item x="573"/>
        <item x="617"/>
        <item x="12"/>
        <item x="828"/>
        <item x="937"/>
        <item x="101"/>
        <item x="106"/>
        <item x="334"/>
        <item x="154"/>
        <item x="535"/>
        <item x="701"/>
        <item x="485"/>
        <item x="944"/>
        <item x="771"/>
        <item x="554"/>
        <item x="351"/>
        <item x="9"/>
        <item x="740"/>
        <item x="907"/>
        <item x="850"/>
        <item x="516"/>
        <item x="476"/>
        <item x="66"/>
        <item x="544"/>
        <item x="178"/>
        <item x="895"/>
        <item x="116"/>
        <item x="532"/>
        <item x="438"/>
        <item x="300"/>
        <item x="399"/>
        <item x="492"/>
        <item x="585"/>
        <item x="621"/>
        <item x="433"/>
        <item x="724"/>
        <item x="213"/>
        <item x="367"/>
        <item x="354"/>
        <item x="220"/>
        <item x="13"/>
        <item x="393"/>
        <item x="435"/>
        <item x="712"/>
        <item x="316"/>
        <item x="406"/>
        <item x="143"/>
        <item x="173"/>
        <item x="820"/>
        <item x="328"/>
        <item x="265"/>
        <item x="359"/>
        <item x="914"/>
        <item x="612"/>
        <item x="764"/>
        <item x="830"/>
        <item x="153"/>
        <item x="952"/>
        <item x="276"/>
        <item x="474"/>
        <item x="798"/>
        <item x="72"/>
        <item x="899"/>
        <item x="515"/>
        <item x="808"/>
        <item x="2"/>
        <item x="468"/>
        <item x="198"/>
        <item x="61"/>
        <item x="491"/>
        <item x="251"/>
        <item x="234"/>
        <item x="590"/>
        <item x="483"/>
        <item x="306"/>
        <item x="597"/>
        <item x="397"/>
        <item x="33"/>
        <item x="629"/>
        <item x="904"/>
        <item x="387"/>
        <item x="333"/>
        <item x="711"/>
        <item x="700"/>
        <item x="54"/>
        <item x="451"/>
        <item x="577"/>
        <item x="255"/>
        <item x="114"/>
        <item x="221"/>
        <item x="344"/>
        <item x="69"/>
        <item x="25"/>
        <item x="570"/>
        <item x="587"/>
        <item x="841"/>
        <item x="748"/>
        <item x="649"/>
        <item x="327"/>
        <item x="618"/>
        <item x="233"/>
        <item x="611"/>
        <item x="932"/>
        <item x="750"/>
        <item x="304"/>
        <item x="247"/>
        <item x="201"/>
        <item x="401"/>
        <item x="426"/>
        <item x="616"/>
        <item x="536"/>
        <item x="757"/>
        <item x="950"/>
        <item x="628"/>
        <item x="57"/>
        <item x="241"/>
        <item x="449"/>
        <item x="332"/>
        <item x="42"/>
        <item x="58"/>
        <item x="421"/>
        <item x="18"/>
        <item x="792"/>
        <item x="305"/>
        <item x="728"/>
        <item x="53"/>
        <item x="765"/>
        <item x="44"/>
        <item x="155"/>
        <item x="246"/>
        <item x="164"/>
        <item x="111"/>
        <item x="922"/>
        <item x="632"/>
        <item x="64"/>
        <item x="290"/>
        <item x="569"/>
        <item x="493"/>
        <item x="145"/>
        <item x="732"/>
        <item x="142"/>
        <item x="379"/>
        <item x="490"/>
        <item x="263"/>
        <item x="827"/>
        <item x="115"/>
        <item x="77"/>
        <item x="245"/>
        <item x="322"/>
        <item x="574"/>
        <item x="576"/>
        <item x="545"/>
        <item x="801"/>
        <item x="161"/>
        <item x="446"/>
        <item x="866"/>
        <item x="900"/>
        <item x="580"/>
        <item x="73"/>
        <item x="707"/>
        <item x="463"/>
        <item x="480"/>
        <item x="268"/>
        <item x="444"/>
        <item x="927"/>
        <item x="281"/>
        <item x="230"/>
        <item x="0"/>
        <item x="469"/>
        <item x="934"/>
        <item x="259"/>
        <item x="910"/>
        <item x="252"/>
        <item x="301"/>
        <item x="659"/>
        <item x="28"/>
        <item x="231"/>
        <item x="786"/>
        <item x="267"/>
        <item x="643"/>
        <item x="287"/>
        <item x="802"/>
        <item x="297"/>
        <item x="815"/>
        <item x="369"/>
        <item x="622"/>
        <item x="955"/>
        <item x="663"/>
        <item x="594"/>
        <item x="203"/>
        <item x="280"/>
        <item x="486"/>
        <item x="458"/>
        <item x="82"/>
        <item x="553"/>
        <item x="637"/>
        <item x="92"/>
        <item x="427"/>
        <item x="139"/>
        <item x="364"/>
        <item x="648"/>
        <item x="27"/>
        <item x="505"/>
        <item x="442"/>
        <item x="517"/>
        <item x="299"/>
        <item x="378"/>
        <item x="68"/>
        <item x="420"/>
        <item x="239"/>
        <item x="824"/>
        <item x="308"/>
        <item x="498"/>
        <item x="752"/>
        <item x="928"/>
        <item x="269"/>
        <item x="883"/>
        <item x="759"/>
        <item x="473"/>
        <item x="867"/>
        <item x="317"/>
        <item x="455"/>
        <item x="682"/>
        <item x="470"/>
        <item x="244"/>
        <item x="640"/>
        <item x="734"/>
        <item x="722"/>
        <item x="647"/>
        <item x="341"/>
        <item x="193"/>
        <item x="424"/>
        <item x="94"/>
        <item x="131"/>
        <item x="126"/>
        <item x="279"/>
        <item x="840"/>
        <item x="339"/>
        <item x="945"/>
        <item x="253"/>
        <item x="440"/>
        <item x="565"/>
        <item x="50"/>
        <item x="400"/>
        <item x="150"/>
        <item x="685"/>
        <item x="271"/>
        <item x="689"/>
        <item x="123"/>
        <item x="200"/>
        <item x="272"/>
        <item x="903"/>
        <item x="890"/>
        <item x="683"/>
        <item x="260"/>
        <item x="919"/>
        <item x="592"/>
        <item x="926"/>
        <item x="103"/>
        <item x="869"/>
        <item x="717"/>
        <item x="439"/>
        <item x="47"/>
        <item x="886"/>
        <item x="715"/>
        <item x="858"/>
        <item x="825"/>
        <item x="680"/>
        <item x="933"/>
        <item x="293"/>
        <item x="947"/>
        <item x="561"/>
        <item x="791"/>
        <item x="31"/>
        <item x="22"/>
        <item x="14"/>
        <item x="338"/>
        <item x="829"/>
        <item x="65"/>
        <item x="676"/>
        <item x="3"/>
        <item x="292"/>
        <item x="667"/>
        <item x="466"/>
        <item x="837"/>
        <item x="70"/>
        <item x="337"/>
        <item x="898"/>
        <item x="370"/>
        <item x="525"/>
        <item x="877"/>
        <item x="243"/>
        <item x="889"/>
        <item x="296"/>
        <item x="129"/>
        <item x="109"/>
        <item x="542"/>
        <item x="953"/>
        <item x="954"/>
        <item x="854"/>
        <item x="388"/>
        <item x="159"/>
        <item x="916"/>
        <item x="598"/>
        <item x="806"/>
        <item x="650"/>
        <item x="725"/>
        <item x="555"/>
        <item x="549"/>
        <item x="156"/>
        <item x="343"/>
        <item x="121"/>
        <item x="347"/>
        <item x="520"/>
        <item x="484"/>
        <item x="671"/>
        <item x="756"/>
        <item x="249"/>
        <item x="225"/>
        <item x="735"/>
        <item x="135"/>
        <item x="144"/>
        <item x="730"/>
        <item x="171"/>
        <item x="472"/>
        <item x="881"/>
        <item x="776"/>
        <item x="502"/>
        <item x="631"/>
        <item x="321"/>
        <item x="600"/>
        <item x="665"/>
        <item x="190"/>
        <item x="363"/>
        <item x="489"/>
        <item x="777"/>
        <item x="784"/>
        <item x="6"/>
        <item x="673"/>
        <item x="495"/>
        <item x="533"/>
        <item x="320"/>
        <item x="136"/>
        <item x="769"/>
        <item x="119"/>
        <item x="694"/>
        <item x="99"/>
        <item x="196"/>
        <item x="807"/>
        <item x="395"/>
        <item x="288"/>
        <item x="39"/>
        <item x="7"/>
        <item x="888"/>
        <item x="503"/>
        <item x="751"/>
        <item x="24"/>
        <item x="579"/>
        <item x="719"/>
        <item x="318"/>
        <item x="125"/>
        <item x="415"/>
        <item x="60"/>
        <item x="514"/>
        <item x="727"/>
        <item x="147"/>
        <item x="733"/>
        <item x="941"/>
        <item x="52"/>
        <item x="127"/>
        <item x="248"/>
        <item x="560"/>
        <item x="510"/>
        <item x="630"/>
        <item x="826"/>
        <item x="564"/>
        <item x="326"/>
        <item x="658"/>
        <item x="130"/>
        <item x="162"/>
        <item x="120"/>
        <item x="698"/>
        <item x="235"/>
        <item x="194"/>
        <item x="705"/>
        <item x="376"/>
        <item x="185"/>
        <item x="891"/>
        <item x="790"/>
        <item x="475"/>
        <item x="803"/>
        <item x="905"/>
        <item x="410"/>
        <item x="773"/>
        <item x="653"/>
        <item x="795"/>
        <item x="931"/>
        <item x="822"/>
        <item x="817"/>
        <item x="29"/>
        <item x="313"/>
        <item x="107"/>
        <item x="372"/>
        <item x="861"/>
        <item x="541"/>
        <item x="706"/>
        <item x="218"/>
        <item x="893"/>
        <item x="593"/>
        <item x="212"/>
        <item x="464"/>
        <item x="217"/>
        <item x="202"/>
        <item x="639"/>
        <item x="811"/>
        <item x="282"/>
        <item x="319"/>
        <item x="747"/>
        <item x="793"/>
        <item x="527"/>
        <item x="232"/>
        <item x="375"/>
        <item x="137"/>
        <item x="518"/>
        <item x="386"/>
        <item x="112"/>
        <item x="284"/>
        <item x="98"/>
        <item x="412"/>
        <item x="381"/>
        <item x="168"/>
        <item x="335"/>
        <item x="371"/>
        <item x="519"/>
        <item x="929"/>
        <item x="781"/>
        <item x="664"/>
        <item x="277"/>
        <item x="149"/>
        <item x="672"/>
        <item x="256"/>
        <item x="716"/>
        <item x="901"/>
        <item x="140"/>
        <item x="1"/>
        <item x="766"/>
        <item x="913"/>
        <item x="675"/>
        <item x="507"/>
        <item x="411"/>
        <item x="242"/>
        <item x="85"/>
        <item x="93"/>
        <item x="656"/>
        <item x="599"/>
        <item x="821"/>
        <item x="407"/>
        <item x="166"/>
        <item x="208"/>
        <item x="8"/>
        <item x="45"/>
        <item x="165"/>
        <item x="731"/>
        <item x="538"/>
        <item x="349"/>
        <item x="614"/>
        <item x="529"/>
        <item x="151"/>
        <item x="133"/>
        <item x="189"/>
        <item x="736"/>
        <item x="754"/>
        <item x="831"/>
        <item x="141"/>
        <item x="10"/>
        <item x="669"/>
        <item x="170"/>
        <item x="762"/>
        <item x="720"/>
        <item x="814"/>
        <item x="646"/>
        <item x="849"/>
        <item x="812"/>
        <item x="447"/>
        <item x="524"/>
        <item x="604"/>
        <item x="946"/>
        <item x="350"/>
        <item x="454"/>
        <item x="772"/>
        <item x="497"/>
        <item x="583"/>
        <item x="409"/>
        <item x="780"/>
        <item x="654"/>
        <item x="558"/>
        <item x="270"/>
        <item x="389"/>
        <item x="641"/>
        <item x="352"/>
        <item x="81"/>
        <item x="254"/>
        <item x="605"/>
        <item x="302"/>
        <item x="566"/>
        <item x="688"/>
        <item x="562"/>
        <item x="186"/>
        <item x="118"/>
        <item x="91"/>
        <item x="240"/>
        <item x="223"/>
        <item x="450"/>
        <item x="704"/>
        <item x="138"/>
        <item x="626"/>
        <item x="709"/>
        <item x="534"/>
        <item x="742"/>
        <item x="30"/>
        <item x="943"/>
        <item x="816"/>
        <item x="34"/>
        <item x="437"/>
        <item x="314"/>
        <item x="76"/>
        <item x="864"/>
        <item x="366"/>
        <item x="788"/>
        <item x="436"/>
        <item x="262"/>
        <item x="163"/>
        <item x="956"/>
        <item x="385"/>
        <item x="833"/>
        <item x="188"/>
        <item x="847"/>
        <item x="312"/>
        <item x="23"/>
        <item x="496"/>
        <item x="459"/>
        <item x="852"/>
        <item x="285"/>
        <item x="365"/>
        <item x="482"/>
        <item x="853"/>
        <item x="572"/>
        <item x="699"/>
        <item x="418"/>
        <item x="537"/>
        <item x="330"/>
        <item x="250"/>
        <item x="89"/>
        <item x="192"/>
        <item x="4"/>
        <item x="49"/>
        <item x="644"/>
        <item x="460"/>
        <item x="823"/>
        <item x="110"/>
        <item x="633"/>
        <item x="71"/>
        <item x="122"/>
        <item x="35"/>
        <item x="229"/>
        <item x="353"/>
        <item x="176"/>
        <item x="67"/>
        <item x="860"/>
        <item x="100"/>
        <item x="844"/>
        <item x="692"/>
        <item x="32"/>
        <item x="575"/>
        <item x="526"/>
        <item x="394"/>
        <item x="462"/>
        <item x="478"/>
        <item x="105"/>
        <item x="183"/>
        <item x="603"/>
        <item x="331"/>
        <item x="83"/>
        <item x="552"/>
        <item x="84"/>
        <item x="206"/>
        <item x="951"/>
        <item x="108"/>
        <item x="855"/>
        <item x="361"/>
        <item x="467"/>
        <item x="465"/>
        <item x="859"/>
        <item x="286"/>
        <item x="37"/>
        <item x="428"/>
        <item x="197"/>
        <item x="613"/>
        <item x="291"/>
        <item x="323"/>
        <item x="504"/>
        <item x="702"/>
        <item x="911"/>
        <item x="238"/>
        <item x="949"/>
        <item x="396"/>
        <item x="358"/>
        <item x="805"/>
        <item x="743"/>
        <item x="636"/>
        <item x="868"/>
        <item x="610"/>
        <item x="681"/>
        <item x="275"/>
        <item x="522"/>
        <item x="608"/>
        <item x="865"/>
        <item x="540"/>
        <item x="718"/>
        <item x="174"/>
        <item x="857"/>
        <item x="403"/>
        <item x="16"/>
        <item x="329"/>
        <item x="551"/>
        <item x="266"/>
        <item x="511"/>
        <item x="796"/>
        <item x="894"/>
        <item x="398"/>
        <item x="172"/>
        <item x="422"/>
        <item x="661"/>
        <item x="915"/>
        <item x="488"/>
        <item x="942"/>
        <item x="430"/>
        <item x="737"/>
        <item x="102"/>
        <item x="373"/>
        <item x="160"/>
        <item x="391"/>
        <item x="309"/>
        <item x="873"/>
        <item x="813"/>
        <item x="930"/>
        <item x="902"/>
        <item x="582"/>
        <item x="714"/>
        <item x="303"/>
        <item x="307"/>
        <item x="283"/>
        <item x="261"/>
        <item x="782"/>
        <item x="789"/>
        <item x="763"/>
        <item x="925"/>
        <item x="15"/>
        <item x="157"/>
        <item x="940"/>
        <item x="745"/>
        <item x="729"/>
        <item x="767"/>
        <item x="921"/>
        <item x="191"/>
        <item x="783"/>
        <item x="846"/>
        <item x="56"/>
        <item x="19"/>
        <item x="770"/>
        <item x="779"/>
        <item x="887"/>
        <item x="441"/>
        <item x="567"/>
        <item x="586"/>
        <item x="431"/>
        <item x="539"/>
        <item x="63"/>
        <item x="356"/>
        <item x="543"/>
        <item x="501"/>
        <item x="294"/>
        <item x="55"/>
        <item x="274"/>
        <item x="797"/>
        <item x="668"/>
        <item x="392"/>
        <item x="336"/>
        <item x="38"/>
        <item x="655"/>
        <item x="761"/>
        <item x="128"/>
        <item x="96"/>
        <item x="918"/>
        <item x="86"/>
        <item x="619"/>
        <item x="481"/>
        <item x="443"/>
        <item x="413"/>
        <item x="645"/>
        <item x="697"/>
        <item x="746"/>
        <item x="26"/>
        <item x="506"/>
        <item x="563"/>
        <item x="340"/>
        <item x="774"/>
        <item x="556"/>
        <item x="528"/>
        <item x="222"/>
        <item x="346"/>
        <item x="97"/>
        <item x="419"/>
        <item x="739"/>
        <item x="936"/>
        <item x="662"/>
        <item x="588"/>
        <item x="568"/>
        <item x="530"/>
        <item x="851"/>
        <item x="368"/>
        <item x="917"/>
        <item x="132"/>
        <item x="760"/>
        <item x="453"/>
        <item x="152"/>
        <item x="601"/>
        <item x="226"/>
        <item x="938"/>
        <item x="874"/>
        <item x="635"/>
        <item x="224"/>
        <item x="509"/>
        <item x="856"/>
        <item x="838"/>
        <item x="59"/>
        <item x="557"/>
        <item x="602"/>
        <item x="228"/>
        <item x="264"/>
        <item x="237"/>
        <item x="87"/>
        <item x="21"/>
        <item x="559"/>
        <item x="571"/>
        <item x="684"/>
        <item x="880"/>
        <item x="775"/>
        <item x="216"/>
        <item x="642"/>
        <item x="227"/>
        <item x="620"/>
        <item x="879"/>
        <item x="204"/>
        <item x="842"/>
        <item x="738"/>
        <item x="878"/>
        <item x="181"/>
        <item x="487"/>
        <item x="432"/>
        <item x="713"/>
        <item x="547"/>
        <item x="862"/>
        <item x="690"/>
        <item x="584"/>
        <item x="461"/>
        <item x="182"/>
        <item x="839"/>
        <item x="74"/>
        <item x="179"/>
        <item x="414"/>
        <item x="95"/>
        <item x="819"/>
        <item x="679"/>
        <item x="258"/>
        <item x="749"/>
        <item x="79"/>
        <item x="219"/>
        <item x="924"/>
        <item x="591"/>
        <item x="686"/>
        <item x="448"/>
        <item x="818"/>
        <item x="425"/>
        <item x="885"/>
        <item x="384"/>
        <item x="835"/>
        <item x="500"/>
        <item x="113"/>
        <item x="845"/>
        <item x="638"/>
        <item x="289"/>
        <item x="696"/>
        <item x="405"/>
        <item x="848"/>
        <item x="758"/>
        <item x="210"/>
        <item x="20"/>
        <item x="607"/>
        <item x="958"/>
        <item x="624"/>
        <item x="939"/>
        <item x="404"/>
        <item x="896"/>
        <item x="660"/>
        <item x="834"/>
        <item x="596"/>
        <item x="382"/>
        <item x="691"/>
        <item x="499"/>
        <item x="180"/>
        <item x="578"/>
        <item x="627"/>
        <item x="589"/>
        <item x="75"/>
        <item x="169"/>
        <item x="623"/>
        <item x="257"/>
        <item x="678"/>
        <item x="884"/>
        <item x="456"/>
        <item x="794"/>
        <item x="48"/>
        <item x="832"/>
        <item x="187"/>
        <item x="40"/>
        <item x="799"/>
        <item x="104"/>
        <item x="871"/>
        <item x="311"/>
        <item x="897"/>
        <item x="88"/>
        <item x="402"/>
        <item x="548"/>
        <item x="513"/>
        <item x="452"/>
        <item x="615"/>
        <item x="90"/>
        <item x="195"/>
        <item x="695"/>
        <item x="390"/>
        <item x="521"/>
        <item x="948"/>
        <item x="62"/>
        <item x="710"/>
        <item x="550"/>
        <item x="785"/>
        <item x="906"/>
        <item x="383"/>
        <item x="912"/>
        <item x="800"/>
        <item x="5"/>
        <item x="46"/>
        <item x="374"/>
        <item x="957"/>
        <item x="78"/>
        <item x="609"/>
        <item x="778"/>
        <item x="892"/>
        <item x="625"/>
        <item x="377"/>
        <item x="882"/>
        <item x="666"/>
        <item x="310"/>
        <item x="51"/>
        <item x="872"/>
        <item x="134"/>
        <item x="670"/>
        <item x="863"/>
        <item x="677"/>
        <item x="236"/>
        <item x="708"/>
        <item x="11"/>
        <item x="810"/>
        <item x="870"/>
        <item x="674"/>
        <item x="721"/>
        <item x="959"/>
        <item x="471"/>
        <item x="935"/>
        <item x="753"/>
        <item x="787"/>
        <item x="687"/>
        <item x="809"/>
        <item x="843"/>
        <item x="479"/>
        <item x="417"/>
        <item x="606"/>
        <item x="124"/>
        <item x="546"/>
        <item x="523"/>
        <item x="148"/>
        <item x="723"/>
        <item x="199"/>
        <item x="726"/>
        <item x="167"/>
        <item x="909"/>
        <item x="512"/>
        <item x="744"/>
        <item x="177"/>
        <item x="508"/>
        <item x="581"/>
        <item x="80"/>
        <item x="211"/>
        <item x="741"/>
        <item t="default"/>
      </items>
    </pivotField>
    <pivotField compact="0" numFmtId="4" showAll="0">
      <items count="2259">
        <item x="1732"/>
        <item x="2015"/>
        <item x="1280"/>
        <item x="1261"/>
        <item x="2074"/>
        <item x="1400"/>
        <item x="1149"/>
        <item x="1879"/>
        <item x="2061"/>
        <item x="1867"/>
        <item x="2099"/>
        <item x="2014"/>
        <item x="1676"/>
        <item x="875"/>
        <item x="137"/>
        <item x="705"/>
        <item x="1114"/>
        <item x="686"/>
        <item x="1059"/>
        <item x="623"/>
        <item x="1871"/>
        <item x="930"/>
        <item x="2114"/>
        <item x="1072"/>
        <item x="704"/>
        <item x="530"/>
        <item x="1987"/>
        <item x="1880"/>
        <item x="865"/>
        <item x="2128"/>
        <item x="129"/>
        <item x="804"/>
        <item x="1738"/>
        <item x="1316"/>
        <item x="2051"/>
        <item x="529"/>
        <item x="789"/>
        <item x="663"/>
        <item x="439"/>
        <item x="2219"/>
        <item x="1708"/>
        <item x="1456"/>
        <item x="2186"/>
        <item x="597"/>
        <item x="601"/>
        <item x="371"/>
        <item x="1086"/>
        <item x="1393"/>
        <item x="1457"/>
        <item x="1419"/>
        <item x="736"/>
        <item x="827"/>
        <item x="1122"/>
        <item x="735"/>
        <item x="1739"/>
        <item x="1115"/>
        <item x="911"/>
        <item x="115"/>
        <item x="1109"/>
        <item x="98"/>
        <item x="2141"/>
        <item x="1639"/>
        <item x="1386"/>
        <item x="99"/>
        <item x="505"/>
        <item x="2209"/>
        <item x="15"/>
        <item x="1627"/>
        <item x="997"/>
        <item x="690"/>
        <item x="856"/>
        <item x="470"/>
        <item x="303"/>
        <item x="1124"/>
        <item x="899"/>
        <item x="993"/>
        <item x="1521"/>
        <item x="2167"/>
        <item x="186"/>
        <item x="815"/>
        <item x="1900"/>
        <item x="1950"/>
        <item x="751"/>
        <item x="474"/>
        <item x="151"/>
        <item x="1614"/>
        <item x="570"/>
        <item x="405"/>
        <item x="1514"/>
        <item x="2159"/>
        <item x="1862"/>
        <item x="39"/>
        <item x="611"/>
        <item x="318"/>
        <item x="1761"/>
        <item x="1478"/>
        <item x="636"/>
        <item x="1293"/>
        <item x="1613"/>
        <item x="589"/>
        <item x="1747"/>
        <item x="1087"/>
        <item x="1914"/>
        <item x="1959"/>
        <item x="392"/>
        <item x="301"/>
        <item x="232"/>
        <item x="425"/>
        <item x="2068"/>
        <item x="9"/>
        <item x="220"/>
        <item x="1651"/>
        <item x="1685"/>
        <item x="309"/>
        <item x="1769"/>
        <item x="231"/>
        <item x="359"/>
        <item x="628"/>
        <item x="1323"/>
        <item x="1006"/>
        <item x="64"/>
        <item x="1949"/>
        <item x="620"/>
        <item x="2138"/>
        <item x="1468"/>
        <item x="1251"/>
        <item x="2247"/>
        <item x="1624"/>
        <item x="759"/>
        <item x="1998"/>
        <item x="217"/>
        <item x="731"/>
        <item x="2143"/>
        <item x="953"/>
        <item x="1126"/>
        <item x="592"/>
        <item x="165"/>
        <item x="185"/>
        <item x="1365"/>
        <item x="1269"/>
        <item x="1937"/>
        <item x="946"/>
        <item x="1031"/>
        <item x="1214"/>
        <item x="1623"/>
        <item x="1476"/>
        <item x="2172"/>
        <item x="17"/>
        <item x="494"/>
        <item x="233"/>
        <item x="1815"/>
        <item x="966"/>
        <item x="306"/>
        <item x="1779"/>
        <item x="522"/>
        <item x="466"/>
        <item x="1838"/>
        <item x="1727"/>
        <item x="123"/>
        <item x="1518"/>
        <item x="1061"/>
        <item x="2163"/>
        <item x="1431"/>
        <item x="1636"/>
        <item x="593"/>
        <item x="574"/>
        <item x="2140"/>
        <item x="1011"/>
        <item x="1033"/>
        <item x="635"/>
        <item x="1896"/>
        <item x="511"/>
        <item x="450"/>
        <item x="1239"/>
        <item x="867"/>
        <item x="216"/>
        <item x="2103"/>
        <item x="1550"/>
        <item x="913"/>
        <item x="2077"/>
        <item x="955"/>
        <item x="697"/>
        <item x="1618"/>
        <item x="1832"/>
        <item x="1588"/>
        <item x="432"/>
        <item x="552"/>
        <item x="1444"/>
        <item x="1992"/>
        <item x="355"/>
        <item x="990"/>
        <item x="41"/>
        <item x="1499"/>
        <item x="1273"/>
        <item x="2216"/>
        <item x="2249"/>
        <item x="720"/>
        <item x="1463"/>
        <item x="457"/>
        <item x="462"/>
        <item x="1744"/>
        <item x="561"/>
        <item x="1910"/>
        <item x="117"/>
        <item x="225"/>
        <item x="544"/>
        <item x="838"/>
        <item x="413"/>
        <item x="858"/>
        <item x="2092"/>
        <item x="975"/>
        <item x="987"/>
        <item x="1706"/>
        <item x="1258"/>
        <item x="1195"/>
        <item x="1306"/>
        <item x="35"/>
        <item x="1817"/>
        <item x="482"/>
        <item x="538"/>
        <item x="149"/>
        <item x="2040"/>
        <item x="1494"/>
        <item x="1005"/>
        <item x="1406"/>
        <item x="665"/>
        <item x="236"/>
        <item x="648"/>
        <item x="2002"/>
        <item x="787"/>
        <item x="1902"/>
        <item x="685"/>
        <item x="1842"/>
        <item x="625"/>
        <item x="196"/>
        <item x="484"/>
        <item x="271"/>
        <item x="1340"/>
        <item x="297"/>
        <item x="2033"/>
        <item x="767"/>
        <item x="1728"/>
        <item x="1783"/>
        <item x="609"/>
        <item x="1926"/>
        <item x="698"/>
        <item x="2215"/>
        <item x="410"/>
        <item x="72"/>
        <item x="540"/>
        <item x="288"/>
        <item x="769"/>
        <item x="1789"/>
        <item x="132"/>
        <item x="1990"/>
        <item x="902"/>
        <item x="1554"/>
        <item x="369"/>
        <item x="762"/>
        <item x="773"/>
        <item x="2073"/>
        <item x="2016"/>
        <item x="183"/>
        <item x="455"/>
        <item x="1327"/>
        <item x="1836"/>
        <item x="619"/>
        <item x="63"/>
        <item x="379"/>
        <item x="1095"/>
        <item x="1075"/>
        <item x="1799"/>
        <item x="651"/>
        <item x="1570"/>
        <item x="1999"/>
        <item x="2"/>
        <item x="890"/>
        <item x="440"/>
        <item x="408"/>
        <item x="1745"/>
        <item x="702"/>
        <item x="847"/>
        <item x="1138"/>
        <item x="24"/>
        <item x="1132"/>
        <item x="1354"/>
        <item x="459"/>
        <item x="370"/>
        <item x="669"/>
        <item x="979"/>
        <item x="230"/>
        <item x="1502"/>
        <item x="1549"/>
        <item x="258"/>
        <item x="1666"/>
        <item x="2075"/>
        <item x="859"/>
        <item x="1467"/>
        <item x="307"/>
        <item x="1243"/>
        <item x="689"/>
        <item x="1460"/>
        <item x="750"/>
        <item x="1277"/>
        <item x="211"/>
        <item x="295"/>
        <item x="299"/>
        <item x="1173"/>
        <item x="1921"/>
        <item x="1534"/>
        <item x="964"/>
        <item x="1482"/>
        <item x="1191"/>
        <item x="1448"/>
        <item x="12"/>
        <item x="1247"/>
        <item x="1193"/>
        <item x="1935"/>
        <item x="215"/>
        <item x="486"/>
        <item x="2218"/>
        <item x="428"/>
        <item x="878"/>
        <item x="758"/>
        <item x="1420"/>
        <item x="380"/>
        <item x="954"/>
        <item x="952"/>
        <item x="1766"/>
        <item x="1774"/>
        <item x="1770"/>
        <item x="726"/>
        <item x="453"/>
        <item x="1503"/>
        <item x="1098"/>
        <item x="488"/>
        <item x="2054"/>
        <item x="1180"/>
        <item x="2149"/>
        <item x="1907"/>
        <item x="27"/>
        <item x="311"/>
        <item x="382"/>
        <item x="422"/>
        <item x="970"/>
        <item x="338"/>
        <item x="1647"/>
        <item x="1668"/>
        <item x="2199"/>
        <item x="1673"/>
        <item x="358"/>
        <item x="545"/>
        <item x="1579"/>
        <item x="1100"/>
        <item x="1108"/>
        <item x="76"/>
        <item x="2225"/>
        <item x="1337"/>
        <item x="13"/>
        <item x="1787"/>
        <item x="2029"/>
        <item x="1572"/>
        <item x="347"/>
        <item x="761"/>
        <item x="1282"/>
        <item x="1453"/>
        <item x="2119"/>
        <item x="341"/>
        <item x="302"/>
        <item x="121"/>
        <item x="770"/>
        <item x="1451"/>
        <item x="162"/>
        <item x="722"/>
        <item x="1800"/>
        <item x="1742"/>
        <item x="1562"/>
        <item x="2052"/>
        <item x="1175"/>
        <item x="2133"/>
        <item x="1275"/>
        <item x="1980"/>
        <item x="599"/>
        <item x="262"/>
        <item x="423"/>
        <item x="627"/>
        <item x="2008"/>
        <item x="169"/>
        <item x="1504"/>
        <item x="504"/>
        <item x="519"/>
        <item x="393"/>
        <item x="692"/>
        <item x="1877"/>
        <item x="148"/>
        <item x="556"/>
        <item x="790"/>
        <item x="974"/>
        <item x="292"/>
        <item x="356"/>
        <item x="928"/>
        <item x="2105"/>
        <item x="1410"/>
        <item x="91"/>
        <item x="1238"/>
        <item x="239"/>
        <item x="661"/>
        <item x="821"/>
        <item x="1148"/>
        <item x="491"/>
        <item x="1417"/>
        <item x="1597"/>
        <item x="1498"/>
        <item x="1752"/>
        <item x="177"/>
        <item x="383"/>
        <item x="493"/>
        <item x="1601"/>
        <item x="742"/>
        <item x="1552"/>
        <item x="558"/>
        <item x="1697"/>
        <item x="52"/>
        <item x="1855"/>
        <item x="1288"/>
        <item x="1780"/>
        <item x="1544"/>
        <item x="1234"/>
        <item x="2254"/>
        <item x="879"/>
        <item x="817"/>
        <item x="2229"/>
        <item x="1363"/>
        <item x="1974"/>
        <item x="1629"/>
        <item x="2079"/>
        <item x="1435"/>
        <item x="67"/>
        <item x="1465"/>
        <item x="1168"/>
        <item x="240"/>
        <item x="1360"/>
        <item x="2082"/>
        <item x="224"/>
        <item x="1421"/>
        <item x="579"/>
        <item x="1218"/>
        <item x="430"/>
        <item x="976"/>
        <item x="1312"/>
        <item x="1892"/>
        <item x="1440"/>
        <item x="1117"/>
        <item x="1378"/>
        <item x="652"/>
        <item x="869"/>
        <item x="782"/>
        <item x="106"/>
        <item x="2183"/>
        <item x="308"/>
        <item x="1784"/>
        <item x="963"/>
        <item x="1224"/>
        <item x="395"/>
        <item x="1387"/>
        <item x="915"/>
        <item x="1919"/>
        <item x="1344"/>
        <item x="1313"/>
        <item x="223"/>
        <item x="1555"/>
        <item x="62"/>
        <item x="101"/>
        <item x="1474"/>
        <item x="161"/>
        <item x="1696"/>
        <item x="467"/>
        <item x="2053"/>
        <item x="1785"/>
        <item x="938"/>
        <item x="1958"/>
        <item x="71"/>
        <item x="2142"/>
        <item x="1397"/>
        <item x="1911"/>
        <item x="268"/>
        <item x="2025"/>
        <item x="1145"/>
        <item x="1426"/>
        <item x="324"/>
        <item x="300"/>
        <item x="434"/>
        <item x="415"/>
        <item x="1645"/>
        <item x="880"/>
        <item x="534"/>
        <item x="463"/>
        <item x="1802"/>
        <item x="967"/>
        <item x="352"/>
        <item x="527"/>
        <item x="1394"/>
        <item x="881"/>
        <item x="682"/>
        <item x="1325"/>
        <item x="167"/>
        <item x="257"/>
        <item x="2227"/>
        <item x="981"/>
        <item x="394"/>
        <item x="2127"/>
        <item x="2060"/>
        <item x="596"/>
        <item x="524"/>
        <item x="427"/>
        <item x="768"/>
        <item x="2202"/>
        <item x="1840"/>
        <item x="2185"/>
        <item x="1830"/>
        <item x="1264"/>
        <item x="1089"/>
        <item x="1945"/>
        <item x="1479"/>
        <item x="2078"/>
        <item x="1174"/>
        <item x="1510"/>
        <item x="794"/>
        <item x="1162"/>
        <item x="1723"/>
        <item x="322"/>
        <item x="1152"/>
        <item x="1595"/>
        <item x="1101"/>
        <item x="2124"/>
        <item x="935"/>
        <item x="586"/>
        <item x="407"/>
        <item x="1973"/>
        <item x="146"/>
        <item x="1515"/>
        <item x="610"/>
        <item x="748"/>
        <item x="1566"/>
        <item x="941"/>
        <item x="811"/>
        <item x="1160"/>
        <item x="2069"/>
        <item x="1141"/>
        <item x="1376"/>
        <item x="1361"/>
        <item x="1861"/>
        <item x="775"/>
        <item x="2244"/>
        <item x="510"/>
        <item x="1004"/>
        <item x="1231"/>
        <item x="1582"/>
        <item x="283"/>
        <item x="253"/>
        <item x="1553"/>
        <item x="962"/>
        <item x="523"/>
        <item x="643"/>
        <item x="270"/>
        <item x="1591"/>
        <item x="1424"/>
        <item x="1890"/>
        <item x="578"/>
        <item x="778"/>
        <item x="1932"/>
        <item x="333"/>
        <item x="56"/>
        <item x="549"/>
        <item x="206"/>
        <item x="203"/>
        <item x="189"/>
        <item x="1733"/>
        <item x="727"/>
        <item x="630"/>
        <item x="1989"/>
        <item x="1418"/>
        <item x="1256"/>
        <item x="256"/>
        <item x="1985"/>
        <item x="1366"/>
        <item x="968"/>
        <item x="812"/>
        <item x="1626"/>
        <item x="404"/>
        <item x="2129"/>
        <item x="2090"/>
        <item x="1520"/>
        <item x="1353"/>
        <item x="81"/>
        <item x="934"/>
        <item x="1232"/>
        <item x="279"/>
        <item x="553"/>
        <item x="170"/>
        <item x="836"/>
        <item x="903"/>
        <item x="1966"/>
        <item x="1851"/>
        <item x="2132"/>
        <item x="160"/>
        <item x="1796"/>
        <item x="1996"/>
        <item x="73"/>
        <item x="252"/>
        <item x="1242"/>
        <item x="982"/>
        <item x="737"/>
        <item x="1970"/>
        <item x="1032"/>
        <item x="2131"/>
        <item x="1039"/>
        <item x="2072"/>
        <item x="1454"/>
        <item x="541"/>
        <item x="988"/>
        <item x="107"/>
        <item x="693"/>
        <item x="314"/>
        <item x="958"/>
        <item x="888"/>
        <item x="607"/>
        <item x="912"/>
        <item x="1901"/>
        <item x="120"/>
        <item x="26"/>
        <item x="766"/>
        <item x="960"/>
        <item x="1695"/>
        <item x="2031"/>
        <item x="280"/>
        <item x="1067"/>
        <item x="2030"/>
        <item x="2251"/>
        <item x="501"/>
        <item x="577"/>
        <item x="1103"/>
        <item x="172"/>
        <item x="900"/>
        <item x="1903"/>
        <item x="1523"/>
        <item x="1437"/>
        <item x="1865"/>
        <item x="2158"/>
        <item x="337"/>
        <item x="803"/>
        <item x="133"/>
        <item x="1655"/>
        <item x="2253"/>
        <item x="1255"/>
        <item x="1203"/>
        <item x="317"/>
        <item x="1662"/>
        <item x="949"/>
        <item x="1245"/>
        <item x="887"/>
        <item x="156"/>
        <item x="892"/>
        <item x="841"/>
        <item x="1635"/>
        <item x="933"/>
        <item x="1469"/>
        <item x="995"/>
        <item x="180"/>
        <item x="1079"/>
        <item x="1841"/>
        <item x="1390"/>
        <item x="2144"/>
        <item x="1048"/>
        <item x="2226"/>
        <item x="2238"/>
        <item x="147"/>
        <item x="2211"/>
        <item x="1358"/>
        <item x="672"/>
        <item x="2154"/>
        <item x="1267"/>
        <item x="1430"/>
        <item x="1281"/>
        <item x="2085"/>
        <item x="951"/>
        <item x="143"/>
        <item x="808"/>
        <item x="40"/>
        <item x="1823"/>
        <item x="1801"/>
        <item x="559"/>
        <item x="1318"/>
        <item x="1279"/>
        <item x="1490"/>
        <item x="59"/>
        <item x="93"/>
        <item x="656"/>
        <item x="264"/>
        <item x="2190"/>
        <item x="1081"/>
        <item x="254"/>
        <item x="1715"/>
        <item x="1750"/>
        <item x="30"/>
        <item x="1414"/>
        <item x="2200"/>
        <item x="999"/>
        <item x="1111"/>
        <item x="645"/>
        <item x="512"/>
        <item x="1314"/>
        <item x="420"/>
        <item x="2007"/>
        <item x="1012"/>
        <item x="1107"/>
        <item x="1768"/>
        <item x="181"/>
        <item x="991"/>
        <item x="753"/>
        <item x="718"/>
        <item x="1962"/>
        <item x="531"/>
        <item x="1202"/>
        <item x="1952"/>
        <item x="1938"/>
        <item x="403"/>
        <item x="480"/>
        <item x="1513"/>
        <item x="2170"/>
        <item x="897"/>
        <item x="650"/>
        <item x="755"/>
        <item x="580"/>
        <item x="1062"/>
        <item x="336"/>
        <item x="2205"/>
        <item x="2224"/>
        <item x="1287"/>
        <item x="350"/>
        <item x="14"/>
        <item x="51"/>
        <item x="1705"/>
        <item x="112"/>
        <item x="1183"/>
        <item x="1385"/>
        <item x="959"/>
        <item x="662"/>
        <item x="2056"/>
        <item x="1205"/>
        <item x="55"/>
        <item x="1091"/>
        <item x="222"/>
        <item x="1096"/>
        <item x="90"/>
        <item x="340"/>
        <item x="2165"/>
        <item x="1827"/>
        <item x="849"/>
        <item x="605"/>
        <item x="377"/>
        <item x="1782"/>
        <item x="326"/>
        <item x="566"/>
        <item x="419"/>
        <item x="724"/>
        <item x="677"/>
        <item x="1222"/>
        <item x="828"/>
        <item x="321"/>
        <item x="173"/>
        <item x="1105"/>
        <item x="1854"/>
        <item x="1535"/>
        <item x="1948"/>
        <item x="1563"/>
        <item x="19"/>
        <item x="647"/>
        <item x="595"/>
        <item x="468"/>
        <item x="1135"/>
        <item x="1014"/>
        <item x="1112"/>
        <item x="2003"/>
        <item x="66"/>
        <item x="361"/>
        <item x="1646"/>
        <item x="591"/>
        <item x="684"/>
        <item x="2151"/>
        <item x="615"/>
        <item x="614"/>
        <item x="1791"/>
        <item x="2246"/>
        <item x="1675"/>
        <item x="1680"/>
        <item x="320"/>
        <item x="1585"/>
        <item x="569"/>
        <item x="456"/>
        <item x="150"/>
        <item x="1968"/>
        <item x="21"/>
        <item x="671"/>
        <item x="1013"/>
        <item x="1934"/>
        <item x="2050"/>
        <item x="1221"/>
        <item x="331"/>
        <item x="1665"/>
        <item x="1873"/>
        <item x="353"/>
        <item x="175"/>
        <item x="1756"/>
        <item x="1818"/>
        <item x="1913"/>
        <item x="1396"/>
        <item x="1760"/>
        <item x="373"/>
        <item x="1357"/>
        <item x="139"/>
        <item x="1305"/>
        <item x="1338"/>
        <item x="1650"/>
        <item x="229"/>
        <item x="1217"/>
        <item x="409"/>
        <item x="191"/>
        <item x="351"/>
        <item x="1856"/>
        <item x="116"/>
        <item x="1015"/>
        <item x="2242"/>
        <item x="986"/>
        <item x="1631"/>
        <item x="624"/>
        <item x="443"/>
        <item x="1315"/>
        <item x="118"/>
        <item x="119"/>
        <item x="398"/>
        <item x="247"/>
        <item x="676"/>
        <item x="483"/>
        <item x="2122"/>
        <item x="68"/>
        <item x="1920"/>
        <item x="1065"/>
        <item x="1930"/>
        <item x="687"/>
        <item x="1590"/>
        <item x="1317"/>
        <item x="1462"/>
        <item x="1185"/>
        <item x="1691"/>
        <item x="2104"/>
        <item x="1878"/>
        <item x="562"/>
        <item x="1150"/>
        <item x="111"/>
        <item x="520"/>
        <item x="2204"/>
        <item x="1972"/>
        <item x="642"/>
        <item x="1638"/>
        <item x="1192"/>
        <item x="2130"/>
        <item x="1933"/>
        <item x="2044"/>
        <item x="1047"/>
        <item x="907"/>
        <item x="265"/>
        <item x="103"/>
        <item x="464"/>
        <item x="1963"/>
        <item x="250"/>
        <item x="2207"/>
        <item x="1263"/>
        <item x="989"/>
        <item x="1869"/>
        <item x="712"/>
        <item x="1594"/>
        <item x="1035"/>
        <item x="1976"/>
        <item x="1714"/>
        <item x="1395"/>
        <item x="1236"/>
        <item x="1171"/>
        <item x="184"/>
        <item x="1775"/>
        <item x="497"/>
        <item x="1382"/>
        <item x="214"/>
        <item x="287"/>
        <item x="573"/>
        <item x="125"/>
        <item x="2231"/>
        <item x="400"/>
        <item x="255"/>
        <item x="1558"/>
        <item x="437"/>
        <item x="1698"/>
        <item x="376"/>
        <item x="272"/>
        <item x="113"/>
        <item x="498"/>
        <item x="581"/>
        <item x="2243"/>
        <item x="293"/>
        <item x="305"/>
        <item x="834"/>
        <item x="1888"/>
        <item x="925"/>
        <item x="58"/>
        <item x="1189"/>
        <item x="1472"/>
        <item x="1339"/>
        <item x="1541"/>
        <item x="1209"/>
        <item x="1619"/>
        <item x="1870"/>
        <item x="1575"/>
        <item x="144"/>
        <item x="388"/>
        <item x="263"/>
        <item x="816"/>
        <item x="155"/>
        <item x="1177"/>
        <item x="1858"/>
        <item x="2118"/>
        <item x="1564"/>
        <item x="1297"/>
        <item x="84"/>
        <item x="32"/>
        <item x="1445"/>
        <item x="565"/>
        <item x="378"/>
        <item x="680"/>
        <item x="1265"/>
        <item x="1953"/>
        <item x="1684"/>
        <item x="1176"/>
        <item x="2001"/>
        <item x="980"/>
        <item x="818"/>
        <item x="131"/>
        <item x="575"/>
        <item x="2222"/>
        <item x="2070"/>
        <item x="2086"/>
        <item x="1332"/>
        <item x="696"/>
        <item x="1729"/>
        <item x="441"/>
        <item x="1143"/>
        <item x="1994"/>
        <item x="1164"/>
        <item x="1283"/>
        <item x="606"/>
        <item x="1294"/>
        <item x="641"/>
        <item x="2111"/>
        <item x="673"/>
        <item x="1336"/>
        <item x="1511"/>
        <item x="412"/>
        <item x="831"/>
        <item x="1491"/>
        <item x="784"/>
        <item x="1843"/>
        <item x="1679"/>
        <item x="1443"/>
        <item x="269"/>
        <item x="717"/>
        <item x="1110"/>
        <item x="2187"/>
        <item x="2039"/>
        <item x="2182"/>
        <item x="1693"/>
        <item x="278"/>
        <item x="1897"/>
        <item x="2257"/>
        <item x="1551"/>
        <item x="732"/>
        <item x="1240"/>
        <item x="716"/>
        <item x="1276"/>
        <item x="329"/>
        <item x="1709"/>
        <item x="1270"/>
        <item x="0"/>
        <item x="1291"/>
        <item x="560"/>
        <item x="433"/>
        <item x="781"/>
        <item x="835"/>
        <item x="1027"/>
        <item x="1621"/>
        <item x="122"/>
        <item x="1505"/>
        <item x="948"/>
        <item x="2189"/>
        <item x="1689"/>
        <item x="1522"/>
        <item x="1188"/>
        <item x="1137"/>
        <item x="2081"/>
        <item x="1616"/>
        <item x="2196"/>
        <item x="654"/>
        <item x="1206"/>
        <item x="3"/>
        <item x="1574"/>
        <item x="1710"/>
        <item x="1519"/>
        <item x="1026"/>
        <item x="1022"/>
        <item x="801"/>
        <item x="1837"/>
        <item x="399"/>
        <item x="985"/>
        <item x="1736"/>
        <item x="633"/>
        <item x="1129"/>
        <item x="1190"/>
        <item x="1181"/>
        <item x="7"/>
        <item x="2041"/>
        <item x="1495"/>
        <item x="42"/>
        <item x="1487"/>
        <item x="75"/>
        <item x="1244"/>
        <item x="1374"/>
        <item x="2120"/>
        <item x="1268"/>
        <item x="853"/>
        <item x="349"/>
        <item x="2146"/>
        <item x="1536"/>
        <item x="2117"/>
        <item x="1538"/>
        <item x="1543"/>
        <item x="171"/>
        <item x="893"/>
        <item x="1024"/>
        <item x="1092"/>
        <item x="18"/>
        <item x="1375"/>
        <item x="983"/>
        <item x="2048"/>
        <item x="905"/>
        <item x="612"/>
        <item x="449"/>
        <item x="50"/>
        <item x="833"/>
        <item x="1492"/>
        <item x="2013"/>
        <item x="1819"/>
        <item x="2156"/>
        <item x="824"/>
        <item x="276"/>
        <item x="895"/>
        <item x="1528"/>
        <item x="2239"/>
        <item x="1480"/>
        <item x="873"/>
        <item x="629"/>
        <item x="1328"/>
        <item x="1508"/>
        <item x="1156"/>
        <item x="1155"/>
        <item x="273"/>
        <item x="854"/>
        <item x="842"/>
        <item x="1223"/>
        <item x="1759"/>
        <item x="1576"/>
        <item x="1310"/>
        <item x="1872"/>
        <item x="1610"/>
        <item x="1009"/>
        <item x="542"/>
        <item x="772"/>
        <item x="2214"/>
        <item x="1580"/>
        <item x="126"/>
        <item x="2049"/>
        <item x="442"/>
        <item x="334"/>
        <item x="1828"/>
        <item x="798"/>
        <item x="1927"/>
        <item x="1726"/>
        <item x="588"/>
        <item x="1816"/>
        <item x="1496"/>
        <item x="1161"/>
        <item x="723"/>
        <item x="1003"/>
        <item x="166"/>
        <item x="1885"/>
        <item x="102"/>
        <item x="1074"/>
        <item x="1661"/>
        <item x="837"/>
        <item x="1054"/>
        <item x="810"/>
        <item x="319"/>
        <item x="1806"/>
        <item x="749"/>
        <item x="508"/>
        <item x="739"/>
        <item x="916"/>
        <item x="194"/>
        <item x="1212"/>
        <item x="1978"/>
        <item x="1512"/>
        <item x="153"/>
        <item x="1131"/>
        <item x="69"/>
        <item x="2066"/>
        <item x="655"/>
        <item x="2236"/>
        <item x="829"/>
        <item x="992"/>
        <item x="1826"/>
        <item x="127"/>
        <item x="608"/>
        <item x="1682"/>
        <item x="1497"/>
        <item x="1849"/>
        <item x="1537"/>
        <item x="2100"/>
        <item x="1984"/>
        <item x="752"/>
        <item x="2055"/>
        <item x="860"/>
        <item x="1296"/>
        <item x="1844"/>
        <item x="1820"/>
        <item x="1540"/>
        <item x="1352"/>
        <item x="282"/>
        <item x="746"/>
        <item x="1423"/>
        <item x="109"/>
        <item x="2019"/>
        <item x="617"/>
        <item x="779"/>
        <item x="182"/>
        <item x="1002"/>
        <item x="2255"/>
        <item x="357"/>
        <item x="1608"/>
        <item x="1040"/>
        <item x="701"/>
        <item x="855"/>
        <item x="644"/>
        <item x="2058"/>
        <item x="568"/>
        <item x="499"/>
        <item x="213"/>
        <item x="436"/>
        <item x="445"/>
        <item x="1477"/>
        <item x="1701"/>
        <item x="2230"/>
        <item x="1547"/>
        <item x="29"/>
        <item x="479"/>
        <item x="765"/>
        <item x="1134"/>
        <item x="1371"/>
        <item x="1718"/>
        <item x="1667"/>
        <item x="2241"/>
        <item x="49"/>
        <item x="1438"/>
        <item x="1724"/>
        <item x="2106"/>
        <item x="1860"/>
        <item x="339"/>
        <item x="639"/>
        <item x="2208"/>
        <item x="1058"/>
        <item x="1147"/>
        <item x="163"/>
        <item x="2177"/>
        <item x="23"/>
        <item x="277"/>
        <item x="374"/>
        <item x="603"/>
        <item x="1711"/>
        <item x="22"/>
        <item x="1931"/>
        <item x="1942"/>
        <item x="1034"/>
        <item x="1722"/>
        <item x="533"/>
        <item x="814"/>
        <item x="429"/>
        <item x="281"/>
        <item x="1561"/>
        <item x="1725"/>
        <item x="1102"/>
        <item x="8"/>
        <item x="1044"/>
        <item x="2046"/>
        <item x="969"/>
        <item x="2107"/>
        <item x="602"/>
        <item x="202"/>
        <item x="1917"/>
        <item x="756"/>
        <item x="1923"/>
        <item x="795"/>
        <item x="195"/>
        <item x="584"/>
        <item x="567"/>
        <item x="1449"/>
        <item x="2045"/>
        <item x="1846"/>
        <item x="1404"/>
        <item x="2000"/>
        <item x="1319"/>
        <item x="653"/>
        <item x="2037"/>
        <item x="1821"/>
        <item x="209"/>
        <item x="1439"/>
        <item x="1874"/>
        <item x="1939"/>
        <item x="332"/>
        <item x="1545"/>
        <item x="809"/>
        <item x="1151"/>
        <item x="6"/>
        <item x="1578"/>
        <item x="1286"/>
        <item x="1672"/>
        <item x="1399"/>
        <item x="1771"/>
        <item x="1073"/>
        <item x="733"/>
        <item x="1446"/>
        <item x="1036"/>
        <item x="2206"/>
        <item x="679"/>
        <item x="1683"/>
        <item x="36"/>
        <item x="1415"/>
        <item x="138"/>
        <item x="786"/>
        <item x="1158"/>
        <item x="389"/>
        <item x="1253"/>
        <item x="1589"/>
        <item x="922"/>
        <item x="402"/>
        <item x="2011"/>
        <item x="1573"/>
        <item x="266"/>
        <item x="587"/>
        <item x="1235"/>
        <item x="634"/>
        <item x="1416"/>
        <item x="1392"/>
        <item x="1050"/>
        <item x="850"/>
        <item x="1924"/>
        <item x="783"/>
        <item x="235"/>
        <item x="738"/>
        <item x="1501"/>
        <item x="2139"/>
        <item x="1447"/>
        <item x="1961"/>
        <item x="825"/>
        <item x="760"/>
        <item x="1730"/>
        <item x="1940"/>
        <item x="1506"/>
        <item x="830"/>
        <item x="936"/>
        <item x="205"/>
        <item x="2248"/>
        <item x="945"/>
        <item x="2220"/>
        <item x="548"/>
        <item x="1000"/>
        <item x="1565"/>
        <item x="649"/>
        <item x="1068"/>
        <item x="2169"/>
        <item x="1473"/>
        <item x="1097"/>
        <item x="2038"/>
        <item x="996"/>
        <item x="1884"/>
        <item x="1944"/>
        <item x="386"/>
        <item x="532"/>
        <item x="2147"/>
        <item x="2181"/>
        <item x="142"/>
        <item x="797"/>
        <item x="1743"/>
        <item x="1025"/>
        <item x="1656"/>
        <item x="345"/>
        <item x="2035"/>
        <item x="2198"/>
        <item x="594"/>
        <item x="1380"/>
        <item x="674"/>
        <item x="1373"/>
        <item x="1941"/>
        <item x="785"/>
        <item x="1407"/>
        <item x="1640"/>
        <item x="694"/>
        <item x="1557"/>
        <item x="471"/>
        <item x="401"/>
        <item x="585"/>
        <item x="164"/>
        <item x="348"/>
        <item x="2213"/>
        <item x="10"/>
        <item x="1427"/>
        <item x="1249"/>
        <item x="598"/>
        <item x="972"/>
        <item x="251"/>
        <item x="863"/>
        <item x="1719"/>
        <item x="1777"/>
        <item x="1486"/>
        <item x="135"/>
        <item x="1045"/>
        <item x="1184"/>
        <item x="261"/>
        <item x="805"/>
        <item x="43"/>
        <item x="1139"/>
        <item x="1053"/>
        <item x="246"/>
        <item x="550"/>
        <item x="1227"/>
        <item x="2062"/>
        <item x="342"/>
        <item x="1778"/>
        <item x="1628"/>
        <item x="1694"/>
        <item x="1954"/>
        <item x="28"/>
        <item x="48"/>
        <item x="2235"/>
        <item x="1863"/>
        <item x="248"/>
        <item x="2091"/>
        <item x="917"/>
        <item x="367"/>
        <item x="1773"/>
        <item x="435"/>
        <item x="1951"/>
        <item x="1331"/>
        <item x="391"/>
        <item x="289"/>
        <item x="839"/>
        <item x="47"/>
        <item x="1077"/>
        <item x="1853"/>
        <item x="2087"/>
        <item x="105"/>
        <item x="1"/>
        <item x="174"/>
        <item x="978"/>
        <item x="1602"/>
        <item x="1876"/>
        <item x="1362"/>
        <item x="1569"/>
        <item x="1051"/>
        <item x="1433"/>
        <item x="1345"/>
        <item x="621"/>
        <item x="1991"/>
        <item x="159"/>
        <item x="1652"/>
        <item x="2116"/>
        <item x="866"/>
        <item x="1017"/>
        <item x="360"/>
        <item x="416"/>
        <item x="2064"/>
        <item x="1142"/>
        <item x="2096"/>
        <item x="45"/>
        <item x="793"/>
        <item x="1130"/>
        <item x="1596"/>
        <item x="396"/>
        <item x="2145"/>
        <item x="658"/>
        <item x="1765"/>
        <item x="1928"/>
        <item x="1751"/>
        <item x="1350"/>
        <item x="417"/>
        <item x="1792"/>
        <item x="1749"/>
        <item x="1772"/>
        <item x="2004"/>
        <item x="228"/>
        <item x="294"/>
        <item x="2188"/>
        <item x="1128"/>
        <item x="1979"/>
        <item x="1644"/>
        <item x="245"/>
        <item x="535"/>
        <item x="1809"/>
        <item x="961"/>
        <item x="1334"/>
        <item x="34"/>
        <item x="490"/>
        <item x="845"/>
        <item x="1329"/>
        <item x="2191"/>
        <item x="1955"/>
        <item x="330"/>
        <item x="478"/>
        <item x="86"/>
        <item x="473"/>
        <item x="741"/>
        <item x="1969"/>
        <item x="1127"/>
        <item x="563"/>
        <item x="496"/>
        <item x="343"/>
        <item x="1179"/>
        <item x="1309"/>
        <item x="1241"/>
        <item x="92"/>
        <item x="1384"/>
        <item x="1653"/>
        <item x="243"/>
        <item x="1021"/>
        <item x="526"/>
        <item x="1359"/>
        <item x="1166"/>
        <item x="1250"/>
        <item x="2009"/>
        <item x="1324"/>
        <item x="316"/>
        <item x="207"/>
        <item x="547"/>
        <item x="1094"/>
        <item x="241"/>
        <item x="2148"/>
        <item x="1349"/>
        <item x="862"/>
        <item x="1605"/>
        <item x="2195"/>
        <item x="274"/>
        <item x="1208"/>
        <item x="1388"/>
        <item x="1704"/>
        <item x="1488"/>
        <item x="1887"/>
        <item x="1542"/>
        <item x="1889"/>
        <item x="2021"/>
        <item x="1559"/>
        <item x="1057"/>
        <item x="1894"/>
        <item x="1720"/>
        <item x="2047"/>
        <item x="1516"/>
        <item x="381"/>
        <item x="1758"/>
        <item x="1539"/>
        <item x="638"/>
        <item x="600"/>
        <item x="1692"/>
        <item x="744"/>
        <item x="421"/>
        <item x="1292"/>
        <item x="323"/>
        <item x="515"/>
        <item x="1159"/>
        <item x="713"/>
        <item x="1019"/>
        <item x="667"/>
        <item x="1252"/>
        <item x="1637"/>
        <item x="1383"/>
        <item x="940"/>
        <item x="1485"/>
        <item x="1584"/>
        <item x="1788"/>
        <item x="1824"/>
        <item x="868"/>
        <item x="368"/>
        <item x="179"/>
        <item x="1018"/>
        <item x="221"/>
        <item x="500"/>
        <item x="2027"/>
        <item x="2017"/>
        <item x="1233"/>
        <item x="89"/>
        <item x="328"/>
        <item x="1028"/>
        <item x="1886"/>
        <item x="1577"/>
        <item x="70"/>
        <item x="1182"/>
        <item x="242"/>
        <item x="1957"/>
        <item x="130"/>
        <item x="88"/>
        <item x="452"/>
        <item x="37"/>
        <item x="1049"/>
        <item x="2193"/>
        <item x="1071"/>
        <item x="1422"/>
        <item x="1169"/>
        <item x="1187"/>
        <item x="1632"/>
        <item x="1369"/>
        <item x="543"/>
        <item x="1606"/>
        <item x="108"/>
        <item x="1607"/>
        <item x="740"/>
        <item x="1918"/>
        <item x="1304"/>
        <item x="1669"/>
        <item x="590"/>
        <item x="1298"/>
        <item x="734"/>
        <item x="1997"/>
        <item x="1560"/>
        <item x="1198"/>
        <item x="757"/>
        <item x="942"/>
        <item x="1905"/>
        <item x="1611"/>
        <item x="703"/>
        <item x="1402"/>
        <item x="1807"/>
        <item x="885"/>
        <item x="1372"/>
        <item x="502"/>
        <item x="238"/>
        <item x="128"/>
        <item x="771"/>
        <item x="1429"/>
        <item x="889"/>
        <item x="1056"/>
        <item x="1199"/>
        <item x="1659"/>
        <item x="2245"/>
        <item x="477"/>
        <item x="802"/>
        <item x="2232"/>
        <item x="1167"/>
        <item x="1581"/>
        <item x="711"/>
        <item x="1321"/>
        <item x="1458"/>
        <item x="640"/>
        <item x="492"/>
        <item x="1648"/>
        <item x="555"/>
        <item x="910"/>
        <item x="1197"/>
        <item x="1981"/>
        <item x="82"/>
        <item x="800"/>
        <item x="551"/>
        <item x="85"/>
        <item x="275"/>
        <item x="157"/>
        <item x="1466"/>
        <item x="876"/>
        <item x="1428"/>
        <item x="2076"/>
        <item x="1898"/>
        <item x="675"/>
        <item x="1731"/>
        <item x="843"/>
        <item x="210"/>
        <item x="1904"/>
        <item x="706"/>
        <item x="1690"/>
        <item x="943"/>
        <item x="1405"/>
        <item x="366"/>
        <item x="1712"/>
        <item x="956"/>
        <item x="1678"/>
        <item x="1795"/>
        <item x="384"/>
        <item x="365"/>
        <item x="94"/>
        <item x="375"/>
        <item x="516"/>
        <item x="927"/>
        <item x="1716"/>
        <item x="1983"/>
        <item x="1600"/>
        <item x="788"/>
        <item x="1333"/>
        <item x="1432"/>
        <item x="799"/>
        <item x="1411"/>
        <item x="198"/>
        <item x="472"/>
        <item x="372"/>
        <item x="1517"/>
        <item x="1481"/>
        <item x="1355"/>
        <item x="201"/>
        <item x="1489"/>
        <item x="1864"/>
        <item x="909"/>
        <item x="715"/>
        <item x="1290"/>
        <item x="554"/>
        <item x="2115"/>
        <item x="1586"/>
        <item x="192"/>
        <item x="1210"/>
        <item x="1001"/>
        <item x="346"/>
        <item x="1170"/>
        <item x="4"/>
        <item x="187"/>
        <item x="296"/>
        <item x="1341"/>
        <item x="1798"/>
        <item x="1219"/>
        <item x="1254"/>
        <item x="747"/>
        <item x="2179"/>
        <item x="1615"/>
        <item x="2020"/>
        <item x="1178"/>
        <item x="1834"/>
        <item x="1016"/>
        <item x="1909"/>
        <item x="920"/>
        <item x="1042"/>
        <item x="1278"/>
        <item x="97"/>
        <item x="851"/>
        <item x="1603"/>
        <item x="896"/>
        <item x="325"/>
        <item x="626"/>
        <item x="1967"/>
        <item x="1943"/>
        <item x="2250"/>
        <item x="1088"/>
        <item x="1308"/>
        <item x="1677"/>
        <item x="670"/>
        <item x="362"/>
        <item x="1527"/>
        <item x="822"/>
        <item x="1848"/>
        <item x="414"/>
        <item x="2134"/>
        <item x="819"/>
        <item x="188"/>
        <item x="1348"/>
        <item x="446"/>
        <item x="1080"/>
        <item x="1330"/>
        <item x="864"/>
        <item x="237"/>
        <item x="840"/>
        <item x="1599"/>
        <item x="2136"/>
        <item x="904"/>
        <item x="1335"/>
        <item x="618"/>
        <item x="444"/>
        <item x="145"/>
        <item x="1657"/>
        <item x="335"/>
        <item x="2010"/>
        <item x="1119"/>
        <item x="1556"/>
        <item x="2197"/>
        <item x="844"/>
        <item x="1172"/>
        <item x="426"/>
        <item x="1850"/>
        <item x="1699"/>
        <item x="763"/>
        <item x="1964"/>
        <item x="2083"/>
        <item x="1965"/>
        <item x="390"/>
        <item x="1977"/>
        <item x="1531"/>
        <item x="1069"/>
        <item x="1078"/>
        <item x="1226"/>
        <item x="1688"/>
        <item x="2109"/>
        <item x="921"/>
        <item x="525"/>
        <item x="1285"/>
        <item x="1530"/>
        <item x="158"/>
        <item x="1567"/>
        <item x="1893"/>
        <item x="1322"/>
        <item x="1347"/>
        <item x="1881"/>
        <item x="796"/>
        <item x="1825"/>
        <item x="832"/>
        <item x="2126"/>
        <item x="664"/>
        <item x="2110"/>
        <item x="1220"/>
        <item x="465"/>
        <item x="2071"/>
        <item x="631"/>
        <item x="546"/>
        <item x="80"/>
        <item x="1064"/>
        <item x="1753"/>
        <item x="1116"/>
        <item x="2034"/>
        <item x="1908"/>
        <item x="1391"/>
        <item x="60"/>
        <item x="1794"/>
        <item x="1133"/>
        <item x="1593"/>
        <item x="944"/>
        <item x="1810"/>
        <item x="2161"/>
        <item x="1452"/>
        <item x="939"/>
        <item x="1781"/>
        <item x="1052"/>
        <item x="1055"/>
        <item x="387"/>
        <item x="2024"/>
        <item x="1470"/>
        <item x="886"/>
        <item x="1857"/>
        <item x="1734"/>
        <item x="1658"/>
        <item x="1852"/>
        <item x="517"/>
        <item x="776"/>
        <item x="1882"/>
        <item x="1509"/>
        <item x="1008"/>
        <item x="1113"/>
        <item x="1186"/>
        <item x="977"/>
        <item x="454"/>
        <item x="1441"/>
        <item x="1320"/>
        <item x="1118"/>
        <item x="1947"/>
        <item x="1389"/>
        <item x="973"/>
        <item x="2234"/>
        <item x="1060"/>
        <item x="1793"/>
        <item x="707"/>
        <item x="1266"/>
        <item x="1804"/>
        <item x="2065"/>
        <item x="792"/>
        <item x="475"/>
        <item x="2042"/>
        <item x="1211"/>
        <item x="1262"/>
        <item x="725"/>
        <item x="714"/>
        <item x="284"/>
        <item x="1442"/>
        <item x="1754"/>
        <item x="1300"/>
        <item x="709"/>
        <item x="1529"/>
        <item x="1533"/>
        <item x="1020"/>
        <item x="1326"/>
        <item x="521"/>
        <item x="1450"/>
        <item x="489"/>
        <item x="1525"/>
        <item x="764"/>
        <item x="1674"/>
        <item x="397"/>
        <item x="924"/>
        <item x="2043"/>
        <item x="1746"/>
        <item x="1299"/>
        <item x="2173"/>
        <item x="1381"/>
        <item x="1010"/>
        <item x="2112"/>
        <item x="870"/>
        <item x="431"/>
        <item x="1136"/>
        <item x="743"/>
        <item x="1532"/>
        <item x="1029"/>
        <item x="2125"/>
        <item x="354"/>
        <item x="2123"/>
        <item x="537"/>
        <item x="83"/>
        <item x="33"/>
        <item x="846"/>
        <item x="114"/>
        <item x="528"/>
        <item x="1925"/>
        <item x="1670"/>
        <item x="745"/>
        <item x="310"/>
        <item x="285"/>
        <item x="2217"/>
        <item x="458"/>
        <item x="806"/>
        <item x="2203"/>
        <item x="1085"/>
        <item x="2155"/>
        <item x="777"/>
        <item x="871"/>
        <item x="1663"/>
        <item x="1475"/>
        <item x="1259"/>
        <item x="53"/>
        <item x="481"/>
        <item x="1971"/>
        <item x="438"/>
        <item x="5"/>
        <item x="918"/>
        <item x="315"/>
        <item x="1434"/>
        <item x="1617"/>
        <item x="984"/>
        <item x="507"/>
        <item x="1120"/>
        <item x="304"/>
        <item x="965"/>
        <item x="1483"/>
        <item x="1274"/>
        <item x="2168"/>
        <item x="1883"/>
        <item x="31"/>
        <item x="2095"/>
        <item x="1895"/>
        <item x="1986"/>
        <item x="1408"/>
        <item x="2137"/>
        <item x="1845"/>
        <item x="1814"/>
        <item x="110"/>
        <item x="1700"/>
        <item x="1899"/>
        <item x="2006"/>
        <item x="1455"/>
        <item x="447"/>
        <item x="424"/>
        <item x="219"/>
        <item x="2121"/>
        <item x="660"/>
        <item x="1713"/>
        <item x="2164"/>
        <item x="1808"/>
        <item x="1622"/>
        <item x="536"/>
        <item x="1230"/>
        <item x="61"/>
        <item x="1311"/>
        <item x="1681"/>
        <item x="852"/>
        <item x="1125"/>
        <item x="564"/>
        <item x="728"/>
        <item x="411"/>
        <item x="1284"/>
        <item x="20"/>
        <item x="950"/>
        <item x="2210"/>
        <item x="2023"/>
        <item x="791"/>
        <item x="1425"/>
        <item x="1367"/>
        <item x="998"/>
        <item x="1041"/>
        <item x="199"/>
        <item x="2150"/>
        <item x="100"/>
        <item x="813"/>
        <item x="1546"/>
        <item x="1484"/>
        <item x="729"/>
        <item x="2113"/>
        <item x="2175"/>
        <item x="637"/>
        <item x="908"/>
        <item x="678"/>
        <item x="267"/>
        <item x="2201"/>
        <item x="1063"/>
        <item x="1703"/>
        <item x="826"/>
        <item x="506"/>
        <item x="1307"/>
        <item x="1912"/>
        <item x="1686"/>
        <item x="2018"/>
        <item x="2221"/>
        <item x="1916"/>
        <item x="226"/>
        <item x="1612"/>
        <item x="1803"/>
        <item x="2059"/>
        <item x="134"/>
        <item x="312"/>
        <item x="96"/>
        <item x="54"/>
        <item x="1790"/>
        <item x="823"/>
        <item x="1196"/>
        <item x="937"/>
        <item x="2022"/>
        <item x="1671"/>
        <item x="2135"/>
        <item x="451"/>
        <item x="1106"/>
        <item x="141"/>
        <item x="2026"/>
        <item x="780"/>
        <item x="1571"/>
        <item x="1988"/>
        <item x="1403"/>
        <item x="74"/>
        <item x="1436"/>
        <item x="152"/>
        <item x="613"/>
        <item x="616"/>
        <item x="1123"/>
        <item x="1471"/>
        <item x="1721"/>
        <item x="1303"/>
        <item x="1786"/>
        <item x="2194"/>
        <item x="1757"/>
        <item x="691"/>
        <item x="1070"/>
        <item x="1213"/>
        <item x="1412"/>
        <item x="1237"/>
        <item x="244"/>
        <item x="2184"/>
        <item x="1735"/>
        <item x="168"/>
        <item x="1157"/>
        <item x="2212"/>
        <item x="1066"/>
        <item x="1956"/>
        <item x="1246"/>
        <item x="286"/>
        <item x="1831"/>
        <item x="249"/>
        <item x="668"/>
        <item x="1194"/>
        <item x="518"/>
        <item x="469"/>
        <item x="1046"/>
        <item x="884"/>
        <item x="2174"/>
        <item x="1811"/>
        <item x="140"/>
        <item x="1633"/>
        <item x="1493"/>
        <item x="1906"/>
        <item x="971"/>
        <item x="234"/>
        <item x="1982"/>
        <item x="2063"/>
        <item x="124"/>
        <item x="2097"/>
        <item x="1583"/>
        <item x="929"/>
        <item x="1702"/>
        <item x="700"/>
        <item x="914"/>
        <item x="1272"/>
        <item x="95"/>
        <item x="503"/>
        <item x="1642"/>
        <item x="2094"/>
        <item x="298"/>
        <item x="1598"/>
        <item x="1654"/>
        <item x="681"/>
        <item x="1207"/>
        <item x="2178"/>
        <item x="883"/>
        <item x="923"/>
        <item x="571"/>
        <item x="25"/>
        <item x="1620"/>
        <item x="1748"/>
        <item x="2084"/>
        <item x="1228"/>
        <item x="327"/>
        <item x="1975"/>
        <item x="1946"/>
        <item x="2152"/>
        <item x="807"/>
        <item x="1401"/>
        <item x="688"/>
        <item x="197"/>
        <item x="1007"/>
        <item x="1649"/>
        <item x="1379"/>
        <item x="2228"/>
        <item x="730"/>
        <item x="2067"/>
        <item x="514"/>
        <item x="1609"/>
        <item x="2036"/>
        <item x="2192"/>
        <item x="1664"/>
        <item x="539"/>
        <item x="1526"/>
        <item x="1351"/>
        <item x="104"/>
        <item x="57"/>
        <item x="1812"/>
        <item x="1859"/>
        <item x="16"/>
        <item x="1459"/>
        <item x="2032"/>
        <item x="418"/>
        <item x="719"/>
        <item x="1030"/>
        <item x="1763"/>
        <item x="2233"/>
        <item x="931"/>
        <item x="1461"/>
        <item x="1257"/>
        <item x="1813"/>
        <item x="2160"/>
        <item x="2057"/>
        <item x="2237"/>
        <item x="1936"/>
        <item x="1146"/>
        <item x="1037"/>
        <item x="1368"/>
        <item x="2256"/>
        <item x="1507"/>
        <item x="1084"/>
        <item x="1868"/>
        <item x="1915"/>
        <item x="461"/>
        <item x="901"/>
        <item x="476"/>
        <item x="1839"/>
        <item x="1737"/>
        <item x="1630"/>
        <item x="872"/>
        <item x="659"/>
        <item x="582"/>
        <item x="1776"/>
        <item x="1797"/>
        <item x="583"/>
        <item x="1104"/>
        <item x="1356"/>
        <item x="2098"/>
        <item x="1929"/>
        <item x="79"/>
        <item x="1090"/>
        <item x="1634"/>
        <item x="11"/>
        <item x="898"/>
        <item x="193"/>
        <item x="2108"/>
        <item x="291"/>
        <item x="1154"/>
        <item x="313"/>
        <item x="1343"/>
        <item x="1875"/>
        <item x="1076"/>
        <item x="1687"/>
        <item x="632"/>
        <item x="2005"/>
        <item x="557"/>
        <item x="882"/>
        <item x="1215"/>
        <item x="1165"/>
        <item x="1216"/>
        <item x="509"/>
        <item x="1140"/>
        <item x="894"/>
        <item x="1364"/>
        <item x="857"/>
        <item x="406"/>
        <item x="919"/>
        <item x="2088"/>
        <item x="260"/>
        <item x="1093"/>
        <item x="2166"/>
        <item x="344"/>
        <item x="1500"/>
        <item x="1922"/>
        <item x="877"/>
        <item x="77"/>
        <item x="646"/>
        <item x="848"/>
        <item x="1805"/>
        <item x="1740"/>
        <item x="1342"/>
        <item x="495"/>
        <item x="2176"/>
        <item x="2171"/>
        <item x="2153"/>
        <item x="1200"/>
        <item x="1229"/>
        <item x="1767"/>
        <item x="1153"/>
        <item x="1271"/>
        <item x="65"/>
        <item x="994"/>
        <item x="1295"/>
        <item x="1464"/>
        <item x="204"/>
        <item x="2028"/>
        <item x="212"/>
        <item x="1741"/>
        <item x="1524"/>
        <item x="1548"/>
        <item x="1038"/>
        <item x="259"/>
        <item x="2012"/>
        <item x="2162"/>
        <item x="1764"/>
        <item x="87"/>
        <item x="2102"/>
        <item x="1995"/>
        <item x="1829"/>
        <item x="1023"/>
        <item x="891"/>
        <item x="2157"/>
        <item x="385"/>
        <item x="1121"/>
        <item x="622"/>
        <item x="44"/>
        <item x="1717"/>
        <item x="460"/>
        <item x="1289"/>
        <item x="1204"/>
        <item x="1993"/>
        <item x="2180"/>
        <item x="1248"/>
        <item x="1099"/>
        <item x="78"/>
        <item x="2223"/>
        <item x="699"/>
        <item x="2089"/>
        <item x="1083"/>
        <item x="1163"/>
        <item x="1835"/>
        <item x="1660"/>
        <item x="820"/>
        <item x="1568"/>
        <item x="708"/>
        <item x="874"/>
        <item x="657"/>
        <item x="200"/>
        <item x="227"/>
        <item x="1260"/>
        <item x="513"/>
        <item x="2093"/>
        <item x="1891"/>
        <item x="1043"/>
        <item x="1822"/>
        <item x="861"/>
        <item x="218"/>
        <item x="666"/>
        <item x="906"/>
        <item x="1370"/>
        <item x="2240"/>
        <item x="1144"/>
        <item x="1755"/>
        <item x="1866"/>
        <item x="572"/>
        <item x="176"/>
        <item x="1301"/>
        <item x="290"/>
        <item x="604"/>
        <item x="178"/>
        <item x="1302"/>
        <item x="1377"/>
        <item x="1643"/>
        <item x="1398"/>
        <item x="2252"/>
        <item x="1225"/>
        <item x="576"/>
        <item x="1641"/>
        <item x="363"/>
        <item x="190"/>
        <item x="1847"/>
        <item x="1413"/>
        <item x="932"/>
        <item x="1762"/>
        <item x="38"/>
        <item x="774"/>
        <item x="1625"/>
        <item x="926"/>
        <item x="364"/>
        <item x="695"/>
        <item x="448"/>
        <item x="683"/>
        <item x="487"/>
        <item x="2080"/>
        <item x="1082"/>
        <item x="754"/>
        <item x="485"/>
        <item x="1604"/>
        <item x="1707"/>
        <item x="1833"/>
        <item x="721"/>
        <item x="1587"/>
        <item x="947"/>
        <item x="154"/>
        <item x="1592"/>
        <item x="46"/>
        <item x="1409"/>
        <item x="136"/>
        <item x="208"/>
        <item x="2101"/>
        <item x="957"/>
        <item x="1960"/>
        <item x="1201"/>
        <item x="1346"/>
        <item x="710"/>
        <item t="default"/>
      </items>
    </pivotField>
    <pivotField compact="0" showAll="0">
      <items count="2077">
        <item x="1857"/>
        <item x="1197"/>
        <item x="1594"/>
        <item x="1178"/>
        <item x="764"/>
        <item x="1353"/>
        <item x="514"/>
        <item x="602"/>
        <item x="137"/>
        <item x="1856"/>
        <item x="996"/>
        <item x="1715"/>
        <item x="1826"/>
        <item x="884"/>
        <item x="1899"/>
        <item x="427"/>
        <item x="1911"/>
        <item x="1546"/>
        <item x="576"/>
        <item x="513"/>
        <item x="1229"/>
        <item x="679"/>
        <item x="1933"/>
        <item x="1728"/>
        <item x="2039"/>
        <item x="1007"/>
        <item x="752"/>
        <item x="458"/>
        <item x="1046"/>
        <item x="662"/>
        <item x="580"/>
        <item x="365"/>
        <item x="1080"/>
        <item x="1304"/>
        <item x="1354"/>
        <item x="1727"/>
        <item x="813"/>
        <item x="1047"/>
        <item x="1889"/>
        <item x="1719"/>
        <item x="129"/>
        <item x="641"/>
        <item x="114"/>
        <item x="937"/>
        <item x="832"/>
        <item x="97"/>
        <item x="664"/>
        <item x="786"/>
        <item x="1021"/>
        <item x="1056"/>
        <item x="853"/>
        <item x="941"/>
        <item x="2009"/>
        <item x="1575"/>
        <item x="822"/>
        <item x="1599"/>
        <item x="1297"/>
        <item x="703"/>
        <item x="678"/>
        <item x="704"/>
        <item x="1410"/>
        <item x="1956"/>
        <item x="98"/>
        <item x="1054"/>
        <item x="1465"/>
        <item x="1320"/>
        <item x="121"/>
        <item x="1512"/>
        <item x="185"/>
        <item x="1503"/>
        <item x="1042"/>
        <item x="491"/>
        <item x="1970"/>
        <item x="15"/>
        <item x="299"/>
        <item x="717"/>
        <item x="1747"/>
        <item x="774"/>
        <item x="1992"/>
        <item x="1794"/>
        <item x="1406"/>
        <item x="396"/>
        <item x="1491"/>
        <item x="615"/>
        <item x="462"/>
        <item x="1906"/>
        <item x="1626"/>
        <item x="550"/>
        <item x="1186"/>
        <item x="1760"/>
        <item x="614"/>
        <item x="1236"/>
        <item x="450"/>
        <item x="1986"/>
        <item x="815"/>
        <item x="568"/>
        <item x="554"/>
        <item x="572"/>
        <item x="2067"/>
        <item x="1554"/>
        <item x="1022"/>
        <item x="1492"/>
        <item x="571"/>
        <item x="1635"/>
        <item x="41"/>
        <item x="1375"/>
        <item x="384"/>
        <item x="672"/>
        <item x="1058"/>
        <item x="1604"/>
        <item x="1619"/>
        <item x="150"/>
        <item x="671"/>
        <item x="1523"/>
        <item x="1770"/>
        <item x="1331"/>
        <item x="949"/>
        <item x="1309"/>
        <item x="1470"/>
        <item x="1972"/>
        <item x="998"/>
        <item x="354"/>
        <item x="599"/>
        <item x="314"/>
        <item x="123"/>
        <item x="1966"/>
        <item x="1949"/>
        <item x="234"/>
        <item x="475"/>
        <item x="1272"/>
        <item x="725"/>
        <item x="954"/>
        <item x="1365"/>
        <item x="1756"/>
        <item x="229"/>
        <item x="1345"/>
        <item x="1169"/>
        <item x="1780"/>
        <item x="1710"/>
        <item x="1657"/>
        <item x="215"/>
        <item x="1969"/>
        <item x="1979"/>
        <item x="9"/>
        <item x="149"/>
        <item x="132"/>
        <item x="2006"/>
        <item x="1640"/>
        <item x="1357"/>
        <item x="1181"/>
        <item x="919"/>
        <item x="1429"/>
        <item x="1602"/>
        <item x="1642"/>
        <item x="604"/>
        <item x="1793"/>
        <item x="146"/>
        <item x="65"/>
        <item x="214"/>
        <item x="1606"/>
        <item x="521"/>
        <item x="1190"/>
        <item x="73"/>
        <item x="903"/>
        <item x="780"/>
        <item x="1689"/>
        <item x="971"/>
        <item x="1581"/>
        <item x="254"/>
        <item x="420"/>
        <item x="213"/>
        <item x="406"/>
        <item x="1798"/>
        <item x="1348"/>
        <item x="728"/>
        <item x="1749"/>
        <item x="589"/>
        <item x="454"/>
        <item x="1396"/>
        <item x="1754"/>
        <item x="1590"/>
        <item x="1231"/>
        <item x="1284"/>
        <item x="1595"/>
        <item x="1158"/>
        <item x="2008"/>
        <item x="441"/>
        <item x="1359"/>
        <item x="2023"/>
        <item x="721"/>
        <item x="497"/>
        <item x="284"/>
        <item x="64"/>
        <item x="1748"/>
        <item x="1830"/>
        <item x="1397"/>
        <item x="643"/>
        <item x="190"/>
        <item x="1324"/>
        <item x="1624"/>
        <item x="480"/>
        <item x="1872"/>
        <item x="1789"/>
        <item x="1703"/>
        <item x="176"/>
        <item x="487"/>
        <item x="1733"/>
        <item x="416"/>
        <item x="1393"/>
        <item x="1294"/>
        <item x="222"/>
        <item x="1199"/>
        <item x="1255"/>
        <item x="1436"/>
        <item x="1079"/>
        <item x="515"/>
        <item x="168"/>
        <item x="1739"/>
        <item x="2045"/>
        <item x="348"/>
        <item x="1005"/>
        <item x="1118"/>
        <item x="973"/>
        <item x="1982"/>
        <item x="333"/>
        <item x="443"/>
        <item x="336"/>
        <item x="848"/>
        <item x="432"/>
        <item x="303"/>
        <item x="1577"/>
        <item x="666"/>
        <item x="1937"/>
        <item x="1878"/>
        <item x="1610"/>
        <item x="72"/>
        <item x="2068"/>
        <item x="1175"/>
        <item x="1892"/>
        <item x="1960"/>
        <item x="1107"/>
        <item x="19"/>
        <item x="661"/>
        <item x="1455"/>
        <item x="334"/>
        <item x="1973"/>
        <item x="972"/>
        <item x="247"/>
        <item x="931"/>
        <item x="650"/>
        <item x="1591"/>
        <item x="447"/>
        <item x="1713"/>
        <item x="51"/>
        <item x="999"/>
        <item x="171"/>
        <item x="639"/>
        <item x="428"/>
        <item x="1813"/>
        <item x="939"/>
        <item x="734"/>
        <item x="1114"/>
        <item x="795"/>
        <item x="231"/>
        <item x="892"/>
        <item x="184"/>
        <item x="1377"/>
        <item x="471"/>
        <item x="1266"/>
        <item x="1321"/>
        <item x="267"/>
        <item x="279"/>
        <item x="302"/>
        <item x="1449"/>
        <item x="164"/>
        <item x="607"/>
        <item x="371"/>
        <item x="399"/>
        <item x="1939"/>
        <item x="275"/>
        <item x="2038"/>
        <item x="1204"/>
        <item x="276"/>
        <item x="1638"/>
        <item x="868"/>
        <item x="1248"/>
        <item x="1690"/>
        <item x="796"/>
        <item x="1743"/>
        <item x="658"/>
        <item x="1125"/>
        <item x="295"/>
        <item x="574"/>
        <item x="2064"/>
        <item x="1166"/>
        <item x="2036"/>
        <item x="1035"/>
        <item x="1955"/>
        <item x="1551"/>
        <item x="1883"/>
        <item x="1069"/>
        <item x="116"/>
        <item x="21"/>
        <item x="792"/>
        <item x="840"/>
        <item x="1070"/>
        <item x="689"/>
        <item x="1543"/>
        <item x="1560"/>
        <item x="653"/>
        <item x="1977"/>
        <item x="179"/>
        <item x="990"/>
        <item x="859"/>
        <item x="1538"/>
        <item x="1243"/>
        <item x="626"/>
        <item x="1437"/>
        <item x="228"/>
        <item x="547"/>
        <item x="411"/>
        <item x="139"/>
        <item x="220"/>
        <item x="738"/>
        <item x="733"/>
        <item x="1333"/>
        <item x="1684"/>
        <item x="298"/>
        <item x="183"/>
        <item x="1159"/>
        <item x="106"/>
        <item x="469"/>
        <item x="525"/>
        <item x="1127"/>
        <item x="1433"/>
        <item x="826"/>
        <item x="1034"/>
        <item x="291"/>
        <item x="1250"/>
        <item x="750"/>
        <item x="598"/>
        <item x="89"/>
        <item x="1677"/>
        <item x="28"/>
        <item x="1777"/>
        <item x="1403"/>
        <item x="193"/>
        <item x="1673"/>
        <item x="1630"/>
        <item x="594"/>
        <item x="1771"/>
        <item x="1435"/>
        <item x="230"/>
        <item x="439"/>
        <item x="258"/>
        <item x="459"/>
        <item x="1071"/>
        <item x="250"/>
        <item x="737"/>
        <item x="656"/>
        <item x="1781"/>
        <item x="293"/>
        <item x="1073"/>
        <item x="2027"/>
        <item x="1335"/>
        <item x="1670"/>
        <item x="911"/>
        <item x="627"/>
        <item x="166"/>
        <item x="1138"/>
        <item x="1588"/>
        <item x="504"/>
        <item x="1230"/>
        <item x="1815"/>
        <item x="1567"/>
        <item x="1477"/>
        <item x="1522"/>
        <item x="709"/>
        <item x="1934"/>
        <item x="201"/>
        <item x="1888"/>
        <item x="25"/>
        <item x="1376"/>
        <item x="1102"/>
        <item x="640"/>
        <item x="1041"/>
        <item x="835"/>
        <item x="537"/>
        <item x="1180"/>
        <item x="1950"/>
        <item x="1868"/>
        <item x="2001"/>
        <item x="1631"/>
        <item x="962"/>
        <item x="1162"/>
        <item x="1636"/>
        <item x="351"/>
        <item x="1852"/>
        <item x="956"/>
        <item x="1182"/>
        <item x="187"/>
        <item x="1373"/>
        <item x="861"/>
        <item x="1545"/>
        <item x="223"/>
        <item x="1926"/>
        <item x="2055"/>
        <item x="90"/>
        <item x="1245"/>
        <item x="452"/>
        <item x="120"/>
        <item x="2"/>
        <item x="967"/>
        <item x="715"/>
        <item x="1139"/>
        <item x="76"/>
        <item x="118"/>
        <item x="1776"/>
        <item x="316"/>
        <item x="768"/>
        <item x="1627"/>
        <item x="587"/>
        <item x="305"/>
        <item x="1103"/>
        <item x="804"/>
        <item x="182"/>
        <item x="1316"/>
        <item x="2030"/>
        <item x="1700"/>
        <item x="561"/>
        <item x="1220"/>
        <item x="540"/>
        <item x="1475"/>
        <item x="1948"/>
        <item x="1737"/>
        <item x="790"/>
        <item x="912"/>
        <item x="1184"/>
        <item x="380"/>
        <item x="1519"/>
        <item x="1720"/>
        <item x="623"/>
        <item x="549"/>
        <item x="935"/>
        <item x="816"/>
        <item x="1467"/>
        <item x="1903"/>
        <item x="174"/>
        <item x="846"/>
        <item x="732"/>
        <item x="565"/>
        <item x="1098"/>
        <item x="1725"/>
        <item x="101"/>
        <item x="1803"/>
        <item x="1661"/>
        <item x="541"/>
        <item x="788"/>
        <item x="1323"/>
        <item x="1985"/>
        <item x="1765"/>
        <item x="1273"/>
        <item x="559"/>
        <item x="1890"/>
        <item x="1161"/>
        <item x="307"/>
        <item x="1448"/>
        <item x="1361"/>
        <item x="353"/>
        <item x="209"/>
        <item x="2044"/>
        <item x="264"/>
        <item x="1096"/>
        <item x="663"/>
        <item x="676"/>
        <item x="445"/>
        <item x="329"/>
        <item x="374"/>
        <item x="757"/>
        <item x="523"/>
        <item x="899"/>
        <item x="1957"/>
        <item x="539"/>
        <item x="1774"/>
        <item x="1817"/>
        <item x="777"/>
        <item x="1941"/>
        <item x="161"/>
        <item x="122"/>
        <item x="88"/>
        <item x="477"/>
        <item x="1943"/>
        <item x="636"/>
        <item x="1024"/>
        <item x="1089"/>
        <item x="304"/>
        <item x="1288"/>
        <item x="1938"/>
        <item x="570"/>
        <item x="649"/>
        <item x="686"/>
        <item x="1726"/>
        <item x="17"/>
        <item x="553"/>
        <item x="1839"/>
        <item x="259"/>
        <item x="1112"/>
        <item x="325"/>
        <item x="836"/>
        <item x="748"/>
        <item x="979"/>
        <item x="1013"/>
        <item x="364"/>
        <item x="1105"/>
        <item x="297"/>
        <item x="557"/>
        <item x="367"/>
        <item x="765"/>
        <item x="508"/>
        <item x="181"/>
        <item x="1843"/>
        <item x="1027"/>
        <item x="723"/>
        <item x="1778"/>
        <item x="1446"/>
        <item x="1786"/>
        <item x="261"/>
        <item x="1196"/>
        <item x="632"/>
        <item x="1044"/>
        <item x="2059"/>
        <item x="244"/>
        <item x="1301"/>
        <item x="618"/>
        <item x="422"/>
        <item x="1444"/>
        <item x="1592"/>
        <item x="647"/>
        <item x="918"/>
        <item x="959"/>
        <item x="1530"/>
        <item x="180"/>
        <item x="392"/>
        <item x="496"/>
        <item x="1355"/>
        <item x="1829"/>
        <item x="1915"/>
        <item x="660"/>
        <item x="1701"/>
        <item x="1210"/>
        <item x="1426"/>
        <item x="567"/>
        <item x="1296"/>
        <item x="43"/>
        <item x="1094"/>
        <item x="994"/>
        <item x="421"/>
        <item x="75"/>
        <item x="930"/>
        <item x="485"/>
        <item x="1485"/>
        <item x="268"/>
        <item x="1445"/>
        <item x="455"/>
        <item x="69"/>
        <item x="1164"/>
        <item x="947"/>
        <item x="926"/>
        <item x="290"/>
        <item x="787"/>
        <item x="466"/>
        <item x="1328"/>
        <item x="2072"/>
        <item x="1002"/>
        <item x="1894"/>
        <item x="844"/>
        <item x="1855"/>
        <item x="577"/>
        <item x="1709"/>
        <item x="993"/>
        <item x="204"/>
        <item x="85"/>
        <item x="856"/>
        <item x="1502"/>
        <item x="1675"/>
        <item x="144"/>
        <item x="1239"/>
        <item x="724"/>
        <item x="83"/>
        <item x="769"/>
        <item x="112"/>
        <item x="1997"/>
        <item x="1553"/>
        <item x="1920"/>
        <item x="1388"/>
        <item x="1101"/>
        <item x="1879"/>
        <item x="481"/>
        <item x="1680"/>
        <item x="716"/>
        <item x="583"/>
        <item x="1120"/>
        <item x="251"/>
        <item x="154"/>
        <item x="296"/>
        <item x="1040"/>
        <item x="1456"/>
        <item x="218"/>
        <item x="925"/>
        <item x="761"/>
        <item x="1616"/>
        <item x="1291"/>
        <item x="1908"/>
        <item x="785"/>
        <item x="2013"/>
        <item x="246"/>
        <item x="770"/>
        <item x="934"/>
        <item x="1945"/>
        <item x="1263"/>
        <item x="1238"/>
        <item x="313"/>
        <item x="517"/>
        <item x="1671"/>
        <item x="1812"/>
        <item x="163"/>
        <item x="1212"/>
        <item x="2048"/>
        <item x="2034"/>
        <item x="484"/>
        <item x="1116"/>
        <item x="473"/>
        <item x="2050"/>
        <item x="236"/>
        <item x="722"/>
        <item x="442"/>
        <item x="797"/>
        <item x="1907"/>
        <item x="729"/>
        <item x="1566"/>
        <item x="1837"/>
        <item x="1240"/>
        <item x="1533"/>
        <item x="1858"/>
        <item x="1919"/>
        <item x="1958"/>
        <item x="1350"/>
        <item x="1724"/>
        <item x="1217"/>
        <item x="227"/>
        <item x="31"/>
        <item x="1757"/>
        <item x="1351"/>
        <item x="413"/>
        <item x="548"/>
        <item x="63"/>
        <item x="1586"/>
        <item x="155"/>
        <item x="933"/>
        <item x="1500"/>
        <item x="1505"/>
        <item x="37"/>
        <item x="194"/>
        <item x="2005"/>
        <item x="1155"/>
        <item x="2063"/>
        <item x="609"/>
        <item x="874"/>
        <item x="566"/>
        <item x="1227"/>
        <item x="2054"/>
        <item x="318"/>
        <item x="61"/>
        <item x="1900"/>
        <item x="902"/>
        <item x="700"/>
        <item x="1732"/>
        <item x="1913"/>
        <item x="133"/>
        <item x="424"/>
        <item x="461"/>
        <item x="837"/>
        <item x="1820"/>
        <item x="456"/>
        <item x="158"/>
        <item x="784"/>
        <item x="1278"/>
        <item x="588"/>
        <item x="490"/>
        <item x="527"/>
        <item x="667"/>
        <item x="1951"/>
        <item x="1386"/>
        <item x="249"/>
        <item x="1219"/>
        <item x="14"/>
        <item x="776"/>
        <item x="363"/>
        <item x="2025"/>
        <item x="1374"/>
        <item x="68"/>
        <item x="727"/>
        <item x="355"/>
        <item x="1141"/>
        <item x="1870"/>
        <item x="591"/>
        <item x="125"/>
        <item x="1443"/>
        <item x="802"/>
        <item x="535"/>
        <item x="1242"/>
        <item x="1280"/>
        <item x="13"/>
        <item x="238"/>
        <item x="564"/>
        <item x="646"/>
        <item x="1528"/>
        <item x="451"/>
        <item x="320"/>
        <item x="1573"/>
        <item x="1995"/>
        <item x="1424"/>
        <item x="900"/>
        <item x="1270"/>
        <item x="23"/>
        <item x="1185"/>
        <item x="807"/>
        <item x="1785"/>
        <item x="93"/>
        <item x="1269"/>
        <item x="1653"/>
        <item x="1850"/>
        <item x="1228"/>
        <item x="1016"/>
        <item x="2051"/>
        <item x="30"/>
        <item x="2019"/>
        <item x="59"/>
        <item x="1854"/>
        <item x="975"/>
        <item x="1095"/>
        <item x="240"/>
        <item x="27"/>
        <item x="986"/>
        <item x="675"/>
        <item x="1508"/>
        <item x="1795"/>
        <item x="1234"/>
        <item x="1172"/>
        <item x="1391"/>
        <item x="1307"/>
        <item x="1153"/>
        <item x="1392"/>
        <item x="1223"/>
        <item x="1438"/>
        <item x="239"/>
        <item x="731"/>
        <item x="1420"/>
        <item x="385"/>
        <item x="331"/>
        <item x="1736"/>
        <item x="633"/>
        <item x="1891"/>
        <item x="1461"/>
        <item x="1513"/>
        <item x="946"/>
        <item x="1796"/>
        <item x="865"/>
        <item x="1247"/>
        <item x="1299"/>
        <item x="257"/>
        <item x="1200"/>
        <item x="1682"/>
        <item x="1384"/>
        <item x="2041"/>
        <item x="401"/>
        <item x="854"/>
        <item x="1648"/>
        <item x="1511"/>
        <item x="1552"/>
        <item x="888"/>
        <item x="762"/>
        <item x="2046"/>
        <item x="92"/>
        <item x="1405"/>
        <item x="905"/>
        <item x="743"/>
        <item x="1450"/>
        <item x="651"/>
        <item x="1225"/>
        <item x="1702"/>
        <item x="1998"/>
        <item x="1130"/>
        <item x="1585"/>
        <item x="1672"/>
        <item x="1559"/>
        <item x="1404"/>
        <item x="130"/>
        <item x="433"/>
        <item x="692"/>
        <item x="714"/>
        <item x="1224"/>
        <item x="1305"/>
        <item x="1532"/>
        <item x="1961"/>
        <item x="735"/>
        <item x="1967"/>
        <item x="38"/>
        <item x="1669"/>
        <item x="191"/>
        <item x="1489"/>
        <item x="148"/>
        <item x="12"/>
        <item x="203"/>
        <item x="592"/>
        <item x="1611"/>
        <item x="1086"/>
        <item x="1886"/>
        <item x="621"/>
        <item x="1412"/>
        <item x="1154"/>
        <item x="22"/>
        <item x="1300"/>
        <item x="1043"/>
        <item x="1418"/>
        <item x="5"/>
        <item x="1407"/>
        <item x="1946"/>
        <item x="622"/>
        <item x="1193"/>
        <item x="169"/>
        <item x="772"/>
        <item x="511"/>
        <item x="634"/>
        <item x="1863"/>
        <item x="1468"/>
        <item x="509"/>
        <item x="657"/>
        <item x="801"/>
        <item x="1838"/>
        <item x="1459"/>
        <item x="431"/>
        <item x="1029"/>
        <item x="1576"/>
        <item x="894"/>
        <item x="1687"/>
        <item x="2010"/>
        <item x="478"/>
        <item x="1428"/>
        <item x="248"/>
        <item x="375"/>
        <item x="560"/>
        <item x="838"/>
        <item x="1540"/>
        <item x="237"/>
        <item x="702"/>
        <item x="1954"/>
        <item x="1921"/>
        <item x="1860"/>
        <item x="143"/>
        <item x="1708"/>
        <item x="1423"/>
        <item x="2029"/>
        <item x="1441"/>
        <item x="1106"/>
        <item x="904"/>
        <item x="1059"/>
        <item x="1792"/>
        <item x="670"/>
        <item x="1481"/>
        <item x="389"/>
        <item x="1968"/>
        <item x="753"/>
        <item x="530"/>
        <item x="1655"/>
        <item x="1808"/>
        <item x="685"/>
        <item x="124"/>
        <item x="707"/>
        <item x="713"/>
        <item x="811"/>
        <item x="104"/>
        <item x="84"/>
        <item x="1282"/>
        <item x="908"/>
        <item x="1509"/>
        <item x="266"/>
        <item x="507"/>
        <item x="1249"/>
        <item x="613"/>
        <item x="1077"/>
        <item x="476"/>
        <item x="1849"/>
        <item x="1340"/>
        <item x="1651"/>
        <item x="1769"/>
        <item x="170"/>
        <item x="1458"/>
        <item x="1674"/>
        <item x="1912"/>
        <item x="1758"/>
        <item x="536"/>
        <item x="741"/>
        <item x="1751"/>
        <item x="958"/>
        <item x="569"/>
        <item x="620"/>
        <item x="512"/>
        <item x="1226"/>
        <item x="1310"/>
        <item x="2066"/>
        <item x="1113"/>
        <item x="1875"/>
        <item x="1463"/>
        <item x="821"/>
        <item x="590"/>
        <item x="326"/>
        <item x="281"/>
        <item x="851"/>
        <item x="1205"/>
        <item x="1980"/>
        <item x="1706"/>
        <item x="882"/>
        <item x="1633"/>
        <item x="1646"/>
        <item x="500"/>
        <item x="79"/>
        <item x="845"/>
        <item x="1014"/>
        <item x="49"/>
        <item x="1953"/>
        <item x="285"/>
        <item x="277"/>
        <item x="142"/>
        <item x="1910"/>
        <item x="705"/>
        <item x="863"/>
        <item x="791"/>
        <item x="923"/>
        <item x="57"/>
        <item x="895"/>
        <item x="200"/>
        <item x="997"/>
        <item x="8"/>
        <item x="1133"/>
        <item x="1944"/>
        <item x="1012"/>
        <item x="430"/>
        <item x="1570"/>
        <item x="870"/>
        <item x="1587"/>
        <item x="1916"/>
        <item x="1628"/>
        <item x="418"/>
        <item x="423"/>
        <item x="970"/>
        <item x="52"/>
        <item x="1768"/>
        <item x="1947"/>
        <item x="775"/>
        <item x="1494"/>
        <item x="110"/>
        <item x="630"/>
        <item x="1821"/>
        <item x="1189"/>
        <item x="1213"/>
        <item x="322"/>
        <item x="929"/>
        <item x="945"/>
        <item x="1486"/>
        <item x="1085"/>
        <item x="1194"/>
        <item x="7"/>
        <item x="1156"/>
        <item x="600"/>
        <item x="916"/>
        <item x="1764"/>
        <item x="617"/>
        <item x="980"/>
        <item x="1268"/>
        <item x="1924"/>
        <item x="696"/>
        <item x="760"/>
        <item x="157"/>
        <item x="1066"/>
        <item x="269"/>
        <item x="606"/>
        <item x="398"/>
        <item x="1562"/>
        <item x="1063"/>
        <item x="1831"/>
        <item x="952"/>
        <item x="944"/>
        <item x="35"/>
        <item x="1498"/>
        <item x="361"/>
        <item x="1160"/>
        <item x="479"/>
        <item x="1460"/>
        <item x="850"/>
        <item x="1409"/>
        <item x="1722"/>
        <item x="1075"/>
        <item x="789"/>
        <item x="1917"/>
        <item x="403"/>
        <item x="1232"/>
        <item x="1572"/>
        <item x="1597"/>
        <item x="1148"/>
        <item x="1537"/>
        <item x="2058"/>
        <item x="866"/>
        <item x="701"/>
        <item x="253"/>
        <item x="372"/>
        <item x="955"/>
        <item x="1805"/>
        <item x="113"/>
        <item x="1395"/>
        <item x="763"/>
        <item x="586"/>
        <item x="131"/>
        <item x="349"/>
        <item x="434"/>
        <item x="858"/>
        <item x="1788"/>
        <item x="597"/>
        <item x="1422"/>
        <item x="1740"/>
        <item x="914"/>
        <item x="252"/>
        <item x="1721"/>
        <item x="619"/>
        <item x="235"/>
        <item x="67"/>
        <item x="1062"/>
        <item x="578"/>
        <item x="1313"/>
        <item x="694"/>
        <item x="1696"/>
        <item x="1065"/>
        <item x="1496"/>
        <item x="756"/>
        <item x="1401"/>
        <item x="1135"/>
        <item x="575"/>
        <item x="1678"/>
        <item x="1008"/>
        <item x="936"/>
        <item x="1163"/>
        <item x="1419"/>
        <item x="1534"/>
        <item x="429"/>
        <item x="1652"/>
        <item x="1237"/>
        <item x="889"/>
        <item x="1286"/>
        <item x="1548"/>
        <item x="102"/>
        <item x="470"/>
        <item x="2062"/>
        <item x="1659"/>
        <item x="1416"/>
        <item x="494"/>
        <item x="1759"/>
        <item x="2012"/>
        <item x="2017"/>
        <item x="147"/>
        <item x="219"/>
        <item x="460"/>
        <item x="152"/>
        <item x="857"/>
        <item x="1371"/>
        <item x="1074"/>
        <item x="317"/>
        <item x="383"/>
        <item x="1176"/>
        <item x="1378"/>
        <item x="412"/>
        <item x="913"/>
        <item x="1615"/>
        <item x="1925"/>
        <item x="438"/>
        <item x="1510"/>
        <item x="2065"/>
        <item x="1241"/>
        <item x="1208"/>
        <item x="1342"/>
        <item x="1691"/>
        <item x="1656"/>
        <item x="1994"/>
        <item x="1487"/>
        <item x="1038"/>
        <item x="652"/>
        <item x="1527"/>
        <item x="1800"/>
        <item x="321"/>
        <item x="20"/>
        <item x="1693"/>
        <item x="1583"/>
        <item x="1763"/>
        <item x="1201"/>
        <item x="2049"/>
        <item x="1692"/>
        <item x="1484"/>
        <item x="1940"/>
        <item x="1959"/>
        <item x="2075"/>
        <item x="1417"/>
        <item x="612"/>
        <item x="529"/>
        <item x="1617"/>
        <item x="833"/>
        <item x="107"/>
        <item x="1681"/>
        <item x="1346"/>
        <item x="1658"/>
        <item x="1766"/>
        <item x="1884"/>
        <item x="1030"/>
        <item x="10"/>
        <item x="1337"/>
        <item x="362"/>
        <item x="1363"/>
        <item x="1326"/>
        <item x="1129"/>
        <item x="1214"/>
        <item x="751"/>
        <item x="1866"/>
        <item x="493"/>
        <item x="1603"/>
        <item x="1898"/>
        <item x="1031"/>
        <item x="1623"/>
        <item x="1876"/>
        <item x="356"/>
        <item x="693"/>
        <item x="495"/>
        <item x="745"/>
        <item x="1784"/>
        <item x="71"/>
        <item x="1364"/>
        <item x="668"/>
        <item x="128"/>
        <item x="1442"/>
        <item x="1010"/>
        <item x="1814"/>
        <item x="1260"/>
        <item x="1251"/>
        <item x="1561"/>
        <item x="1292"/>
        <item x="1718"/>
        <item x="135"/>
        <item x="794"/>
        <item x="1362"/>
        <item x="2057"/>
        <item x="1137"/>
        <item x="1006"/>
        <item x="1349"/>
        <item x="1962"/>
        <item x="545"/>
        <item x="1430"/>
        <item x="1150"/>
        <item x="966"/>
        <item x="1344"/>
        <item x="245"/>
        <item x="755"/>
        <item x="1399"/>
        <item x="1983"/>
        <item x="960"/>
        <item x="1931"/>
        <item x="887"/>
        <item x="45"/>
        <item x="224"/>
        <item x="301"/>
        <item x="1140"/>
        <item x="74"/>
        <item x="1478"/>
        <item x="233"/>
        <item x="1618"/>
        <item x="1471"/>
        <item x="208"/>
        <item x="2031"/>
        <item x="1644"/>
        <item x="1173"/>
        <item x="36"/>
        <item x="1589"/>
        <item x="241"/>
        <item x="957"/>
        <item x="1235"/>
        <item x="1051"/>
        <item x="87"/>
        <item x="486"/>
        <item x="843"/>
        <item x="1499"/>
        <item x="342"/>
        <item x="327"/>
        <item x="343"/>
        <item x="1704"/>
        <item x="742"/>
        <item x="1052"/>
        <item x="391"/>
        <item x="435"/>
        <item x="300"/>
        <item x="1524"/>
        <item x="1755"/>
        <item x="81"/>
        <item x="1314"/>
        <item x="1145"/>
        <item x="1339"/>
        <item x="352"/>
        <item x="42"/>
        <item x="376"/>
        <item x="339"/>
        <item x="610"/>
        <item x="943"/>
        <item x="1882"/>
        <item x="1824"/>
        <item x="3"/>
        <item x="977"/>
        <item x="24"/>
        <item x="1198"/>
        <item x="1097"/>
        <item x="1192"/>
        <item x="1896"/>
        <item x="311"/>
        <item x="1209"/>
        <item x="1504"/>
        <item x="1480"/>
        <item x="875"/>
        <item x="1152"/>
        <item x="173"/>
        <item x="719"/>
        <item x="119"/>
        <item x="890"/>
        <item x="1049"/>
        <item x="1474"/>
        <item x="605"/>
        <item x="1233"/>
        <item x="1806"/>
        <item x="1564"/>
        <item x="1036"/>
        <item x="1425"/>
        <item x="11"/>
        <item x="1082"/>
        <item x="593"/>
        <item x="1267"/>
        <item x="799"/>
        <item x="1832"/>
        <item x="1993"/>
        <item x="1734"/>
        <item x="483"/>
        <item x="1801"/>
        <item x="1731"/>
        <item x="1697"/>
        <item x="1845"/>
        <item x="1100"/>
        <item x="629"/>
        <item x="260"/>
        <item x="407"/>
        <item x="1452"/>
        <item x="332"/>
        <item x="390"/>
        <item x="1170"/>
        <item x="1109"/>
        <item x="924"/>
        <item x="1271"/>
        <item x="1121"/>
        <item x="1639"/>
        <item x="426"/>
        <item x="1327"/>
        <item x="1"/>
        <item x="1695"/>
        <item x="1142"/>
        <item x="1662"/>
        <item x="1649"/>
        <item x="404"/>
        <item x="655"/>
        <item x="1787"/>
        <item x="1790"/>
        <item x="1668"/>
        <item x="940"/>
        <item x="823"/>
        <item x="1295"/>
        <item x="2052"/>
        <item x="544"/>
        <item x="782"/>
        <item x="1717"/>
        <item x="1356"/>
        <item x="1306"/>
        <item x="1413"/>
        <item x="551"/>
        <item x="388"/>
        <item x="1394"/>
        <item x="1869"/>
        <item x="408"/>
        <item x="1568"/>
        <item x="217"/>
        <item x="1061"/>
        <item x="749"/>
        <item x="878"/>
        <item x="1825"/>
        <item x="2022"/>
        <item x="210"/>
        <item x="841"/>
        <item x="105"/>
        <item x="806"/>
        <item x="111"/>
        <item x="1699"/>
        <item x="1427"/>
        <item x="1464"/>
        <item x="932"/>
        <item x="368"/>
        <item x="896"/>
        <item x="1930"/>
        <item x="347"/>
        <item x="747"/>
        <item x="1971"/>
        <item x="883"/>
        <item x="1705"/>
        <item x="1246"/>
        <item x="915"/>
        <item x="2037"/>
        <item x="1865"/>
        <item x="271"/>
        <item x="1520"/>
        <item x="53"/>
        <item x="1650"/>
        <item x="386"/>
        <item x="688"/>
        <item x="1329"/>
        <item x="1087"/>
        <item x="710"/>
        <item x="1343"/>
        <item x="951"/>
        <item x="2073"/>
        <item x="1369"/>
        <item x="1621"/>
        <item x="1202"/>
        <item x="595"/>
        <item x="879"/>
        <item x="417"/>
        <item x="616"/>
        <item x="159"/>
        <item x="387"/>
        <item x="1612"/>
        <item x="225"/>
        <item x="1476"/>
        <item x="1809"/>
        <item x="414"/>
        <item x="927"/>
        <item x="974"/>
        <item x="1535"/>
        <item x="1880"/>
        <item x="1358"/>
        <item x="160"/>
        <item x="2014"/>
        <item x="310"/>
        <item x="1952"/>
        <item x="1981"/>
        <item x="585"/>
        <item x="1608"/>
        <item x="207"/>
        <item x="306"/>
        <item x="328"/>
        <item x="1804"/>
        <item x="1810"/>
        <item x="1853"/>
        <item x="1400"/>
        <item x="1408"/>
        <item x="520"/>
        <item x="1472"/>
        <item x="1550"/>
        <item x="817"/>
        <item x="379"/>
        <item x="103"/>
        <item x="91"/>
        <item x="988"/>
        <item x="631"/>
        <item x="555"/>
        <item x="39"/>
        <item x="1871"/>
        <item x="1132"/>
        <item x="444"/>
        <item x="510"/>
        <item x="449"/>
        <item x="909"/>
        <item x="29"/>
        <item x="1712"/>
        <item x="1221"/>
        <item x="1885"/>
        <item x="172"/>
        <item x="1203"/>
        <item x="54"/>
        <item x="1905"/>
        <item x="274"/>
        <item x="819"/>
        <item x="1844"/>
        <item x="1298"/>
        <item x="100"/>
        <item x="359"/>
        <item x="1823"/>
        <item x="1308"/>
        <item x="654"/>
        <item x="1897"/>
        <item x="1762"/>
        <item x="56"/>
        <item x="1799"/>
        <item x="402"/>
        <item x="2002"/>
        <item x="897"/>
        <item x="1753"/>
        <item x="4"/>
        <item x="810"/>
        <item x="6"/>
        <item x="282"/>
        <item x="584"/>
        <item x="808"/>
        <item x="642"/>
        <item x="138"/>
        <item x="995"/>
        <item x="869"/>
        <item x="534"/>
        <item x="531"/>
        <item x="312"/>
        <item x="330"/>
        <item x="1398"/>
        <item x="1637"/>
        <item x="2024"/>
        <item x="2021"/>
        <item x="1206"/>
        <item x="2035"/>
        <item x="108"/>
        <item x="1558"/>
        <item x="953"/>
        <item x="1143"/>
        <item x="1877"/>
        <item x="1679"/>
        <item x="377"/>
        <item x="1256"/>
        <item x="1904"/>
        <item x="1932"/>
        <item x="740"/>
        <item x="1660"/>
        <item x="70"/>
        <item x="199"/>
        <item x="860"/>
        <item x="1539"/>
        <item x="984"/>
        <item x="1126"/>
        <item x="1336"/>
        <item x="1893"/>
        <item x="2032"/>
        <item x="350"/>
        <item x="1818"/>
        <item x="162"/>
        <item x="1846"/>
        <item x="382"/>
        <item x="226"/>
        <item x="178"/>
        <item x="543"/>
        <item x="134"/>
        <item x="910"/>
        <item x="1179"/>
        <item x="1144"/>
        <item x="1643"/>
        <item x="506"/>
        <item x="1275"/>
        <item x="1411"/>
        <item x="648"/>
        <item x="744"/>
        <item x="1090"/>
        <item x="188"/>
        <item x="1840"/>
        <item x="1026"/>
        <item x="1115"/>
        <item x="115"/>
        <item x="1347"/>
        <item x="1466"/>
        <item x="2026"/>
        <item x="1783"/>
        <item x="969"/>
        <item x="1134"/>
        <item x="1370"/>
        <item x="1861"/>
        <item x="1836"/>
        <item x="1694"/>
        <item x="1521"/>
        <item x="645"/>
        <item x="1745"/>
        <item x="1848"/>
        <item x="415"/>
        <item x="730"/>
        <item x="907"/>
        <item x="562"/>
        <item x="881"/>
        <item x="283"/>
        <item x="1048"/>
        <item x="2042"/>
        <item x="1547"/>
        <item x="1434"/>
        <item x="524"/>
        <item x="638"/>
        <item x="1901"/>
        <item x="1004"/>
        <item x="1262"/>
        <item x="1258"/>
        <item x="1773"/>
        <item x="1664"/>
        <item x="1341"/>
        <item x="1187"/>
        <item x="683"/>
        <item x="2053"/>
        <item x="288"/>
        <item x="62"/>
        <item x="2018"/>
        <item x="95"/>
        <item x="1218"/>
        <item x="708"/>
        <item x="1542"/>
        <item x="1032"/>
        <item x="1319"/>
        <item x="60"/>
        <item x="746"/>
        <item x="834"/>
        <item x="1601"/>
        <item x="77"/>
        <item x="1128"/>
        <item x="1827"/>
        <item x="255"/>
        <item x="127"/>
        <item x="1119"/>
        <item x="1964"/>
        <item x="1110"/>
        <item x="1290"/>
        <item x="1750"/>
        <item x="1368"/>
        <item x="1402"/>
        <item x="394"/>
        <item x="1613"/>
        <item x="981"/>
        <item x="242"/>
        <item x="1711"/>
        <item x="1965"/>
        <item x="1569"/>
        <item x="1819"/>
        <item x="1334"/>
        <item x="968"/>
        <item x="1488"/>
        <item x="1146"/>
        <item x="2056"/>
        <item x="1117"/>
        <item x="831"/>
        <item x="1019"/>
        <item x="624"/>
        <item x="1439"/>
        <item x="1093"/>
        <item x="1563"/>
        <item x="920"/>
        <item x="1807"/>
        <item x="1775"/>
        <item x="1744"/>
        <item x="232"/>
        <item x="467"/>
        <item x="1707"/>
        <item x="1779"/>
        <item x="1151"/>
        <item x="1685"/>
        <item x="1999"/>
        <item x="1816"/>
        <item x="468"/>
        <item x="1259"/>
        <item x="1834"/>
        <item x="1942"/>
        <item x="2071"/>
        <item x="1507"/>
        <item x="324"/>
        <item x="677"/>
        <item x="319"/>
        <item x="1039"/>
        <item x="1536"/>
        <item x="1828"/>
        <item x="1580"/>
        <item x="849"/>
        <item x="1490"/>
        <item x="419"/>
        <item x="498"/>
        <item x="1517"/>
        <item x="579"/>
        <item x="518"/>
        <item x="2028"/>
        <item x="1325"/>
        <item x="1081"/>
        <item x="436"/>
        <item x="1072"/>
        <item x="1864"/>
        <item x="1050"/>
        <item x="1009"/>
        <item x="1772"/>
        <item x="370"/>
        <item x="820"/>
        <item x="175"/>
        <item x="1462"/>
        <item x="1195"/>
        <item x="1620"/>
        <item x="867"/>
        <item x="698"/>
        <item x="440"/>
        <item x="519"/>
        <item x="156"/>
        <item x="1654"/>
        <item x="601"/>
        <item x="1216"/>
        <item x="1099"/>
        <item x="1252"/>
        <item x="205"/>
        <item x="503"/>
        <item x="1037"/>
        <item x="922"/>
        <item x="1716"/>
        <item x="798"/>
        <item x="1380"/>
        <item x="687"/>
        <item x="1104"/>
        <item x="126"/>
        <item x="262"/>
        <item x="289"/>
        <item x="1372"/>
        <item x="522"/>
        <item x="1015"/>
        <item x="1741"/>
        <item x="1625"/>
        <item x="891"/>
        <item x="1092"/>
        <item x="1091"/>
        <item x="1108"/>
        <item x="335"/>
        <item x="502"/>
        <item x="2040"/>
        <item x="1064"/>
        <item x="526"/>
        <item x="1847"/>
        <item x="1338"/>
        <item x="55"/>
        <item x="1367"/>
        <item x="961"/>
        <item x="1859"/>
        <item x="1593"/>
        <item x="1067"/>
        <item x="1183"/>
        <item x="1605"/>
        <item x="1289"/>
        <item x="1873"/>
        <item x="1501"/>
        <item x="1895"/>
        <item x="373"/>
        <item x="505"/>
        <item x="1987"/>
        <item x="1497"/>
        <item x="315"/>
        <item x="195"/>
        <item x="211"/>
        <item x="1003"/>
        <item x="280"/>
        <item x="862"/>
        <item x="1632"/>
        <item x="1473"/>
        <item x="771"/>
        <item x="928"/>
        <item x="82"/>
        <item x="1518"/>
        <item x="516"/>
        <item x="1584"/>
        <item x="1147"/>
        <item x="1928"/>
        <item x="1447"/>
        <item x="800"/>
        <item x="830"/>
        <item x="345"/>
        <item x="1525"/>
        <item x="1131"/>
        <item x="542"/>
        <item x="1641"/>
        <item x="917"/>
        <item x="1244"/>
        <item x="0"/>
        <item x="680"/>
        <item x="1887"/>
        <item x="1025"/>
        <item x="1565"/>
        <item x="1330"/>
        <item x="2015"/>
        <item x="982"/>
        <item x="46"/>
        <item x="1382"/>
        <item x="829"/>
        <item x="58"/>
        <item x="1607"/>
        <item x="872"/>
        <item x="1984"/>
        <item x="1791"/>
        <item x="1317"/>
        <item x="712"/>
        <item x="2003"/>
        <item x="1851"/>
        <item x="1922"/>
        <item x="1598"/>
        <item x="381"/>
        <item x="221"/>
        <item x="1663"/>
        <item x="1171"/>
        <item x="1011"/>
        <item x="1311"/>
        <item x="1254"/>
        <item x="1666"/>
        <item x="1835"/>
        <item x="292"/>
        <item x="901"/>
        <item x="1767"/>
        <item x="983"/>
        <item x="2061"/>
        <item x="378"/>
        <item x="492"/>
        <item x="1068"/>
        <item x="489"/>
        <item x="1053"/>
        <item x="265"/>
        <item x="1318"/>
        <item x="80"/>
        <item x="86"/>
        <item x="573"/>
        <item x="1746"/>
        <item x="1614"/>
        <item x="192"/>
        <item x="847"/>
        <item x="94"/>
        <item x="145"/>
        <item x="625"/>
        <item x="1976"/>
        <item x="1752"/>
        <item x="26"/>
        <item x="1506"/>
        <item x="1088"/>
        <item x="1571"/>
        <item x="2004"/>
        <item x="1842"/>
        <item x="482"/>
        <item x="1735"/>
        <item x="243"/>
        <item x="582"/>
        <item x="695"/>
        <item x="1988"/>
        <item x="1020"/>
        <item x="665"/>
        <item x="338"/>
        <item x="1274"/>
        <item x="1168"/>
        <item x="212"/>
        <item x="1841"/>
        <item x="690"/>
        <item x="1265"/>
        <item x="32"/>
        <item x="1990"/>
        <item x="1582"/>
        <item x="167"/>
        <item x="596"/>
        <item x="766"/>
        <item x="308"/>
        <item x="1549"/>
        <item x="669"/>
        <item x="1261"/>
        <item x="1665"/>
        <item x="1578"/>
        <item x="1526"/>
        <item x="1453"/>
        <item x="581"/>
        <item x="1667"/>
        <item x="96"/>
        <item x="1495"/>
        <item x="1211"/>
        <item x="360"/>
        <item x="488"/>
        <item x="2070"/>
        <item x="1332"/>
        <item x="1923"/>
        <item x="1381"/>
        <item x="400"/>
        <item x="1557"/>
        <item x="1645"/>
        <item x="1421"/>
        <item x="346"/>
        <item x="117"/>
        <item x="323"/>
        <item x="1023"/>
        <item x="1383"/>
        <item x="109"/>
        <item x="1055"/>
        <item x="992"/>
        <item x="1634"/>
        <item x="987"/>
        <item x="637"/>
        <item x="805"/>
        <item x="1493"/>
        <item x="1515"/>
        <item x="546"/>
        <item x="34"/>
        <item x="1122"/>
        <item x="793"/>
        <item x="824"/>
        <item x="1541"/>
        <item x="1111"/>
        <item x="270"/>
        <item x="1253"/>
        <item x="873"/>
        <item x="603"/>
        <item x="1281"/>
        <item x="682"/>
        <item x="1989"/>
        <item x="818"/>
        <item x="1909"/>
        <item x="1622"/>
        <item x="1811"/>
        <item x="1531"/>
        <item x="1544"/>
        <item x="1609"/>
        <item x="1285"/>
        <item x="1874"/>
        <item x="783"/>
        <item x="337"/>
        <item x="1555"/>
        <item x="1918"/>
        <item x="1352"/>
        <item x="1479"/>
        <item x="1596"/>
        <item x="1366"/>
        <item x="1440"/>
        <item x="773"/>
        <item x="893"/>
        <item x="1389"/>
        <item x="99"/>
        <item x="1387"/>
        <item x="448"/>
        <item x="885"/>
        <item x="812"/>
        <item x="852"/>
        <item x="673"/>
        <item x="196"/>
        <item x="1529"/>
        <item x="767"/>
        <item x="697"/>
        <item x="1454"/>
        <item x="991"/>
        <item x="1165"/>
        <item x="393"/>
        <item x="1000"/>
        <item x="1729"/>
        <item x="465"/>
        <item x="1415"/>
        <item x="1431"/>
        <item x="357"/>
        <item x="198"/>
        <item x="2011"/>
        <item x="499"/>
        <item x="453"/>
        <item x="720"/>
        <item x="1076"/>
        <item x="842"/>
        <item x="1688"/>
        <item x="256"/>
        <item x="2074"/>
        <item x="2007"/>
        <item x="532"/>
        <item x="1390"/>
        <item x="1276"/>
        <item x="151"/>
        <item x="803"/>
        <item x="1279"/>
        <item x="1083"/>
        <item x="1283"/>
        <item x="1698"/>
        <item x="1136"/>
        <item x="759"/>
        <item x="779"/>
        <item x="44"/>
        <item x="1782"/>
        <item x="294"/>
        <item x="1600"/>
        <item x="1045"/>
        <item x="828"/>
        <item x="366"/>
        <item x="876"/>
        <item x="608"/>
        <item x="877"/>
        <item x="827"/>
        <item x="1207"/>
        <item x="1293"/>
        <item x="635"/>
        <item x="1451"/>
        <item x="1914"/>
        <item x="964"/>
        <item x="711"/>
        <item x="141"/>
        <item x="1902"/>
        <item x="538"/>
        <item x="880"/>
        <item x="718"/>
        <item x="1991"/>
        <item x="1929"/>
        <item x="47"/>
        <item x="1723"/>
        <item x="1057"/>
        <item x="18"/>
        <item x="1797"/>
        <item x="1556"/>
        <item x="699"/>
        <item x="706"/>
        <item x="1414"/>
        <item x="33"/>
        <item x="1761"/>
        <item x="273"/>
        <item x="1974"/>
        <item x="1174"/>
        <item x="948"/>
        <item x="410"/>
        <item x="1927"/>
        <item x="1629"/>
        <item x="1302"/>
        <item x="50"/>
        <item x="781"/>
        <item x="78"/>
        <item x="405"/>
        <item x="1001"/>
        <item x="2060"/>
        <item x="1149"/>
        <item x="1516"/>
        <item x="1881"/>
        <item x="153"/>
        <item x="1579"/>
        <item x="809"/>
        <item x="16"/>
        <item x="1683"/>
        <item x="1714"/>
        <item x="754"/>
        <item x="1177"/>
        <item x="1287"/>
        <item x="369"/>
        <item x="736"/>
        <item x="1303"/>
        <item x="825"/>
        <item x="197"/>
        <item x="758"/>
        <item x="978"/>
        <item x="437"/>
        <item x="344"/>
        <item x="1084"/>
        <item x="1018"/>
        <item x="395"/>
        <item x="674"/>
        <item x="1028"/>
        <item x="1191"/>
        <item x="855"/>
        <item x="501"/>
        <item x="1432"/>
        <item x="1264"/>
        <item x="558"/>
        <item x="165"/>
        <item x="1123"/>
        <item x="309"/>
        <item x="1482"/>
        <item x="177"/>
        <item x="446"/>
        <item x="1188"/>
        <item x="1867"/>
        <item x="1078"/>
        <item x="965"/>
        <item x="563"/>
        <item x="1730"/>
        <item x="1060"/>
        <item x="556"/>
        <item x="40"/>
        <item x="963"/>
        <item x="358"/>
        <item x="1978"/>
        <item x="341"/>
        <item x="425"/>
        <item x="397"/>
        <item x="1802"/>
        <item x="1963"/>
        <item x="976"/>
        <item x="1822"/>
        <item x="950"/>
        <item x="1033"/>
        <item x="1738"/>
        <item x="2020"/>
        <item x="938"/>
        <item x="1975"/>
        <item x="921"/>
        <item x="1277"/>
        <item x="989"/>
        <item x="659"/>
        <item x="1124"/>
        <item x="1996"/>
        <item x="814"/>
        <item x="474"/>
        <item x="263"/>
        <item x="202"/>
        <item x="216"/>
        <item x="2033"/>
        <item x="2069"/>
        <item x="1514"/>
        <item x="778"/>
        <item x="1360"/>
        <item x="2047"/>
        <item x="464"/>
        <item x="457"/>
        <item x="942"/>
        <item x="691"/>
        <item x="136"/>
        <item x="1379"/>
        <item x="272"/>
        <item x="864"/>
        <item x="1222"/>
        <item x="278"/>
        <item x="189"/>
        <item x="2043"/>
        <item x="1574"/>
        <item x="628"/>
        <item x="1833"/>
        <item x="463"/>
        <item x="1315"/>
        <item x="552"/>
        <item x="1257"/>
        <item x="839"/>
        <item x="644"/>
        <item x="1167"/>
        <item x="2000"/>
        <item x="1385"/>
        <item x="871"/>
        <item x="1457"/>
        <item x="726"/>
        <item x="340"/>
        <item x="681"/>
        <item x="1469"/>
        <item x="533"/>
        <item x="985"/>
        <item x="287"/>
        <item x="1017"/>
        <item x="528"/>
        <item x="1157"/>
        <item x="611"/>
        <item x="48"/>
        <item x="206"/>
        <item x="409"/>
        <item x="140"/>
        <item x="684"/>
        <item x="1322"/>
        <item x="472"/>
        <item x="1215"/>
        <item x="1483"/>
        <item x="66"/>
        <item x="739"/>
        <item x="1647"/>
        <item x="1936"/>
        <item x="286"/>
        <item x="886"/>
        <item x="1935"/>
        <item x="2016"/>
        <item x="1742"/>
        <item x="1686"/>
        <item x="1312"/>
        <item x="906"/>
        <item x="1862"/>
        <item x="898"/>
        <item x="1676"/>
        <item x="186"/>
        <item t="default"/>
      </items>
    </pivotField>
    <pivotField compact="0" showAll="0">
      <items count="7">
        <item x="1"/>
        <item x="2"/>
        <item x="5"/>
        <item x="3"/>
        <item x="4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754">
        <item x="649"/>
        <item x="691"/>
        <item x="314"/>
        <item x="164"/>
        <item x="238"/>
        <item x="740"/>
        <item x="440"/>
        <item x="216"/>
        <item x="613"/>
        <item x="499"/>
        <item x="463"/>
        <item x="357"/>
        <item x="206"/>
        <item x="107"/>
        <item x="503"/>
        <item x="28"/>
        <item x="140"/>
        <item x="232"/>
        <item x="513"/>
        <item x="273"/>
        <item x="97"/>
        <item x="427"/>
        <item x="254"/>
        <item x="453"/>
        <item x="378"/>
        <item x="635"/>
        <item x="210"/>
        <item x="220"/>
        <item x="159"/>
        <item x="36"/>
        <item x="332"/>
        <item x="260"/>
        <item x="296"/>
        <item x="366"/>
        <item x="462"/>
        <item x="194"/>
        <item x="472"/>
        <item x="548"/>
        <item x="361"/>
        <item x="196"/>
        <item x="668"/>
        <item x="249"/>
        <item x="679"/>
        <item x="39"/>
        <item x="738"/>
        <item x="732"/>
        <item x="334"/>
        <item x="127"/>
        <item x="688"/>
        <item x="584"/>
        <item x="119"/>
        <item x="1"/>
        <item x="380"/>
        <item x="2"/>
        <item x="432"/>
        <item x="692"/>
        <item x="493"/>
        <item x="674"/>
        <item x="154"/>
        <item x="96"/>
        <item x="518"/>
        <item x="483"/>
        <item x="74"/>
        <item x="29"/>
        <item x="43"/>
        <item x="307"/>
        <item x="330"/>
        <item x="664"/>
        <item x="575"/>
        <item x="589"/>
        <item x="746"/>
        <item x="235"/>
        <item x="603"/>
        <item x="178"/>
        <item x="368"/>
        <item x="532"/>
        <item x="342"/>
        <item x="626"/>
        <item x="258"/>
        <item x="57"/>
        <item x="91"/>
        <item x="619"/>
        <item x="719"/>
        <item x="699"/>
        <item x="632"/>
        <item x="662"/>
        <item x="162"/>
        <item x="597"/>
        <item x="509"/>
        <item x="271"/>
        <item x="94"/>
        <item x="743"/>
        <item x="250"/>
        <item x="581"/>
        <item x="391"/>
        <item x="547"/>
        <item x="566"/>
        <item x="406"/>
        <item x="587"/>
        <item x="687"/>
        <item x="735"/>
        <item x="25"/>
        <item x="384"/>
        <item x="267"/>
        <item x="716"/>
        <item x="715"/>
        <item x="227"/>
        <item x="424"/>
        <item x="430"/>
        <item x="395"/>
        <item x="492"/>
        <item x="511"/>
        <item x="323"/>
        <item x="747"/>
        <item x="337"/>
        <item x="538"/>
        <item x="482"/>
        <item x="313"/>
        <item x="172"/>
        <item x="338"/>
        <item x="466"/>
        <item x="348"/>
        <item x="180"/>
        <item x="292"/>
        <item x="257"/>
        <item x="684"/>
        <item x="274"/>
        <item x="407"/>
        <item x="485"/>
        <item x="102"/>
        <item x="241"/>
        <item x="293"/>
        <item x="373"/>
        <item x="389"/>
        <item x="439"/>
        <item x="17"/>
        <item x="624"/>
        <item x="599"/>
        <item x="263"/>
        <item x="745"/>
        <item x="428"/>
        <item x="398"/>
        <item x="390"/>
        <item x="494"/>
        <item x="534"/>
        <item x="90"/>
        <item x="558"/>
        <item x="177"/>
        <item x="52"/>
        <item x="131"/>
        <item x="467"/>
        <item x="226"/>
        <item x="93"/>
        <item x="557"/>
        <item x="352"/>
        <item x="229"/>
        <item x="471"/>
        <item x="620"/>
        <item x="505"/>
        <item x="601"/>
        <item x="752"/>
        <item x="487"/>
        <item x="312"/>
        <item x="165"/>
        <item x="418"/>
        <item x="586"/>
        <item x="709"/>
        <item x="475"/>
        <item x="268"/>
        <item x="516"/>
        <item x="591"/>
        <item x="48"/>
        <item x="385"/>
        <item x="98"/>
        <item x="306"/>
        <item x="527"/>
        <item x="21"/>
        <item x="750"/>
        <item x="593"/>
        <item x="120"/>
        <item x="80"/>
        <item x="356"/>
        <item x="38"/>
        <item x="409"/>
        <item x="615"/>
        <item x="697"/>
        <item x="114"/>
        <item x="500"/>
        <item x="284"/>
        <item x="23"/>
        <item x="221"/>
        <item x="410"/>
        <item x="729"/>
        <item x="452"/>
        <item x="617"/>
        <item x="186"/>
        <item x="651"/>
        <item x="207"/>
        <item x="643"/>
        <item x="486"/>
        <item x="526"/>
        <item x="124"/>
        <item x="530"/>
        <item x="677"/>
        <item x="259"/>
        <item x="404"/>
        <item x="680"/>
        <item x="723"/>
        <item x="724"/>
        <item x="671"/>
        <item x="144"/>
        <item x="157"/>
        <item x="139"/>
        <item x="209"/>
        <item x="125"/>
        <item x="610"/>
        <item x="700"/>
        <item x="283"/>
        <item x="95"/>
        <item x="60"/>
        <item x="720"/>
        <item x="224"/>
        <item x="104"/>
        <item x="34"/>
        <item x="681"/>
        <item x="393"/>
        <item x="282"/>
        <item x="474"/>
        <item x="443"/>
        <item x="277"/>
        <item x="191"/>
        <item x="614"/>
        <item x="637"/>
        <item x="246"/>
        <item x="176"/>
        <item x="429"/>
        <item x="722"/>
        <item x="507"/>
        <item x="376"/>
        <item x="667"/>
        <item x="417"/>
        <item x="604"/>
        <item x="364"/>
        <item x="742"/>
        <item x="419"/>
        <item x="435"/>
        <item x="666"/>
        <item x="242"/>
        <item x="333"/>
        <item x="349"/>
        <item x="535"/>
        <item x="553"/>
        <item x="225"/>
        <item x="434"/>
        <item x="415"/>
        <item x="182"/>
        <item x="542"/>
        <item x="479"/>
        <item x="280"/>
        <item x="450"/>
        <item x="336"/>
        <item x="539"/>
        <item x="297"/>
        <item x="291"/>
        <item x="711"/>
        <item x="353"/>
        <item x="543"/>
        <item x="79"/>
        <item x="728"/>
        <item x="576"/>
        <item x="135"/>
        <item x="41"/>
        <item x="281"/>
        <item x="18"/>
        <item x="645"/>
        <item x="465"/>
        <item x="272"/>
        <item x="672"/>
        <item x="75"/>
        <item x="616"/>
        <item x="171"/>
        <item x="322"/>
        <item x="8"/>
        <item x="65"/>
        <item x="612"/>
        <item x="308"/>
        <item x="187"/>
        <item x="67"/>
        <item x="495"/>
        <item x="290"/>
        <item x="214"/>
        <item x="300"/>
        <item x="179"/>
        <item x="301"/>
        <item x="346"/>
        <item x="37"/>
        <item x="544"/>
        <item x="655"/>
        <item x="497"/>
        <item x="609"/>
        <item x="315"/>
        <item x="595"/>
        <item x="456"/>
        <item x="58"/>
        <item x="269"/>
        <item x="190"/>
        <item x="359"/>
        <item x="442"/>
        <item x="733"/>
        <item x="174"/>
        <item x="47"/>
        <item x="121"/>
        <item x="15"/>
        <item x="727"/>
        <item x="379"/>
        <item x="279"/>
        <item x="113"/>
        <item x="423"/>
        <item x="441"/>
        <item x="92"/>
        <item x="161"/>
        <item x="628"/>
        <item x="707"/>
        <item x="82"/>
        <item x="408"/>
        <item x="248"/>
        <item x="151"/>
        <item x="50"/>
        <item x="670"/>
        <item x="304"/>
        <item x="143"/>
        <item x="327"/>
        <item x="402"/>
        <item x="682"/>
        <item x="412"/>
        <item x="133"/>
        <item x="239"/>
        <item x="344"/>
        <item x="26"/>
        <item x="101"/>
        <item x="192"/>
        <item x="245"/>
        <item x="708"/>
        <item x="110"/>
        <item x="158"/>
        <item x="627"/>
        <item x="152"/>
        <item x="377"/>
        <item x="386"/>
        <item x="577"/>
        <item x="49"/>
        <item x="730"/>
        <item x="62"/>
        <item x="669"/>
        <item x="331"/>
        <item x="117"/>
        <item x="12"/>
        <item x="5"/>
        <item x="646"/>
        <item x="108"/>
        <item x="477"/>
        <item x="288"/>
        <item x="289"/>
        <item x="491"/>
        <item x="541"/>
        <item x="51"/>
        <item x="358"/>
        <item x="148"/>
        <item x="652"/>
        <item x="618"/>
        <item x="298"/>
        <item x="634"/>
        <item x="123"/>
        <item x="365"/>
        <item x="529"/>
        <item x="240"/>
        <item x="564"/>
        <item x="622"/>
        <item x="237"/>
        <item x="54"/>
        <item x="30"/>
        <item x="69"/>
        <item x="14"/>
        <item x="583"/>
        <item x="20"/>
        <item x="71"/>
        <item x="588"/>
        <item x="549"/>
        <item x="579"/>
        <item x="731"/>
        <item x="185"/>
        <item x="255"/>
        <item x="744"/>
        <item x="204"/>
        <item x="654"/>
        <item x="704"/>
        <item x="109"/>
        <item x="285"/>
        <item x="88"/>
        <item x="189"/>
        <item x="265"/>
        <item x="561"/>
        <item x="714"/>
        <item x="11"/>
        <item x="77"/>
        <item x="205"/>
        <item x="66"/>
        <item x="585"/>
        <item x="457"/>
        <item x="198"/>
        <item x="222"/>
        <item x="266"/>
        <item x="211"/>
        <item x="524"/>
        <item x="546"/>
        <item x="208"/>
        <item x="213"/>
        <item x="341"/>
        <item x="126"/>
        <item x="702"/>
        <item x="683"/>
        <item x="56"/>
        <item x="706"/>
        <item x="739"/>
        <item x="473"/>
        <item x="625"/>
        <item x="112"/>
        <item x="233"/>
        <item x="276"/>
        <item x="689"/>
        <item x="347"/>
        <item x="501"/>
        <item x="639"/>
        <item x="219"/>
        <item x="540"/>
        <item x="73"/>
        <item x="698"/>
        <item x="690"/>
        <item x="629"/>
        <item x="741"/>
        <item x="228"/>
        <item x="236"/>
        <item x="580"/>
        <item x="464"/>
        <item x="134"/>
        <item x="381"/>
        <item x="422"/>
        <item x="705"/>
        <item x="446"/>
        <item x="45"/>
        <item x="383"/>
        <item x="302"/>
        <item x="147"/>
        <item x="436"/>
        <item x="594"/>
        <item x="343"/>
        <item x="454"/>
        <item x="751"/>
        <item x="270"/>
        <item x="375"/>
        <item x="521"/>
        <item x="218"/>
        <item x="605"/>
        <item x="675"/>
        <item x="444"/>
        <item x="563"/>
        <item x="275"/>
        <item x="128"/>
        <item x="369"/>
        <item x="305"/>
        <item x="262"/>
        <item x="387"/>
        <item x="4"/>
        <item x="7"/>
        <item x="320"/>
        <item x="414"/>
        <item x="33"/>
        <item x="231"/>
        <item x="641"/>
        <item x="16"/>
        <item x="531"/>
        <item x="426"/>
        <item x="653"/>
        <item x="582"/>
        <item x="545"/>
        <item x="251"/>
        <item x="572"/>
        <item x="168"/>
        <item x="324"/>
        <item x="142"/>
        <item x="512"/>
        <item x="676"/>
        <item x="559"/>
        <item x="55"/>
        <item x="400"/>
        <item x="574"/>
        <item x="53"/>
        <item x="371"/>
        <item x="498"/>
        <item x="129"/>
        <item x="630"/>
        <item x="661"/>
        <item x="413"/>
        <item x="188"/>
        <item x="537"/>
        <item x="663"/>
        <item x="326"/>
        <item x="525"/>
        <item x="13"/>
        <item x="193"/>
        <item x="647"/>
        <item x="644"/>
        <item x="508"/>
        <item x="551"/>
        <item x="83"/>
        <item x="355"/>
        <item x="382"/>
        <item x="685"/>
        <item x="351"/>
        <item x="202"/>
        <item x="199"/>
        <item x="234"/>
        <item x="122"/>
        <item x="170"/>
        <item x="405"/>
        <item x="345"/>
        <item x="734"/>
        <item x="78"/>
        <item x="656"/>
        <item x="569"/>
        <item x="449"/>
        <item x="319"/>
        <item x="370"/>
        <item x="195"/>
        <item x="570"/>
        <item x="363"/>
        <item x="85"/>
        <item x="166"/>
        <item x="401"/>
        <item x="717"/>
        <item x="40"/>
        <item x="481"/>
        <item x="100"/>
        <item x="286"/>
        <item x="175"/>
        <item x="247"/>
        <item x="138"/>
        <item x="27"/>
        <item x="420"/>
        <item x="416"/>
        <item x="478"/>
        <item x="84"/>
        <item x="200"/>
        <item x="149"/>
        <item x="528"/>
        <item x="63"/>
        <item x="611"/>
        <item x="484"/>
        <item x="169"/>
        <item x="3"/>
        <item x="470"/>
        <item x="76"/>
        <item x="631"/>
        <item x="153"/>
        <item x="693"/>
        <item x="354"/>
        <item x="243"/>
        <item x="431"/>
        <item x="46"/>
        <item x="573"/>
        <item x="68"/>
        <item x="523"/>
        <item x="556"/>
        <item x="403"/>
        <item x="399"/>
        <item x="598"/>
        <item x="552"/>
        <item x="468"/>
        <item x="578"/>
        <item x="638"/>
        <item x="155"/>
        <item x="712"/>
        <item x="657"/>
        <item x="550"/>
        <item x="388"/>
        <item x="264"/>
        <item x="602"/>
        <item x="726"/>
        <item x="374"/>
        <item x="642"/>
        <item x="217"/>
        <item x="480"/>
        <item x="447"/>
        <item x="372"/>
        <item x="392"/>
        <item x="141"/>
        <item x="311"/>
        <item x="130"/>
        <item x="325"/>
        <item x="445"/>
        <item x="451"/>
        <item x="89"/>
        <item x="621"/>
        <item x="554"/>
        <item x="660"/>
        <item x="397"/>
        <item x="81"/>
        <item x="522"/>
        <item x="421"/>
        <item x="44"/>
        <item x="278"/>
        <item x="695"/>
        <item x="496"/>
        <item x="350"/>
        <item x="648"/>
        <item x="6"/>
        <item x="490"/>
        <item x="659"/>
        <item x="253"/>
        <item x="725"/>
        <item x="565"/>
        <item x="623"/>
        <item x="433"/>
        <item x="116"/>
        <item x="87"/>
        <item x="721"/>
        <item x="299"/>
        <item x="510"/>
        <item x="665"/>
        <item x="252"/>
        <item x="256"/>
        <item x="173"/>
        <item x="567"/>
        <item x="163"/>
        <item x="201"/>
        <item x="340"/>
        <item x="335"/>
        <item x="520"/>
        <item x="737"/>
        <item x="0"/>
        <item x="150"/>
        <item x="517"/>
        <item x="339"/>
        <item x="360"/>
        <item x="61"/>
        <item x="678"/>
        <item x="10"/>
        <item x="294"/>
        <item x="560"/>
        <item x="367"/>
        <item x="519"/>
        <item x="24"/>
        <item x="86"/>
        <item x="244"/>
        <item x="261"/>
        <item x="329"/>
        <item x="146"/>
        <item x="316"/>
        <item x="694"/>
        <item x="99"/>
        <item x="362"/>
        <item x="212"/>
        <item x="673"/>
        <item x="701"/>
        <item x="215"/>
        <item x="310"/>
        <item x="59"/>
        <item x="459"/>
        <item x="167"/>
        <item x="137"/>
        <item x="514"/>
        <item x="72"/>
        <item x="111"/>
        <item x="448"/>
        <item x="606"/>
        <item x="425"/>
        <item x="590"/>
        <item x="749"/>
        <item x="197"/>
        <item x="181"/>
        <item x="396"/>
        <item x="303"/>
        <item x="317"/>
        <item x="203"/>
        <item x="506"/>
        <item x="536"/>
        <item x="132"/>
        <item x="115"/>
        <item x="658"/>
        <item x="533"/>
        <item x="105"/>
        <item x="476"/>
        <item x="469"/>
        <item x="736"/>
        <item x="9"/>
        <item x="592"/>
        <item x="568"/>
        <item x="633"/>
        <item x="696"/>
        <item x="156"/>
        <item x="230"/>
        <item x="32"/>
        <item x="504"/>
        <item x="718"/>
        <item x="309"/>
        <item x="295"/>
        <item x="223"/>
        <item x="160"/>
        <item x="70"/>
        <item x="106"/>
        <item x="488"/>
        <item x="321"/>
        <item x="600"/>
        <item x="458"/>
        <item x="328"/>
        <item x="455"/>
        <item x="103"/>
        <item x="22"/>
        <item x="437"/>
        <item x="145"/>
        <item x="713"/>
        <item x="438"/>
        <item x="318"/>
        <item x="394"/>
        <item x="608"/>
        <item x="411"/>
        <item x="640"/>
        <item x="636"/>
        <item x="64"/>
        <item x="571"/>
        <item x="710"/>
        <item x="489"/>
        <item x="515"/>
        <item x="686"/>
        <item x="184"/>
        <item x="19"/>
        <item x="596"/>
        <item x="650"/>
        <item x="562"/>
        <item x="748"/>
        <item x="42"/>
        <item x="31"/>
        <item x="35"/>
        <item x="136"/>
        <item x="287"/>
        <item x="183"/>
        <item x="502"/>
        <item x="607"/>
        <item x="703"/>
        <item x="460"/>
        <item x="555"/>
        <item x="461"/>
        <item x="118"/>
        <item t="default"/>
      </items>
    </pivotField>
    <pivotField compact="0" showAll="0">
      <items count="3">
        <item x="1"/>
        <item x="0"/>
        <item t="default"/>
      </items>
    </pivotField>
    <pivotField compact="0" defaultSubtotal="0" showAll="0">
      <items count="4">
        <item x="0"/>
        <item x="3"/>
        <item x="1"/>
        <item x="2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19" firstHeaderRow="1" firstDataRow="1" firstDataCol="2"/>
  <pivotFields count="27">
    <pivotField compact="0" showAll="0"/>
    <pivotField compact="0" showAll="0"/>
    <pivotField axis="axisRow" compact="0" numFmtId="18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4" showAll="0"/>
    <pivotField compact="0" numFmtId="9" showAll="0"/>
    <pivotField compact="0" numFmtId="4" showAll="0"/>
    <pivotField compact="0" numFmtId="4" showAll="0"/>
    <pivotField compact="0" showAll="0"/>
    <pivotField compact="0" numFmtId="4" showAll="0"/>
    <pivotField dataField="1" compact="0" numFmtId="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defaultSubtotal="0" showAll="0">
      <items count="4">
        <item x="0"/>
        <item x="3"/>
        <item x="1"/>
        <item x="2"/>
      </items>
    </pivotField>
  </pivotFields>
  <rowFields count="2">
    <field x="26"/>
    <field x="2"/>
  </rowFields>
  <rowItems count="16">
    <i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Profit" fld="1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4" firstHeaderRow="1" firstDataRow="1" firstDataCol="1"/>
  <pivotFields count="27"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measureFilter="1" compact="0" sortType="descending" showAll="0">
      <items count="180">
        <item x="23"/>
        <item x="95"/>
        <item x="48"/>
        <item x="63"/>
        <item x="14"/>
        <item x="47"/>
        <item x="99"/>
        <item x="2"/>
        <item x="150"/>
        <item x="83"/>
        <item x="119"/>
        <item x="56"/>
        <item x="61"/>
        <item x="80"/>
        <item x="31"/>
        <item x="78"/>
        <item x="28"/>
        <item x="72"/>
        <item x="7"/>
        <item x="21"/>
        <item x="107"/>
        <item x="34"/>
        <item x="114"/>
        <item x="81"/>
        <item x="5"/>
        <item x="36"/>
        <item x="18"/>
        <item x="115"/>
        <item x="113"/>
        <item x="73"/>
        <item x="58"/>
        <item x="33"/>
        <item x="52"/>
        <item x="32"/>
        <item x="41"/>
        <item x="144"/>
        <item x="74"/>
        <item x="100"/>
        <item x="42"/>
        <item x="122"/>
        <item x="128"/>
        <item x="12"/>
        <item x="26"/>
        <item x="39"/>
        <item x="59"/>
        <item x="124"/>
        <item x="50"/>
        <item x="54"/>
        <item x="20"/>
        <item x="40"/>
        <item x="0"/>
        <item x="106"/>
        <item x="19"/>
        <item x="158"/>
        <item x="112"/>
        <item x="137"/>
        <item x="141"/>
        <item x="133"/>
        <item x="6"/>
        <item x="13"/>
        <item x="146"/>
        <item x="8"/>
        <item x="159"/>
        <item x="108"/>
        <item x="142"/>
        <item x="123"/>
        <item x="45"/>
        <item x="43"/>
        <item x="90"/>
        <item x="9"/>
        <item x="30"/>
        <item x="98"/>
        <item x="102"/>
        <item x="16"/>
        <item x="57"/>
        <item x="29"/>
        <item x="136"/>
        <item x="66"/>
        <item x="130"/>
        <item x="84"/>
        <item x="1"/>
        <item x="161"/>
        <item x="10"/>
        <item x="82"/>
        <item x="25"/>
        <item x="35"/>
        <item x="27"/>
        <item x="49"/>
        <item x="140"/>
        <item x="15"/>
        <item x="46"/>
        <item x="175"/>
        <item x="152"/>
        <item x="103"/>
        <item x="116"/>
        <item x="75"/>
        <item x="87"/>
        <item x="68"/>
        <item x="3"/>
        <item x="76"/>
        <item x="138"/>
        <item x="129"/>
        <item x="24"/>
        <item x="143"/>
        <item x="88"/>
        <item x="127"/>
        <item x="96"/>
        <item x="94"/>
        <item x="89"/>
        <item x="139"/>
        <item x="151"/>
        <item x="110"/>
        <item x="17"/>
        <item x="154"/>
        <item x="174"/>
        <item x="153"/>
        <item x="93"/>
        <item x="71"/>
        <item x="70"/>
        <item x="118"/>
        <item x="37"/>
        <item x="86"/>
        <item x="38"/>
        <item x="104"/>
        <item x="149"/>
        <item x="4"/>
        <item x="167"/>
        <item x="165"/>
        <item x="60"/>
        <item x="65"/>
        <item x="79"/>
        <item x="148"/>
        <item x="105"/>
        <item x="132"/>
        <item x="51"/>
        <item x="172"/>
        <item x="55"/>
        <item x="62"/>
        <item x="91"/>
        <item x="53"/>
        <item x="170"/>
        <item x="92"/>
        <item x="44"/>
        <item x="69"/>
        <item x="169"/>
        <item x="145"/>
        <item x="117"/>
        <item x="166"/>
        <item x="134"/>
        <item x="121"/>
        <item x="160"/>
        <item x="162"/>
        <item x="126"/>
        <item x="64"/>
        <item x="176"/>
        <item x="131"/>
        <item x="11"/>
        <item x="111"/>
        <item x="77"/>
        <item x="163"/>
        <item x="85"/>
        <item x="125"/>
        <item x="155"/>
        <item x="97"/>
        <item x="101"/>
        <item x="177"/>
        <item x="178"/>
        <item x="168"/>
        <item x="120"/>
        <item x="135"/>
        <item x="22"/>
        <item x="147"/>
        <item x="67"/>
        <item x="164"/>
        <item x="171"/>
        <item x="156"/>
        <item x="157"/>
        <item x="109"/>
        <item x="17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numFmtId="4" showAll="0"/>
    <pivotField compact="0" numFmtId="9" showAll="0"/>
    <pivotField compact="0" numFmtId="4" showAll="0"/>
    <pivotField compact="0" numFmtId="4" showAll="0"/>
    <pivotField dataField="1" compact="0" showAll="0"/>
    <pivotField compact="0" numFmtId="4" showAll="0"/>
    <pivotField compact="0" numFmtId="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defaultSubtotal="0" showAll="0"/>
  </pivotFields>
  <rowFields count="1">
    <field x="9"/>
  </rowFields>
  <rowItems count="11">
    <i>
      <x v="84"/>
    </i>
    <i>
      <x v="58"/>
    </i>
    <i>
      <x v="32"/>
    </i>
    <i>
      <x v="17"/>
    </i>
    <i>
      <x v="95"/>
    </i>
    <i>
      <x v="90"/>
    </i>
    <i>
      <x v="55"/>
    </i>
    <i>
      <x v="35"/>
    </i>
    <i>
      <x v="22"/>
    </i>
    <i>
      <x v="78"/>
    </i>
    <i t="grand">
      <x/>
    </i>
  </rowItems>
  <colItems count="1">
    <i/>
  </colItems>
  <dataFields count="1">
    <dataField name="Sum of Sales_Amount" fld="16" baseField="0" baseItem="0"/>
  </dataFields>
  <pivotTableStyleInfo name="PivotStyleLight16" showRowHeaders="1" showColHeaders="1" showLastColumn="1"/>
  <filters count="1">
    <filter evalOrder="-1" fld="9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27">
    <pivotField dataField="1" compact="0" showAll="0">
      <items count="2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919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2280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115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2132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1842"/>
        <item x="916"/>
        <item x="917"/>
        <item x="918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750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366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2331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637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1980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compact="0" showAll="0">
      <items count="24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115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749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636"/>
        <item x="1964"/>
        <item x="1965"/>
        <item x="1966"/>
        <item x="1967"/>
        <item x="1968"/>
        <item x="1969"/>
        <item x="1970"/>
        <item x="1971"/>
        <item x="1972"/>
        <item x="1973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1974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t="default"/>
      </items>
    </pivotField>
    <pivotField compact="0" numFmtId="18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11"/>
        <item x="7"/>
        <item x="1"/>
        <item x="9"/>
        <item x="5"/>
        <item x="0"/>
        <item x="3"/>
        <item x="4"/>
        <item x="2"/>
        <item x="8"/>
        <item x="6"/>
        <item x="10"/>
        <item t="default"/>
      </items>
    </pivotField>
    <pivotField compact="0" showAll="0">
      <items count="13">
        <item x="11"/>
        <item x="7"/>
        <item x="1"/>
        <item x="9"/>
        <item x="5"/>
        <item x="0"/>
        <item x="3"/>
        <item x="4"/>
        <item x="2"/>
        <item x="8"/>
        <item x="6"/>
        <item x="1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650">
        <item x="534"/>
        <item x="437"/>
        <item x="626"/>
        <item x="220"/>
        <item x="40"/>
        <item x="505"/>
        <item x="308"/>
        <item x="541"/>
        <item x="126"/>
        <item x="138"/>
        <item x="621"/>
        <item x="101"/>
        <item x="559"/>
        <item x="619"/>
        <item x="114"/>
        <item x="457"/>
        <item x="260"/>
        <item x="293"/>
        <item x="116"/>
        <item x="31"/>
        <item x="109"/>
        <item x="230"/>
        <item x="617"/>
        <item x="159"/>
        <item x="88"/>
        <item x="245"/>
        <item x="302"/>
        <item x="208"/>
        <item x="557"/>
        <item x="487"/>
        <item x="432"/>
        <item x="253"/>
        <item x="102"/>
        <item x="376"/>
        <item x="642"/>
        <item x="484"/>
        <item x="106"/>
        <item x="9"/>
        <item x="425"/>
        <item x="613"/>
        <item x="477"/>
        <item x="196"/>
        <item x="219"/>
        <item x="136"/>
        <item x="605"/>
        <item x="269"/>
        <item x="26"/>
        <item x="201"/>
        <item x="289"/>
        <item x="288"/>
        <item x="115"/>
        <item x="305"/>
        <item x="24"/>
        <item x="21"/>
        <item x="144"/>
        <item x="95"/>
        <item x="357"/>
        <item x="132"/>
        <item x="91"/>
        <item x="433"/>
        <item x="17"/>
        <item x="598"/>
        <item x="52"/>
        <item x="250"/>
        <item x="388"/>
        <item x="554"/>
        <item x="352"/>
        <item x="552"/>
        <item x="622"/>
        <item x="65"/>
        <item x="287"/>
        <item x="430"/>
        <item x="502"/>
        <item x="342"/>
        <item x="583"/>
        <item x="209"/>
        <item x="217"/>
        <item x="400"/>
        <item x="427"/>
        <item x="447"/>
        <item x="117"/>
        <item x="548"/>
        <item x="181"/>
        <item x="364"/>
        <item x="341"/>
        <item x="441"/>
        <item x="218"/>
        <item x="624"/>
        <item x="166"/>
        <item x="157"/>
        <item x="292"/>
        <item x="565"/>
        <item x="648"/>
        <item x="358"/>
        <item x="57"/>
        <item x="167"/>
        <item x="610"/>
        <item x="446"/>
        <item x="595"/>
        <item x="414"/>
        <item x="48"/>
        <item x="551"/>
        <item x="455"/>
        <item x="556"/>
        <item x="353"/>
        <item x="187"/>
        <item x="195"/>
        <item x="227"/>
        <item x="1"/>
        <item x="407"/>
        <item x="395"/>
        <item x="620"/>
        <item x="66"/>
        <item x="108"/>
        <item x="591"/>
        <item x="476"/>
        <item x="323"/>
        <item x="345"/>
        <item x="584"/>
        <item x="79"/>
        <item x="538"/>
        <item x="514"/>
        <item x="97"/>
        <item x="374"/>
        <item x="561"/>
        <item x="222"/>
        <item x="75"/>
        <item x="594"/>
        <item x="497"/>
        <item x="254"/>
        <item x="4"/>
        <item x="173"/>
        <item x="426"/>
        <item x="53"/>
        <item x="192"/>
        <item x="524"/>
        <item x="585"/>
        <item x="486"/>
        <item x="607"/>
        <item x="450"/>
        <item x="113"/>
        <item x="380"/>
        <item x="22"/>
        <item x="8"/>
        <item x="402"/>
        <item x="203"/>
        <item x="602"/>
        <item x="515"/>
        <item x="224"/>
        <item x="549"/>
        <item x="317"/>
        <item x="601"/>
        <item x="298"/>
        <item x="368"/>
        <item x="346"/>
        <item x="519"/>
        <item x="41"/>
        <item x="270"/>
        <item x="55"/>
        <item x="417"/>
        <item x="644"/>
        <item x="158"/>
        <item x="268"/>
        <item x="347"/>
        <item x="259"/>
        <item x="495"/>
        <item x="623"/>
        <item x="68"/>
        <item x="50"/>
        <item x="49"/>
        <item x="525"/>
        <item x="242"/>
        <item x="544"/>
        <item x="100"/>
        <item x="322"/>
        <item x="397"/>
        <item x="401"/>
        <item x="211"/>
        <item x="176"/>
        <item x="528"/>
        <item x="237"/>
        <item x="14"/>
        <item x="234"/>
        <item x="543"/>
        <item x="396"/>
        <item x="354"/>
        <item x="71"/>
        <item x="272"/>
        <item x="501"/>
        <item x="179"/>
        <item x="558"/>
        <item x="249"/>
        <item x="153"/>
        <item x="442"/>
        <item x="47"/>
        <item x="74"/>
        <item x="119"/>
        <item x="643"/>
        <item x="184"/>
        <item x="284"/>
        <item x="498"/>
        <item x="35"/>
        <item x="536"/>
        <item x="377"/>
        <item x="84"/>
        <item x="264"/>
        <item x="633"/>
        <item x="45"/>
        <item x="529"/>
        <item x="386"/>
        <item x="366"/>
        <item x="328"/>
        <item x="304"/>
        <item x="207"/>
        <item x="546"/>
        <item x="371"/>
        <item x="38"/>
        <item x="127"/>
        <item x="125"/>
        <item x="587"/>
        <item x="180"/>
        <item x="334"/>
        <item x="18"/>
        <item x="564"/>
        <item x="599"/>
        <item x="403"/>
        <item x="517"/>
        <item x="246"/>
        <item x="62"/>
        <item x="542"/>
        <item x="539"/>
        <item x="560"/>
        <item x="286"/>
        <item x="597"/>
        <item x="434"/>
        <item x="168"/>
        <item x="221"/>
        <item x="162"/>
        <item x="577"/>
        <item x="130"/>
        <item x="416"/>
        <item x="373"/>
        <item x="243"/>
        <item x="412"/>
        <item x="89"/>
        <item x="392"/>
        <item x="646"/>
        <item x="568"/>
        <item x="7"/>
        <item x="611"/>
        <item x="299"/>
        <item x="133"/>
        <item x="121"/>
        <item x="628"/>
        <item x="444"/>
        <item x="464"/>
        <item x="618"/>
        <item x="151"/>
        <item x="572"/>
        <item x="78"/>
        <item x="112"/>
        <item x="472"/>
        <item x="449"/>
        <item x="161"/>
        <item x="72"/>
        <item x="329"/>
        <item x="406"/>
        <item x="163"/>
        <item x="189"/>
        <item x="105"/>
        <item x="578"/>
        <item x="569"/>
        <item x="452"/>
        <item x="460"/>
        <item x="533"/>
        <item x="504"/>
        <item x="275"/>
        <item x="188"/>
        <item x="198"/>
        <item x="467"/>
        <item x="223"/>
        <item x="491"/>
        <item x="265"/>
        <item x="399"/>
        <item x="439"/>
        <item x="635"/>
        <item x="263"/>
        <item x="135"/>
        <item x="39"/>
        <item x="409"/>
        <item x="482"/>
        <item x="537"/>
        <item x="379"/>
        <item x="390"/>
        <item x="588"/>
        <item x="394"/>
        <item x="316"/>
        <item x="456"/>
        <item x="226"/>
        <item x="555"/>
        <item x="629"/>
        <item x="451"/>
        <item x="321"/>
        <item x="178"/>
        <item x="640"/>
        <item x="367"/>
        <item x="294"/>
        <item x="326"/>
        <item x="140"/>
        <item x="438"/>
        <item x="111"/>
        <item x="612"/>
        <item x="170"/>
        <item x="175"/>
        <item x="143"/>
        <item x="469"/>
        <item x="266"/>
        <item x="424"/>
        <item x="473"/>
        <item x="411"/>
        <item x="28"/>
        <item x="104"/>
        <item x="103"/>
        <item x="461"/>
        <item x="566"/>
        <item x="262"/>
        <item x="307"/>
        <item x="431"/>
        <item x="174"/>
        <item x="440"/>
        <item x="641"/>
        <item x="369"/>
        <item x="575"/>
        <item x="632"/>
        <item x="164"/>
        <item x="30"/>
        <item x="13"/>
        <item x="348"/>
        <item x="489"/>
        <item x="480"/>
        <item x="475"/>
        <item x="86"/>
        <item x="107"/>
        <item x="360"/>
        <item x="522"/>
        <item x="193"/>
        <item x="384"/>
        <item x="177"/>
        <item x="625"/>
        <item x="355"/>
        <item x="393"/>
        <item x="82"/>
        <item x="15"/>
        <item x="479"/>
        <item x="5"/>
        <item x="630"/>
        <item x="311"/>
        <item x="647"/>
        <item x="60"/>
        <item x="468"/>
        <item x="453"/>
        <item x="37"/>
        <item x="257"/>
        <item x="92"/>
        <item x="251"/>
        <item x="20"/>
        <item x="496"/>
        <item x="421"/>
        <item x="520"/>
        <item x="98"/>
        <item x="235"/>
        <item x="513"/>
        <item x="99"/>
        <item x="155"/>
        <item x="573"/>
        <item x="518"/>
        <item x="389"/>
        <item x="350"/>
        <item x="214"/>
        <item x="309"/>
        <item x="70"/>
        <item x="185"/>
        <item x="128"/>
        <item x="530"/>
        <item x="110"/>
        <item x="562"/>
        <item x="87"/>
        <item x="521"/>
        <item x="271"/>
        <item x="303"/>
        <item x="378"/>
        <item x="567"/>
        <item x="213"/>
        <item x="503"/>
        <item x="553"/>
        <item x="493"/>
        <item x="276"/>
        <item x="523"/>
        <item x="255"/>
        <item x="391"/>
        <item x="240"/>
        <item x="2"/>
        <item x="429"/>
        <item x="500"/>
        <item x="571"/>
        <item x="186"/>
        <item x="215"/>
        <item x="337"/>
        <item x="46"/>
        <item x="194"/>
        <item x="6"/>
        <item x="458"/>
        <item x="372"/>
        <item x="81"/>
        <item x="279"/>
        <item x="335"/>
        <item x="142"/>
        <item x="290"/>
        <item x="205"/>
        <item x="463"/>
        <item x="258"/>
        <item x="535"/>
        <item x="206"/>
        <item x="285"/>
        <item x="51"/>
        <item x="408"/>
        <item x="32"/>
        <item x="507"/>
        <item x="210"/>
        <item x="63"/>
        <item x="229"/>
        <item x="581"/>
        <item x="462"/>
        <item x="69"/>
        <item x="361"/>
        <item x="67"/>
        <item x="274"/>
        <item x="330"/>
        <item x="313"/>
        <item x="59"/>
        <item x="483"/>
        <item x="510"/>
        <item x="419"/>
        <item x="169"/>
        <item x="191"/>
        <item x="428"/>
        <item x="574"/>
        <item x="420"/>
        <item x="231"/>
        <item x="579"/>
        <item x="614"/>
        <item x="54"/>
        <item x="182"/>
        <item x="550"/>
        <item x="12"/>
        <item x="247"/>
        <item x="351"/>
        <item x="56"/>
        <item x="295"/>
        <item x="80"/>
        <item x="83"/>
        <item x="145"/>
        <item x="527"/>
        <item x="43"/>
        <item x="160"/>
        <item x="23"/>
        <item x="310"/>
        <item x="608"/>
        <item x="492"/>
        <item x="466"/>
        <item x="435"/>
        <item x="600"/>
        <item x="340"/>
        <item x="338"/>
        <item x="314"/>
        <item x="233"/>
        <item x="256"/>
        <item x="148"/>
        <item x="315"/>
        <item x="382"/>
        <item x="27"/>
        <item x="200"/>
        <item x="0"/>
        <item x="318"/>
        <item x="547"/>
        <item x="324"/>
        <item x="241"/>
        <item x="508"/>
        <item x="422"/>
        <item x="532"/>
        <item x="282"/>
        <item x="183"/>
        <item x="385"/>
        <item x="615"/>
        <item x="506"/>
        <item x="415"/>
        <item x="123"/>
        <item x="129"/>
        <item x="34"/>
        <item x="604"/>
        <item x="488"/>
        <item x="29"/>
        <item x="131"/>
        <item x="526"/>
        <item x="375"/>
        <item x="580"/>
        <item x="465"/>
        <item x="90"/>
        <item x="634"/>
        <item x="470"/>
        <item x="225"/>
        <item x="301"/>
        <item x="589"/>
        <item x="344"/>
        <item x="362"/>
        <item x="332"/>
        <item x="582"/>
        <item x="471"/>
        <item x="627"/>
        <item x="485"/>
        <item x="454"/>
        <item x="563"/>
        <item x="73"/>
        <item x="94"/>
        <item x="333"/>
        <item x="171"/>
        <item x="232"/>
        <item x="36"/>
        <item x="120"/>
        <item x="11"/>
        <item x="197"/>
        <item x="154"/>
        <item x="146"/>
        <item x="204"/>
        <item x="190"/>
        <item x="248"/>
        <item x="593"/>
        <item x="516"/>
        <item x="436"/>
        <item x="509"/>
        <item x="281"/>
        <item x="413"/>
        <item x="590"/>
        <item x="19"/>
        <item x="423"/>
        <item x="199"/>
        <item x="283"/>
        <item x="639"/>
        <item x="96"/>
        <item x="278"/>
        <item x="152"/>
        <item x="586"/>
        <item x="531"/>
        <item x="202"/>
        <item x="325"/>
        <item x="381"/>
        <item x="481"/>
        <item x="252"/>
        <item x="156"/>
        <item x="645"/>
        <item x="592"/>
        <item x="443"/>
        <item x="306"/>
        <item x="25"/>
        <item x="336"/>
        <item x="85"/>
        <item x="137"/>
        <item x="404"/>
        <item x="418"/>
        <item x="312"/>
        <item x="172"/>
        <item x="512"/>
        <item x="118"/>
        <item x="277"/>
        <item x="280"/>
        <item x="631"/>
        <item x="343"/>
        <item x="387"/>
        <item x="596"/>
        <item x="448"/>
        <item x="410"/>
        <item x="139"/>
        <item x="370"/>
        <item x="16"/>
        <item x="61"/>
        <item x="339"/>
        <item x="64"/>
        <item x="239"/>
        <item x="124"/>
        <item x="545"/>
        <item x="398"/>
        <item x="33"/>
        <item x="212"/>
        <item x="319"/>
        <item x="606"/>
        <item x="147"/>
        <item x="511"/>
        <item x="76"/>
        <item x="638"/>
        <item x="494"/>
        <item x="576"/>
        <item x="616"/>
        <item x="58"/>
        <item x="77"/>
        <item x="122"/>
        <item x="637"/>
        <item x="149"/>
        <item x="216"/>
        <item x="244"/>
        <item x="383"/>
        <item x="261"/>
        <item x="570"/>
        <item x="490"/>
        <item x="42"/>
        <item x="297"/>
        <item x="228"/>
        <item x="540"/>
        <item x="236"/>
        <item x="141"/>
        <item x="296"/>
        <item x="327"/>
        <item x="459"/>
        <item x="273"/>
        <item x="474"/>
        <item x="478"/>
        <item x="44"/>
        <item x="359"/>
        <item x="609"/>
        <item x="300"/>
        <item x="3"/>
        <item x="499"/>
        <item x="320"/>
        <item x="291"/>
        <item x="93"/>
        <item x="331"/>
        <item x="165"/>
        <item x="603"/>
        <item x="238"/>
        <item x="405"/>
        <item x="134"/>
        <item x="150"/>
        <item x="445"/>
        <item x="267"/>
        <item x="356"/>
        <item x="349"/>
        <item x="363"/>
        <item x="365"/>
        <item x="636"/>
        <item x="10"/>
        <item t="default"/>
      </items>
    </pivotField>
    <pivotField compact="0" showAll="0">
      <items count="152">
        <item x="58"/>
        <item x="57"/>
        <item x="65"/>
        <item x="3"/>
        <item x="28"/>
        <item x="42"/>
        <item x="18"/>
        <item x="43"/>
        <item x="93"/>
        <item x="122"/>
        <item x="94"/>
        <item x="31"/>
        <item x="89"/>
        <item x="11"/>
        <item x="51"/>
        <item x="12"/>
        <item x="109"/>
        <item x="66"/>
        <item x="1"/>
        <item x="56"/>
        <item x="9"/>
        <item x="15"/>
        <item x="134"/>
        <item x="4"/>
        <item x="35"/>
        <item x="44"/>
        <item x="78"/>
        <item x="52"/>
        <item x="19"/>
        <item x="6"/>
        <item x="5"/>
        <item x="14"/>
        <item x="24"/>
        <item x="38"/>
        <item x="68"/>
        <item x="147"/>
        <item x="47"/>
        <item x="112"/>
        <item x="139"/>
        <item x="95"/>
        <item x="97"/>
        <item x="146"/>
        <item x="136"/>
        <item x="125"/>
        <item x="141"/>
        <item x="144"/>
        <item x="88"/>
        <item x="119"/>
        <item x="30"/>
        <item x="37"/>
        <item x="27"/>
        <item x="76"/>
        <item x="105"/>
        <item x="102"/>
        <item x="71"/>
        <item x="111"/>
        <item x="127"/>
        <item x="80"/>
        <item x="41"/>
        <item x="145"/>
        <item x="29"/>
        <item x="49"/>
        <item x="39"/>
        <item x="73"/>
        <item x="114"/>
        <item x="75"/>
        <item x="48"/>
        <item x="131"/>
        <item x="118"/>
        <item x="132"/>
        <item x="53"/>
        <item x="98"/>
        <item x="140"/>
        <item x="150"/>
        <item x="115"/>
        <item x="62"/>
        <item x="99"/>
        <item x="113"/>
        <item x="8"/>
        <item x="103"/>
        <item x="126"/>
        <item x="106"/>
        <item x="107"/>
        <item x="74"/>
        <item x="54"/>
        <item x="81"/>
        <item x="64"/>
        <item x="70"/>
        <item x="61"/>
        <item x="108"/>
        <item x="91"/>
        <item x="84"/>
        <item x="59"/>
        <item x="101"/>
        <item x="79"/>
        <item x="26"/>
        <item x="63"/>
        <item x="55"/>
        <item x="67"/>
        <item x="60"/>
        <item x="87"/>
        <item x="46"/>
        <item x="23"/>
        <item x="21"/>
        <item x="7"/>
        <item x="92"/>
        <item x="116"/>
        <item x="20"/>
        <item x="86"/>
        <item x="69"/>
        <item x="22"/>
        <item x="72"/>
        <item x="123"/>
        <item x="120"/>
        <item x="85"/>
        <item x="143"/>
        <item x="135"/>
        <item x="36"/>
        <item x="2"/>
        <item x="121"/>
        <item x="33"/>
        <item x="129"/>
        <item x="128"/>
        <item x="25"/>
        <item x="34"/>
        <item x="117"/>
        <item x="83"/>
        <item x="13"/>
        <item x="124"/>
        <item x="148"/>
        <item x="17"/>
        <item x="110"/>
        <item x="32"/>
        <item x="50"/>
        <item x="16"/>
        <item x="82"/>
        <item x="96"/>
        <item x="0"/>
        <item x="142"/>
        <item x="138"/>
        <item x="77"/>
        <item x="10"/>
        <item x="40"/>
        <item x="133"/>
        <item x="149"/>
        <item x="130"/>
        <item x="45"/>
        <item x="137"/>
        <item x="100"/>
        <item x="104"/>
        <item x="90"/>
        <item t="default"/>
      </items>
    </pivotField>
    <pivotField compact="0" showAll="0">
      <items count="180">
        <item x="23"/>
        <item x="95"/>
        <item x="48"/>
        <item x="63"/>
        <item x="14"/>
        <item x="47"/>
        <item x="99"/>
        <item x="2"/>
        <item x="150"/>
        <item x="83"/>
        <item x="119"/>
        <item x="56"/>
        <item x="61"/>
        <item x="80"/>
        <item x="31"/>
        <item x="78"/>
        <item x="28"/>
        <item x="72"/>
        <item x="7"/>
        <item x="21"/>
        <item x="107"/>
        <item x="34"/>
        <item x="114"/>
        <item x="81"/>
        <item x="5"/>
        <item x="36"/>
        <item x="18"/>
        <item x="115"/>
        <item x="113"/>
        <item x="73"/>
        <item x="58"/>
        <item x="33"/>
        <item x="52"/>
        <item x="32"/>
        <item x="41"/>
        <item x="144"/>
        <item x="74"/>
        <item x="100"/>
        <item x="42"/>
        <item x="122"/>
        <item x="128"/>
        <item x="12"/>
        <item x="26"/>
        <item x="39"/>
        <item x="59"/>
        <item x="124"/>
        <item x="50"/>
        <item x="54"/>
        <item x="20"/>
        <item x="40"/>
        <item x="0"/>
        <item x="106"/>
        <item x="19"/>
        <item x="158"/>
        <item x="112"/>
        <item x="137"/>
        <item x="141"/>
        <item x="133"/>
        <item x="6"/>
        <item x="13"/>
        <item x="146"/>
        <item x="8"/>
        <item x="159"/>
        <item x="108"/>
        <item x="142"/>
        <item x="123"/>
        <item x="45"/>
        <item x="43"/>
        <item x="90"/>
        <item x="9"/>
        <item x="30"/>
        <item x="98"/>
        <item x="102"/>
        <item x="16"/>
        <item x="57"/>
        <item x="29"/>
        <item x="136"/>
        <item x="66"/>
        <item x="130"/>
        <item x="84"/>
        <item x="1"/>
        <item x="161"/>
        <item x="10"/>
        <item x="82"/>
        <item x="25"/>
        <item x="35"/>
        <item x="27"/>
        <item x="49"/>
        <item x="140"/>
        <item x="15"/>
        <item x="46"/>
        <item x="175"/>
        <item x="152"/>
        <item x="103"/>
        <item x="116"/>
        <item x="75"/>
        <item x="87"/>
        <item x="68"/>
        <item x="3"/>
        <item x="76"/>
        <item x="138"/>
        <item x="129"/>
        <item x="24"/>
        <item x="143"/>
        <item x="88"/>
        <item x="127"/>
        <item x="96"/>
        <item x="94"/>
        <item x="89"/>
        <item x="139"/>
        <item x="151"/>
        <item x="110"/>
        <item x="17"/>
        <item x="154"/>
        <item x="174"/>
        <item x="153"/>
        <item x="93"/>
        <item x="71"/>
        <item x="70"/>
        <item x="118"/>
        <item x="37"/>
        <item x="86"/>
        <item x="38"/>
        <item x="104"/>
        <item x="149"/>
        <item x="4"/>
        <item x="167"/>
        <item x="165"/>
        <item x="60"/>
        <item x="65"/>
        <item x="79"/>
        <item x="148"/>
        <item x="105"/>
        <item x="132"/>
        <item x="51"/>
        <item x="172"/>
        <item x="55"/>
        <item x="62"/>
        <item x="91"/>
        <item x="53"/>
        <item x="170"/>
        <item x="92"/>
        <item x="44"/>
        <item x="69"/>
        <item x="169"/>
        <item x="145"/>
        <item x="117"/>
        <item x="166"/>
        <item x="134"/>
        <item x="121"/>
        <item x="160"/>
        <item x="162"/>
        <item x="126"/>
        <item x="64"/>
        <item x="176"/>
        <item x="131"/>
        <item x="11"/>
        <item x="111"/>
        <item x="77"/>
        <item x="163"/>
        <item x="85"/>
        <item x="125"/>
        <item x="155"/>
        <item x="97"/>
        <item x="101"/>
        <item x="177"/>
        <item x="178"/>
        <item x="168"/>
        <item x="120"/>
        <item x="135"/>
        <item x="22"/>
        <item x="147"/>
        <item x="67"/>
        <item x="164"/>
        <item x="171"/>
        <item x="156"/>
        <item x="157"/>
        <item x="109"/>
        <item x="173"/>
        <item t="default"/>
      </items>
    </pivotField>
    <pivotField compact="0" showAll="0">
      <items count="346">
        <item x="204"/>
        <item x="203"/>
        <item x="332"/>
        <item x="259"/>
        <item x="95"/>
        <item x="206"/>
        <item x="19"/>
        <item x="320"/>
        <item x="220"/>
        <item x="188"/>
        <item x="192"/>
        <item x="107"/>
        <item x="131"/>
        <item x="317"/>
        <item x="6"/>
        <item x="90"/>
        <item x="20"/>
        <item x="242"/>
        <item x="22"/>
        <item x="298"/>
        <item x="177"/>
        <item x="213"/>
        <item x="183"/>
        <item x="57"/>
        <item x="307"/>
        <item x="209"/>
        <item x="324"/>
        <item x="158"/>
        <item x="21"/>
        <item x="30"/>
        <item x="160"/>
        <item x="101"/>
        <item x="62"/>
        <item x="170"/>
        <item x="291"/>
        <item x="86"/>
        <item x="308"/>
        <item x="165"/>
        <item x="329"/>
        <item x="214"/>
        <item x="232"/>
        <item x="68"/>
        <item x="76"/>
        <item x="297"/>
        <item x="295"/>
        <item x="69"/>
        <item x="47"/>
        <item x="23"/>
        <item x="230"/>
        <item x="92"/>
        <item x="290"/>
        <item x="137"/>
        <item x="118"/>
        <item x="334"/>
        <item x="338"/>
        <item x="267"/>
        <item x="65"/>
        <item x="253"/>
        <item x="34"/>
        <item x="88"/>
        <item x="45"/>
        <item x="82"/>
        <item x="212"/>
        <item x="274"/>
        <item x="315"/>
        <item x="172"/>
        <item x="24"/>
        <item x="141"/>
        <item x="140"/>
        <item x="56"/>
        <item x="271"/>
        <item x="236"/>
        <item x="91"/>
        <item x="254"/>
        <item x="251"/>
        <item x="233"/>
        <item x="74"/>
        <item x="127"/>
        <item x="187"/>
        <item x="262"/>
        <item x="333"/>
        <item x="304"/>
        <item x="145"/>
        <item x="215"/>
        <item x="323"/>
        <item x="169"/>
        <item x="162"/>
        <item x="148"/>
        <item x="200"/>
        <item x="284"/>
        <item x="261"/>
        <item x="29"/>
        <item x="135"/>
        <item x="202"/>
        <item x="104"/>
        <item x="167"/>
        <item x="294"/>
        <item x="63"/>
        <item x="208"/>
        <item x="322"/>
        <item x="293"/>
        <item x="344"/>
        <item x="235"/>
        <item x="53"/>
        <item x="97"/>
        <item x="11"/>
        <item x="55"/>
        <item x="193"/>
        <item x="81"/>
        <item x="180"/>
        <item x="263"/>
        <item x="289"/>
        <item x="123"/>
        <item x="1"/>
        <item x="155"/>
        <item x="318"/>
        <item x="282"/>
        <item x="231"/>
        <item x="288"/>
        <item x="115"/>
        <item x="49"/>
        <item x="247"/>
        <item x="31"/>
        <item x="60"/>
        <item x="303"/>
        <item x="14"/>
        <item x="269"/>
        <item x="98"/>
        <item x="154"/>
        <item x="151"/>
        <item x="100"/>
        <item x="35"/>
        <item x="228"/>
        <item x="222"/>
        <item x="336"/>
        <item x="321"/>
        <item x="130"/>
        <item x="270"/>
        <item x="305"/>
        <item x="61"/>
        <item x="18"/>
        <item x="244"/>
        <item x="110"/>
        <item x="89"/>
        <item x="276"/>
        <item x="50"/>
        <item x="335"/>
        <item x="197"/>
        <item x="93"/>
        <item x="126"/>
        <item x="122"/>
        <item x="96"/>
        <item x="102"/>
        <item x="326"/>
        <item x="186"/>
        <item x="44"/>
        <item x="281"/>
        <item x="268"/>
        <item x="79"/>
        <item x="87"/>
        <item x="73"/>
        <item x="40"/>
        <item x="164"/>
        <item x="139"/>
        <item x="27"/>
        <item x="195"/>
        <item x="77"/>
        <item x="243"/>
        <item x="120"/>
        <item x="286"/>
        <item x="277"/>
        <item x="64"/>
        <item x="71"/>
        <item x="340"/>
        <item x="129"/>
        <item x="223"/>
        <item x="210"/>
        <item x="117"/>
        <item x="114"/>
        <item x="179"/>
        <item x="25"/>
        <item x="184"/>
        <item x="119"/>
        <item x="182"/>
        <item x="108"/>
        <item x="339"/>
        <item x="9"/>
        <item x="54"/>
        <item x="72"/>
        <item x="196"/>
        <item x="199"/>
        <item x="217"/>
        <item x="252"/>
        <item x="257"/>
        <item x="342"/>
        <item x="94"/>
        <item x="144"/>
        <item x="216"/>
        <item x="109"/>
        <item x="237"/>
        <item x="311"/>
        <item x="112"/>
        <item x="153"/>
        <item x="224"/>
        <item x="229"/>
        <item x="42"/>
        <item x="121"/>
        <item x="43"/>
        <item x="240"/>
        <item x="70"/>
        <item x="58"/>
        <item x="84"/>
        <item x="343"/>
        <item x="234"/>
        <item x="66"/>
        <item x="225"/>
        <item x="194"/>
        <item x="181"/>
        <item x="238"/>
        <item x="36"/>
        <item x="113"/>
        <item x="218"/>
        <item x="4"/>
        <item x="99"/>
        <item x="134"/>
        <item x="28"/>
        <item x="156"/>
        <item x="171"/>
        <item x="132"/>
        <item x="48"/>
        <item x="330"/>
        <item x="146"/>
        <item x="275"/>
        <item x="314"/>
        <item x="313"/>
        <item x="41"/>
        <item x="310"/>
        <item x="279"/>
        <item x="67"/>
        <item x="299"/>
        <item x="52"/>
        <item x="207"/>
        <item x="161"/>
        <item x="46"/>
        <item x="2"/>
        <item x="150"/>
        <item x="173"/>
        <item x="241"/>
        <item x="37"/>
        <item x="111"/>
        <item x="125"/>
        <item x="78"/>
        <item x="285"/>
        <item x="211"/>
        <item x="221"/>
        <item x="273"/>
        <item x="12"/>
        <item x="38"/>
        <item x="26"/>
        <item x="266"/>
        <item x="51"/>
        <item x="260"/>
        <item x="248"/>
        <item x="152"/>
        <item x="287"/>
        <item x="128"/>
        <item x="301"/>
        <item x="185"/>
        <item x="7"/>
        <item x="341"/>
        <item x="226"/>
        <item x="17"/>
        <item x="159"/>
        <item x="33"/>
        <item x="205"/>
        <item x="15"/>
        <item x="5"/>
        <item x="283"/>
        <item x="176"/>
        <item x="32"/>
        <item x="175"/>
        <item x="246"/>
        <item x="103"/>
        <item x="10"/>
        <item x="124"/>
        <item x="328"/>
        <item x="249"/>
        <item x="163"/>
        <item x="309"/>
        <item x="13"/>
        <item x="75"/>
        <item x="142"/>
        <item x="245"/>
        <item x="191"/>
        <item x="116"/>
        <item x="16"/>
        <item x="147"/>
        <item x="302"/>
        <item x="227"/>
        <item x="296"/>
        <item x="168"/>
        <item x="198"/>
        <item x="85"/>
        <item x="280"/>
        <item x="83"/>
        <item x="59"/>
        <item x="143"/>
        <item x="105"/>
        <item x="189"/>
        <item x="258"/>
        <item x="312"/>
        <item x="201"/>
        <item x="149"/>
        <item x="178"/>
        <item x="264"/>
        <item x="256"/>
        <item x="106"/>
        <item x="3"/>
        <item x="278"/>
        <item x="331"/>
        <item x="319"/>
        <item x="272"/>
        <item x="306"/>
        <item x="239"/>
        <item x="190"/>
        <item x="325"/>
        <item x="0"/>
        <item x="316"/>
        <item x="337"/>
        <item x="138"/>
        <item x="265"/>
        <item x="300"/>
        <item x="136"/>
        <item x="174"/>
        <item x="157"/>
        <item x="327"/>
        <item x="166"/>
        <item x="80"/>
        <item x="292"/>
        <item x="133"/>
        <item x="219"/>
        <item x="250"/>
        <item x="39"/>
        <item x="8"/>
        <item x="255"/>
        <item t="default"/>
      </items>
    </pivotField>
    <pivotField compact="0" showAll="0">
      <items count="10">
        <item x="8"/>
        <item x="0"/>
        <item x="1"/>
        <item x="6"/>
        <item x="2"/>
        <item x="4"/>
        <item x="7"/>
        <item x="5"/>
        <item x="3"/>
        <item t="default"/>
      </items>
    </pivotField>
    <pivotField compact="0" numFmtId="4" showAll="0">
      <items count="1181">
        <item x="171"/>
        <item x="56"/>
        <item x="169"/>
        <item x="620"/>
        <item x="1170"/>
        <item x="626"/>
        <item x="1050"/>
        <item x="937"/>
        <item x="176"/>
        <item x="9"/>
        <item x="668"/>
        <item x="306"/>
        <item x="332"/>
        <item x="225"/>
        <item x="305"/>
        <item x="96"/>
        <item x="821"/>
        <item x="379"/>
        <item x="1095"/>
        <item x="99"/>
        <item x="777"/>
        <item x="42"/>
        <item x="781"/>
        <item x="216"/>
        <item x="1178"/>
        <item x="60"/>
        <item x="1023"/>
        <item x="1051"/>
        <item x="538"/>
        <item x="227"/>
        <item x="830"/>
        <item x="730"/>
        <item x="285"/>
        <item x="526"/>
        <item x="1094"/>
        <item x="354"/>
        <item x="328"/>
        <item x="476"/>
        <item x="280"/>
        <item x="201"/>
        <item x="804"/>
        <item x="12"/>
        <item x="1146"/>
        <item x="566"/>
        <item x="784"/>
        <item x="724"/>
        <item x="239"/>
        <item x="1149"/>
        <item x="685"/>
        <item x="639"/>
        <item x="792"/>
        <item x="769"/>
        <item x="359"/>
        <item x="270"/>
        <item x="293"/>
        <item x="1112"/>
        <item x="502"/>
        <item x="138"/>
        <item x="370"/>
        <item x="25"/>
        <item x="428"/>
        <item x="449"/>
        <item x="887"/>
        <item x="440"/>
        <item x="1033"/>
        <item x="74"/>
        <item x="504"/>
        <item x="266"/>
        <item x="1116"/>
        <item x="729"/>
        <item x="480"/>
        <item x="260"/>
        <item x="273"/>
        <item x="283"/>
        <item x="558"/>
        <item x="692"/>
        <item x="727"/>
        <item x="836"/>
        <item x="347"/>
        <item x="258"/>
        <item x="44"/>
        <item x="50"/>
        <item x="933"/>
        <item x="562"/>
        <item x="761"/>
        <item x="384"/>
        <item x="371"/>
        <item x="499"/>
        <item x="817"/>
        <item x="889"/>
        <item x="358"/>
        <item x="1041"/>
        <item x="1001"/>
        <item x="1164"/>
        <item x="36"/>
        <item x="490"/>
        <item x="168"/>
        <item x="890"/>
        <item x="757"/>
        <item x="915"/>
        <item x="1064"/>
        <item x="1066"/>
        <item x="1155"/>
        <item x="625"/>
        <item x="362"/>
        <item x="1089"/>
        <item x="63"/>
        <item x="93"/>
        <item x="101"/>
        <item x="472"/>
        <item x="1074"/>
        <item x="819"/>
        <item x="137"/>
        <item x="631"/>
        <item x="135"/>
        <item x="366"/>
        <item x="688"/>
        <item x="595"/>
        <item x="535"/>
        <item x="131"/>
        <item x="1081"/>
        <item x="464"/>
        <item x="191"/>
        <item x="234"/>
        <item x="381"/>
        <item x="453"/>
        <item x="376"/>
        <item x="955"/>
        <item x="1037"/>
        <item x="17"/>
        <item x="1043"/>
        <item x="544"/>
        <item x="798"/>
        <item x="528"/>
        <item x="551"/>
        <item x="233"/>
        <item x="67"/>
        <item x="604"/>
        <item x="683"/>
        <item x="64"/>
        <item x="984"/>
        <item x="979"/>
        <item x="456"/>
        <item x="249"/>
        <item x="299"/>
        <item x="854"/>
        <item x="1167"/>
        <item x="389"/>
        <item x="530"/>
        <item x="179"/>
        <item x="443"/>
        <item x="140"/>
        <item x="968"/>
        <item x="1120"/>
        <item x="1157"/>
        <item x="796"/>
        <item x="261"/>
        <item x="360"/>
        <item x="317"/>
        <item x="271"/>
        <item x="196"/>
        <item x="653"/>
        <item x="670"/>
        <item x="567"/>
        <item x="926"/>
        <item x="246"/>
        <item x="866"/>
        <item x="788"/>
        <item x="1047"/>
        <item x="1015"/>
        <item x="660"/>
        <item x="416"/>
        <item x="287"/>
        <item x="873"/>
        <item x="1073"/>
        <item x="1161"/>
        <item x="330"/>
        <item x="744"/>
        <item x="28"/>
        <item x="1141"/>
        <item x="107"/>
        <item x="580"/>
        <item x="1021"/>
        <item x="997"/>
        <item x="753"/>
        <item x="86"/>
        <item x="43"/>
        <item x="130"/>
        <item x="356"/>
        <item x="247"/>
        <item x="935"/>
        <item x="859"/>
        <item x="978"/>
        <item x="876"/>
        <item x="638"/>
        <item x="1013"/>
        <item x="88"/>
        <item x="1060"/>
        <item x="158"/>
        <item x="835"/>
        <item x="845"/>
        <item x="897"/>
        <item x="7"/>
        <item x="255"/>
        <item x="238"/>
        <item x="1126"/>
        <item x="442"/>
        <item x="1010"/>
        <item x="448"/>
        <item x="245"/>
        <item x="870"/>
        <item x="240"/>
        <item x="1014"/>
        <item x="494"/>
        <item x="719"/>
        <item x="768"/>
        <item x="780"/>
        <item x="236"/>
        <item x="211"/>
        <item x="547"/>
        <item x="868"/>
        <item x="925"/>
        <item x="710"/>
        <item x="423"/>
        <item x="714"/>
        <item x="1025"/>
        <item x="1168"/>
        <item x="144"/>
        <item x="14"/>
        <item x="402"/>
        <item x="906"/>
        <item x="942"/>
        <item x="175"/>
        <item x="901"/>
        <item x="94"/>
        <item x="1036"/>
        <item x="536"/>
        <item x="785"/>
        <item x="546"/>
        <item x="723"/>
        <item x="801"/>
        <item x="337"/>
        <item x="157"/>
        <item x="189"/>
        <item x="31"/>
        <item x="675"/>
        <item x="764"/>
        <item x="503"/>
        <item x="912"/>
        <item x="197"/>
        <item x="459"/>
        <item x="417"/>
        <item x="199"/>
        <item x="492"/>
        <item x="1150"/>
        <item x="970"/>
        <item x="940"/>
        <item x="563"/>
        <item x="363"/>
        <item x="820"/>
        <item x="97"/>
        <item x="554"/>
        <item x="41"/>
        <item x="736"/>
        <item x="1077"/>
        <item x="811"/>
        <item x="765"/>
        <item x="684"/>
        <item x="162"/>
        <item x="877"/>
        <item x="605"/>
        <item x="772"/>
        <item x="993"/>
        <item x="112"/>
        <item x="658"/>
        <item x="523"/>
        <item x="549"/>
        <item x="815"/>
        <item x="674"/>
        <item x="995"/>
        <item x="458"/>
        <item x="1104"/>
        <item x="611"/>
        <item x="902"/>
        <item x="118"/>
        <item x="908"/>
        <item x="725"/>
        <item x="973"/>
        <item x="125"/>
        <item x="965"/>
        <item x="313"/>
        <item x="1075"/>
        <item x="1148"/>
        <item x="114"/>
        <item x="682"/>
        <item x="662"/>
        <item x="667"/>
        <item x="704"/>
        <item x="475"/>
        <item x="841"/>
        <item x="349"/>
        <item x="434"/>
        <item x="1067"/>
        <item x="590"/>
        <item x="326"/>
        <item x="716"/>
        <item x="742"/>
        <item x="959"/>
        <item x="244"/>
        <item x="383"/>
        <item x="879"/>
        <item x="754"/>
        <item x="883"/>
        <item x="800"/>
        <item x="132"/>
        <item x="6"/>
        <item x="352"/>
        <item x="576"/>
        <item x="739"/>
        <item x="425"/>
        <item x="1071"/>
        <item x="568"/>
        <item x="938"/>
        <item x="265"/>
        <item x="813"/>
        <item x="155"/>
        <item x="205"/>
        <item x="203"/>
        <item x="542"/>
        <item x="321"/>
        <item x="634"/>
        <item x="341"/>
        <item x="640"/>
        <item x="123"/>
        <item x="994"/>
        <item x="550"/>
        <item x="429"/>
        <item x="758"/>
        <item x="53"/>
        <item x="399"/>
        <item x="617"/>
        <item x="78"/>
        <item x="221"/>
        <item x="462"/>
        <item x="195"/>
        <item x="694"/>
        <item x="1119"/>
        <item x="941"/>
        <item x="606"/>
        <item x="1069"/>
        <item x="437"/>
        <item x="243"/>
        <item x="22"/>
        <item x="975"/>
        <item x="613"/>
        <item x="929"/>
        <item x="632"/>
        <item x="947"/>
        <item x="961"/>
        <item x="657"/>
        <item x="589"/>
        <item x="297"/>
        <item x="953"/>
        <item x="996"/>
        <item x="891"/>
        <item x="248"/>
        <item x="1061"/>
        <item x="1117"/>
        <item x="29"/>
        <item x="852"/>
        <item x="574"/>
        <item x="572"/>
        <item x="185"/>
        <item x="895"/>
        <item x="843"/>
        <item x="70"/>
        <item x="644"/>
        <item x="1011"/>
        <item x="560"/>
        <item x="1166"/>
        <item x="487"/>
        <item x="202"/>
        <item x="143"/>
        <item x="905"/>
        <item x="27"/>
        <item x="127"/>
        <item x="1005"/>
        <item x="219"/>
        <item x="648"/>
        <item x="1079"/>
        <item x="954"/>
        <item x="454"/>
        <item x="104"/>
        <item x="281"/>
        <item x="160"/>
        <item x="302"/>
        <item x="1028"/>
        <item x="109"/>
        <item x="832"/>
        <item x="151"/>
        <item x="23"/>
        <item x="529"/>
        <item x="91"/>
        <item x="848"/>
        <item x="774"/>
        <item x="121"/>
        <item x="259"/>
        <item x="1118"/>
        <item x="750"/>
        <item x="982"/>
        <item x="226"/>
        <item x="329"/>
        <item x="45"/>
        <item x="903"/>
        <item x="276"/>
        <item x="1110"/>
        <item x="1090"/>
        <item x="80"/>
        <item x="623"/>
        <item x="145"/>
        <item x="575"/>
        <item x="467"/>
        <item x="663"/>
        <item x="278"/>
        <item x="1142"/>
        <item x="1052"/>
        <item x="1139"/>
        <item x="2"/>
        <item x="26"/>
        <item x="1176"/>
        <item x="39"/>
        <item x="212"/>
        <item x="422"/>
        <item x="608"/>
        <item x="184"/>
        <item x="1153"/>
        <item x="888"/>
        <item x="601"/>
        <item x="916"/>
        <item x="1154"/>
        <item x="353"/>
        <item x="849"/>
        <item x="537"/>
        <item x="986"/>
        <item x="519"/>
        <item x="397"/>
        <item x="311"/>
        <item x="884"/>
        <item x="1109"/>
        <item x="770"/>
        <item x="737"/>
        <item x="863"/>
        <item x="404"/>
        <item x="333"/>
        <item x="885"/>
        <item x="436"/>
        <item x="732"/>
        <item x="38"/>
        <item x="322"/>
        <item x="939"/>
        <item x="949"/>
        <item x="52"/>
        <item x="1058"/>
        <item x="778"/>
        <item x="506"/>
        <item x="594"/>
        <item x="850"/>
        <item x="702"/>
        <item x="367"/>
        <item x="223"/>
        <item x="673"/>
        <item x="936"/>
        <item x="336"/>
        <item x="1179"/>
        <item x="1072"/>
        <item x="116"/>
        <item x="921"/>
        <item x="497"/>
        <item x="452"/>
        <item x="1133"/>
        <item x="13"/>
        <item x="985"/>
        <item x="708"/>
        <item x="865"/>
        <item x="989"/>
        <item x="451"/>
        <item x="468"/>
        <item x="700"/>
        <item x="482"/>
        <item x="553"/>
        <item x="1046"/>
        <item x="427"/>
        <item x="733"/>
        <item x="802"/>
        <item x="207"/>
        <item x="1159"/>
        <item x="1134"/>
        <item x="421"/>
        <item x="8"/>
        <item x="166"/>
        <item x="928"/>
        <item x="119"/>
        <item x="1004"/>
        <item x="931"/>
        <item x="822"/>
        <item x="218"/>
        <item x="1054"/>
        <item x="1084"/>
        <item x="878"/>
        <item x="899"/>
        <item x="1111"/>
        <item x="740"/>
        <item x="286"/>
        <item x="164"/>
        <item x="419"/>
        <item x="552"/>
        <item x="1114"/>
        <item x="898"/>
        <item x="392"/>
        <item x="1003"/>
        <item x="304"/>
        <item x="1042"/>
        <item x="855"/>
        <item x="1076"/>
        <item x="488"/>
        <item x="409"/>
        <item x="194"/>
        <item x="413"/>
        <item x="224"/>
        <item x="142"/>
        <item x="1132"/>
        <item x="206"/>
        <item x="496"/>
        <item x="1035"/>
        <item x="89"/>
        <item x="1062"/>
        <item x="793"/>
        <item x="314"/>
        <item x="650"/>
        <item x="731"/>
        <item x="291"/>
        <item x="598"/>
        <item x="474"/>
        <item x="217"/>
        <item x="68"/>
        <item x="141"/>
        <item x="471"/>
        <item x="773"/>
        <item x="1059"/>
        <item x="54"/>
        <item x="571"/>
        <item x="1171"/>
        <item x="298"/>
        <item x="177"/>
        <item x="517"/>
        <item x="134"/>
        <item x="66"/>
        <item x="455"/>
        <item x="200"/>
        <item x="69"/>
        <item x="659"/>
        <item x="198"/>
        <item x="230"/>
        <item x="990"/>
        <item x="561"/>
        <item x="412"/>
        <item x="635"/>
        <item x="250"/>
        <item x="170"/>
        <item x="1115"/>
        <item x="814"/>
        <item x="738"/>
        <item x="909"/>
        <item x="1101"/>
        <item x="213"/>
        <item x="816"/>
        <item x="340"/>
        <item x="241"/>
        <item x="335"/>
        <item x="983"/>
        <item x="1169"/>
        <item x="33"/>
        <item x="869"/>
        <item x="932"/>
        <item x="603"/>
        <item x="833"/>
        <item x="618"/>
        <item x="257"/>
        <item x="373"/>
        <item x="294"/>
        <item x="424"/>
        <item x="557"/>
        <item x="641"/>
        <item x="263"/>
        <item x="432"/>
        <item x="1016"/>
        <item x="103"/>
        <item x="310"/>
        <item x="678"/>
        <item x="775"/>
        <item x="533"/>
        <item x="771"/>
        <item x="847"/>
        <item x="880"/>
        <item x="37"/>
        <item x="418"/>
        <item x="914"/>
        <item x="355"/>
        <item x="622"/>
        <item x="242"/>
        <item x="691"/>
        <item x="790"/>
        <item x="803"/>
        <item x="108"/>
        <item x="762"/>
        <item x="705"/>
        <item x="277"/>
        <item x="696"/>
        <item x="851"/>
        <item x="19"/>
        <item x="32"/>
        <item x="481"/>
        <item x="268"/>
        <item x="690"/>
        <item x="1008"/>
        <item x="612"/>
        <item x="586"/>
        <item x="1172"/>
        <item x="83"/>
        <item x="728"/>
        <item x="284"/>
        <item x="1097"/>
        <item x="406"/>
        <item x="343"/>
        <item x="1108"/>
        <item x="999"/>
        <item x="602"/>
        <item x="21"/>
        <item x="564"/>
        <item x="505"/>
        <item x="102"/>
        <item x="1022"/>
        <item x="539"/>
        <item x="149"/>
        <item x="805"/>
        <item x="235"/>
        <item x="450"/>
        <item x="139"/>
        <item x="105"/>
        <item x="543"/>
        <item x="1070"/>
        <item x="881"/>
        <item x="1152"/>
        <item x="1044"/>
        <item x="1045"/>
        <item x="47"/>
        <item x="840"/>
        <item x="20"/>
        <item x="795"/>
        <item x="715"/>
        <item x="825"/>
        <item x="172"/>
        <item x="350"/>
        <item x="956"/>
        <item x="493"/>
        <item x="824"/>
        <item x="827"/>
        <item x="394"/>
        <item x="1107"/>
        <item x="414"/>
        <item x="331"/>
        <item x="345"/>
        <item x="98"/>
        <item x="274"/>
        <item x="290"/>
        <item x="282"/>
        <item x="49"/>
        <item x="1093"/>
        <item x="1065"/>
        <item x="411"/>
        <item x="839"/>
        <item x="275"/>
        <item x="339"/>
        <item x="95"/>
        <item x="152"/>
        <item x="787"/>
        <item x="4"/>
        <item x="786"/>
        <item x="510"/>
        <item x="344"/>
        <item x="1088"/>
        <item x="1131"/>
        <item x="57"/>
        <item x="679"/>
        <item x="677"/>
        <item x="637"/>
        <item x="763"/>
        <item x="408"/>
        <item x="208"/>
        <item x="24"/>
        <item x="527"/>
        <item x="473"/>
        <item x="1032"/>
        <item x="183"/>
        <item x="398"/>
        <item x="5"/>
        <item x="652"/>
        <item x="971"/>
        <item x="1080"/>
        <item x="295"/>
        <item x="711"/>
        <item x="706"/>
        <item x="1040"/>
        <item x="232"/>
        <item x="718"/>
        <item x="439"/>
        <item x="1053"/>
        <item x="578"/>
        <item x="378"/>
        <item x="1048"/>
        <item x="254"/>
        <item x="583"/>
        <item x="1135"/>
        <item x="444"/>
        <item x="834"/>
        <item x="587"/>
        <item x="1029"/>
        <item x="431"/>
        <item x="591"/>
        <item x="584"/>
        <item x="1137"/>
        <item x="861"/>
        <item x="1002"/>
        <item x="686"/>
        <item x="1087"/>
        <item x="187"/>
        <item x="759"/>
        <item x="426"/>
        <item x="540"/>
        <item x="559"/>
        <item x="722"/>
        <item x="707"/>
        <item x="514"/>
        <item x="930"/>
        <item x="864"/>
        <item x="619"/>
        <item x="396"/>
        <item x="977"/>
        <item x="346"/>
        <item x="596"/>
        <item x="806"/>
        <item x="950"/>
        <item x="465"/>
        <item x="1091"/>
        <item x="913"/>
        <item x="110"/>
        <item x="607"/>
        <item x="709"/>
        <item x="829"/>
        <item x="159"/>
        <item x="789"/>
        <item x="842"/>
        <item x="766"/>
        <item x="1098"/>
        <item x="1019"/>
        <item x="463"/>
        <item x="73"/>
        <item x="438"/>
        <item x="228"/>
        <item x="599"/>
        <item x="433"/>
        <item x="823"/>
        <item x="1012"/>
        <item x="862"/>
        <item x="509"/>
        <item x="106"/>
        <item x="521"/>
        <item x="59"/>
        <item x="1049"/>
        <item x="585"/>
        <item x="1160"/>
        <item x="461"/>
        <item x="154"/>
        <item x="577"/>
        <item x="229"/>
        <item x="491"/>
        <item x="1056"/>
        <item x="555"/>
        <item x="1106"/>
        <item x="469"/>
        <item x="237"/>
        <item x="960"/>
        <item x="588"/>
        <item x="927"/>
        <item x="204"/>
        <item x="1165"/>
        <item x="1039"/>
        <item x="1145"/>
        <item x="1034"/>
        <item x="128"/>
        <item x="1030"/>
        <item x="966"/>
        <item x="981"/>
        <item x="111"/>
        <item x="886"/>
        <item x="958"/>
        <item x="1124"/>
        <item x="1085"/>
        <item x="943"/>
        <item x="1162"/>
        <item x="308"/>
        <item x="651"/>
        <item x="654"/>
        <item x="701"/>
        <item x="357"/>
        <item x="687"/>
        <item x="489"/>
        <item x="192"/>
        <item x="934"/>
        <item x="712"/>
        <item x="1125"/>
        <item x="15"/>
        <item x="498"/>
        <item x="610"/>
        <item x="633"/>
        <item x="783"/>
        <item x="3"/>
        <item x="828"/>
        <item x="441"/>
        <item x="256"/>
        <item x="1026"/>
        <item x="182"/>
        <item x="892"/>
        <item x="100"/>
        <item x="592"/>
        <item x="81"/>
        <item x="923"/>
        <item x="944"/>
        <item x="945"/>
        <item x="513"/>
        <item x="882"/>
        <item x="220"/>
        <item x="1078"/>
        <item x="446"/>
        <item x="988"/>
        <item x="756"/>
        <item x="726"/>
        <item x="30"/>
        <item x="767"/>
        <item x="289"/>
        <item x="267"/>
        <item x="178"/>
        <item x="1147"/>
        <item x="615"/>
        <item x="695"/>
        <item x="522"/>
        <item x="597"/>
        <item x="1006"/>
        <item x="666"/>
        <item x="148"/>
        <item x="655"/>
        <item x="327"/>
        <item x="447"/>
        <item x="312"/>
        <item x="992"/>
        <item x="991"/>
        <item x="676"/>
        <item x="365"/>
        <item x="71"/>
        <item x="614"/>
        <item x="569"/>
        <item x="210"/>
        <item x="382"/>
        <item x="483"/>
        <item x="0"/>
        <item x="896"/>
        <item x="616"/>
        <item x="62"/>
        <item x="874"/>
        <item x="980"/>
        <item x="34"/>
        <item x="390"/>
        <item x="871"/>
        <item x="649"/>
        <item x="325"/>
        <item x="90"/>
        <item x="741"/>
        <item x="180"/>
        <item x="818"/>
        <item x="460"/>
        <item x="846"/>
        <item x="680"/>
        <item x="1129"/>
        <item x="1024"/>
        <item x="924"/>
        <item x="665"/>
        <item x="445"/>
        <item x="636"/>
        <item x="760"/>
        <item x="361"/>
        <item x="120"/>
        <item x="16"/>
        <item x="190"/>
        <item x="1063"/>
        <item x="621"/>
        <item x="435"/>
        <item x="752"/>
        <item x="264"/>
        <item x="351"/>
        <item x="1092"/>
        <item x="72"/>
        <item x="541"/>
        <item x="40"/>
        <item x="1151"/>
        <item x="369"/>
        <item x="1173"/>
        <item x="372"/>
        <item x="1175"/>
        <item x="507"/>
        <item x="911"/>
        <item x="812"/>
        <item x="1038"/>
        <item x="395"/>
        <item x="545"/>
        <item x="486"/>
        <item x="838"/>
        <item x="301"/>
        <item x="251"/>
        <item x="809"/>
        <item x="1127"/>
        <item x="1031"/>
        <item x="1068"/>
        <item x="87"/>
        <item x="520"/>
        <item x="630"/>
        <item x="581"/>
        <item x="309"/>
        <item x="751"/>
        <item x="51"/>
        <item x="415"/>
        <item x="18"/>
        <item x="831"/>
        <item x="147"/>
        <item x="745"/>
        <item x="65"/>
        <item x="749"/>
        <item x="1122"/>
        <item x="776"/>
        <item x="755"/>
        <item x="126"/>
        <item x="972"/>
        <item x="826"/>
        <item x="872"/>
        <item x="296"/>
        <item x="974"/>
        <item x="342"/>
        <item x="319"/>
        <item x="485"/>
        <item x="1096"/>
        <item x="84"/>
        <item x="681"/>
        <item x="477"/>
        <item x="1136"/>
        <item x="858"/>
        <item x="1018"/>
        <item x="524"/>
        <item x="515"/>
        <item x="920"/>
        <item x="1"/>
        <item x="907"/>
        <item x="405"/>
        <item x="518"/>
        <item x="808"/>
        <item x="624"/>
        <item x="570"/>
        <item x="1156"/>
        <item x="324"/>
        <item x="1121"/>
        <item x="593"/>
        <item x="1086"/>
        <item x="1083"/>
        <item x="193"/>
        <item x="215"/>
        <item x="214"/>
        <item x="79"/>
        <item x="380"/>
        <item x="75"/>
        <item x="391"/>
        <item x="964"/>
        <item x="797"/>
        <item x="478"/>
        <item x="582"/>
        <item x="161"/>
        <item x="893"/>
        <item x="810"/>
        <item x="1144"/>
        <item x="747"/>
        <item x="672"/>
        <item x="735"/>
        <item x="628"/>
        <item x="860"/>
        <item x="150"/>
        <item x="292"/>
        <item x="55"/>
        <item x="1020"/>
        <item x="85"/>
        <item x="918"/>
        <item x="269"/>
        <item x="643"/>
        <item x="794"/>
        <item x="1123"/>
        <item x="188"/>
        <item x="853"/>
        <item x="1099"/>
        <item x="508"/>
        <item x="1130"/>
        <item x="697"/>
        <item x="556"/>
        <item x="457"/>
        <item x="61"/>
        <item x="117"/>
        <item x="129"/>
        <item x="407"/>
        <item x="11"/>
        <item x="420"/>
        <item x="338"/>
        <item x="374"/>
        <item x="146"/>
        <item x="115"/>
        <item x="693"/>
        <item x="962"/>
        <item x="500"/>
        <item x="969"/>
        <item x="1102"/>
        <item x="1009"/>
        <item x="386"/>
        <item x="565"/>
        <item x="1000"/>
        <item x="645"/>
        <item x="393"/>
        <item x="364"/>
        <item x="531"/>
        <item x="495"/>
        <item x="987"/>
        <item x="919"/>
        <item x="181"/>
        <item x="629"/>
        <item x="401"/>
        <item x="1174"/>
        <item x="315"/>
        <item x="348"/>
        <item x="963"/>
        <item x="721"/>
        <item x="222"/>
        <item x="671"/>
        <item x="1017"/>
        <item x="957"/>
        <item x="998"/>
        <item x="209"/>
        <item x="92"/>
        <item x="1140"/>
        <item x="1113"/>
        <item x="844"/>
        <item x="1100"/>
        <item x="186"/>
        <item x="479"/>
        <item x="1158"/>
        <item x="734"/>
        <item x="262"/>
        <item x="951"/>
        <item x="167"/>
        <item x="875"/>
        <item x="113"/>
        <item x="664"/>
        <item x="173"/>
        <item x="703"/>
        <item x="400"/>
        <item x="174"/>
        <item x="573"/>
        <item x="82"/>
        <item x="532"/>
        <item x="388"/>
        <item x="48"/>
        <item x="1057"/>
        <item x="534"/>
        <item x="58"/>
        <item x="1163"/>
        <item x="470"/>
        <item x="272"/>
        <item x="579"/>
        <item x="743"/>
        <item x="746"/>
        <item x="1128"/>
        <item x="377"/>
        <item x="1143"/>
        <item x="300"/>
        <item x="799"/>
        <item x="1055"/>
        <item x="1007"/>
        <item x="511"/>
        <item x="867"/>
        <item x="669"/>
        <item x="516"/>
        <item x="231"/>
        <item x="1138"/>
        <item x="334"/>
        <item x="948"/>
        <item x="642"/>
        <item x="10"/>
        <item x="288"/>
        <item x="952"/>
        <item x="316"/>
        <item x="375"/>
        <item x="713"/>
        <item x="77"/>
        <item x="136"/>
        <item x="656"/>
        <item x="698"/>
        <item x="403"/>
        <item x="609"/>
        <item x="627"/>
        <item x="385"/>
        <item x="717"/>
        <item x="153"/>
        <item x="387"/>
        <item x="303"/>
        <item x="35"/>
        <item x="894"/>
        <item x="699"/>
        <item x="1105"/>
        <item x="967"/>
        <item x="512"/>
        <item x="647"/>
        <item x="466"/>
        <item x="900"/>
        <item x="910"/>
        <item x="748"/>
        <item x="320"/>
        <item x="782"/>
        <item x="1027"/>
        <item x="661"/>
        <item x="1082"/>
        <item x="46"/>
        <item x="856"/>
        <item x="917"/>
        <item x="976"/>
        <item x="904"/>
        <item x="807"/>
        <item x="922"/>
        <item x="946"/>
        <item x="779"/>
        <item x="165"/>
        <item x="430"/>
        <item x="133"/>
        <item x="318"/>
        <item x="501"/>
        <item x="1177"/>
        <item x="600"/>
        <item x="253"/>
        <item x="646"/>
        <item x="252"/>
        <item x="307"/>
        <item x="279"/>
        <item x="857"/>
        <item x="837"/>
        <item x="689"/>
        <item x="548"/>
        <item x="525"/>
        <item x="124"/>
        <item x="720"/>
        <item x="368"/>
        <item x="163"/>
        <item x="323"/>
        <item x="76"/>
        <item x="1103"/>
        <item x="410"/>
        <item x="484"/>
        <item x="791"/>
        <item x="122"/>
        <item x="156"/>
        <item t="default"/>
      </items>
    </pivotField>
    <pivotField compact="0" numFmtId="9" showAll="0">
      <items count="6">
        <item x="0"/>
        <item x="4"/>
        <item x="1"/>
        <item x="3"/>
        <item x="2"/>
        <item t="default"/>
      </items>
    </pivotField>
    <pivotField compact="0" numFmtId="4" showAll="0">
      <items count="1180">
        <item x="0"/>
        <item x="310"/>
        <item x="494"/>
        <item x="1047"/>
        <item x="215"/>
        <item x="180"/>
        <item x="142"/>
        <item x="233"/>
        <item x="254"/>
        <item x="968"/>
        <item x="860"/>
        <item x="913"/>
        <item x="205"/>
        <item x="335"/>
        <item x="18"/>
        <item x="948"/>
        <item x="396"/>
        <item x="861"/>
        <item x="238"/>
        <item x="1083"/>
        <item x="724"/>
        <item x="9"/>
        <item x="418"/>
        <item x="921"/>
        <item x="536"/>
        <item x="526"/>
        <item x="1046"/>
        <item x="347"/>
        <item x="268"/>
        <item x="225"/>
        <item x="147"/>
        <item x="283"/>
        <item x="548"/>
        <item x="902"/>
        <item x="185"/>
        <item x="276"/>
        <item x="773"/>
        <item x="857"/>
        <item x="515"/>
        <item x="407"/>
        <item x="300"/>
        <item x="39"/>
        <item x="414"/>
        <item x="786"/>
        <item x="97"/>
        <item x="128"/>
        <item x="521"/>
        <item x="1086"/>
        <item x="703"/>
        <item x="798"/>
        <item x="1075"/>
        <item x="457"/>
        <item x="1120"/>
        <item x="190"/>
        <item x="270"/>
        <item x="525"/>
        <item x="229"/>
        <item x="830"/>
        <item x="787"/>
        <item x="217"/>
        <item x="186"/>
        <item x="810"/>
        <item x="742"/>
        <item x="174"/>
        <item x="19"/>
        <item x="864"/>
        <item x="509"/>
        <item x="1028"/>
        <item x="202"/>
        <item x="476"/>
        <item x="524"/>
        <item x="356"/>
        <item x="538"/>
        <item x="823"/>
        <item x="1110"/>
        <item x="319"/>
        <item x="489"/>
        <item x="136"/>
        <item x="516"/>
        <item x="32"/>
        <item x="43"/>
        <item x="838"/>
        <item x="1030"/>
        <item x="467"/>
        <item x="935"/>
        <item x="590"/>
        <item x="584"/>
        <item x="68"/>
        <item x="477"/>
        <item x="1081"/>
        <item x="1048"/>
        <item x="542"/>
        <item x="591"/>
        <item x="179"/>
        <item x="417"/>
        <item x="115"/>
        <item x="656"/>
        <item x="169"/>
        <item x="35"/>
        <item x="644"/>
        <item x="98"/>
        <item x="1007"/>
        <item x="348"/>
        <item x="505"/>
        <item x="172"/>
        <item x="766"/>
        <item x="306"/>
        <item x="420"/>
        <item x="70"/>
        <item x="502"/>
        <item x="288"/>
        <item x="159"/>
        <item x="432"/>
        <item x="553"/>
        <item x="809"/>
        <item x="448"/>
        <item x="890"/>
        <item x="403"/>
        <item x="523"/>
        <item x="162"/>
        <item x="274"/>
        <item x="1026"/>
        <item x="1"/>
        <item x="173"/>
        <item x="605"/>
        <item x="973"/>
        <item x="824"/>
        <item x="693"/>
        <item x="923"/>
        <item x="664"/>
        <item x="21"/>
        <item x="623"/>
        <item x="741"/>
        <item x="488"/>
        <item x="1127"/>
        <item x="94"/>
        <item x="34"/>
        <item x="1177"/>
        <item x="691"/>
        <item x="976"/>
        <item x="530"/>
        <item x="546"/>
        <item x="769"/>
        <item x="811"/>
        <item x="187"/>
        <item x="619"/>
        <item x="957"/>
        <item x="269"/>
        <item x="1039"/>
        <item x="995"/>
        <item x="196"/>
        <item x="130"/>
        <item x="506"/>
        <item x="658"/>
        <item x="1114"/>
        <item x="150"/>
        <item x="1094"/>
        <item x="1157"/>
        <item x="200"/>
        <item x="1060"/>
        <item x="330"/>
        <item x="340"/>
        <item x="441"/>
        <item x="251"/>
        <item x="984"/>
        <item x="164"/>
        <item x="618"/>
        <item x="27"/>
        <item x="101"/>
        <item x="970"/>
        <item x="1116"/>
        <item x="367"/>
        <item x="704"/>
        <item x="442"/>
        <item x="514"/>
        <item x="674"/>
        <item x="1044"/>
        <item x="1148"/>
        <item x="645"/>
        <item x="224"/>
        <item x="972"/>
        <item x="889"/>
        <item x="259"/>
        <item x="622"/>
        <item x="1134"/>
        <item x="299"/>
        <item x="381"/>
        <item x="112"/>
        <item x="266"/>
        <item x="1160"/>
        <item x="568"/>
        <item x="1115"/>
        <item x="779"/>
        <item x="412"/>
        <item x="236"/>
        <item x="886"/>
        <item x="293"/>
        <item x="885"/>
        <item x="183"/>
        <item x="1107"/>
        <item x="924"/>
        <item x="155"/>
        <item x="700"/>
        <item x="361"/>
        <item x="360"/>
        <item x="303"/>
        <item x="562"/>
        <item x="485"/>
        <item x="379"/>
        <item x="789"/>
        <item x="29"/>
        <item x="639"/>
        <item x="218"/>
        <item x="901"/>
        <item x="735"/>
        <item x="1014"/>
        <item x="804"/>
        <item x="1003"/>
        <item x="632"/>
        <item x="113"/>
        <item x="1162"/>
        <item x="831"/>
        <item x="950"/>
        <item x="601"/>
        <item x="132"/>
        <item x="61"/>
        <item x="466"/>
        <item x="249"/>
        <item x="517"/>
        <item x="813"/>
        <item x="246"/>
        <item x="643"/>
        <item x="904"/>
        <item x="478"/>
        <item x="745"/>
        <item x="6"/>
        <item x="444"/>
        <item x="106"/>
        <item x="633"/>
        <item x="333"/>
        <item x="69"/>
        <item x="93"/>
        <item x="216"/>
        <item x="212"/>
        <item x="102"/>
        <item x="464"/>
        <item x="817"/>
        <item x="492"/>
        <item x="153"/>
        <item x="615"/>
        <item x="581"/>
        <item x="154"/>
        <item x="511"/>
        <item x="671"/>
        <item x="784"/>
        <item x="987"/>
        <item x="111"/>
        <item x="429"/>
        <item x="107"/>
        <item x="1171"/>
        <item x="863"/>
        <item x="349"/>
        <item x="1056"/>
        <item x="775"/>
        <item x="74"/>
        <item x="133"/>
        <item x="822"/>
        <item x="933"/>
        <item x="302"/>
        <item x="989"/>
        <item x="472"/>
        <item x="609"/>
        <item x="895"/>
        <item x="141"/>
        <item x="1085"/>
        <item x="873"/>
        <item x="206"/>
        <item x="998"/>
        <item x="899"/>
        <item x="855"/>
        <item x="1118"/>
        <item x="701"/>
        <item x="668"/>
        <item x="878"/>
        <item x="1069"/>
        <item x="792"/>
        <item x="747"/>
        <item x="956"/>
        <item x="7"/>
        <item x="641"/>
        <item x="110"/>
        <item x="684"/>
        <item x="232"/>
        <item x="850"/>
        <item x="1135"/>
        <item x="413"/>
        <item x="698"/>
        <item x="5"/>
        <item x="570"/>
        <item x="862"/>
        <item x="732"/>
        <item x="82"/>
        <item x="588"/>
        <item x="177"/>
        <item x="932"/>
        <item x="1016"/>
        <item x="134"/>
        <item x="436"/>
        <item x="1043"/>
        <item x="20"/>
        <item x="576"/>
        <item x="1072"/>
        <item x="358"/>
        <item x="635"/>
        <item x="339"/>
        <item x="598"/>
        <item x="1004"/>
        <item x="1062"/>
        <item x="603"/>
        <item x="540"/>
        <item x="875"/>
        <item x="672"/>
        <item x="125"/>
        <item x="408"/>
        <item x="419"/>
        <item x="722"/>
        <item x="909"/>
        <item x="140"/>
        <item x="587"/>
        <item x="1015"/>
        <item x="388"/>
        <item x="1066"/>
        <item x="908"/>
        <item x="428"/>
        <item x="67"/>
        <item x="888"/>
        <item x="780"/>
        <item x="400"/>
        <item x="482"/>
        <item x="423"/>
        <item x="541"/>
        <item x="1089"/>
        <item x="460"/>
        <item x="840"/>
        <item x="736"/>
        <item x="1175"/>
        <item x="223"/>
        <item x="1084"/>
        <item x="261"/>
        <item x="1092"/>
        <item x="334"/>
        <item x="788"/>
        <item x="678"/>
        <item x="837"/>
        <item x="799"/>
        <item x="60"/>
        <item x="38"/>
        <item x="636"/>
        <item x="59"/>
        <item x="892"/>
        <item x="427"/>
        <item x="982"/>
        <item x="988"/>
        <item x="827"/>
        <item x="611"/>
        <item x="1035"/>
        <item x="962"/>
        <item x="318"/>
        <item x="86"/>
        <item x="493"/>
        <item x="911"/>
        <item x="980"/>
        <item x="657"/>
        <item x="1005"/>
        <item x="608"/>
        <item x="239"/>
        <item x="120"/>
        <item x="227"/>
        <item x="1011"/>
        <item x="56"/>
        <item x="606"/>
        <item x="912"/>
        <item x="874"/>
        <item x="63"/>
        <item x="139"/>
        <item x="677"/>
        <item x="727"/>
        <item x="1151"/>
        <item x="897"/>
        <item x="675"/>
        <item x="13"/>
        <item x="1119"/>
        <item x="465"/>
        <item x="759"/>
        <item x="99"/>
        <item x="665"/>
        <item x="24"/>
        <item x="184"/>
        <item x="176"/>
        <item x="753"/>
        <item x="871"/>
        <item x="163"/>
        <item x="1036"/>
        <item x="774"/>
        <item x="342"/>
        <item x="1058"/>
        <item x="513"/>
        <item x="920"/>
        <item x="404"/>
        <item x="613"/>
        <item x="592"/>
        <item x="522"/>
        <item x="1158"/>
        <item x="991"/>
        <item x="734"/>
        <item x="1124"/>
        <item x="181"/>
        <item x="699"/>
        <item x="1064"/>
        <item x="329"/>
        <item x="290"/>
        <item x="1096"/>
        <item x="320"/>
        <item x="869"/>
        <item x="520"/>
        <item x="796"/>
        <item x="1025"/>
        <item x="848"/>
        <item x="1112"/>
        <item x="965"/>
        <item x="983"/>
        <item x="453"/>
        <item x="362"/>
        <item x="1067"/>
        <item x="782"/>
        <item x="552"/>
        <item x="245"/>
        <item x="887"/>
        <item x="1059"/>
        <item x="327"/>
        <item x="296"/>
        <item x="1006"/>
        <item x="550"/>
        <item x="1049"/>
        <item x="324"/>
        <item x="220"/>
        <item x="666"/>
        <item x="47"/>
        <item x="438"/>
        <item x="551"/>
        <item x="696"/>
        <item x="204"/>
        <item x="371"/>
        <item x="166"/>
        <item x="262"/>
        <item x="825"/>
        <item x="250"/>
        <item x="341"/>
        <item x="16"/>
        <item x="726"/>
        <item x="192"/>
        <item x="715"/>
        <item x="76"/>
        <item x="717"/>
        <item x="40"/>
        <item x="662"/>
        <item x="637"/>
        <item x="565"/>
        <item x="925"/>
        <item x="1128"/>
        <item x="1040"/>
        <item x="207"/>
        <item x="52"/>
        <item x="88"/>
        <item x="231"/>
        <item x="103"/>
        <item x="109"/>
        <item x="256"/>
        <item x="193"/>
        <item x="326"/>
        <item x="486"/>
        <item x="532"/>
        <item x="833"/>
        <item x="64"/>
        <item x="979"/>
        <item x="480"/>
        <item x="896"/>
        <item x="211"/>
        <item x="694"/>
        <item x="213"/>
        <item x="1159"/>
        <item x="331"/>
        <item x="1045"/>
        <item x="295"/>
        <item x="856"/>
        <item x="978"/>
        <item x="1010"/>
        <item x="1017"/>
        <item x="777"/>
        <item x="170"/>
        <item x="135"/>
        <item x="230"/>
        <item x="1023"/>
        <item x="610"/>
        <item x="763"/>
        <item x="820"/>
        <item x="279"/>
        <item x="839"/>
        <item x="866"/>
        <item x="1042"/>
        <item x="654"/>
        <item x="402"/>
        <item x="772"/>
        <item x="421"/>
        <item x="1139"/>
        <item x="1101"/>
        <item x="842"/>
        <item x="194"/>
        <item x="1122"/>
        <item x="945"/>
        <item x="595"/>
        <item x="574"/>
        <item x="123"/>
        <item x="278"/>
        <item x="345"/>
        <item x="253"/>
        <item x="1155"/>
        <item x="496"/>
        <item x="922"/>
        <item x="226"/>
        <item x="77"/>
        <item x="1061"/>
        <item x="1002"/>
        <item x="73"/>
        <item x="686"/>
        <item x="733"/>
        <item x="1099"/>
        <item x="425"/>
        <item x="178"/>
        <item x="1095"/>
        <item x="366"/>
        <item x="1053"/>
        <item x="71"/>
        <item x="1080"/>
        <item x="53"/>
        <item x="828"/>
        <item x="554"/>
        <item x="566"/>
        <item x="1174"/>
        <item x="242"/>
        <item x="969"/>
        <item x="740"/>
        <item x="168"/>
        <item x="1140"/>
        <item x="143"/>
        <item x="495"/>
        <item x="54"/>
        <item x="395"/>
        <item x="529"/>
        <item x="431"/>
        <item x="844"/>
        <item x="344"/>
        <item x="452"/>
        <item x="391"/>
        <item x="484"/>
        <item x="612"/>
        <item x="508"/>
        <item x="1137"/>
        <item x="322"/>
        <item x="939"/>
        <item x="365"/>
        <item x="731"/>
        <item x="1126"/>
        <item x="648"/>
        <item x="690"/>
        <item x="355"/>
        <item x="642"/>
        <item x="308"/>
        <item x="1138"/>
        <item x="1121"/>
        <item x="628"/>
        <item x="241"/>
        <item x="189"/>
        <item x="929"/>
        <item x="439"/>
        <item x="72"/>
        <item x="977"/>
        <item x="1178"/>
        <item x="625"/>
        <item x="616"/>
        <item x="12"/>
        <item x="661"/>
        <item x="802"/>
        <item x="384"/>
        <item x="914"/>
        <item x="446"/>
        <item x="981"/>
        <item x="148"/>
        <item x="816"/>
        <item x="755"/>
        <item x="785"/>
        <item x="569"/>
        <item x="22"/>
        <item x="917"/>
        <item x="89"/>
        <item x="313"/>
        <item x="964"/>
        <item x="918"/>
        <item x="281"/>
        <item x="599"/>
        <item x="473"/>
        <item x="292"/>
        <item x="15"/>
        <item x="676"/>
        <item x="156"/>
        <item x="653"/>
        <item x="1013"/>
        <item x="1100"/>
        <item x="36"/>
        <item x="66"/>
        <item x="260"/>
        <item x="376"/>
        <item x="951"/>
        <item x="491"/>
        <item x="990"/>
        <item x="768"/>
        <item x="445"/>
        <item x="298"/>
        <item x="84"/>
        <item x="1168"/>
        <item x="573"/>
        <item x="37"/>
        <item x="282"/>
        <item x="752"/>
        <item x="363"/>
        <item x="1077"/>
        <item x="1108"/>
        <item x="144"/>
        <item x="504"/>
        <item x="222"/>
        <item x="876"/>
        <item x="1012"/>
        <item x="1073"/>
        <item x="359"/>
        <item x="1173"/>
        <item x="1091"/>
        <item x="199"/>
        <item x="210"/>
        <item x="1152"/>
        <item x="597"/>
        <item x="534"/>
        <item x="315"/>
        <item x="1008"/>
        <item x="537"/>
        <item x="85"/>
        <item x="131"/>
        <item x="958"/>
        <item x="499"/>
        <item x="801"/>
        <item x="1071"/>
        <item x="705"/>
        <item x="510"/>
        <item x="158"/>
        <item x="695"/>
        <item x="808"/>
        <item x="65"/>
        <item x="455"/>
        <item x="1038"/>
        <item x="309"/>
        <item x="118"/>
        <item x="765"/>
        <item x="1163"/>
        <item x="762"/>
        <item x="415"/>
        <item x="564"/>
        <item x="738"/>
        <item x="368"/>
        <item x="680"/>
        <item x="1149"/>
        <item x="575"/>
        <item x="713"/>
        <item x="191"/>
        <item x="46"/>
        <item x="754"/>
        <item x="26"/>
        <item x="1055"/>
        <item x="152"/>
        <item x="390"/>
        <item x="337"/>
        <item x="624"/>
        <item x="681"/>
        <item x="91"/>
        <item x="614"/>
        <item x="171"/>
        <item x="1034"/>
        <item x="4"/>
        <item x="57"/>
        <item x="1078"/>
        <item x="1164"/>
        <item x="369"/>
        <item x="275"/>
        <item x="819"/>
        <item x="770"/>
        <item x="563"/>
        <item x="926"/>
        <item x="872"/>
        <item x="944"/>
        <item x="316"/>
        <item x="1165"/>
        <item x="1019"/>
        <item x="323"/>
        <item x="375"/>
        <item x="1143"/>
        <item x="853"/>
        <item x="953"/>
        <item x="449"/>
        <item x="1090"/>
        <item x="182"/>
        <item x="104"/>
        <item x="1022"/>
        <item x="51"/>
        <item x="682"/>
        <item x="655"/>
        <item x="79"/>
        <item x="555"/>
        <item x="1063"/>
        <item x="640"/>
        <item x="941"/>
        <item x="870"/>
        <item x="167"/>
        <item x="997"/>
        <item x="122"/>
        <item x="500"/>
        <item x="930"/>
        <item x="934"/>
        <item x="1052"/>
        <item x="836"/>
        <item x="688"/>
        <item x="264"/>
        <item x="960"/>
        <item x="451"/>
        <item x="234"/>
        <item x="383"/>
        <item x="161"/>
        <item x="967"/>
        <item x="806"/>
        <item x="607"/>
        <item x="157"/>
        <item x="2"/>
        <item x="756"/>
        <item x="971"/>
        <item x="846"/>
        <item x="265"/>
        <item x="385"/>
        <item x="188"/>
        <item x="829"/>
        <item x="620"/>
        <item x="577"/>
        <item x="1018"/>
        <item x="1131"/>
        <item x="1087"/>
        <item x="1172"/>
        <item x="286"/>
        <item x="689"/>
        <item x="81"/>
        <item x="267"/>
        <item x="235"/>
        <item x="706"/>
        <item x="387"/>
        <item x="42"/>
        <item x="1000"/>
        <item x="841"/>
        <item x="560"/>
        <item x="311"/>
        <item x="350"/>
        <item x="252"/>
        <item x="528"/>
        <item x="600"/>
        <item x="531"/>
        <item x="346"/>
        <item x="1170"/>
        <item x="1093"/>
        <item x="746"/>
        <item x="219"/>
        <item x="398"/>
        <item x="129"/>
        <item x="1147"/>
        <item x="936"/>
        <item x="629"/>
        <item x="469"/>
        <item x="437"/>
        <item x="25"/>
        <item x="519"/>
        <item x="435"/>
        <item x="586"/>
        <item x="461"/>
        <item x="739"/>
        <item x="718"/>
        <item x="160"/>
        <item x="1105"/>
        <item x="1032"/>
        <item x="854"/>
        <item x="165"/>
        <item x="284"/>
        <item x="87"/>
        <item x="589"/>
        <item x="711"/>
        <item x="352"/>
        <item x="993"/>
        <item x="332"/>
        <item x="126"/>
        <item x="31"/>
        <item x="961"/>
        <item x="814"/>
        <item x="544"/>
        <item x="228"/>
        <item x="627"/>
        <item x="800"/>
        <item x="422"/>
        <item x="549"/>
        <item x="443"/>
        <item x="80"/>
        <item x="996"/>
        <item x="879"/>
        <item x="108"/>
        <item x="783"/>
        <item x="328"/>
        <item x="938"/>
        <item x="604"/>
        <item x="561"/>
        <item x="314"/>
        <item x="1144"/>
        <item x="244"/>
        <item x="317"/>
        <item x="221"/>
        <item x="547"/>
        <item x="714"/>
        <item x="149"/>
        <item x="812"/>
        <item x="119"/>
        <item x="114"/>
        <item x="280"/>
        <item x="707"/>
        <item x="868"/>
        <item x="660"/>
        <item x="409"/>
        <item x="49"/>
        <item x="138"/>
        <item x="647"/>
        <item x="243"/>
        <item x="1098"/>
        <item x="807"/>
        <item x="751"/>
        <item x="456"/>
        <item x="533"/>
        <item x="336"/>
        <item x="626"/>
        <item x="900"/>
        <item x="1146"/>
        <item x="1123"/>
        <item x="291"/>
        <item x="884"/>
        <item x="3"/>
        <item x="1088"/>
        <item x="966"/>
        <item x="433"/>
        <item x="45"/>
        <item x="197"/>
        <item x="898"/>
        <item x="709"/>
        <item x="78"/>
        <item x="1129"/>
        <item x="1033"/>
        <item x="859"/>
        <item x="843"/>
        <item x="287"/>
        <item x="535"/>
        <item x="729"/>
        <item x="307"/>
        <item x="781"/>
        <item x="955"/>
        <item x="880"/>
        <item x="891"/>
        <item x="124"/>
        <item x="794"/>
        <item x="117"/>
        <item x="797"/>
        <item x="382"/>
        <item x="487"/>
        <item x="1065"/>
        <item x="596"/>
        <item x="877"/>
        <item x="1154"/>
        <item x="1136"/>
        <item x="761"/>
        <item x="203"/>
        <item x="1076"/>
        <item x="670"/>
        <item x="454"/>
        <item x="744"/>
        <item x="974"/>
        <item x="963"/>
        <item x="1133"/>
        <item x="667"/>
        <item x="638"/>
        <item x="377"/>
        <item x="1031"/>
        <item x="1001"/>
        <item x="248"/>
        <item x="354"/>
        <item x="975"/>
        <item x="96"/>
        <item x="304"/>
        <item x="430"/>
        <item x="497"/>
        <item x="985"/>
        <item x="919"/>
        <item x="748"/>
        <item x="845"/>
        <item x="357"/>
        <item x="916"/>
        <item x="723"/>
        <item x="1074"/>
        <item x="14"/>
        <item x="474"/>
        <item x="725"/>
        <item x="852"/>
        <item x="374"/>
        <item x="1145"/>
        <item x="394"/>
        <item x="559"/>
        <item x="893"/>
        <item x="325"/>
        <item x="558"/>
        <item x="434"/>
        <item x="10"/>
        <item x="481"/>
        <item x="1070"/>
        <item x="905"/>
        <item x="986"/>
        <item x="58"/>
        <item x="728"/>
        <item x="1150"/>
        <item x="572"/>
        <item x="1117"/>
        <item x="881"/>
        <item x="594"/>
        <item x="617"/>
        <item x="297"/>
        <item x="527"/>
        <item x="127"/>
        <item x="851"/>
        <item x="105"/>
        <item x="818"/>
        <item x="263"/>
        <item x="272"/>
        <item x="214"/>
        <item x="447"/>
        <item x="776"/>
        <item x="92"/>
        <item x="771"/>
        <item x="545"/>
        <item x="683"/>
        <item x="937"/>
        <item x="411"/>
        <item x="392"/>
        <item x="602"/>
        <item x="1169"/>
        <item x="1020"/>
        <item x="1009"/>
        <item x="1021"/>
        <item x="1079"/>
        <item x="498"/>
        <item x="543"/>
        <item x="749"/>
        <item x="406"/>
        <item x="634"/>
        <item x="1103"/>
        <item x="578"/>
        <item x="1029"/>
        <item x="687"/>
        <item x="255"/>
        <item x="826"/>
        <item x="710"/>
        <item x="321"/>
        <item x="1132"/>
        <item x="240"/>
        <item x="767"/>
        <item x="849"/>
        <item x="928"/>
        <item x="778"/>
        <item x="1125"/>
        <item x="1054"/>
        <item x="399"/>
        <item x="33"/>
        <item x="556"/>
        <item x="501"/>
        <item x="679"/>
        <item x="90"/>
        <item x="257"/>
        <item x="209"/>
        <item x="1141"/>
        <item x="351"/>
        <item x="582"/>
        <item x="483"/>
        <item x="198"/>
        <item x="470"/>
        <item x="463"/>
        <item x="289"/>
        <item x="708"/>
        <item x="940"/>
        <item x="716"/>
        <item x="758"/>
        <item x="1166"/>
        <item x="271"/>
        <item x="512"/>
        <item x="903"/>
        <item x="11"/>
        <item x="712"/>
        <item x="353"/>
        <item x="571"/>
        <item x="580"/>
        <item x="663"/>
        <item x="393"/>
        <item x="1104"/>
        <item x="805"/>
        <item x="1161"/>
        <item x="821"/>
        <item x="41"/>
        <item x="490"/>
        <item x="301"/>
        <item x="954"/>
        <item x="931"/>
        <item x="145"/>
        <item x="832"/>
        <item x="585"/>
        <item x="201"/>
        <item x="8"/>
        <item x="1041"/>
        <item x="17"/>
        <item x="277"/>
        <item x="793"/>
        <item x="386"/>
        <item x="100"/>
        <item x="468"/>
        <item x="795"/>
        <item x="370"/>
        <item x="649"/>
        <item x="927"/>
        <item x="915"/>
        <item x="1109"/>
        <item x="650"/>
        <item x="579"/>
        <item x="1102"/>
        <item x="195"/>
        <item x="518"/>
        <item x="1111"/>
        <item x="1167"/>
        <item x="847"/>
        <item x="942"/>
        <item x="62"/>
        <item x="858"/>
        <item x="791"/>
        <item x="567"/>
        <item x="1156"/>
        <item x="947"/>
        <item x="440"/>
        <item x="312"/>
        <item x="883"/>
        <item x="401"/>
        <item x="364"/>
        <item x="539"/>
        <item x="894"/>
        <item x="1051"/>
        <item x="146"/>
        <item x="397"/>
        <item x="151"/>
        <item x="803"/>
        <item x="673"/>
        <item x="1097"/>
        <item x="137"/>
        <item x="999"/>
        <item x="1027"/>
        <item x="471"/>
        <item x="557"/>
        <item x="669"/>
        <item x="1142"/>
        <item x="943"/>
        <item x="719"/>
        <item x="459"/>
        <item x="48"/>
        <item x="503"/>
        <item x="593"/>
        <item x="1024"/>
        <item x="946"/>
        <item x="372"/>
        <item x="30"/>
        <item x="1068"/>
        <item x="462"/>
        <item x="994"/>
        <item x="959"/>
        <item x="1106"/>
        <item x="50"/>
        <item x="247"/>
        <item x="305"/>
        <item x="1050"/>
        <item x="95"/>
        <item x="697"/>
        <item x="507"/>
        <item x="651"/>
        <item x="294"/>
        <item x="410"/>
        <item x="405"/>
        <item x="760"/>
        <item x="659"/>
        <item x="258"/>
        <item x="475"/>
        <item x="416"/>
        <item x="55"/>
        <item x="621"/>
        <item x="757"/>
        <item x="28"/>
        <item x="273"/>
        <item x="175"/>
        <item x="790"/>
        <item x="583"/>
        <item x="1037"/>
        <item x="1082"/>
        <item x="424"/>
        <item x="720"/>
        <item x="237"/>
        <item x="426"/>
        <item x="730"/>
        <item x="906"/>
        <item x="834"/>
        <item x="1113"/>
        <item x="737"/>
        <item x="23"/>
        <item x="44"/>
        <item x="338"/>
        <item x="630"/>
        <item x="952"/>
        <item x="1153"/>
        <item x="75"/>
        <item x="702"/>
        <item x="865"/>
        <item x="835"/>
        <item x="1130"/>
        <item x="815"/>
        <item x="721"/>
        <item x="652"/>
        <item x="646"/>
        <item x="121"/>
        <item x="458"/>
        <item x="389"/>
        <item x="907"/>
        <item x="373"/>
        <item x="764"/>
        <item x="882"/>
        <item x="1057"/>
        <item x="910"/>
        <item x="1176"/>
        <item x="750"/>
        <item x="949"/>
        <item x="992"/>
        <item x="450"/>
        <item x="83"/>
        <item x="285"/>
        <item x="479"/>
        <item x="631"/>
        <item x="685"/>
        <item x="380"/>
        <item x="743"/>
        <item x="378"/>
        <item x="208"/>
        <item x="867"/>
        <item x="116"/>
        <item x="343"/>
        <item x="692"/>
        <item t="default"/>
      </items>
    </pivotField>
    <pivotField compact="0" numFmtId="4" showAll="0">
      <items count="2086">
        <item x="600"/>
        <item x="89"/>
        <item x="302"/>
        <item x="155"/>
        <item x="222"/>
        <item x="1619"/>
        <item x="309"/>
        <item x="597"/>
        <item x="711"/>
        <item x="729"/>
        <item x="548"/>
        <item x="234"/>
        <item x="1294"/>
        <item x="1856"/>
        <item x="1862"/>
        <item x="968"/>
        <item x="486"/>
        <item x="2015"/>
        <item x="1523"/>
        <item x="1514"/>
        <item x="955"/>
        <item x="910"/>
        <item x="879"/>
        <item x="1702"/>
        <item x="36"/>
        <item x="1476"/>
        <item x="407"/>
        <item x="2053"/>
        <item x="512"/>
        <item x="1524"/>
        <item x="417"/>
        <item x="614"/>
        <item x="318"/>
        <item x="17"/>
        <item x="1392"/>
        <item x="700"/>
        <item x="462"/>
        <item x="1863"/>
        <item x="374"/>
        <item x="1428"/>
        <item x="1638"/>
        <item x="1824"/>
        <item x="952"/>
        <item x="938"/>
        <item x="540"/>
        <item x="1227"/>
        <item x="502"/>
        <item x="1601"/>
        <item x="43"/>
        <item x="1922"/>
        <item x="1030"/>
        <item x="338"/>
        <item x="826"/>
        <item x="1048"/>
        <item x="424"/>
        <item x="189"/>
        <item x="1051"/>
        <item x="865"/>
        <item x="532"/>
        <item x="198"/>
        <item x="1407"/>
        <item x="442"/>
        <item x="1652"/>
        <item x="1083"/>
        <item x="120"/>
        <item x="169"/>
        <item x="1678"/>
        <item x="1721"/>
        <item x="1574"/>
        <item x="636"/>
        <item x="1518"/>
        <item x="1986"/>
        <item x="1212"/>
        <item x="404"/>
        <item x="1384"/>
        <item x="949"/>
        <item x="449"/>
        <item x="1075"/>
        <item x="1718"/>
        <item x="1457"/>
        <item x="293"/>
        <item x="41"/>
        <item x="1416"/>
        <item x="235"/>
        <item x="306"/>
        <item x="415"/>
        <item x="1241"/>
        <item x="343"/>
        <item x="1675"/>
        <item x="868"/>
        <item x="351"/>
        <item x="928"/>
        <item x="1699"/>
        <item x="225"/>
        <item x="1210"/>
        <item x="1458"/>
        <item x="365"/>
        <item x="565"/>
        <item x="1333"/>
        <item x="966"/>
        <item x="227"/>
        <item x="918"/>
        <item x="1431"/>
        <item x="1687"/>
        <item x="1865"/>
        <item x="1767"/>
        <item x="757"/>
        <item x="375"/>
        <item x="1484"/>
        <item x="672"/>
        <item x="420"/>
        <item x="1261"/>
        <item x="1944"/>
        <item x="9"/>
        <item x="1403"/>
        <item x="585"/>
        <item x="523"/>
        <item x="595"/>
        <item x="119"/>
        <item x="1636"/>
        <item x="1928"/>
        <item x="1565"/>
        <item x="1269"/>
        <item x="877"/>
        <item x="103"/>
        <item x="12"/>
        <item x="66"/>
        <item x="916"/>
        <item x="165"/>
        <item x="398"/>
        <item x="783"/>
        <item x="743"/>
        <item x="1789"/>
        <item x="1138"/>
        <item x="1725"/>
        <item x="762"/>
        <item x="1478"/>
        <item x="528"/>
        <item x="1990"/>
        <item x="1372"/>
        <item x="2054"/>
        <item x="1495"/>
        <item x="706"/>
        <item x="466"/>
        <item x="745"/>
        <item x="233"/>
        <item x="1285"/>
        <item x="1319"/>
        <item x="355"/>
        <item x="895"/>
        <item x="1980"/>
        <item x="735"/>
        <item x="414"/>
        <item x="1110"/>
        <item x="1644"/>
        <item x="764"/>
        <item x="1396"/>
        <item x="13"/>
        <item x="613"/>
        <item x="474"/>
        <item x="108"/>
        <item x="1386"/>
        <item x="633"/>
        <item x="389"/>
        <item x="2004"/>
        <item x="992"/>
        <item x="728"/>
        <item x="241"/>
        <item x="1770"/>
        <item x="1504"/>
        <item x="483"/>
        <item x="1953"/>
        <item x="1068"/>
        <item x="2"/>
        <item x="750"/>
        <item x="1229"/>
        <item x="378"/>
        <item x="1934"/>
        <item x="671"/>
        <item x="1340"/>
        <item x="478"/>
        <item x="1802"/>
        <item x="1006"/>
        <item x="776"/>
        <item x="654"/>
        <item x="810"/>
        <item x="192"/>
        <item x="1871"/>
        <item x="1356"/>
        <item x="1551"/>
        <item x="1370"/>
        <item x="1167"/>
        <item x="298"/>
        <item x="1121"/>
        <item x="1067"/>
        <item x="1823"/>
        <item x="537"/>
        <item x="187"/>
        <item x="1641"/>
        <item x="917"/>
        <item x="702"/>
        <item x="1689"/>
        <item x="366"/>
        <item x="1176"/>
        <item x="1100"/>
        <item x="1673"/>
        <item x="419"/>
        <item x="117"/>
        <item x="529"/>
        <item x="857"/>
        <item x="748"/>
        <item x="411"/>
        <item x="959"/>
        <item x="533"/>
        <item x="73"/>
        <item x="922"/>
        <item x="557"/>
        <item x="1854"/>
        <item x="2080"/>
        <item x="851"/>
        <item x="387"/>
        <item x="737"/>
        <item x="1222"/>
        <item x="458"/>
        <item x="152"/>
        <item x="1411"/>
        <item x="1122"/>
        <item x="1592"/>
        <item x="1390"/>
        <item x="164"/>
        <item x="346"/>
        <item x="1346"/>
        <item x="817"/>
        <item x="314"/>
        <item x="213"/>
        <item x="593"/>
        <item x="637"/>
        <item x="1850"/>
        <item x="924"/>
        <item x="829"/>
        <item x="1845"/>
        <item x="1090"/>
        <item x="1878"/>
        <item x="901"/>
        <item x="1247"/>
        <item x="1187"/>
        <item x="1385"/>
        <item x="1215"/>
        <item x="1410"/>
        <item x="495"/>
        <item x="1926"/>
        <item x="1445"/>
        <item x="1914"/>
        <item x="2050"/>
        <item x="386"/>
        <item x="401"/>
        <item x="61"/>
        <item x="100"/>
        <item x="1616"/>
        <item x="808"/>
        <item x="1462"/>
        <item x="219"/>
        <item x="1723"/>
        <item x="1193"/>
        <item x="25"/>
        <item x="1985"/>
        <item x="1931"/>
        <item x="1339"/>
        <item x="166"/>
        <item x="1178"/>
        <item x="274"/>
        <item x="472"/>
        <item x="296"/>
        <item x="476"/>
        <item x="1836"/>
        <item x="583"/>
        <item x="1870"/>
        <item x="1182"/>
        <item x="260"/>
        <item x="931"/>
        <item x="606"/>
        <item x="397"/>
        <item x="429"/>
        <item x="54"/>
        <item x="944"/>
        <item x="1547"/>
        <item x="2083"/>
        <item x="1468"/>
        <item x="937"/>
        <item x="813"/>
        <item x="1248"/>
        <item x="789"/>
        <item x="377"/>
        <item x="1191"/>
        <item x="311"/>
        <item x="242"/>
        <item x="1291"/>
        <item x="2033"/>
        <item x="1430"/>
        <item x="69"/>
        <item x="403"/>
        <item x="1305"/>
        <item x="1991"/>
        <item x="736"/>
        <item x="388"/>
        <item x="610"/>
        <item x="1831"/>
        <item x="501"/>
        <item x="455"/>
        <item x="1528"/>
        <item x="584"/>
        <item x="513"/>
        <item x="352"/>
        <item x="668"/>
        <item x="1116"/>
        <item x="807"/>
        <item x="899"/>
        <item x="1216"/>
        <item x="906"/>
        <item x="1534"/>
        <item x="787"/>
        <item x="939"/>
        <item x="1044"/>
        <item x="1463"/>
        <item x="267"/>
        <item x="1140"/>
        <item x="42"/>
        <item x="354"/>
        <item x="2072"/>
        <item x="1908"/>
        <item x="2063"/>
        <item x="630"/>
        <item x="848"/>
        <item x="431"/>
        <item x="1060"/>
        <item x="1544"/>
        <item x="1889"/>
        <item x="520"/>
        <item x="57"/>
        <item x="628"/>
        <item x="1724"/>
        <item x="1559"/>
        <item x="517"/>
        <item x="2066"/>
        <item x="1055"/>
        <item x="1972"/>
        <item x="744"/>
        <item x="576"/>
        <item x="33"/>
        <item x="232"/>
        <item x="1040"/>
        <item x="1642"/>
        <item x="1804"/>
        <item x="948"/>
        <item x="1819"/>
        <item x="259"/>
        <item x="1563"/>
        <item x="1379"/>
        <item x="869"/>
        <item x="635"/>
        <item x="114"/>
        <item x="650"/>
        <item x="459"/>
        <item x="707"/>
        <item x="333"/>
        <item x="2039"/>
        <item x="1311"/>
        <item x="2044"/>
        <item x="1487"/>
        <item x="64"/>
        <item x="324"/>
        <item x="1259"/>
        <item x="1292"/>
        <item x="174"/>
        <item x="854"/>
        <item x="58"/>
        <item x="1930"/>
        <item x="74"/>
        <item x="1482"/>
        <item x="216"/>
        <item x="806"/>
        <item x="1942"/>
        <item x="596"/>
        <item x="1600"/>
        <item x="1866"/>
        <item x="1289"/>
        <item x="78"/>
        <item x="510"/>
        <item x="1419"/>
        <item x="1838"/>
        <item x="1174"/>
        <item x="278"/>
        <item x="273"/>
        <item x="1779"/>
        <item x="154"/>
        <item x="1828"/>
        <item x="1664"/>
        <item x="93"/>
        <item x="402"/>
        <item x="451"/>
        <item x="863"/>
        <item x="552"/>
        <item x="1033"/>
        <item x="1753"/>
        <item x="1834"/>
        <item x="367"/>
        <item x="2030"/>
        <item x="218"/>
        <item x="118"/>
        <item x="587"/>
        <item x="849"/>
        <item x="519"/>
        <item x="1839"/>
        <item x="1925"/>
        <item x="919"/>
        <item x="28"/>
        <item x="878"/>
        <item x="775"/>
        <item x="545"/>
        <item x="1864"/>
        <item x="961"/>
        <item x="1434"/>
        <item x="1049"/>
        <item x="1373"/>
        <item x="730"/>
        <item x="300"/>
        <item x="432"/>
        <item x="1251"/>
        <item x="1165"/>
        <item x="53"/>
        <item x="1787"/>
        <item x="742"/>
        <item x="294"/>
        <item x="151"/>
        <item x="784"/>
        <item x="301"/>
        <item x="1164"/>
        <item x="283"/>
        <item x="1852"/>
        <item x="1543"/>
        <item x="1161"/>
        <item x="1470"/>
        <item x="549"/>
        <item x="177"/>
        <item x="44"/>
        <item x="1137"/>
        <item x="1576"/>
        <item x="985"/>
        <item x="1988"/>
        <item x="322"/>
        <item x="819"/>
        <item x="1057"/>
        <item x="1016"/>
        <item x="1381"/>
        <item x="307"/>
        <item x="1134"/>
        <item x="447"/>
        <item x="170"/>
        <item x="900"/>
        <item x="272"/>
        <item x="1890"/>
        <item x="288"/>
        <item x="1371"/>
        <item x="255"/>
        <item x="1432"/>
        <item x="256"/>
        <item x="1063"/>
        <item x="308"/>
        <item x="1208"/>
        <item x="1284"/>
        <item x="566"/>
        <item x="448"/>
        <item x="1358"/>
        <item x="838"/>
        <item x="1321"/>
        <item x="543"/>
        <item x="2061"/>
        <item x="1651"/>
        <item x="913"/>
        <item x="615"/>
        <item x="2055"/>
        <item x="122"/>
        <item x="1736"/>
        <item x="426"/>
        <item x="1088"/>
        <item x="0"/>
        <item x="303"/>
        <item x="265"/>
        <item x="95"/>
        <item x="1147"/>
        <item x="1827"/>
        <item x="763"/>
        <item x="718"/>
        <item x="609"/>
        <item x="616"/>
        <item x="974"/>
        <item x="1886"/>
        <item x="83"/>
        <item x="1086"/>
        <item x="567"/>
        <item x="1684"/>
        <item x="573"/>
        <item x="796"/>
        <item x="1569"/>
        <item x="127"/>
        <item x="923"/>
        <item x="601"/>
        <item x="1408"/>
        <item x="1500"/>
        <item x="1670"/>
        <item x="1714"/>
        <item x="1747"/>
        <item x="866"/>
        <item x="27"/>
        <item x="1400"/>
        <item x="721"/>
        <item x="1901"/>
        <item x="18"/>
        <item x="371"/>
        <item x="927"/>
        <item x="973"/>
        <item x="1772"/>
        <item x="271"/>
        <item x="147"/>
        <item x="675"/>
        <item x="1818"/>
        <item x="1562"/>
        <item x="1741"/>
        <item x="317"/>
        <item x="347"/>
        <item x="1788"/>
        <item x="345"/>
        <item x="1734"/>
        <item x="943"/>
        <item x="1425"/>
        <item x="289"/>
        <item x="1119"/>
        <item x="726"/>
        <item x="514"/>
        <item x="1494"/>
        <item x="321"/>
        <item x="1620"/>
        <item x="634"/>
        <item x="945"/>
        <item x="1726"/>
        <item x="208"/>
        <item x="1459"/>
        <item x="704"/>
        <item x="1205"/>
        <item x="394"/>
        <item x="1630"/>
        <item x="279"/>
        <item x="641"/>
        <item x="1460"/>
        <item x="1225"/>
        <item x="1007"/>
        <item x="1526"/>
        <item x="137"/>
        <item x="31"/>
        <item x="825"/>
        <item x="1897"/>
        <item x="1042"/>
        <item x="1151"/>
        <item x="1955"/>
        <item x="68"/>
        <item x="1304"/>
        <item x="998"/>
        <item x="357"/>
        <item x="1754"/>
        <item x="1577"/>
        <item x="1624"/>
        <item x="526"/>
        <item x="1323"/>
        <item x="1858"/>
        <item x="141"/>
        <item x="1014"/>
        <item x="1994"/>
        <item x="160"/>
        <item x="1781"/>
        <item x="171"/>
        <item x="65"/>
        <item x="130"/>
        <item x="1108"/>
        <item x="113"/>
        <item x="319"/>
        <item x="1022"/>
        <item x="349"/>
        <item x="885"/>
        <item x="897"/>
        <item x="1035"/>
        <item x="1020"/>
        <item x="1799"/>
        <item x="1731"/>
        <item x="855"/>
        <item x="1582"/>
        <item x="1909"/>
        <item x="342"/>
        <item x="1228"/>
        <item x="892"/>
        <item x="1423"/>
        <item x="1611"/>
        <item x="1806"/>
        <item x="335"/>
        <item x="935"/>
        <item x="1059"/>
        <item x="823"/>
        <item x="1361"/>
        <item x="399"/>
        <item x="1705"/>
        <item x="589"/>
        <item x="1414"/>
        <item x="1606"/>
        <item x="1907"/>
        <item x="839"/>
        <item x="1815"/>
        <item x="1937"/>
        <item x="1618"/>
        <item x="562"/>
        <item x="1362"/>
        <item x="592"/>
        <item x="475"/>
        <item x="1077"/>
        <item x="995"/>
        <item x="396"/>
        <item x="331"/>
        <item x="434"/>
        <item x="344"/>
        <item x="215"/>
        <item x="2060"/>
        <item x="738"/>
        <item x="2013"/>
        <item x="1166"/>
        <item x="843"/>
        <item x="1782"/>
        <item x="393"/>
        <item x="1184"/>
        <item x="1977"/>
        <item x="305"/>
        <item x="249"/>
        <item x="205"/>
        <item x="611"/>
        <item x="280"/>
        <item x="1800"/>
        <item x="1295"/>
        <item x="105"/>
        <item x="2047"/>
        <item x="657"/>
        <item x="881"/>
        <item x="433"/>
        <item x="131"/>
        <item x="336"/>
        <item x="756"/>
        <item x="1761"/>
        <item x="14"/>
        <item x="1585"/>
        <item x="125"/>
        <item x="153"/>
        <item x="1995"/>
        <item x="604"/>
        <item x="788"/>
        <item x="123"/>
        <item x="101"/>
        <item x="22"/>
        <item x="1394"/>
        <item x="1748"/>
        <item x="648"/>
        <item x="564"/>
        <item x="1283"/>
        <item x="1181"/>
        <item x="71"/>
        <item x="1466"/>
        <item x="1093"/>
        <item x="50"/>
        <item x="2079"/>
        <item x="1680"/>
        <item x="1738"/>
        <item x="986"/>
        <item x="1910"/>
        <item x="383"/>
        <item x="1189"/>
        <item x="1493"/>
        <item x="800"/>
        <item x="1079"/>
        <item x="173"/>
        <item x="1465"/>
        <item x="421"/>
        <item x="619"/>
        <item x="890"/>
        <item x="646"/>
        <item x="392"/>
        <item x="1798"/>
        <item x="1202"/>
        <item x="904"/>
        <item x="133"/>
        <item x="1357"/>
        <item x="2010"/>
        <item x="111"/>
        <item x="231"/>
        <item x="1131"/>
        <item x="1674"/>
        <item x="1589"/>
        <item x="460"/>
        <item x="1860"/>
        <item x="951"/>
        <item x="1519"/>
        <item x="47"/>
        <item x="1993"/>
        <item x="1657"/>
        <item x="1917"/>
        <item x="1662"/>
        <item x="1342"/>
        <item x="1877"/>
        <item x="627"/>
        <item x="269"/>
        <item x="1564"/>
        <item x="994"/>
        <item x="546"/>
        <item x="1355"/>
        <item x="1214"/>
        <item x="1099"/>
        <item x="1590"/>
        <item x="799"/>
        <item x="2003"/>
        <item x="581"/>
        <item x="425"/>
        <item x="674"/>
        <item x="1480"/>
        <item x="167"/>
        <item x="124"/>
        <item x="915"/>
        <item x="1009"/>
        <item x="2084"/>
        <item x="3"/>
        <item x="1091"/>
        <item x="1415"/>
        <item x="1028"/>
        <item x="1668"/>
        <item x="185"/>
        <item x="1627"/>
        <item x="679"/>
        <item x="135"/>
        <item x="2056"/>
        <item x="1053"/>
        <item x="1446"/>
        <item x="1097"/>
        <item x="926"/>
        <item x="1002"/>
        <item x="976"/>
        <item x="591"/>
        <item x="1911"/>
        <item x="1978"/>
        <item x="7"/>
        <item x="1123"/>
        <item x="2073"/>
        <item x="1704"/>
        <item x="339"/>
        <item x="1378"/>
        <item x="1217"/>
        <item x="539"/>
        <item x="1106"/>
        <item x="1240"/>
        <item x="1050"/>
        <item x="136"/>
        <item x="882"/>
        <item x="1250"/>
        <item x="1558"/>
        <item x="1536"/>
        <item x="261"/>
        <item x="1659"/>
        <item x="1965"/>
        <item x="1338"/>
        <item x="406"/>
        <item x="369"/>
        <item x="445"/>
        <item x="1975"/>
        <item x="1062"/>
        <item x="876"/>
        <item x="638"/>
        <item x="6"/>
        <item x="538"/>
        <item x="861"/>
        <item x="1310"/>
        <item x="715"/>
        <item x="693"/>
        <item x="665"/>
        <item x="1970"/>
        <item x="142"/>
        <item x="1221"/>
        <item x="1005"/>
        <item x="52"/>
        <item x="70"/>
        <item x="1320"/>
        <item x="489"/>
        <item x="1130"/>
        <item x="499"/>
        <item x="1849"/>
        <item x="175"/>
        <item x="830"/>
        <item x="669"/>
        <item x="723"/>
        <item x="579"/>
        <item x="39"/>
        <item x="1039"/>
        <item x="1103"/>
        <item x="238"/>
        <item x="24"/>
        <item x="971"/>
        <item x="380"/>
        <item x="1963"/>
        <item x="1521"/>
        <item x="1776"/>
        <item x="753"/>
        <item x="2078"/>
        <item x="678"/>
        <item x="1183"/>
        <item x="2046"/>
        <item x="780"/>
        <item x="1114"/>
        <item x="1510"/>
        <item x="276"/>
        <item x="667"/>
        <item x="1760"/>
        <item x="953"/>
        <item x="594"/>
        <item x="1401"/>
        <item x="217"/>
        <item x="441"/>
        <item x="1516"/>
        <item x="1710"/>
        <item x="1249"/>
        <item x="588"/>
        <item x="2059"/>
        <item x="1439"/>
        <item x="1469"/>
        <item x="1337"/>
        <item x="662"/>
        <item x="1064"/>
        <item x="1265"/>
        <item x="115"/>
        <item x="129"/>
        <item x="1262"/>
        <item x="758"/>
        <item x="250"/>
        <item x="1650"/>
        <item x="2034"/>
        <item x="1354"/>
        <item x="905"/>
        <item x="703"/>
        <item x="60"/>
        <item x="109"/>
        <item x="824"/>
        <item x="1759"/>
        <item x="1112"/>
        <item x="1383"/>
        <item x="1742"/>
        <item x="1669"/>
        <item x="438"/>
        <item x="993"/>
        <item x="647"/>
        <item x="1243"/>
        <item x="1298"/>
        <item x="1883"/>
        <item x="1085"/>
        <item x="1258"/>
        <item x="1913"/>
        <item x="1549"/>
        <item x="2024"/>
        <item x="353"/>
        <item x="148"/>
        <item x="1136"/>
        <item x="1399"/>
        <item x="1455"/>
        <item x="967"/>
        <item x="320"/>
        <item x="1366"/>
        <item x="181"/>
        <item x="1785"/>
        <item x="86"/>
        <item x="1604"/>
        <item x="1218"/>
        <item x="1329"/>
        <item x="578"/>
        <item x="2081"/>
        <item x="1745"/>
        <item x="1309"/>
        <item x="1211"/>
        <item x="534"/>
        <item x="958"/>
        <item x="1472"/>
        <item x="685"/>
        <item x="1104"/>
        <item x="791"/>
        <item x="902"/>
        <item x="1148"/>
        <item x="211"/>
        <item x="1763"/>
        <item x="1203"/>
        <item x="1286"/>
        <item x="370"/>
        <item x="330"/>
        <item x="237"/>
        <item x="1607"/>
        <item x="1918"/>
        <item x="2065"/>
        <item x="1807"/>
        <item x="469"/>
        <item x="275"/>
        <item x="1424"/>
        <item x="157"/>
        <item x="833"/>
        <item x="1735"/>
        <item x="485"/>
        <item x="1364"/>
        <item x="942"/>
        <item x="376"/>
        <item x="29"/>
        <item x="598"/>
        <item x="1376"/>
        <item x="284"/>
        <item x="368"/>
        <item x="1389"/>
        <item x="1617"/>
        <item x="226"/>
        <item x="247"/>
        <item x="1447"/>
        <item x="1875"/>
        <item x="560"/>
        <item x="954"/>
        <item x="1082"/>
        <item x="1347"/>
        <item x="1505"/>
        <item x="1696"/>
        <item x="1557"/>
        <item x="304"/>
        <item x="1451"/>
        <item x="1144"/>
        <item x="496"/>
        <item x="2064"/>
        <item x="1715"/>
        <item x="92"/>
        <item x="1485"/>
        <item x="493"/>
        <item x="1029"/>
        <item x="258"/>
        <item x="230"/>
        <item x="257"/>
        <item x="720"/>
        <item x="1368"/>
        <item x="746"/>
        <item x="1254"/>
        <item x="1896"/>
        <item x="1844"/>
        <item x="1537"/>
        <item x="925"/>
        <item x="1404"/>
        <item x="1956"/>
        <item x="1774"/>
        <item x="1490"/>
        <item x="281"/>
        <item x="947"/>
        <item x="586"/>
        <item x="696"/>
        <item x="556"/>
        <item x="1750"/>
        <item x="687"/>
        <item x="204"/>
        <item x="1634"/>
        <item x="889"/>
        <item x="698"/>
        <item x="950"/>
        <item x="1156"/>
        <item x="1275"/>
        <item x="184"/>
        <item x="1905"/>
        <item x="1420"/>
        <item x="1481"/>
        <item x="179"/>
        <item x="2076"/>
        <item x="1527"/>
        <item x="1805"/>
        <item x="1640"/>
        <item x="390"/>
        <item x="1552"/>
        <item x="1903"/>
        <item x="1572"/>
        <item x="268"/>
        <item x="159"/>
        <item x="1"/>
        <item x="1795"/>
        <item x="467"/>
        <item x="1409"/>
        <item x="490"/>
        <item x="1453"/>
        <item x="1661"/>
        <item x="1954"/>
        <item x="754"/>
        <item x="531"/>
        <item x="1498"/>
        <item x="836"/>
        <item x="139"/>
        <item x="1898"/>
        <item x="1923"/>
        <item x="1081"/>
        <item x="1301"/>
        <item x="1066"/>
        <item x="507"/>
        <item x="316"/>
        <item x="2045"/>
        <item x="1581"/>
        <item x="1126"/>
        <item x="362"/>
        <item x="373"/>
        <item x="1542"/>
        <item x="409"/>
        <item x="2041"/>
        <item x="348"/>
        <item x="94"/>
        <item x="1797"/>
        <item x="975"/>
        <item x="802"/>
        <item x="1766"/>
        <item x="1613"/>
        <item x="435"/>
        <item x="1938"/>
        <item x="1013"/>
        <item x="760"/>
        <item x="2052"/>
        <item x="1791"/>
        <item x="1933"/>
        <item x="1303"/>
        <item x="1107"/>
        <item x="1596"/>
        <item x="769"/>
        <item x="282"/>
        <item x="1512"/>
        <item x="1821"/>
        <item x="1571"/>
        <item x="1438"/>
        <item x="1448"/>
        <item x="1245"/>
        <item x="1363"/>
        <item x="1707"/>
        <item x="491"/>
        <item x="209"/>
        <item x="1778"/>
        <item x="412"/>
        <item x="692"/>
        <item x="1765"/>
        <item x="1904"/>
        <item x="1003"/>
        <item x="1313"/>
        <item x="859"/>
        <item x="568"/>
        <item x="1703"/>
        <item x="1302"/>
        <item x="1276"/>
        <item x="1010"/>
        <item x="77"/>
        <item x="1635"/>
        <item x="1489"/>
        <item x="1515"/>
        <item x="683"/>
        <item x="887"/>
        <item x="550"/>
        <item x="620"/>
        <item x="1308"/>
        <item x="686"/>
        <item x="1133"/>
        <item x="933"/>
        <item x="183"/>
        <item x="30"/>
        <item x="1280"/>
        <item x="488"/>
        <item x="1943"/>
        <item x="1270"/>
        <item x="1502"/>
        <item x="656"/>
        <item x="712"/>
        <item x="1881"/>
        <item x="99"/>
        <item x="1041"/>
        <item x="1623"/>
        <item x="1239"/>
        <item x="1150"/>
        <item x="1893"/>
        <item x="2032"/>
        <item x="1405"/>
        <item x="8"/>
        <item x="1135"/>
        <item x="2028"/>
        <item x="1665"/>
        <item x="1281"/>
        <item x="121"/>
        <item x="1987"/>
        <item x="161"/>
        <item x="1115"/>
        <item x="1906"/>
        <item x="1224"/>
        <item x="1656"/>
        <item x="782"/>
        <item x="991"/>
        <item x="297"/>
        <item x="713"/>
        <item x="1429"/>
        <item x="1808"/>
        <item x="2012"/>
        <item x="1300"/>
        <item x="1755"/>
        <item x="224"/>
        <item x="23"/>
        <item x="457"/>
        <item x="1170"/>
        <item x="676"/>
        <item x="266"/>
        <item x="1591"/>
        <item x="1979"/>
        <item x="773"/>
        <item x="640"/>
        <item x="794"/>
        <item x="1740"/>
        <item x="761"/>
        <item x="323"/>
        <item x="245"/>
        <item x="1092"/>
        <item x="1330"/>
        <item x="1929"/>
        <item x="200"/>
        <item x="1019"/>
        <item x="176"/>
        <item x="1413"/>
        <item x="1449"/>
        <item x="1000"/>
        <item x="45"/>
        <item x="1045"/>
        <item x="1475"/>
        <item x="622"/>
        <item x="602"/>
        <item x="883"/>
        <item x="10"/>
        <item x="770"/>
        <item x="372"/>
        <item x="444"/>
        <item x="1895"/>
        <item x="149"/>
        <item x="1365"/>
        <item x="553"/>
        <item x="1713"/>
        <item x="178"/>
        <item x="965"/>
        <item x="1633"/>
        <item x="957"/>
        <item x="1188"/>
        <item x="1667"/>
        <item x="1835"/>
        <item x="1397"/>
        <item x="964"/>
        <item x="1314"/>
        <item x="1061"/>
        <item x="327"/>
        <item x="207"/>
        <item x="1733"/>
        <item x="1924"/>
        <item x="837"/>
        <item x="1065"/>
        <item x="516"/>
        <item x="2074"/>
        <item x="1811"/>
        <item x="427"/>
        <item x="1612"/>
        <item x="832"/>
        <item x="1160"/>
        <item x="1793"/>
        <item x="1801"/>
        <item x="1681"/>
        <item x="790"/>
        <item x="1812"/>
        <item x="1679"/>
        <item x="988"/>
        <item x="1554"/>
        <item x="962"/>
        <item x="1768"/>
        <item x="1234"/>
        <item x="456"/>
        <item x="682"/>
        <item x="1548"/>
        <item x="652"/>
        <item x="632"/>
        <item x="1900"/>
        <item x="1867"/>
        <item x="759"/>
        <item x="660"/>
        <item x="1318"/>
        <item x="580"/>
        <item x="555"/>
        <item x="873"/>
        <item x="1124"/>
        <item x="1073"/>
        <item x="717"/>
        <item x="793"/>
        <item x="1080"/>
        <item x="1213"/>
        <item x="450"/>
        <item x="930"/>
        <item x="1461"/>
        <item x="1961"/>
        <item x="894"/>
        <item x="554"/>
        <item x="561"/>
        <item x="812"/>
        <item x="2000"/>
        <item x="382"/>
        <item x="328"/>
        <item x="422"/>
        <item x="1326"/>
        <item x="1486"/>
        <item x="639"/>
        <item x="1433"/>
        <item x="82"/>
        <item x="188"/>
        <item x="1143"/>
        <item x="1992"/>
        <item x="1966"/>
        <item x="1252"/>
        <item x="1533"/>
        <item x="1694"/>
        <item x="1169"/>
        <item x="1393"/>
        <item x="1198"/>
        <item x="716"/>
        <item x="1483"/>
        <item x="146"/>
        <item x="1024"/>
        <item x="90"/>
        <item x="978"/>
        <item x="385"/>
        <item x="1545"/>
        <item x="1096"/>
        <item x="428"/>
        <item x="107"/>
        <item x="340"/>
        <item x="470"/>
        <item x="840"/>
        <item x="1876"/>
        <item x="364"/>
        <item x="361"/>
        <item x="72"/>
        <item x="203"/>
        <item x="277"/>
        <item x="1848"/>
        <item x="1209"/>
        <item x="536"/>
        <item x="126"/>
        <item x="1882"/>
        <item x="1109"/>
        <item x="1599"/>
        <item x="2022"/>
        <item x="1127"/>
        <item x="143"/>
        <item x="582"/>
        <item x="2027"/>
        <item x="1154"/>
        <item x="1327"/>
        <item x="1841"/>
        <item x="858"/>
        <item x="1626"/>
        <item x="334"/>
        <item x="912"/>
        <item x="1989"/>
        <item x="1573"/>
        <item x="1568"/>
        <item x="1570"/>
        <item x="816"/>
        <item x="264"/>
        <item x="1231"/>
        <item x="1743"/>
        <item x="1580"/>
        <item x="1983"/>
        <item x="1672"/>
        <item x="1427"/>
        <item x="1892"/>
        <item x="908"/>
        <item x="4"/>
        <item x="363"/>
        <item x="803"/>
        <item x="1464"/>
        <item x="1842"/>
        <item x="547"/>
        <item x="705"/>
        <item x="1417"/>
        <item x="270"/>
        <item x="841"/>
        <item x="480"/>
        <item x="1084"/>
        <item x="767"/>
        <item x="1593"/>
        <item x="1344"/>
        <item x="571"/>
        <item x="1711"/>
        <item x="1603"/>
        <item x="2031"/>
        <item x="624"/>
        <item x="132"/>
        <item x="821"/>
        <item x="144"/>
        <item x="575"/>
        <item x="1387"/>
        <item x="1026"/>
        <item x="1996"/>
        <item x="1467"/>
        <item x="695"/>
        <item x="1200"/>
        <item x="1615"/>
        <item x="2036"/>
        <item x="607"/>
        <item x="1017"/>
        <item x="1452"/>
        <item x="508"/>
        <item x="1693"/>
        <item x="822"/>
        <item x="535"/>
        <item x="1507"/>
        <item x="290"/>
        <item x="408"/>
        <item x="1660"/>
        <item x="34"/>
        <item x="1625"/>
        <item x="49"/>
        <item x="741"/>
        <item x="1885"/>
        <item x="197"/>
        <item x="254"/>
        <item x="1588"/>
        <item x="980"/>
        <item x="599"/>
        <item x="1034"/>
        <item x="337"/>
        <item x="1076"/>
        <item x="15"/>
        <item x="1201"/>
        <item x="201"/>
        <item x="1349"/>
        <item x="1196"/>
        <item x="285"/>
        <item x="384"/>
        <item x="1837"/>
        <item x="1272"/>
        <item x="2040"/>
        <item x="820"/>
        <item x="2035"/>
        <item x="1587"/>
        <item x="658"/>
        <item x="35"/>
        <item x="1959"/>
        <item x="2006"/>
        <item x="522"/>
        <item x="1450"/>
        <item x="960"/>
        <item x="1343"/>
        <item x="987"/>
        <item x="733"/>
        <item x="1982"/>
        <item x="1915"/>
        <item x="1729"/>
        <item x="37"/>
        <item x="981"/>
        <item x="1328"/>
        <item x="471"/>
        <item x="492"/>
        <item x="1226"/>
        <item x="1538"/>
        <item x="2067"/>
        <item x="1810"/>
        <item x="1712"/>
        <item x="1352"/>
        <item x="574"/>
        <item x="1180"/>
        <item x="659"/>
        <item x="413"/>
        <item x="1517"/>
        <item x="423"/>
        <item x="168"/>
        <item x="1509"/>
        <item x="1129"/>
        <item x="663"/>
        <item x="1829"/>
        <item x="797"/>
        <item x="1177"/>
        <item x="1939"/>
        <item x="1887"/>
        <item x="772"/>
        <item x="418"/>
        <item x="1637"/>
        <item x="1027"/>
        <item x="649"/>
        <item x="1535"/>
        <item x="1290"/>
        <item x="708"/>
        <item x="626"/>
        <item x="1279"/>
        <item x="1967"/>
        <item x="1730"/>
        <item x="163"/>
        <item x="724"/>
        <item x="112"/>
        <item x="1315"/>
        <item x="1162"/>
        <item x="629"/>
        <item x="1153"/>
        <item x="1629"/>
        <item x="977"/>
        <item x="85"/>
        <item x="1087"/>
        <item x="1957"/>
        <item x="329"/>
        <item x="1594"/>
        <item x="1771"/>
        <item x="223"/>
        <item x="1757"/>
        <item x="1288"/>
        <item x="1454"/>
        <item x="655"/>
        <item x="2070"/>
        <item x="2025"/>
        <item x="186"/>
        <item x="1676"/>
        <item x="697"/>
        <item x="1814"/>
        <item x="1575"/>
        <item x="1646"/>
        <item x="1843"/>
        <item x="577"/>
        <item x="110"/>
        <item x="983"/>
        <item x="768"/>
        <item x="410"/>
        <item x="102"/>
        <item x="1598"/>
        <item x="190"/>
        <item x="1395"/>
        <item x="1686"/>
        <item x="464"/>
        <item x="1708"/>
        <item x="84"/>
        <item x="2008"/>
        <item x="19"/>
        <item x="856"/>
        <item x="785"/>
        <item x="781"/>
        <item x="1947"/>
        <item x="1769"/>
        <item x="625"/>
        <item x="1749"/>
        <item x="104"/>
        <item x="2038"/>
        <item x="719"/>
        <item x="1422"/>
        <item x="1078"/>
        <item x="1847"/>
        <item x="1197"/>
        <item x="1643"/>
        <item x="1334"/>
        <item x="1817"/>
        <item x="465"/>
        <item x="1232"/>
        <item x="1004"/>
        <item x="765"/>
        <item x="1968"/>
        <item x="1583"/>
        <item x="740"/>
        <item x="521"/>
        <item x="932"/>
        <item x="801"/>
        <item x="1296"/>
        <item x="212"/>
        <item x="1503"/>
        <item x="714"/>
        <item x="1021"/>
        <item x="1367"/>
        <item x="936"/>
        <item x="253"/>
        <item x="1382"/>
        <item x="1278"/>
        <item x="1809"/>
        <item x="1695"/>
        <item x="2077"/>
        <item x="2062"/>
        <item x="506"/>
        <item x="156"/>
        <item x="1069"/>
        <item x="1204"/>
        <item x="1950"/>
        <item x="694"/>
        <item x="778"/>
        <item x="473"/>
        <item x="982"/>
        <item x="1047"/>
        <item x="1566"/>
        <item x="1869"/>
        <item x="846"/>
        <item x="681"/>
        <item x="1682"/>
        <item x="1773"/>
        <item x="1777"/>
        <item x="2051"/>
        <item x="835"/>
        <item x="1179"/>
        <item x="989"/>
        <item x="87"/>
        <item x="1921"/>
        <item x="1786"/>
        <item x="1317"/>
        <item x="963"/>
        <item x="312"/>
        <item x="2026"/>
        <item x="727"/>
        <item x="461"/>
        <item x="969"/>
        <item x="940"/>
        <item x="972"/>
        <item x="612"/>
        <item x="356"/>
        <item x="1233"/>
        <item x="1023"/>
        <item x="350"/>
        <item x="1826"/>
        <item x="1426"/>
        <item x="2043"/>
        <item x="1255"/>
        <item x="439"/>
        <item x="524"/>
        <item x="1350"/>
        <item x="1185"/>
        <item x="2020"/>
        <item x="1244"/>
        <item x="870"/>
        <item x="605"/>
        <item x="1220"/>
        <item x="1117"/>
        <item x="32"/>
        <item x="907"/>
        <item x="1271"/>
        <item x="1671"/>
        <item x="777"/>
        <item x="1359"/>
        <item x="1074"/>
        <item x="853"/>
        <item x="484"/>
        <item x="1984"/>
        <item x="618"/>
        <item x="774"/>
        <item x="1608"/>
        <item x="243"/>
        <item x="1595"/>
        <item x="1752"/>
        <item x="1622"/>
        <item x="786"/>
        <item x="811"/>
        <item x="814"/>
        <item x="1263"/>
        <item x="1173"/>
        <item x="88"/>
        <item x="1128"/>
        <item x="525"/>
        <item x="1645"/>
        <item x="891"/>
        <item x="1199"/>
        <item x="150"/>
        <item x="1345"/>
        <item x="391"/>
        <item x="468"/>
        <item x="722"/>
        <item x="1855"/>
        <item x="1816"/>
        <item x="381"/>
        <item x="689"/>
        <item x="1171"/>
        <item x="1830"/>
        <item x="1981"/>
        <item x="1872"/>
        <item x="1846"/>
        <item x="1880"/>
        <item x="621"/>
        <item x="358"/>
        <item x="55"/>
        <item x="1331"/>
        <item x="503"/>
        <item x="145"/>
        <item x="673"/>
        <item x="1391"/>
        <item x="1764"/>
        <item x="1256"/>
        <item x="172"/>
        <item x="1070"/>
        <item x="1706"/>
        <item x="1018"/>
        <item x="1919"/>
        <item x="63"/>
        <item x="1691"/>
        <item x="325"/>
        <item x="2048"/>
        <item x="56"/>
        <item x="1560"/>
        <item x="1960"/>
        <item x="834"/>
        <item x="941"/>
        <item x="436"/>
        <item x="1316"/>
        <item x="395"/>
        <item x="710"/>
        <item x="542"/>
        <item x="511"/>
        <item x="1253"/>
        <item x="747"/>
        <item x="1737"/>
        <item x="1873"/>
        <item x="162"/>
        <item x="38"/>
        <item x="970"/>
        <item x="1435"/>
        <item x="16"/>
        <item x="1095"/>
        <item x="1437"/>
        <item x="134"/>
        <item x="903"/>
        <item x="771"/>
        <item x="1268"/>
        <item x="914"/>
        <item x="1155"/>
        <item x="691"/>
        <item x="1861"/>
        <item x="443"/>
        <item x="1513"/>
        <item x="617"/>
        <item x="21"/>
        <item x="1257"/>
        <item x="1477"/>
        <item x="1497"/>
        <item x="1899"/>
        <item x="1794"/>
        <item x="1175"/>
        <item x="732"/>
        <item x="341"/>
        <item x="1421"/>
        <item x="1351"/>
        <item x="75"/>
        <item x="779"/>
        <item x="725"/>
        <item x="867"/>
        <item x="67"/>
        <item x="1540"/>
        <item x="430"/>
        <item x="871"/>
        <item x="1341"/>
        <item x="1192"/>
        <item x="1132"/>
        <item x="530"/>
        <item x="1697"/>
        <item x="454"/>
        <item x="845"/>
        <item x="505"/>
        <item x="248"/>
        <item x="244"/>
        <item x="1936"/>
        <item x="196"/>
        <item x="239"/>
        <item x="96"/>
        <item x="497"/>
        <item x="875"/>
        <item x="1471"/>
        <item x="1098"/>
        <item x="1441"/>
        <item x="1530"/>
        <item x="1851"/>
        <item x="752"/>
        <item x="98"/>
        <item x="1369"/>
        <item x="292"/>
        <item x="1952"/>
        <item x="2019"/>
        <item x="1783"/>
        <item x="1756"/>
        <item x="482"/>
        <item x="326"/>
        <item x="295"/>
        <item x="221"/>
        <item x="313"/>
        <item x="874"/>
        <item x="1894"/>
        <item x="805"/>
        <item x="1683"/>
        <item x="1436"/>
        <item x="494"/>
        <item x="251"/>
        <item x="1102"/>
        <item x="1312"/>
        <item x="1971"/>
        <item x="509"/>
        <item x="1927"/>
        <item x="1398"/>
        <item x="26"/>
        <item x="862"/>
        <item x="310"/>
        <item x="515"/>
        <item x="828"/>
        <item x="1406"/>
        <item x="751"/>
        <item x="1935"/>
        <item x="709"/>
        <item x="1649"/>
        <item x="766"/>
        <item x="246"/>
        <item x="1621"/>
        <item x="623"/>
        <item x="2037"/>
        <item x="1586"/>
        <item x="416"/>
        <item x="1717"/>
        <item x="299"/>
        <item x="850"/>
        <item x="755"/>
        <item x="1946"/>
        <item x="332"/>
        <item x="645"/>
        <item x="1879"/>
        <item x="1444"/>
        <item x="572"/>
        <item x="1025"/>
        <item x="2029"/>
        <item x="1751"/>
        <item x="1663"/>
        <item x="1584"/>
        <item x="920"/>
        <item x="1139"/>
        <item x="1833"/>
        <item x="999"/>
        <item x="1522"/>
        <item x="1491"/>
        <item x="1609"/>
        <item x="1157"/>
        <item x="1709"/>
        <item x="1473"/>
        <item x="1720"/>
        <item x="1499"/>
        <item x="2014"/>
        <item x="236"/>
        <item x="880"/>
        <item x="1976"/>
        <item x="699"/>
        <item x="934"/>
        <item x="544"/>
        <item x="1380"/>
        <item x="1700"/>
        <item x="1520"/>
        <item x="1235"/>
        <item x="2049"/>
        <item x="1698"/>
        <item x="1046"/>
        <item x="551"/>
        <item x="199"/>
        <item x="206"/>
        <item x="1402"/>
        <item x="194"/>
        <item x="59"/>
        <item x="804"/>
        <item x="405"/>
        <item x="570"/>
        <item x="643"/>
        <item x="864"/>
        <item x="1058"/>
        <item x="956"/>
        <item x="1579"/>
        <item x="644"/>
        <item x="1158"/>
        <item x="1597"/>
        <item x="1578"/>
        <item x="240"/>
        <item x="287"/>
        <item x="1440"/>
        <item x="1550"/>
        <item x="1186"/>
        <item x="1219"/>
        <item x="1307"/>
        <item x="315"/>
        <item x="1141"/>
        <item x="527"/>
        <item x="1727"/>
        <item x="97"/>
        <item x="2011"/>
        <item x="1701"/>
        <item x="2001"/>
        <item x="1206"/>
        <item x="1190"/>
        <item x="2009"/>
        <item x="1529"/>
        <item x="2018"/>
        <item x="228"/>
        <item x="827"/>
        <item x="1567"/>
        <item x="138"/>
        <item x="1888"/>
        <item x="1353"/>
        <item x="437"/>
        <item x="1071"/>
        <item x="1105"/>
        <item x="661"/>
        <item x="541"/>
        <item x="884"/>
        <item x="1853"/>
        <item x="1820"/>
        <item x="1974"/>
        <item x="1442"/>
        <item x="2058"/>
        <item x="1784"/>
        <item x="2005"/>
        <item x="1242"/>
        <item x="1912"/>
        <item x="1388"/>
        <item x="1267"/>
        <item x="1015"/>
        <item x="263"/>
        <item x="842"/>
        <item x="979"/>
        <item x="1631"/>
        <item x="400"/>
        <item x="1508"/>
        <item x="1282"/>
        <item x="1443"/>
        <item x="909"/>
        <item x="1739"/>
        <item x="984"/>
        <item x="498"/>
        <item x="1639"/>
        <item x="2017"/>
        <item x="252"/>
        <item x="1142"/>
        <item x="1605"/>
        <item x="1677"/>
        <item x="1194"/>
        <item x="1274"/>
        <item x="1293"/>
        <item x="291"/>
        <item x="809"/>
        <item x="116"/>
        <item x="1532"/>
        <item x="684"/>
        <item x="1012"/>
        <item x="896"/>
        <item x="1690"/>
        <item x="1054"/>
        <item x="1553"/>
        <item x="1052"/>
        <item x="1360"/>
        <item x="1056"/>
        <item x="1101"/>
        <item x="2071"/>
        <item x="1716"/>
        <item x="1685"/>
        <item x="651"/>
        <item x="1902"/>
        <item x="818"/>
        <item x="463"/>
        <item x="815"/>
        <item x="1348"/>
        <item x="1555"/>
        <item x="481"/>
        <item x="795"/>
        <item x="1236"/>
        <item x="1374"/>
        <item x="1964"/>
        <item x="603"/>
        <item x="91"/>
        <item x="1916"/>
        <item x="734"/>
        <item x="929"/>
        <item x="1732"/>
        <item x="1857"/>
        <item x="20"/>
        <item x="1145"/>
        <item x="898"/>
        <item x="1287"/>
        <item x="631"/>
        <item x="886"/>
        <item x="1940"/>
        <item x="518"/>
        <item x="1790"/>
        <item x="1163"/>
        <item x="1958"/>
        <item x="1891"/>
        <item x="1775"/>
        <item x="286"/>
        <item x="946"/>
        <item x="559"/>
        <item x="1324"/>
        <item x="1792"/>
        <item x="220"/>
        <item x="487"/>
        <item x="888"/>
        <item x="569"/>
        <item x="1628"/>
        <item x="1561"/>
        <item x="749"/>
        <item x="1969"/>
        <item x="1456"/>
        <item x="1501"/>
        <item x="1511"/>
        <item x="1654"/>
        <item x="2007"/>
        <item x="1655"/>
        <item x="739"/>
        <item x="1377"/>
        <item x="195"/>
        <item x="1884"/>
        <item x="62"/>
        <item x="76"/>
        <item x="997"/>
        <item x="1688"/>
        <item x="1299"/>
        <item x="453"/>
        <item x="1375"/>
        <item x="1666"/>
        <item x="1546"/>
        <item x="860"/>
        <item x="1746"/>
        <item x="1758"/>
        <item x="452"/>
        <item x="1043"/>
        <item x="1335"/>
        <item x="51"/>
        <item x="2016"/>
        <item x="2021"/>
        <item x="1031"/>
        <item x="1195"/>
        <item x="1032"/>
        <item x="1488"/>
        <item x="1474"/>
        <item x="1840"/>
        <item x="1803"/>
        <item x="670"/>
        <item x="1868"/>
        <item x="792"/>
        <item x="1945"/>
        <item x="2068"/>
        <item x="1260"/>
        <item x="642"/>
        <item x="1273"/>
        <item x="1336"/>
        <item x="680"/>
        <item x="1264"/>
        <item x="1089"/>
        <item x="193"/>
        <item x="2069"/>
        <item x="5"/>
        <item x="1658"/>
        <item x="1038"/>
        <item x="1920"/>
        <item x="1832"/>
        <item x="1859"/>
        <item x="1008"/>
        <item x="996"/>
        <item x="852"/>
        <item x="1648"/>
        <item x="1539"/>
        <item x="1962"/>
        <item x="2002"/>
        <item x="847"/>
        <item x="1072"/>
        <item x="1120"/>
        <item x="1113"/>
        <item x="446"/>
        <item x="558"/>
        <item x="2057"/>
        <item x="106"/>
        <item x="1822"/>
        <item x="1037"/>
        <item x="1941"/>
        <item x="2023"/>
        <item x="1297"/>
        <item x="1948"/>
        <item x="1744"/>
        <item x="1813"/>
        <item x="688"/>
        <item x="46"/>
        <item x="80"/>
        <item x="1207"/>
        <item x="1230"/>
        <item x="182"/>
        <item x="1796"/>
        <item x="1011"/>
        <item x="1780"/>
        <item x="1118"/>
        <item x="1762"/>
        <item x="911"/>
        <item x="1036"/>
        <item x="1692"/>
        <item x="563"/>
        <item x="1719"/>
        <item x="2042"/>
        <item x="477"/>
        <item x="1094"/>
        <item x="1949"/>
        <item x="128"/>
        <item x="1246"/>
        <item x="1506"/>
        <item x="40"/>
        <item x="1479"/>
        <item x="262"/>
        <item x="1152"/>
        <item x="1541"/>
        <item x="1722"/>
        <item x="1322"/>
        <item x="1997"/>
        <item x="1332"/>
        <item x="1973"/>
        <item x="666"/>
        <item x="1999"/>
        <item x="479"/>
        <item x="1266"/>
        <item x="1159"/>
        <item x="1001"/>
        <item x="1306"/>
        <item x="1125"/>
        <item x="1556"/>
        <item x="202"/>
        <item x="79"/>
        <item x="664"/>
        <item x="440"/>
        <item x="1602"/>
        <item x="1647"/>
        <item x="893"/>
        <item x="1610"/>
        <item x="1874"/>
        <item x="2075"/>
        <item x="1728"/>
        <item x="359"/>
        <item x="653"/>
        <item x="1418"/>
        <item x="379"/>
        <item x="1492"/>
        <item x="214"/>
        <item x="11"/>
        <item x="1531"/>
        <item x="48"/>
        <item x="1951"/>
        <item x="921"/>
        <item x="1614"/>
        <item x="590"/>
        <item x="2082"/>
        <item x="191"/>
        <item x="1632"/>
        <item x="608"/>
        <item x="831"/>
        <item x="360"/>
        <item x="701"/>
        <item x="210"/>
        <item x="1998"/>
        <item x="1111"/>
        <item x="1412"/>
        <item x="1932"/>
        <item x="180"/>
        <item x="990"/>
        <item x="500"/>
        <item x="798"/>
        <item x="677"/>
        <item x="1237"/>
        <item x="140"/>
        <item x="731"/>
        <item x="229"/>
        <item x="1149"/>
        <item x="1238"/>
        <item x="1223"/>
        <item x="1325"/>
        <item x="844"/>
        <item x="504"/>
        <item x="1168"/>
        <item x="1172"/>
        <item x="158"/>
        <item x="81"/>
        <item x="872"/>
        <item x="1277"/>
        <item x="1825"/>
        <item x="1525"/>
        <item x="1496"/>
        <item x="1653"/>
        <item x="1146"/>
        <item x="690"/>
        <item t="default"/>
      </items>
    </pivotField>
    <pivotField compact="0" showAll="0">
      <items count="2278">
        <item x="155"/>
        <item x="305"/>
        <item x="223"/>
        <item x="973"/>
        <item x="615"/>
        <item x="755"/>
        <item x="1224"/>
        <item x="1737"/>
        <item x="313"/>
        <item x="235"/>
        <item x="735"/>
        <item x="1375"/>
        <item x="565"/>
        <item x="1014"/>
        <item x="1874"/>
        <item x="2006"/>
        <item x="1631"/>
        <item x="1622"/>
        <item x="1001"/>
        <item x="2013"/>
        <item x="953"/>
        <item x="919"/>
        <item x="1452"/>
        <item x="416"/>
        <item x="498"/>
        <item x="2187"/>
        <item x="526"/>
        <item x="1632"/>
        <item x="633"/>
        <item x="322"/>
        <item x="36"/>
        <item x="1578"/>
        <item x="17"/>
        <item x="724"/>
        <item x="2231"/>
        <item x="474"/>
        <item x="1757"/>
        <item x="1970"/>
        <item x="428"/>
        <item x="982"/>
        <item x="556"/>
        <item x="1485"/>
        <item x="515"/>
        <item x="2014"/>
        <item x="383"/>
        <item x="2032"/>
        <item x="1527"/>
        <item x="860"/>
        <item x="998"/>
        <item x="1183"/>
        <item x="435"/>
        <item x="1303"/>
        <item x="905"/>
        <item x="1717"/>
        <item x="43"/>
        <item x="2085"/>
        <item x="548"/>
        <item x="1084"/>
        <item x="345"/>
        <item x="199"/>
        <item x="1104"/>
        <item x="1772"/>
        <item x="2178"/>
        <item x="986"/>
        <item x="168"/>
        <item x="1801"/>
        <item x="1687"/>
        <item x="656"/>
        <item x="1626"/>
        <item x="1830"/>
        <item x="188"/>
        <item x="1107"/>
        <item x="413"/>
        <item x="1476"/>
        <item x="994"/>
        <item x="1429"/>
        <item x="461"/>
        <item x="1133"/>
        <item x="1502"/>
        <item x="1557"/>
        <item x="454"/>
        <item x="41"/>
        <item x="1141"/>
        <item x="236"/>
        <item x="120"/>
        <item x="1811"/>
        <item x="310"/>
        <item x="1850"/>
        <item x="1351"/>
        <item x="359"/>
        <item x="1487"/>
        <item x="971"/>
        <item x="2154"/>
        <item x="1825"/>
        <item x="1287"/>
        <item x="1558"/>
        <item x="373"/>
        <item x="228"/>
        <item x="1530"/>
        <item x="2017"/>
        <item x="1906"/>
        <item x="296"/>
        <item x="384"/>
        <item x="1512"/>
        <item x="426"/>
        <item x="694"/>
        <item x="431"/>
        <item x="1317"/>
        <item x="1337"/>
        <item x="2109"/>
        <item x="1799"/>
        <item x="351"/>
        <item x="9"/>
        <item x="1796"/>
        <item x="908"/>
        <item x="226"/>
        <item x="1285"/>
        <item x="1755"/>
        <item x="2092"/>
        <item x="582"/>
        <item x="917"/>
        <item x="1419"/>
        <item x="1012"/>
        <item x="961"/>
        <item x="12"/>
        <item x="66"/>
        <item x="1812"/>
        <item x="407"/>
        <item x="771"/>
        <item x="786"/>
        <item x="1543"/>
        <item x="1960"/>
        <item x="1653"/>
        <item x="1854"/>
        <item x="1587"/>
        <item x="1580"/>
        <item x="544"/>
        <item x="1464"/>
        <item x="2232"/>
        <item x="730"/>
        <item x="478"/>
        <item x="234"/>
        <item x="1366"/>
        <item x="1498"/>
        <item x="603"/>
        <item x="538"/>
        <item x="613"/>
        <item x="119"/>
        <item x="1763"/>
        <item x="1677"/>
        <item x="1348"/>
        <item x="632"/>
        <item x="486"/>
        <item x="103"/>
        <item x="108"/>
        <item x="653"/>
        <item x="398"/>
        <item x="2174"/>
        <item x="1041"/>
        <item x="754"/>
        <item x="1910"/>
        <item x="959"/>
        <item x="164"/>
        <item x="2120"/>
        <item x="1126"/>
        <item x="815"/>
        <item x="189"/>
        <item x="1305"/>
        <item x="1931"/>
        <item x="1203"/>
        <item x="490"/>
        <item x="791"/>
        <item x="808"/>
        <item x="674"/>
        <item x="842"/>
        <item x="2158"/>
        <item x="2023"/>
        <item x="1600"/>
        <item x="1234"/>
        <item x="301"/>
        <item x="1519"/>
        <item x="1124"/>
        <item x="774"/>
        <item x="1969"/>
        <item x="186"/>
        <item x="1404"/>
        <item x="960"/>
        <item x="726"/>
        <item x="374"/>
        <item x="363"/>
        <item x="975"/>
        <item x="936"/>
        <item x="2148"/>
        <item x="706"/>
        <item x="762"/>
        <item x="117"/>
        <item x="425"/>
        <item x="1172"/>
        <item x="794"/>
        <item x="1490"/>
        <item x="896"/>
        <item x="1005"/>
        <item x="549"/>
        <item x="13"/>
        <item x="574"/>
        <item x="2002"/>
        <item x="2268"/>
        <item x="1478"/>
        <item x="888"/>
        <item x="1039"/>
        <item x="765"/>
        <item x="1298"/>
        <item x="470"/>
        <item x="242"/>
        <item x="152"/>
        <item x="1609"/>
        <item x="495"/>
        <item x="2"/>
        <item x="779"/>
        <item x="1706"/>
        <item x="387"/>
        <item x="2099"/>
        <item x="693"/>
        <item x="1483"/>
        <item x="1427"/>
        <item x="1603"/>
        <item x="1945"/>
        <item x="1056"/>
        <item x="1435"/>
        <item x="851"/>
        <item x="214"/>
        <item x="657"/>
        <item x="192"/>
        <item x="1447"/>
        <item x="1663"/>
        <item x="1461"/>
        <item x="863"/>
        <item x="1993"/>
        <item x="1149"/>
        <item x="1184"/>
        <item x="2031"/>
        <item x="553"/>
        <item x="1760"/>
        <item x="1323"/>
        <item x="1815"/>
        <item x="1261"/>
        <item x="1244"/>
        <item x="1162"/>
        <item x="1794"/>
        <item x="1477"/>
        <item x="430"/>
        <item x="1506"/>
        <item x="508"/>
        <item x="2090"/>
        <item x="2075"/>
        <item x="545"/>
        <item x="395"/>
        <item x="624"/>
        <item x="777"/>
        <item x="422"/>
        <item x="557"/>
        <item x="100"/>
        <item x="73"/>
        <item x="1562"/>
        <item x="965"/>
        <item x="220"/>
        <item x="1852"/>
        <item x="1268"/>
        <item x="2272"/>
        <item x="25"/>
        <item x="2153"/>
        <item x="396"/>
        <item x="1249"/>
        <item x="275"/>
        <item x="1913"/>
        <item x="1507"/>
        <item x="1185"/>
        <item x="488"/>
        <item x="1982"/>
        <item x="600"/>
        <item x="1253"/>
        <item x="261"/>
        <item x="974"/>
        <item x="625"/>
        <item x="54"/>
        <item x="989"/>
        <item x="1659"/>
        <item x="354"/>
        <item x="1570"/>
        <item x="981"/>
        <item x="318"/>
        <item x="821"/>
        <item x="611"/>
        <item x="1155"/>
        <item x="386"/>
        <item x="1998"/>
        <item x="967"/>
        <item x="315"/>
        <item x="243"/>
        <item x="1371"/>
        <item x="69"/>
        <item x="1242"/>
        <item x="2096"/>
        <item x="942"/>
        <item x="763"/>
        <item x="741"/>
        <item x="1977"/>
        <item x="2055"/>
        <item x="514"/>
        <item x="1637"/>
        <item x="601"/>
        <item x="360"/>
        <item x="690"/>
        <item x="1290"/>
        <item x="1109"/>
        <item x="1781"/>
        <item x="1644"/>
        <item x="1544"/>
        <item x="819"/>
        <item x="983"/>
        <item x="2227"/>
        <item x="1563"/>
        <item x="1205"/>
        <item x="410"/>
        <item x="61"/>
        <item x="362"/>
        <item x="2045"/>
        <item x="1733"/>
        <item x="840"/>
        <item x="2068"/>
        <item x="2245"/>
        <item x="650"/>
        <item x="1190"/>
        <item x="883"/>
        <item x="886"/>
        <item x="442"/>
        <item x="1655"/>
        <item x="534"/>
        <item x="2095"/>
        <item x="1426"/>
        <item x="165"/>
        <item x="531"/>
        <item x="484"/>
        <item x="2248"/>
        <item x="299"/>
        <item x="1112"/>
        <item x="2140"/>
        <item x="773"/>
        <item x="593"/>
        <item x="1992"/>
        <item x="233"/>
        <item x="1096"/>
        <item x="1761"/>
        <item x="1947"/>
        <item x="2022"/>
        <item x="260"/>
        <item x="406"/>
        <item x="1675"/>
        <item x="440"/>
        <item x="2146"/>
        <item x="1471"/>
        <item x="909"/>
        <item x="2273"/>
        <item x="1147"/>
        <item x="2067"/>
        <item x="845"/>
        <item x="731"/>
        <item x="1324"/>
        <item x="1708"/>
        <item x="2216"/>
        <item x="1396"/>
        <item x="2220"/>
        <item x="1265"/>
        <item x="1590"/>
        <item x="64"/>
        <item x="328"/>
        <item x="2206"/>
        <item x="1529"/>
        <item x="893"/>
        <item x="58"/>
        <item x="412"/>
        <item x="1386"/>
        <item x="2094"/>
        <item x="2159"/>
        <item x="74"/>
        <item x="2107"/>
        <item x="1395"/>
        <item x="397"/>
        <item x="78"/>
        <item x="629"/>
        <item x="467"/>
        <item x="2225"/>
        <item x="1241"/>
        <item x="527"/>
        <item x="1160"/>
        <item x="274"/>
        <item x="1178"/>
        <item x="839"/>
        <item x="940"/>
        <item x="1291"/>
        <item x="1921"/>
        <item x="948"/>
        <item x="885"/>
        <item x="1707"/>
        <item x="1974"/>
        <item x="1785"/>
        <item x="411"/>
        <item x="1100"/>
        <item x="903"/>
        <item x="268"/>
        <item x="42"/>
        <item x="2255"/>
        <item x="1888"/>
        <item x="1350"/>
        <item x="1117"/>
        <item x="375"/>
        <item x="219"/>
        <item x="2235"/>
        <item x="605"/>
        <item x="884"/>
        <item x="2044"/>
        <item x="533"/>
        <item x="57"/>
        <item x="648"/>
        <item x="1853"/>
        <item x="1671"/>
        <item x="2089"/>
        <item x="962"/>
        <item x="28"/>
        <item x="1266"/>
        <item x="33"/>
        <item x="807"/>
        <item x="562"/>
        <item x="1007"/>
        <item x="1248"/>
        <item x="1465"/>
        <item x="757"/>
        <item x="303"/>
        <item x="993"/>
        <item x="443"/>
        <item x="1326"/>
        <item x="1232"/>
        <item x="53"/>
        <item x="2270"/>
        <item x="655"/>
        <item x="151"/>
        <item x="816"/>
        <item x="114"/>
        <item x="670"/>
        <item x="304"/>
        <item x="471"/>
        <item x="340"/>
        <item x="2000"/>
        <item x="1257"/>
        <item x="2263"/>
        <item x="2212"/>
        <item x="176"/>
        <item x="1335"/>
        <item x="1372"/>
        <item x="173"/>
        <item x="2156"/>
        <item x="326"/>
        <item x="1584"/>
        <item x="217"/>
        <item x="853"/>
        <item x="838"/>
        <item x="614"/>
        <item x="1716"/>
        <item x="2018"/>
        <item x="1473"/>
        <item x="524"/>
        <item x="1516"/>
        <item x="459"/>
        <item x="1984"/>
        <item x="2165"/>
        <item x="1639"/>
        <item x="280"/>
        <item x="941"/>
        <item x="2048"/>
        <item x="154"/>
        <item x="256"/>
        <item x="1531"/>
        <item x="257"/>
        <item x="312"/>
        <item x="93"/>
        <item x="1283"/>
        <item x="583"/>
        <item x="460"/>
        <item x="1407"/>
        <item x="463"/>
        <item x="560"/>
        <item x="2243"/>
        <item x="569"/>
        <item x="1088"/>
        <item x="2234"/>
        <item x="1980"/>
        <item x="2203"/>
        <item x="2086"/>
        <item x="437"/>
        <item x="118"/>
        <item x="1985"/>
        <item x="306"/>
        <item x="523"/>
        <item x="266"/>
        <item x="1212"/>
        <item x="1973"/>
        <item x="793"/>
        <item x="628"/>
        <item x="635"/>
        <item x="918"/>
        <item x="1952"/>
        <item x="1020"/>
        <item x="2016"/>
        <item x="1533"/>
        <item x="1105"/>
        <item x="83"/>
        <item x="1201"/>
        <item x="1808"/>
        <item x="590"/>
        <item x="1682"/>
        <item x="127"/>
        <item x="619"/>
        <item x="1929"/>
        <item x="770"/>
        <item x="1605"/>
        <item x="1791"/>
        <item x="297"/>
        <item x="1840"/>
        <item x="1231"/>
        <item x="906"/>
        <item x="27"/>
        <item x="286"/>
        <item x="1654"/>
        <item x="1228"/>
        <item x="746"/>
        <item x="1572"/>
        <item x="566"/>
        <item x="18"/>
        <item x="380"/>
        <item x="970"/>
        <item x="44"/>
        <item x="1202"/>
        <item x="1019"/>
        <item x="1689"/>
        <item x="1912"/>
        <item x="272"/>
        <item x="147"/>
        <item x="1032"/>
        <item x="697"/>
        <item x="1873"/>
        <item x="355"/>
        <item x="1114"/>
        <item x="988"/>
        <item x="1069"/>
        <item x="1524"/>
        <item x="311"/>
        <item x="292"/>
        <item x="2004"/>
        <item x="752"/>
        <item x="1198"/>
        <item x="528"/>
        <item x="1599"/>
        <item x="335"/>
        <item x="325"/>
        <item x="1738"/>
        <item x="169"/>
        <item x="273"/>
        <item x="2046"/>
        <item x="291"/>
        <item x="1462"/>
        <item x="1503"/>
        <item x="1120"/>
        <item x="209"/>
        <item x="1767"/>
        <item x="2242"/>
        <item x="2011"/>
        <item x="1365"/>
        <item x="728"/>
        <item x="872"/>
        <item x="798"/>
        <item x="1749"/>
        <item x="661"/>
        <item x="1560"/>
        <item x="1771"/>
        <item x="956"/>
        <item x="634"/>
        <item x="1634"/>
        <item x="137"/>
        <item x="1098"/>
        <item x="122"/>
        <item x="1868"/>
        <item x="1146"/>
        <item x="0"/>
        <item x="330"/>
        <item x="68"/>
        <item x="1385"/>
        <item x="95"/>
        <item x="1343"/>
        <item x="743"/>
        <item x="1439"/>
        <item x="365"/>
        <item x="1890"/>
        <item x="1690"/>
        <item x="2040"/>
        <item x="542"/>
        <item x="2008"/>
        <item x="141"/>
        <item x="1144"/>
        <item x="584"/>
        <item x="996"/>
        <item x="828"/>
        <item x="966"/>
        <item x="1067"/>
        <item x="1504"/>
        <item x="160"/>
        <item x="1923"/>
        <item x="1880"/>
        <item x="65"/>
        <item x="1170"/>
        <item x="2238"/>
        <item x="1495"/>
        <item x="1884"/>
        <item x="2059"/>
        <item x="756"/>
        <item x="1443"/>
        <item x="764"/>
        <item x="1021"/>
        <item x="1075"/>
        <item x="357"/>
        <item x="938"/>
        <item x="1090"/>
        <item x="1073"/>
        <item x="1863"/>
        <item x="894"/>
        <item x="1695"/>
        <item x="1907"/>
        <item x="2069"/>
        <item x="933"/>
        <item x="1963"/>
        <item x="1674"/>
        <item x="1522"/>
        <item x="321"/>
        <item x="342"/>
        <item x="1930"/>
        <item x="1481"/>
        <item x="353"/>
        <item x="1866"/>
        <item x="1181"/>
        <item x="1451"/>
        <item x="408"/>
        <item x="1813"/>
        <item x="2066"/>
        <item x="874"/>
        <item x="654"/>
        <item x="1959"/>
        <item x="2102"/>
        <item x="990"/>
        <item x="1855"/>
        <item x="579"/>
        <item x="2265"/>
        <item x="1559"/>
        <item x="1453"/>
        <item x="610"/>
        <item x="487"/>
        <item x="1280"/>
        <item x="1135"/>
        <item x="403"/>
        <item x="1044"/>
        <item x="281"/>
        <item x="337"/>
        <item x="1301"/>
        <item x="766"/>
        <item x="1058"/>
        <item x="2185"/>
        <item x="31"/>
        <item x="878"/>
        <item x="859"/>
        <item x="2054"/>
        <item x="1216"/>
        <item x="1924"/>
        <item x="2122"/>
        <item x="1255"/>
        <item x="2144"/>
        <item x="309"/>
        <item x="846"/>
        <item x="1047"/>
        <item x="630"/>
        <item x="282"/>
        <item x="1943"/>
        <item x="2064"/>
        <item x="1376"/>
        <item x="1742"/>
        <item x="105"/>
        <item x="678"/>
        <item x="1409"/>
        <item x="2258"/>
        <item x="1900"/>
        <item x="14"/>
        <item x="1920"/>
        <item x="1699"/>
        <item x="125"/>
        <item x="153"/>
        <item x="2163"/>
        <item x="2162"/>
        <item x="622"/>
        <item x="170"/>
        <item x="101"/>
        <item x="22"/>
        <item x="130"/>
        <item x="1488"/>
        <item x="1881"/>
        <item x="668"/>
        <item x="113"/>
        <item x="323"/>
        <item x="581"/>
        <item x="1252"/>
        <item x="925"/>
        <item x="1942"/>
        <item x="349"/>
        <item x="1304"/>
        <item x="1803"/>
        <item x="1728"/>
        <item x="1033"/>
        <item x="1949"/>
        <item x="1406"/>
        <item x="979"/>
        <item x="1116"/>
        <item x="1597"/>
        <item x="857"/>
        <item x="1083"/>
        <item x="930"/>
        <item x="1831"/>
        <item x="607"/>
        <item x="666"/>
        <item x="401"/>
        <item x="1510"/>
        <item x="1722"/>
        <item x="1246"/>
        <item x="133"/>
        <item x="1735"/>
        <item x="2182"/>
        <item x="1848"/>
        <item x="1795"/>
        <item x="2218"/>
        <item x="472"/>
        <item x="405"/>
        <item x="445"/>
        <item x="352"/>
        <item x="997"/>
        <item x="216"/>
        <item x="1627"/>
        <item x="2241"/>
        <item x="1777"/>
        <item x="1430"/>
        <item x="2030"/>
        <item x="1233"/>
        <item x="1289"/>
        <item x="1704"/>
        <item x="831"/>
        <item x="2173"/>
        <item x="772"/>
        <item x="1986"/>
        <item x="696"/>
        <item x="402"/>
        <item x="1582"/>
        <item x="124"/>
        <item x="1843"/>
        <item x="1635"/>
        <item x="2015"/>
        <item x="250"/>
        <item x="206"/>
        <item x="1849"/>
        <item x="3"/>
        <item x="1151"/>
        <item x="1511"/>
        <item x="1081"/>
        <item x="184"/>
        <item x="2223"/>
        <item x="921"/>
        <item x="135"/>
        <item x="444"/>
        <item x="131"/>
        <item x="1110"/>
        <item x="343"/>
        <item x="801"/>
        <item x="785"/>
        <item x="969"/>
        <item x="2276"/>
        <item x="338"/>
        <item x="647"/>
        <item x="1023"/>
        <item x="609"/>
        <item x="2071"/>
        <item x="820"/>
        <item x="1186"/>
        <item x="123"/>
        <item x="1829"/>
        <item x="1034"/>
        <item x="1470"/>
        <item x="1292"/>
        <item x="1168"/>
        <item x="1316"/>
        <item x="136"/>
        <item x="922"/>
        <item x="1364"/>
        <item x="71"/>
        <item x="1325"/>
        <item x="1566"/>
        <item x="1153"/>
        <item x="50"/>
        <item x="1646"/>
        <item x="2267"/>
        <item x="262"/>
        <item x="1779"/>
        <item x="1870"/>
        <item x="1431"/>
        <item x="1424"/>
        <item x="2070"/>
        <item x="415"/>
        <item x="392"/>
        <item x="1263"/>
        <item x="457"/>
        <item x="1425"/>
        <item x="832"/>
        <item x="2142"/>
        <item x="1219"/>
        <item x="1137"/>
        <item x="172"/>
        <item x="1565"/>
        <item x="1259"/>
        <item x="432"/>
        <item x="638"/>
        <item x="1393"/>
        <item x="1941"/>
        <item x="1277"/>
        <item x="554"/>
        <item x="945"/>
        <item x="1448"/>
        <item x="1592"/>
        <item x="739"/>
        <item x="111"/>
        <item x="232"/>
        <item x="687"/>
        <item x="2138"/>
        <item x="681"/>
        <item x="1195"/>
        <item x="2261"/>
        <item x="1055"/>
        <item x="1405"/>
        <item x="1703"/>
        <item x="1997"/>
        <item x="2010"/>
        <item x="864"/>
        <item x="691"/>
        <item x="596"/>
        <item x="1095"/>
        <item x="239"/>
        <item x="47"/>
        <item x="2180"/>
        <item x="2161"/>
        <item x="2079"/>
        <item x="1783"/>
        <item x="389"/>
        <item x="646"/>
        <item x="270"/>
        <item x="1676"/>
        <item x="2130"/>
        <item x="1043"/>
        <item x="1629"/>
        <item x="563"/>
        <item x="1446"/>
        <item x="1161"/>
        <item x="1917"/>
        <item x="782"/>
        <item x="598"/>
        <item x="436"/>
        <item x="2266"/>
        <item x="700"/>
        <item x="1254"/>
        <item x="166"/>
        <item x="2222"/>
        <item x="812"/>
        <item x="2215"/>
        <item x="1176"/>
        <item x="958"/>
        <item x="1061"/>
        <item x="2274"/>
        <item x="689"/>
        <item x="1898"/>
        <item x="999"/>
        <item x="1789"/>
        <item x="2082"/>
        <item x="218"/>
        <item x="1746"/>
        <item x="453"/>
        <item x="1624"/>
        <item x="701"/>
        <item x="536"/>
        <item x="2236"/>
        <item x="1545"/>
        <item x="1158"/>
        <item x="2240"/>
        <item x="1571"/>
        <item x="1423"/>
        <item x="1052"/>
        <item x="1856"/>
        <item x="1121"/>
        <item x="1342"/>
        <item x="2145"/>
        <item x="7"/>
        <item x="129"/>
        <item x="1338"/>
        <item x="251"/>
        <item x="2196"/>
        <item x="1770"/>
        <item x="2256"/>
        <item x="346"/>
        <item x="1445"/>
        <item x="727"/>
        <item x="60"/>
        <item x="109"/>
        <item x="555"/>
        <item x="1174"/>
        <item x="1106"/>
        <item x="1790"/>
        <item x="1670"/>
        <item x="1042"/>
        <item x="2133"/>
        <item x="1333"/>
        <item x="2073"/>
        <item x="361"/>
        <item x="378"/>
        <item x="1200"/>
        <item x="1119"/>
        <item x="1555"/>
        <item x="1013"/>
        <item x="180"/>
        <item x="916"/>
        <item x="1720"/>
        <item x="1293"/>
        <item x="1415"/>
        <item x="595"/>
        <item x="658"/>
        <item x="6"/>
        <item x="1878"/>
        <item x="1286"/>
        <item x="873"/>
        <item x="1574"/>
        <item x="709"/>
        <item x="901"/>
        <item x="717"/>
        <item x="142"/>
        <item x="1296"/>
        <item x="52"/>
        <item x="70"/>
        <item x="1514"/>
        <item x="212"/>
        <item x="1902"/>
        <item x="501"/>
        <item x="1194"/>
        <item x="512"/>
        <item x="336"/>
        <item x="676"/>
        <item x="174"/>
        <item x="2080"/>
        <item x="748"/>
        <item x="2247"/>
        <item x="1950"/>
        <item x="277"/>
        <item x="1523"/>
        <item x="157"/>
        <item x="39"/>
        <item x="867"/>
        <item x="1165"/>
        <item x="24"/>
        <item x="1867"/>
        <item x="497"/>
        <item x="1017"/>
        <item x="616"/>
        <item x="1468"/>
        <item x="287"/>
        <item x="377"/>
        <item x="1482"/>
        <item x="1734"/>
        <item x="227"/>
        <item x="248"/>
        <item x="1000"/>
        <item x="1140"/>
        <item x="1616"/>
        <item x="278"/>
        <item x="1858"/>
        <item x="952"/>
        <item x="307"/>
        <item x="1551"/>
        <item x="509"/>
        <item x="2246"/>
        <item x="612"/>
        <item x="1496"/>
        <item x="259"/>
        <item x="258"/>
        <item x="1836"/>
        <item x="1260"/>
        <item x="606"/>
        <item x="1537"/>
        <item x="1459"/>
        <item x="775"/>
        <item x="684"/>
        <item x="1647"/>
        <item x="1499"/>
        <item x="2123"/>
        <item x="1594"/>
        <item x="115"/>
        <item x="283"/>
        <item x="787"/>
        <item x="992"/>
        <item x="2207"/>
        <item x="720"/>
        <item x="573"/>
        <item x="947"/>
        <item x="2164"/>
        <item x="891"/>
        <item x="929"/>
        <item x="858"/>
        <item x="722"/>
        <item x="1897"/>
        <item x="1222"/>
        <item x="1475"/>
        <item x="1875"/>
        <item x="1356"/>
        <item x="183"/>
        <item x="2063"/>
        <item x="1517"/>
        <item x="1583"/>
        <item x="449"/>
        <item x="178"/>
        <item x="2260"/>
        <item x="667"/>
        <item x="1319"/>
        <item x="1379"/>
        <item x="1948"/>
        <item x="2061"/>
        <item x="1685"/>
        <item x="1143"/>
        <item x="269"/>
        <item x="159"/>
        <item x="276"/>
        <item x="1938"/>
        <item x="1661"/>
        <item x="2197"/>
        <item x="502"/>
        <item x="148"/>
        <item x="1553"/>
        <item x="1493"/>
        <item x="2121"/>
        <item x="1048"/>
        <item x="1800"/>
        <item x="1889"/>
        <item x="324"/>
        <item x="1457"/>
        <item x="1927"/>
        <item x="86"/>
        <item x="2087"/>
        <item x="1598"/>
        <item x="1382"/>
        <item x="2269"/>
        <item x="1123"/>
        <item x="520"/>
        <item x="1394"/>
        <item x="2221"/>
        <item x="1694"/>
        <item x="1189"/>
        <item x="550"/>
        <item x="1004"/>
        <item x="382"/>
        <item x="1166"/>
        <item x="823"/>
        <item x="1652"/>
        <item x="2214"/>
        <item x="356"/>
        <item x="943"/>
        <item x="1940"/>
        <item x="1022"/>
        <item x="1213"/>
        <item x="1730"/>
        <item x="446"/>
        <item x="1725"/>
        <item x="1278"/>
        <item x="2103"/>
        <item x="1367"/>
        <item x="379"/>
        <item x="789"/>
        <item x="238"/>
        <item x="2229"/>
        <item x="1723"/>
        <item x="1384"/>
        <item x="481"/>
        <item x="1712"/>
        <item x="284"/>
        <item x="1618"/>
        <item x="1965"/>
        <item x="1684"/>
        <item x="1547"/>
        <item x="1321"/>
        <item x="1833"/>
        <item x="503"/>
        <item x="210"/>
        <item x="1455"/>
        <item x="987"/>
        <item x="423"/>
        <item x="385"/>
        <item x="716"/>
        <item x="29"/>
        <item x="1904"/>
        <item x="1053"/>
        <item x="1398"/>
        <item x="899"/>
        <item x="1828"/>
        <item x="1383"/>
        <item x="1357"/>
        <item x="1062"/>
        <item x="1882"/>
        <item x="1754"/>
        <item x="1546"/>
        <item x="2028"/>
        <item x="577"/>
        <item x="750"/>
        <item x="1436"/>
        <item x="1611"/>
        <item x="1822"/>
        <item x="1669"/>
        <item x="1392"/>
        <item x="977"/>
        <item x="1209"/>
        <item x="1841"/>
        <item x="1361"/>
        <item x="92"/>
        <item x="1588"/>
        <item x="506"/>
        <item x="1082"/>
        <item x="231"/>
        <item x="736"/>
        <item x="2035"/>
        <item x="745"/>
        <item x="1933"/>
        <item x="1521"/>
        <item x="1215"/>
        <item x="1329"/>
        <item x="2053"/>
        <item x="2050"/>
        <item x="2205"/>
        <item x="1991"/>
        <item x="1500"/>
        <item x="8"/>
        <item x="1199"/>
        <item x="968"/>
        <item x="2201"/>
        <item x="1915"/>
        <item x="121"/>
        <item x="285"/>
        <item x="376"/>
        <item x="2065"/>
        <item x="604"/>
        <item x="1300"/>
        <item x="1885"/>
        <item x="1040"/>
        <item x="711"/>
        <item x="205"/>
        <item x="737"/>
        <item x="1528"/>
        <item x="1753"/>
        <item x="1951"/>
        <item x="995"/>
        <item x="2184"/>
        <item x="1388"/>
        <item x="225"/>
        <item x="539"/>
        <item x="698"/>
        <item x="267"/>
        <item x="1705"/>
        <item x="2147"/>
        <item x="805"/>
        <item x="660"/>
        <item x="826"/>
        <item x="1872"/>
        <item x="1636"/>
        <item x="790"/>
        <item x="1759"/>
        <item x="327"/>
        <item x="417"/>
        <item x="399"/>
        <item x="1664"/>
        <item x="2113"/>
        <item x="201"/>
        <item x="175"/>
        <item x="1"/>
        <item x="479"/>
        <item x="1509"/>
        <item x="2076"/>
        <item x="1505"/>
        <item x="1373"/>
        <item x="45"/>
        <item x="1577"/>
        <item x="1782"/>
        <item x="783"/>
        <item x="547"/>
        <item x="641"/>
        <item x="620"/>
        <item x="1602"/>
        <item x="923"/>
        <item x="870"/>
        <item x="139"/>
        <item x="10"/>
        <item x="802"/>
        <item x="2056"/>
        <item x="456"/>
        <item x="2052"/>
        <item x="1139"/>
        <item x="1658"/>
        <item x="1456"/>
        <item x="570"/>
        <item x="177"/>
        <item x="1752"/>
        <item x="320"/>
        <item x="1003"/>
        <item x="370"/>
        <item x="1981"/>
        <item x="1010"/>
        <item x="1118"/>
        <item x="420"/>
        <item x="332"/>
        <item x="419"/>
        <item x="1865"/>
        <item x="871"/>
        <item x="94"/>
        <item x="530"/>
        <item x="1390"/>
        <item x="1955"/>
        <item x="834"/>
        <item x="1905"/>
        <item x="1610"/>
        <item x="1345"/>
        <item x="1729"/>
        <item x="866"/>
        <item x="1227"/>
        <item x="1936"/>
        <item x="1065"/>
        <item x="1934"/>
        <item x="1944"/>
        <item x="2098"/>
        <item x="1804"/>
        <item x="822"/>
        <item x="1169"/>
        <item x="1956"/>
        <item x="800"/>
        <item x="1036"/>
        <item x="1008"/>
        <item x="1536"/>
        <item x="1454"/>
        <item x="468"/>
        <item x="705"/>
        <item x="1660"/>
        <item x="672"/>
        <item x="1619"/>
        <item x="652"/>
        <item x="2019"/>
        <item x="788"/>
        <item x="682"/>
        <item x="1403"/>
        <item x="1919"/>
        <item x="597"/>
        <item x="572"/>
        <item x="913"/>
        <item x="1131"/>
        <item x="2062"/>
        <item x="742"/>
        <item x="825"/>
        <item x="585"/>
        <item x="1138"/>
        <item x="77"/>
        <item x="1593"/>
        <item x="972"/>
        <item x="1561"/>
        <item x="1623"/>
        <item x="2128"/>
        <item x="707"/>
        <item x="1892"/>
        <item x="927"/>
        <item x="567"/>
        <item x="639"/>
        <item x="578"/>
        <item x="710"/>
        <item x="1197"/>
        <item x="2230"/>
        <item x="182"/>
        <item x="30"/>
        <item x="391"/>
        <item x="333"/>
        <item x="433"/>
        <item x="1589"/>
        <item x="659"/>
        <item x="500"/>
        <item x="2108"/>
        <item x="1349"/>
        <item x="1532"/>
        <item x="1607"/>
        <item x="2160"/>
        <item x="677"/>
        <item x="1550"/>
        <item x="2134"/>
        <item x="1327"/>
        <item x="99"/>
        <item x="1643"/>
        <item x="1097"/>
        <item x="1741"/>
        <item x="1486"/>
        <item x="1273"/>
        <item x="1315"/>
        <item x="740"/>
        <item x="1586"/>
        <item x="146"/>
        <item x="2116"/>
        <item x="394"/>
        <item x="1157"/>
        <item x="439"/>
        <item x="1786"/>
        <item x="1362"/>
        <item x="1297"/>
        <item x="347"/>
        <item x="2155"/>
        <item x="161"/>
        <item x="1177"/>
        <item x="482"/>
        <item x="1776"/>
        <item x="2029"/>
        <item x="814"/>
        <item x="300"/>
        <item x="1727"/>
        <item x="1066"/>
        <item x="1381"/>
        <item x="1891"/>
        <item x="23"/>
        <item x="469"/>
        <item x="552"/>
        <item x="1237"/>
        <item x="126"/>
        <item x="2194"/>
        <item x="1191"/>
        <item x="143"/>
        <item x="2037"/>
        <item x="599"/>
        <item x="2200"/>
        <item x="246"/>
        <item x="1220"/>
        <item x="1413"/>
        <item x="1988"/>
        <item x="898"/>
        <item x="1152"/>
        <item x="1416"/>
        <item x="341"/>
        <item x="2093"/>
        <item x="955"/>
        <item x="2157"/>
        <item x="1072"/>
        <item x="1681"/>
        <item x="1548"/>
        <item x="1050"/>
        <item x="1057"/>
        <item x="1307"/>
        <item x="1693"/>
        <item x="1793"/>
        <item x="2252"/>
        <item x="1101"/>
        <item x="371"/>
        <item x="835"/>
        <item x="1862"/>
        <item x="564"/>
        <item x="1513"/>
        <item x="381"/>
        <item x="149"/>
        <item x="492"/>
        <item x="1839"/>
        <item x="1698"/>
        <item x="1011"/>
        <item x="797"/>
        <item x="1709"/>
        <item x="1262"/>
        <item x="1433"/>
        <item x="1788"/>
        <item x="588"/>
        <item x="1491"/>
        <item x="1399"/>
        <item x="1060"/>
        <item x="208"/>
        <item x="1719"/>
        <item x="2204"/>
        <item x="2088"/>
        <item x="1122"/>
        <item x="2257"/>
        <item x="592"/>
        <item x="1079"/>
        <item x="438"/>
        <item x="1567"/>
        <item x="1275"/>
        <item x="2005"/>
        <item x="1732"/>
        <item x="626"/>
        <item x="1802"/>
        <item x="1070"/>
        <item x="1666"/>
        <item x="1552"/>
        <item x="1908"/>
        <item x="1310"/>
        <item x="2025"/>
        <item x="1086"/>
        <item x="2058"/>
        <item x="551"/>
        <item x="1187"/>
        <item x="1613"/>
        <item x="1391"/>
        <item x="293"/>
        <item x="418"/>
        <item x="1780"/>
        <item x="1896"/>
        <item x="1744"/>
        <item x="49"/>
        <item x="769"/>
        <item x="1968"/>
        <item x="1288"/>
        <item x="198"/>
        <item x="462"/>
        <item x="255"/>
        <item x="1702"/>
        <item x="1027"/>
        <item x="617"/>
        <item x="1089"/>
        <item x="15"/>
        <item x="935"/>
        <item x="1438"/>
        <item x="571"/>
        <item x="844"/>
        <item x="2170"/>
        <item x="1353"/>
        <item x="504"/>
        <item x="1412"/>
        <item x="854"/>
        <item x="1701"/>
        <item x="1334"/>
        <item x="679"/>
        <item x="82"/>
        <item x="187"/>
        <item x="1208"/>
        <item x="35"/>
        <item x="2176"/>
        <item x="537"/>
        <item x="1549"/>
        <item x="1820"/>
        <item x="1006"/>
        <item x="1621"/>
        <item x="1236"/>
        <item x="1035"/>
        <item x="760"/>
        <item x="1077"/>
        <item x="90"/>
        <item x="1025"/>
        <item x="1656"/>
        <item x="37"/>
        <item x="1966"/>
        <item x="107"/>
        <item x="1414"/>
        <item x="483"/>
        <item x="505"/>
        <item x="1302"/>
        <item x="1648"/>
        <item x="875"/>
        <item x="2249"/>
        <item x="591"/>
        <item x="1251"/>
        <item x="372"/>
        <item x="369"/>
        <item x="424"/>
        <item x="702"/>
        <item x="434"/>
        <item x="1193"/>
        <item x="685"/>
        <item x="829"/>
        <item x="72"/>
        <item x="1245"/>
        <item x="204"/>
        <item x="2104"/>
        <item x="2042"/>
        <item x="279"/>
        <item x="1996"/>
        <item x="804"/>
        <item x="1080"/>
        <item x="1284"/>
        <item x="1645"/>
        <item x="1370"/>
        <item x="2036"/>
        <item x="1171"/>
        <item x="1715"/>
        <item x="2135"/>
        <item x="1743"/>
        <item x="1745"/>
        <item x="1400"/>
        <item x="1748"/>
        <item x="1686"/>
        <item x="1683"/>
        <item x="850"/>
        <item x="265"/>
        <item x="1899"/>
        <item x="1876"/>
        <item x="2151"/>
        <item x="1526"/>
        <item x="2049"/>
        <item x="950"/>
        <item x="1247"/>
        <item x="334"/>
        <item x="4"/>
        <item x="1911"/>
        <item x="1564"/>
        <item x="224"/>
        <item x="1989"/>
        <item x="729"/>
        <item x="1894"/>
        <item x="271"/>
        <item x="1369"/>
        <item x="876"/>
        <item x="675"/>
        <item x="1142"/>
        <item x="2198"/>
        <item x="185"/>
        <item x="1797"/>
        <item x="1958"/>
        <item x="1837"/>
        <item x="2132"/>
        <item x="1990"/>
        <item x="110"/>
        <item x="643"/>
        <item x="1030"/>
        <item x="132"/>
        <item x="855"/>
        <item x="1810"/>
        <item x="144"/>
        <item x="1479"/>
        <item x="1834"/>
        <item x="84"/>
        <item x="2166"/>
        <item x="19"/>
        <item x="719"/>
        <item x="813"/>
        <item x="2112"/>
        <item x="2209"/>
        <item x="644"/>
        <item x="1883"/>
        <item x="104"/>
        <item x="521"/>
        <item x="1520"/>
        <item x="1819"/>
        <item x="1136"/>
        <item x="856"/>
        <item x="1762"/>
        <item x="1962"/>
        <item x="892"/>
        <item x="1308"/>
        <item x="1054"/>
        <item x="34"/>
        <item x="1679"/>
        <item x="795"/>
        <item x="2136"/>
        <item x="2039"/>
        <item x="1569"/>
        <item x="535"/>
        <item x="976"/>
        <item x="833"/>
        <item x="213"/>
        <item x="1608"/>
        <item x="344"/>
        <item x="1134"/>
        <item x="980"/>
        <item x="1276"/>
        <item x="202"/>
        <item x="1474"/>
        <item x="1359"/>
        <item x="1953"/>
        <item x="2264"/>
        <item x="1271"/>
        <item x="288"/>
        <item x="393"/>
        <item x="1983"/>
        <item x="2213"/>
        <item x="2208"/>
        <item x="2262"/>
        <item x="519"/>
        <item x="1127"/>
        <item x="1279"/>
        <item x="2126"/>
        <item x="718"/>
        <item x="1432"/>
        <item x="1125"/>
        <item x="810"/>
        <item x="2150"/>
        <item x="2077"/>
        <item x="1029"/>
        <item x="1860"/>
        <item x="1103"/>
        <item x="1678"/>
        <item x="1028"/>
        <item x="881"/>
        <item x="1094"/>
        <item x="2228"/>
        <item x="869"/>
        <item x="1250"/>
        <item x="1954"/>
        <item x="1838"/>
        <item x="1442"/>
        <item x="2084"/>
        <item x="680"/>
        <item x="1625"/>
        <item x="1928"/>
        <item x="167"/>
        <item x="1615"/>
        <item x="1402"/>
        <item x="1975"/>
        <item x="350"/>
        <item x="753"/>
        <item x="473"/>
        <item x="1463"/>
        <item x="429"/>
        <item x="1756"/>
        <item x="669"/>
        <item x="631"/>
        <item x="364"/>
        <item x="732"/>
        <item x="1309"/>
        <item x="1076"/>
        <item x="645"/>
        <item x="1360"/>
        <item x="1861"/>
        <item x="163"/>
        <item x="749"/>
        <item x="792"/>
        <item x="1525"/>
        <item x="112"/>
        <item x="1229"/>
        <item x="649"/>
        <item x="1218"/>
        <item x="1585"/>
        <item x="1440"/>
        <item x="1024"/>
        <item x="1320"/>
        <item x="85"/>
        <item x="1145"/>
        <item x="2124"/>
        <item x="1295"/>
        <item x="32"/>
        <item x="949"/>
        <item x="1352"/>
        <item x="1792"/>
        <item x="1710"/>
        <item x="946"/>
        <item x="496"/>
        <item x="1340"/>
        <item x="1554"/>
        <item x="244"/>
        <item x="2253"/>
        <item x="1887"/>
        <item x="1740"/>
        <item x="450"/>
        <item x="721"/>
        <item x="818"/>
        <item x="843"/>
        <item x="1688"/>
        <item x="1765"/>
        <item x="594"/>
        <item x="1339"/>
        <item x="1374"/>
        <item x="1192"/>
        <item x="1807"/>
        <item x="799"/>
        <item x="1764"/>
        <item x="1274"/>
        <item x="421"/>
        <item x="150"/>
        <item x="102"/>
        <item x="1714"/>
        <item x="602"/>
        <item x="1489"/>
        <item x="476"/>
        <item x="2179"/>
        <item x="2003"/>
        <item x="895"/>
        <item x="817"/>
        <item x="1961"/>
        <item x="390"/>
        <item x="713"/>
        <item x="1909"/>
        <item x="2149"/>
        <item x="2024"/>
        <item x="1994"/>
        <item x="2211"/>
        <item x="744"/>
        <item x="640"/>
        <item x="366"/>
        <item x="1417"/>
        <item x="516"/>
        <item x="145"/>
        <item x="1995"/>
        <item x="1272"/>
        <item x="1484"/>
        <item x="1420"/>
        <item x="477"/>
        <item x="1128"/>
        <item x="1832"/>
        <item x="2081"/>
        <item x="1736"/>
        <item x="1817"/>
        <item x="329"/>
        <item x="2224"/>
        <item x="1696"/>
        <item x="768"/>
        <item x="2127"/>
        <item x="1377"/>
        <item x="738"/>
        <item x="985"/>
        <item x="1074"/>
        <item x="1458"/>
        <item x="447"/>
        <item x="1401"/>
        <item x="404"/>
        <item x="254"/>
        <item x="559"/>
        <item x="525"/>
        <item x="1328"/>
        <item x="1821"/>
        <item x="776"/>
        <item x="1869"/>
        <item x="38"/>
        <item x="1016"/>
        <item x="134"/>
        <item x="2244"/>
        <item x="156"/>
        <item x="803"/>
        <item x="1347"/>
        <item x="957"/>
        <item x="1221"/>
        <item x="715"/>
        <item x="2012"/>
        <item x="455"/>
        <item x="2117"/>
        <item x="636"/>
        <item x="21"/>
        <item x="1332"/>
        <item x="1579"/>
        <item x="485"/>
        <item x="1601"/>
        <item x="2021"/>
        <item x="2057"/>
        <item x="1937"/>
        <item x="704"/>
        <item x="1243"/>
        <item x="1805"/>
        <item x="1914"/>
        <item x="1918"/>
        <item x="759"/>
        <item x="1037"/>
        <item x="87"/>
        <item x="1441"/>
        <item x="75"/>
        <item x="1009"/>
        <item x="316"/>
        <item x="2199"/>
        <item x="911"/>
        <item x="1428"/>
        <item x="1015"/>
        <item x="1196"/>
        <item x="984"/>
        <item x="546"/>
        <item x="466"/>
        <item x="1018"/>
        <item x="880"/>
        <item x="249"/>
        <item x="245"/>
        <item x="358"/>
        <item x="197"/>
        <item x="1972"/>
        <item x="240"/>
        <item x="510"/>
        <item x="915"/>
        <item x="1573"/>
        <item x="1159"/>
        <item x="2219"/>
        <item x="1539"/>
        <item x="1330"/>
        <item x="1640"/>
        <item x="451"/>
        <item x="540"/>
        <item x="1256"/>
        <item x="2192"/>
        <item x="910"/>
        <item x="1494"/>
        <item x="623"/>
        <item x="1460"/>
        <item x="1179"/>
        <item x="295"/>
        <item x="809"/>
        <item x="1449"/>
        <item x="1132"/>
        <item x="890"/>
        <item x="2152"/>
        <item x="637"/>
        <item x="806"/>
        <item x="1724"/>
        <item x="298"/>
        <item x="849"/>
        <item x="1711"/>
        <item x="914"/>
        <item x="837"/>
        <item x="847"/>
        <item x="1240"/>
        <item x="88"/>
        <item x="541"/>
        <item x="1534"/>
        <item x="932"/>
        <item x="252"/>
        <item x="1434"/>
        <item x="1397"/>
        <item x="400"/>
        <item x="2139"/>
        <item x="480"/>
        <item x="747"/>
        <item x="2091"/>
        <item x="1492"/>
        <item x="1238"/>
        <item x="1976"/>
        <item x="902"/>
        <item x="314"/>
        <item x="2034"/>
        <item x="55"/>
        <item x="862"/>
        <item x="1568"/>
        <item x="1501"/>
        <item x="695"/>
        <item x="1903"/>
        <item x="1331"/>
        <item x="2100"/>
        <item x="733"/>
        <item x="1769"/>
        <item x="796"/>
        <item x="171"/>
        <item x="1739"/>
        <item x="1700"/>
        <item x="427"/>
        <item x="1071"/>
        <item x="302"/>
        <item x="887"/>
        <item x="665"/>
        <item x="2033"/>
        <item x="63"/>
        <item x="1542"/>
        <item x="589"/>
        <item x="56"/>
        <item x="1672"/>
        <item x="868"/>
        <item x="2233"/>
        <item x="734"/>
        <item x="931"/>
        <item x="2202"/>
        <item x="1784"/>
        <item x="2026"/>
        <item x="162"/>
        <item x="963"/>
        <item x="1979"/>
        <item x="1049"/>
        <item x="1595"/>
        <item x="16"/>
        <item x="1726"/>
        <item x="1156"/>
        <item x="1535"/>
        <item x="944"/>
        <item x="1846"/>
        <item x="1823"/>
        <item x="1620"/>
        <item x="2143"/>
        <item x="195"/>
        <item x="1311"/>
        <item x="348"/>
        <item x="1518"/>
        <item x="1497"/>
        <item x="194"/>
        <item x="811"/>
        <item x="751"/>
        <item x="907"/>
        <item x="67"/>
        <item x="1650"/>
        <item x="836"/>
        <item x="441"/>
        <item x="414"/>
        <item x="587"/>
        <item x="1267"/>
        <item x="663"/>
        <item x="518"/>
        <item x="1115"/>
        <item x="2101"/>
        <item x="1692"/>
        <item x="1713"/>
        <item x="1691"/>
        <item x="96"/>
        <item x="241"/>
        <item x="1999"/>
        <item x="781"/>
        <item x="1538"/>
        <item x="98"/>
        <item x="1662"/>
        <item x="1389"/>
        <item x="319"/>
        <item x="1206"/>
        <item x="2119"/>
        <item x="2191"/>
        <item x="1925"/>
        <item x="97"/>
        <item x="1893"/>
        <item x="2183"/>
        <item x="1827"/>
        <item x="2171"/>
        <item x="1264"/>
        <item x="494"/>
        <item x="331"/>
        <item x="222"/>
        <item x="317"/>
        <item x="2051"/>
        <item x="2190"/>
        <item x="861"/>
        <item x="1680"/>
        <item x="138"/>
        <item x="1806"/>
        <item x="1444"/>
        <item x="507"/>
        <item x="448"/>
        <item x="1129"/>
        <item x="308"/>
        <item x="683"/>
        <item x="1164"/>
        <item x="558"/>
        <item x="522"/>
        <item x="2001"/>
        <item x="1964"/>
        <item x="2141"/>
        <item x="26"/>
        <item x="1540"/>
        <item x="2275"/>
        <item x="1926"/>
        <item x="1318"/>
        <item x="1480"/>
        <item x="1346"/>
        <item x="529"/>
        <item x="1068"/>
        <item x="2074"/>
        <item x="780"/>
        <item x="1026"/>
        <item x="247"/>
        <item x="642"/>
        <item x="2210"/>
        <item x="1844"/>
        <item x="784"/>
        <item x="409"/>
        <item x="2111"/>
        <item x="339"/>
        <item x="1614"/>
        <item x="1363"/>
        <item x="1541"/>
        <item x="951"/>
        <item x="511"/>
        <item x="1078"/>
        <item x="1758"/>
        <item x="2189"/>
        <item x="1886"/>
        <item x="1697"/>
        <item x="1204"/>
        <item x="1207"/>
        <item x="1630"/>
        <item x="1721"/>
        <item x="1798"/>
        <item x="1269"/>
        <item x="1223"/>
        <item x="1835"/>
        <item x="1575"/>
        <item x="1604"/>
        <item x="2186"/>
        <item x="841"/>
        <item x="116"/>
        <item x="1642"/>
        <item x="237"/>
        <item x="920"/>
        <item x="723"/>
        <item x="708"/>
        <item x="1064"/>
        <item x="978"/>
        <item x="561"/>
        <item x="1472"/>
        <item x="1826"/>
        <item x="1628"/>
        <item x="1111"/>
        <item x="2226"/>
        <item x="1665"/>
        <item x="1824"/>
        <item x="1450"/>
        <item x="1102"/>
        <item x="568"/>
        <item x="200"/>
        <item x="207"/>
        <item x="59"/>
        <item x="2060"/>
        <item x="475"/>
        <item x="848"/>
        <item x="1437"/>
        <item x="1667"/>
        <item x="493"/>
        <item x="904"/>
        <item x="827"/>
        <item x="2041"/>
        <item x="1002"/>
        <item x="1466"/>
        <item x="664"/>
        <item x="1225"/>
        <item x="2131"/>
        <item x="621"/>
        <item x="91"/>
        <item x="2078"/>
        <item x="761"/>
        <item x="290"/>
        <item x="1864"/>
        <item x="1258"/>
        <item x="1294"/>
        <item x="2007"/>
        <item x="543"/>
        <item x="20"/>
        <item x="1210"/>
        <item x="1857"/>
        <item x="1281"/>
        <item x="1368"/>
        <item x="2181"/>
        <item x="1638"/>
        <item x="229"/>
        <item x="532"/>
        <item x="2043"/>
        <item x="1230"/>
        <item x="1916"/>
        <item x="1167"/>
        <item x="289"/>
        <item x="991"/>
        <item x="1410"/>
        <item x="1935"/>
        <item x="924"/>
        <item x="928"/>
        <item x="1747"/>
        <item x="2239"/>
        <item x="2175"/>
        <item x="1673"/>
        <item x="2072"/>
        <item x="264"/>
        <item x="877"/>
        <item x="2137"/>
        <item x="1556"/>
        <item x="1750"/>
        <item x="1617"/>
        <item x="767"/>
        <item x="196"/>
        <item x="1871"/>
        <item x="1031"/>
        <item x="62"/>
        <item x="76"/>
        <item x="1046"/>
        <item x="1814"/>
        <item x="1787"/>
        <item x="1657"/>
        <item x="253"/>
        <item x="1879"/>
        <item x="1099"/>
        <item x="1421"/>
        <item x="51"/>
        <item x="1355"/>
        <item x="2188"/>
        <item x="2193"/>
        <item x="1085"/>
        <item x="294"/>
        <item x="937"/>
        <item x="1591"/>
        <item x="1816"/>
        <item x="1946"/>
        <item x="1108"/>
        <item x="1113"/>
        <item x="692"/>
        <item x="1163"/>
        <item x="2254"/>
        <item x="1842"/>
        <item x="1809"/>
        <item x="671"/>
        <item x="2250"/>
        <item x="852"/>
        <item x="1354"/>
        <item x="1341"/>
        <item x="1148"/>
        <item x="2251"/>
        <item x="5"/>
        <item x="1312"/>
        <item x="1093"/>
        <item x="2083"/>
        <item x="1059"/>
        <item x="889"/>
        <item x="1768"/>
        <item x="2129"/>
        <item x="939"/>
        <item x="1175"/>
        <item x="458"/>
        <item x="651"/>
        <item x="575"/>
        <item x="926"/>
        <item x="106"/>
        <item x="1967"/>
        <item x="2105"/>
        <item x="1092"/>
        <item x="1378"/>
        <item x="2114"/>
        <item x="1932"/>
        <item x="2125"/>
        <item x="2047"/>
        <item x="576"/>
        <item x="1957"/>
        <item x="221"/>
        <item x="499"/>
        <item x="80"/>
        <item x="586"/>
        <item x="1306"/>
        <item x="1939"/>
        <item x="1063"/>
        <item x="1922"/>
        <item x="778"/>
        <item x="1180"/>
        <item x="1901"/>
        <item x="1606"/>
        <item x="1774"/>
        <item x="2177"/>
        <item x="1775"/>
        <item x="1150"/>
        <item x="1469"/>
        <item x="2038"/>
        <item x="1380"/>
        <item x="465"/>
        <item x="2115"/>
        <item x="1467"/>
        <item x="900"/>
        <item x="1895"/>
        <item x="464"/>
        <item x="1322"/>
        <item x="1581"/>
        <item x="1270"/>
        <item x="1217"/>
        <item x="1087"/>
        <item x="1576"/>
        <item x="1987"/>
        <item x="1847"/>
        <item x="2020"/>
        <item x="824"/>
        <item x="2167"/>
        <item x="2110"/>
        <item x="1336"/>
        <item x="89"/>
        <item x="662"/>
        <item x="1422"/>
        <item x="703"/>
        <item x="193"/>
        <item x="897"/>
        <item x="1778"/>
        <item x="1978"/>
        <item x="1344"/>
        <item x="2009"/>
        <item x="1045"/>
        <item x="1188"/>
        <item x="1649"/>
        <item x="1668"/>
        <item x="203"/>
        <item x="79"/>
        <item x="2172"/>
        <item x="882"/>
        <item x="1130"/>
        <item x="1182"/>
        <item x="2237"/>
        <item x="2106"/>
        <item x="2195"/>
        <item x="1877"/>
        <item x="712"/>
        <item x="46"/>
        <item x="1282"/>
        <item x="1515"/>
        <item x="181"/>
        <item x="618"/>
        <item x="11"/>
        <item x="954"/>
        <item x="1091"/>
        <item x="1818"/>
        <item x="1641"/>
        <item x="580"/>
        <item x="1845"/>
        <item x="1731"/>
        <item x="2217"/>
        <item x="489"/>
        <item x="1154"/>
        <item x="128"/>
        <item x="1612"/>
        <item x="191"/>
        <item x="1751"/>
        <item x="627"/>
        <item x="40"/>
        <item x="865"/>
        <item x="263"/>
        <item x="1651"/>
        <item x="368"/>
        <item x="1851"/>
        <item x="1408"/>
        <item x="2168"/>
        <item x="1418"/>
        <item x="1173"/>
        <item x="1508"/>
        <item x="688"/>
        <item x="2169"/>
        <item x="491"/>
        <item x="1226"/>
        <item x="1051"/>
        <item x="1387"/>
        <item x="1038"/>
        <item x="513"/>
        <item x="686"/>
        <item x="452"/>
        <item x="830"/>
        <item x="1718"/>
        <item x="1766"/>
        <item x="934"/>
        <item x="2027"/>
        <item x="2259"/>
        <item x="1859"/>
        <item x="367"/>
        <item x="673"/>
        <item x="388"/>
        <item x="1596"/>
        <item x="215"/>
        <item x="1214"/>
        <item x="1314"/>
        <item x="1299"/>
        <item x="48"/>
        <item x="2118"/>
        <item x="964"/>
        <item x="1411"/>
        <item x="879"/>
        <item x="517"/>
        <item x="608"/>
        <item x="2271"/>
        <item x="1239"/>
        <item x="725"/>
        <item x="81"/>
        <item x="211"/>
        <item x="2097"/>
        <item x="179"/>
        <item x="699"/>
        <item x="1313"/>
        <item x="140"/>
        <item x="912"/>
        <item x="758"/>
        <item x="230"/>
        <item x="1633"/>
        <item x="1773"/>
        <item x="1235"/>
        <item x="158"/>
        <item x="1358"/>
        <item x="1971"/>
        <item x="1211"/>
        <item x="714"/>
        <item x="190"/>
        <item t="default"/>
      </items>
    </pivotField>
    <pivotField compact="0" numFmtId="4" showAll="0">
      <items count="961">
        <item x="205"/>
        <item x="146"/>
        <item x="445"/>
        <item x="477"/>
        <item x="273"/>
        <item x="214"/>
        <item x="920"/>
        <item x="657"/>
        <item x="348"/>
        <item x="634"/>
        <item x="876"/>
        <item x="408"/>
        <item x="36"/>
        <item x="423"/>
        <item x="531"/>
        <item x="652"/>
        <item x="17"/>
        <item x="324"/>
        <item x="295"/>
        <item x="278"/>
        <item x="416"/>
        <item x="908"/>
        <item x="357"/>
        <item x="651"/>
        <item x="693"/>
        <item x="117"/>
        <item x="362"/>
        <item x="494"/>
        <item x="184"/>
        <item x="434"/>
        <item x="43"/>
        <item x="804"/>
        <item x="457"/>
        <item x="345"/>
        <item x="342"/>
        <item x="875"/>
        <item x="595"/>
        <item x="836"/>
        <item x="158"/>
        <item x="207"/>
        <item x="380"/>
        <item x="175"/>
        <item x="355"/>
        <item x="298"/>
        <item x="315"/>
        <item x="325"/>
        <item x="755"/>
        <item x="360"/>
        <item x="215"/>
        <item x="429"/>
        <item x="923"/>
        <item x="209"/>
        <item x="41"/>
        <item x="703"/>
        <item x="768"/>
        <item x="573"/>
        <item x="617"/>
        <item x="12"/>
        <item x="828"/>
        <item x="937"/>
        <item x="101"/>
        <item x="106"/>
        <item x="334"/>
        <item x="154"/>
        <item x="535"/>
        <item x="701"/>
        <item x="485"/>
        <item x="944"/>
        <item x="771"/>
        <item x="554"/>
        <item x="351"/>
        <item x="9"/>
        <item x="740"/>
        <item x="907"/>
        <item x="850"/>
        <item x="516"/>
        <item x="476"/>
        <item x="66"/>
        <item x="544"/>
        <item x="178"/>
        <item x="895"/>
        <item x="116"/>
        <item x="532"/>
        <item x="438"/>
        <item x="300"/>
        <item x="399"/>
        <item x="492"/>
        <item x="585"/>
        <item x="621"/>
        <item x="433"/>
        <item x="724"/>
        <item x="213"/>
        <item x="367"/>
        <item x="354"/>
        <item x="220"/>
        <item x="13"/>
        <item x="393"/>
        <item x="435"/>
        <item x="712"/>
        <item x="316"/>
        <item x="406"/>
        <item x="143"/>
        <item x="173"/>
        <item x="820"/>
        <item x="328"/>
        <item x="265"/>
        <item x="359"/>
        <item x="914"/>
        <item x="612"/>
        <item x="764"/>
        <item x="830"/>
        <item x="153"/>
        <item x="952"/>
        <item x="276"/>
        <item x="474"/>
        <item x="798"/>
        <item x="72"/>
        <item x="899"/>
        <item x="515"/>
        <item x="808"/>
        <item x="2"/>
        <item x="468"/>
        <item x="198"/>
        <item x="61"/>
        <item x="491"/>
        <item x="251"/>
        <item x="234"/>
        <item x="590"/>
        <item x="483"/>
        <item x="306"/>
        <item x="597"/>
        <item x="397"/>
        <item x="33"/>
        <item x="629"/>
        <item x="904"/>
        <item x="387"/>
        <item x="333"/>
        <item x="711"/>
        <item x="700"/>
        <item x="54"/>
        <item x="451"/>
        <item x="577"/>
        <item x="255"/>
        <item x="114"/>
        <item x="221"/>
        <item x="344"/>
        <item x="69"/>
        <item x="25"/>
        <item x="570"/>
        <item x="587"/>
        <item x="841"/>
        <item x="748"/>
        <item x="649"/>
        <item x="327"/>
        <item x="618"/>
        <item x="233"/>
        <item x="611"/>
        <item x="932"/>
        <item x="750"/>
        <item x="304"/>
        <item x="247"/>
        <item x="201"/>
        <item x="401"/>
        <item x="426"/>
        <item x="616"/>
        <item x="536"/>
        <item x="757"/>
        <item x="950"/>
        <item x="628"/>
        <item x="57"/>
        <item x="241"/>
        <item x="449"/>
        <item x="332"/>
        <item x="42"/>
        <item x="58"/>
        <item x="421"/>
        <item x="18"/>
        <item x="792"/>
        <item x="305"/>
        <item x="728"/>
        <item x="53"/>
        <item x="765"/>
        <item x="44"/>
        <item x="155"/>
        <item x="246"/>
        <item x="164"/>
        <item x="111"/>
        <item x="922"/>
        <item x="632"/>
        <item x="64"/>
        <item x="290"/>
        <item x="569"/>
        <item x="493"/>
        <item x="145"/>
        <item x="732"/>
        <item x="142"/>
        <item x="379"/>
        <item x="490"/>
        <item x="263"/>
        <item x="827"/>
        <item x="115"/>
        <item x="77"/>
        <item x="245"/>
        <item x="322"/>
        <item x="574"/>
        <item x="576"/>
        <item x="545"/>
        <item x="801"/>
        <item x="161"/>
        <item x="446"/>
        <item x="866"/>
        <item x="900"/>
        <item x="580"/>
        <item x="73"/>
        <item x="707"/>
        <item x="463"/>
        <item x="480"/>
        <item x="268"/>
        <item x="444"/>
        <item x="927"/>
        <item x="281"/>
        <item x="230"/>
        <item x="0"/>
        <item x="469"/>
        <item x="934"/>
        <item x="259"/>
        <item x="910"/>
        <item x="252"/>
        <item x="301"/>
        <item x="659"/>
        <item x="28"/>
        <item x="231"/>
        <item x="786"/>
        <item x="267"/>
        <item x="643"/>
        <item x="287"/>
        <item x="802"/>
        <item x="297"/>
        <item x="815"/>
        <item x="369"/>
        <item x="622"/>
        <item x="955"/>
        <item x="663"/>
        <item x="594"/>
        <item x="203"/>
        <item x="280"/>
        <item x="486"/>
        <item x="458"/>
        <item x="82"/>
        <item x="553"/>
        <item x="637"/>
        <item x="92"/>
        <item x="427"/>
        <item x="139"/>
        <item x="364"/>
        <item x="648"/>
        <item x="27"/>
        <item x="505"/>
        <item x="442"/>
        <item x="517"/>
        <item x="299"/>
        <item x="378"/>
        <item x="68"/>
        <item x="420"/>
        <item x="239"/>
        <item x="824"/>
        <item x="308"/>
        <item x="498"/>
        <item x="752"/>
        <item x="928"/>
        <item x="269"/>
        <item x="883"/>
        <item x="759"/>
        <item x="473"/>
        <item x="867"/>
        <item x="317"/>
        <item x="455"/>
        <item x="682"/>
        <item x="470"/>
        <item x="244"/>
        <item x="640"/>
        <item x="734"/>
        <item x="722"/>
        <item x="647"/>
        <item x="341"/>
        <item x="193"/>
        <item x="424"/>
        <item x="94"/>
        <item x="131"/>
        <item x="126"/>
        <item x="279"/>
        <item x="840"/>
        <item x="339"/>
        <item x="945"/>
        <item x="253"/>
        <item x="440"/>
        <item x="565"/>
        <item x="50"/>
        <item x="400"/>
        <item x="150"/>
        <item x="685"/>
        <item x="271"/>
        <item x="689"/>
        <item x="123"/>
        <item x="200"/>
        <item x="272"/>
        <item x="903"/>
        <item x="890"/>
        <item x="683"/>
        <item x="260"/>
        <item x="919"/>
        <item x="592"/>
        <item x="926"/>
        <item x="103"/>
        <item x="869"/>
        <item x="717"/>
        <item x="439"/>
        <item x="47"/>
        <item x="886"/>
        <item x="715"/>
        <item x="858"/>
        <item x="825"/>
        <item x="680"/>
        <item x="933"/>
        <item x="293"/>
        <item x="947"/>
        <item x="561"/>
        <item x="791"/>
        <item x="31"/>
        <item x="22"/>
        <item x="14"/>
        <item x="338"/>
        <item x="829"/>
        <item x="65"/>
        <item x="676"/>
        <item x="3"/>
        <item x="292"/>
        <item x="667"/>
        <item x="466"/>
        <item x="837"/>
        <item x="70"/>
        <item x="337"/>
        <item x="898"/>
        <item x="370"/>
        <item x="525"/>
        <item x="877"/>
        <item x="243"/>
        <item x="889"/>
        <item x="296"/>
        <item x="129"/>
        <item x="109"/>
        <item x="542"/>
        <item x="953"/>
        <item x="954"/>
        <item x="854"/>
        <item x="388"/>
        <item x="159"/>
        <item x="916"/>
        <item x="598"/>
        <item x="806"/>
        <item x="650"/>
        <item x="725"/>
        <item x="555"/>
        <item x="549"/>
        <item x="156"/>
        <item x="343"/>
        <item x="121"/>
        <item x="347"/>
        <item x="520"/>
        <item x="484"/>
        <item x="671"/>
        <item x="756"/>
        <item x="249"/>
        <item x="225"/>
        <item x="735"/>
        <item x="135"/>
        <item x="144"/>
        <item x="730"/>
        <item x="171"/>
        <item x="472"/>
        <item x="881"/>
        <item x="776"/>
        <item x="502"/>
        <item x="631"/>
        <item x="321"/>
        <item x="600"/>
        <item x="665"/>
        <item x="190"/>
        <item x="363"/>
        <item x="489"/>
        <item x="777"/>
        <item x="784"/>
        <item x="6"/>
        <item x="673"/>
        <item x="495"/>
        <item x="533"/>
        <item x="320"/>
        <item x="136"/>
        <item x="769"/>
        <item x="119"/>
        <item x="694"/>
        <item x="99"/>
        <item x="196"/>
        <item x="807"/>
        <item x="395"/>
        <item x="288"/>
        <item x="39"/>
        <item x="7"/>
        <item x="888"/>
        <item x="503"/>
        <item x="751"/>
        <item x="24"/>
        <item x="579"/>
        <item x="719"/>
        <item x="318"/>
        <item x="125"/>
        <item x="415"/>
        <item x="60"/>
        <item x="514"/>
        <item x="727"/>
        <item x="147"/>
        <item x="733"/>
        <item x="941"/>
        <item x="52"/>
        <item x="127"/>
        <item x="248"/>
        <item x="560"/>
        <item x="510"/>
        <item x="630"/>
        <item x="826"/>
        <item x="564"/>
        <item x="326"/>
        <item x="658"/>
        <item x="130"/>
        <item x="162"/>
        <item x="120"/>
        <item x="698"/>
        <item x="235"/>
        <item x="194"/>
        <item x="705"/>
        <item x="376"/>
        <item x="185"/>
        <item x="891"/>
        <item x="790"/>
        <item x="475"/>
        <item x="803"/>
        <item x="905"/>
        <item x="410"/>
        <item x="773"/>
        <item x="653"/>
        <item x="795"/>
        <item x="931"/>
        <item x="822"/>
        <item x="817"/>
        <item x="29"/>
        <item x="313"/>
        <item x="107"/>
        <item x="372"/>
        <item x="861"/>
        <item x="541"/>
        <item x="706"/>
        <item x="218"/>
        <item x="893"/>
        <item x="593"/>
        <item x="212"/>
        <item x="464"/>
        <item x="217"/>
        <item x="202"/>
        <item x="639"/>
        <item x="811"/>
        <item x="282"/>
        <item x="319"/>
        <item x="747"/>
        <item x="793"/>
        <item x="527"/>
        <item x="232"/>
        <item x="375"/>
        <item x="137"/>
        <item x="518"/>
        <item x="386"/>
        <item x="112"/>
        <item x="284"/>
        <item x="98"/>
        <item x="412"/>
        <item x="381"/>
        <item x="168"/>
        <item x="335"/>
        <item x="371"/>
        <item x="519"/>
        <item x="929"/>
        <item x="781"/>
        <item x="664"/>
        <item x="277"/>
        <item x="149"/>
        <item x="672"/>
        <item x="256"/>
        <item x="716"/>
        <item x="901"/>
        <item x="140"/>
        <item x="1"/>
        <item x="766"/>
        <item x="913"/>
        <item x="675"/>
        <item x="507"/>
        <item x="411"/>
        <item x="242"/>
        <item x="85"/>
        <item x="93"/>
        <item x="656"/>
        <item x="599"/>
        <item x="821"/>
        <item x="407"/>
        <item x="166"/>
        <item x="208"/>
        <item x="8"/>
        <item x="45"/>
        <item x="165"/>
        <item x="731"/>
        <item x="538"/>
        <item x="349"/>
        <item x="614"/>
        <item x="529"/>
        <item x="151"/>
        <item x="133"/>
        <item x="189"/>
        <item x="736"/>
        <item x="754"/>
        <item x="831"/>
        <item x="141"/>
        <item x="10"/>
        <item x="669"/>
        <item x="170"/>
        <item x="762"/>
        <item x="720"/>
        <item x="814"/>
        <item x="646"/>
        <item x="849"/>
        <item x="812"/>
        <item x="447"/>
        <item x="524"/>
        <item x="604"/>
        <item x="946"/>
        <item x="350"/>
        <item x="454"/>
        <item x="772"/>
        <item x="497"/>
        <item x="583"/>
        <item x="409"/>
        <item x="780"/>
        <item x="654"/>
        <item x="558"/>
        <item x="270"/>
        <item x="389"/>
        <item x="641"/>
        <item x="352"/>
        <item x="81"/>
        <item x="254"/>
        <item x="605"/>
        <item x="302"/>
        <item x="566"/>
        <item x="688"/>
        <item x="562"/>
        <item x="186"/>
        <item x="118"/>
        <item x="91"/>
        <item x="240"/>
        <item x="223"/>
        <item x="450"/>
        <item x="704"/>
        <item x="138"/>
        <item x="626"/>
        <item x="709"/>
        <item x="534"/>
        <item x="742"/>
        <item x="30"/>
        <item x="943"/>
        <item x="816"/>
        <item x="34"/>
        <item x="437"/>
        <item x="314"/>
        <item x="76"/>
        <item x="864"/>
        <item x="366"/>
        <item x="788"/>
        <item x="436"/>
        <item x="262"/>
        <item x="163"/>
        <item x="956"/>
        <item x="385"/>
        <item x="833"/>
        <item x="188"/>
        <item x="847"/>
        <item x="312"/>
        <item x="23"/>
        <item x="496"/>
        <item x="459"/>
        <item x="852"/>
        <item x="285"/>
        <item x="365"/>
        <item x="482"/>
        <item x="853"/>
        <item x="572"/>
        <item x="699"/>
        <item x="418"/>
        <item x="537"/>
        <item x="330"/>
        <item x="250"/>
        <item x="89"/>
        <item x="192"/>
        <item x="4"/>
        <item x="49"/>
        <item x="644"/>
        <item x="460"/>
        <item x="823"/>
        <item x="110"/>
        <item x="633"/>
        <item x="71"/>
        <item x="122"/>
        <item x="35"/>
        <item x="229"/>
        <item x="353"/>
        <item x="176"/>
        <item x="67"/>
        <item x="860"/>
        <item x="100"/>
        <item x="844"/>
        <item x="692"/>
        <item x="32"/>
        <item x="575"/>
        <item x="526"/>
        <item x="394"/>
        <item x="462"/>
        <item x="478"/>
        <item x="105"/>
        <item x="183"/>
        <item x="603"/>
        <item x="331"/>
        <item x="83"/>
        <item x="552"/>
        <item x="84"/>
        <item x="206"/>
        <item x="951"/>
        <item x="108"/>
        <item x="855"/>
        <item x="361"/>
        <item x="467"/>
        <item x="465"/>
        <item x="859"/>
        <item x="286"/>
        <item x="37"/>
        <item x="428"/>
        <item x="197"/>
        <item x="613"/>
        <item x="291"/>
        <item x="323"/>
        <item x="504"/>
        <item x="702"/>
        <item x="911"/>
        <item x="238"/>
        <item x="949"/>
        <item x="396"/>
        <item x="358"/>
        <item x="805"/>
        <item x="743"/>
        <item x="636"/>
        <item x="868"/>
        <item x="610"/>
        <item x="681"/>
        <item x="275"/>
        <item x="522"/>
        <item x="608"/>
        <item x="865"/>
        <item x="540"/>
        <item x="718"/>
        <item x="174"/>
        <item x="857"/>
        <item x="403"/>
        <item x="16"/>
        <item x="329"/>
        <item x="551"/>
        <item x="266"/>
        <item x="511"/>
        <item x="796"/>
        <item x="894"/>
        <item x="398"/>
        <item x="172"/>
        <item x="422"/>
        <item x="661"/>
        <item x="915"/>
        <item x="488"/>
        <item x="942"/>
        <item x="430"/>
        <item x="737"/>
        <item x="102"/>
        <item x="373"/>
        <item x="160"/>
        <item x="391"/>
        <item x="309"/>
        <item x="873"/>
        <item x="813"/>
        <item x="930"/>
        <item x="902"/>
        <item x="582"/>
        <item x="714"/>
        <item x="303"/>
        <item x="307"/>
        <item x="283"/>
        <item x="261"/>
        <item x="782"/>
        <item x="789"/>
        <item x="763"/>
        <item x="925"/>
        <item x="15"/>
        <item x="157"/>
        <item x="940"/>
        <item x="745"/>
        <item x="729"/>
        <item x="767"/>
        <item x="921"/>
        <item x="191"/>
        <item x="783"/>
        <item x="846"/>
        <item x="56"/>
        <item x="19"/>
        <item x="770"/>
        <item x="779"/>
        <item x="887"/>
        <item x="441"/>
        <item x="567"/>
        <item x="586"/>
        <item x="431"/>
        <item x="539"/>
        <item x="63"/>
        <item x="356"/>
        <item x="543"/>
        <item x="501"/>
        <item x="294"/>
        <item x="55"/>
        <item x="274"/>
        <item x="797"/>
        <item x="668"/>
        <item x="392"/>
        <item x="336"/>
        <item x="38"/>
        <item x="655"/>
        <item x="761"/>
        <item x="128"/>
        <item x="96"/>
        <item x="918"/>
        <item x="86"/>
        <item x="619"/>
        <item x="481"/>
        <item x="443"/>
        <item x="413"/>
        <item x="645"/>
        <item x="697"/>
        <item x="746"/>
        <item x="26"/>
        <item x="506"/>
        <item x="563"/>
        <item x="340"/>
        <item x="774"/>
        <item x="556"/>
        <item x="528"/>
        <item x="222"/>
        <item x="346"/>
        <item x="97"/>
        <item x="419"/>
        <item x="739"/>
        <item x="936"/>
        <item x="662"/>
        <item x="588"/>
        <item x="568"/>
        <item x="530"/>
        <item x="851"/>
        <item x="368"/>
        <item x="917"/>
        <item x="132"/>
        <item x="760"/>
        <item x="453"/>
        <item x="152"/>
        <item x="601"/>
        <item x="226"/>
        <item x="938"/>
        <item x="874"/>
        <item x="635"/>
        <item x="224"/>
        <item x="509"/>
        <item x="856"/>
        <item x="838"/>
        <item x="59"/>
        <item x="557"/>
        <item x="602"/>
        <item x="228"/>
        <item x="264"/>
        <item x="237"/>
        <item x="87"/>
        <item x="21"/>
        <item x="559"/>
        <item x="571"/>
        <item x="684"/>
        <item x="880"/>
        <item x="775"/>
        <item x="216"/>
        <item x="642"/>
        <item x="227"/>
        <item x="620"/>
        <item x="879"/>
        <item x="204"/>
        <item x="842"/>
        <item x="738"/>
        <item x="878"/>
        <item x="181"/>
        <item x="487"/>
        <item x="432"/>
        <item x="713"/>
        <item x="547"/>
        <item x="862"/>
        <item x="690"/>
        <item x="584"/>
        <item x="461"/>
        <item x="182"/>
        <item x="839"/>
        <item x="74"/>
        <item x="179"/>
        <item x="414"/>
        <item x="95"/>
        <item x="819"/>
        <item x="679"/>
        <item x="258"/>
        <item x="749"/>
        <item x="79"/>
        <item x="219"/>
        <item x="924"/>
        <item x="591"/>
        <item x="686"/>
        <item x="448"/>
        <item x="818"/>
        <item x="425"/>
        <item x="885"/>
        <item x="384"/>
        <item x="835"/>
        <item x="500"/>
        <item x="113"/>
        <item x="845"/>
        <item x="638"/>
        <item x="289"/>
        <item x="696"/>
        <item x="405"/>
        <item x="848"/>
        <item x="758"/>
        <item x="210"/>
        <item x="20"/>
        <item x="607"/>
        <item x="958"/>
        <item x="624"/>
        <item x="939"/>
        <item x="404"/>
        <item x="896"/>
        <item x="660"/>
        <item x="834"/>
        <item x="596"/>
        <item x="382"/>
        <item x="691"/>
        <item x="499"/>
        <item x="180"/>
        <item x="578"/>
        <item x="627"/>
        <item x="589"/>
        <item x="75"/>
        <item x="169"/>
        <item x="623"/>
        <item x="257"/>
        <item x="678"/>
        <item x="884"/>
        <item x="456"/>
        <item x="794"/>
        <item x="48"/>
        <item x="832"/>
        <item x="187"/>
        <item x="40"/>
        <item x="799"/>
        <item x="104"/>
        <item x="871"/>
        <item x="311"/>
        <item x="897"/>
        <item x="88"/>
        <item x="402"/>
        <item x="548"/>
        <item x="513"/>
        <item x="452"/>
        <item x="615"/>
        <item x="90"/>
        <item x="195"/>
        <item x="695"/>
        <item x="390"/>
        <item x="521"/>
        <item x="948"/>
        <item x="62"/>
        <item x="710"/>
        <item x="550"/>
        <item x="785"/>
        <item x="906"/>
        <item x="383"/>
        <item x="912"/>
        <item x="800"/>
        <item x="5"/>
        <item x="46"/>
        <item x="374"/>
        <item x="957"/>
        <item x="78"/>
        <item x="609"/>
        <item x="778"/>
        <item x="892"/>
        <item x="625"/>
        <item x="377"/>
        <item x="882"/>
        <item x="666"/>
        <item x="310"/>
        <item x="51"/>
        <item x="872"/>
        <item x="134"/>
        <item x="670"/>
        <item x="863"/>
        <item x="677"/>
        <item x="236"/>
        <item x="708"/>
        <item x="11"/>
        <item x="810"/>
        <item x="870"/>
        <item x="674"/>
        <item x="721"/>
        <item x="959"/>
        <item x="471"/>
        <item x="935"/>
        <item x="753"/>
        <item x="787"/>
        <item x="687"/>
        <item x="809"/>
        <item x="843"/>
        <item x="479"/>
        <item x="417"/>
        <item x="606"/>
        <item x="124"/>
        <item x="546"/>
        <item x="523"/>
        <item x="148"/>
        <item x="723"/>
        <item x="199"/>
        <item x="726"/>
        <item x="167"/>
        <item x="909"/>
        <item x="512"/>
        <item x="744"/>
        <item x="177"/>
        <item x="508"/>
        <item x="581"/>
        <item x="80"/>
        <item x="211"/>
        <item x="741"/>
        <item t="default"/>
      </items>
    </pivotField>
    <pivotField compact="0" numFmtId="4" showAll="0">
      <items count="2259">
        <item x="1732"/>
        <item x="2015"/>
        <item x="1280"/>
        <item x="1261"/>
        <item x="2074"/>
        <item x="1400"/>
        <item x="1149"/>
        <item x="1879"/>
        <item x="2061"/>
        <item x="1867"/>
        <item x="2099"/>
        <item x="2014"/>
        <item x="1676"/>
        <item x="875"/>
        <item x="137"/>
        <item x="705"/>
        <item x="1114"/>
        <item x="686"/>
        <item x="1059"/>
        <item x="623"/>
        <item x="1871"/>
        <item x="930"/>
        <item x="2114"/>
        <item x="1072"/>
        <item x="704"/>
        <item x="530"/>
        <item x="1987"/>
        <item x="1880"/>
        <item x="865"/>
        <item x="2128"/>
        <item x="129"/>
        <item x="804"/>
        <item x="1738"/>
        <item x="1316"/>
        <item x="2051"/>
        <item x="529"/>
        <item x="789"/>
        <item x="663"/>
        <item x="439"/>
        <item x="2219"/>
        <item x="1708"/>
        <item x="1456"/>
        <item x="2186"/>
        <item x="597"/>
        <item x="601"/>
        <item x="371"/>
        <item x="1086"/>
        <item x="1393"/>
        <item x="1457"/>
        <item x="1419"/>
        <item x="736"/>
        <item x="827"/>
        <item x="1122"/>
        <item x="735"/>
        <item x="1739"/>
        <item x="1115"/>
        <item x="911"/>
        <item x="115"/>
        <item x="1109"/>
        <item x="98"/>
        <item x="2141"/>
        <item x="1639"/>
        <item x="1386"/>
        <item x="99"/>
        <item x="505"/>
        <item x="2209"/>
        <item x="15"/>
        <item x="1627"/>
        <item x="997"/>
        <item x="690"/>
        <item x="856"/>
        <item x="470"/>
        <item x="303"/>
        <item x="1124"/>
        <item x="899"/>
        <item x="993"/>
        <item x="1521"/>
        <item x="2167"/>
        <item x="186"/>
        <item x="815"/>
        <item x="1900"/>
        <item x="1950"/>
        <item x="751"/>
        <item x="474"/>
        <item x="151"/>
        <item x="1614"/>
        <item x="570"/>
        <item x="405"/>
        <item x="1514"/>
        <item x="2159"/>
        <item x="1862"/>
        <item x="39"/>
        <item x="611"/>
        <item x="318"/>
        <item x="1761"/>
        <item x="1478"/>
        <item x="636"/>
        <item x="1293"/>
        <item x="1613"/>
        <item x="589"/>
        <item x="1747"/>
        <item x="1087"/>
        <item x="1914"/>
        <item x="1959"/>
        <item x="392"/>
        <item x="301"/>
        <item x="232"/>
        <item x="425"/>
        <item x="2068"/>
        <item x="9"/>
        <item x="220"/>
        <item x="1651"/>
        <item x="1685"/>
        <item x="309"/>
        <item x="1769"/>
        <item x="231"/>
        <item x="359"/>
        <item x="628"/>
        <item x="1323"/>
        <item x="1006"/>
        <item x="64"/>
        <item x="1949"/>
        <item x="620"/>
        <item x="2138"/>
        <item x="1468"/>
        <item x="1251"/>
        <item x="2247"/>
        <item x="1624"/>
        <item x="759"/>
        <item x="1998"/>
        <item x="217"/>
        <item x="731"/>
        <item x="2143"/>
        <item x="953"/>
        <item x="1126"/>
        <item x="592"/>
        <item x="165"/>
        <item x="185"/>
        <item x="1365"/>
        <item x="1269"/>
        <item x="1937"/>
        <item x="946"/>
        <item x="1031"/>
        <item x="1214"/>
        <item x="1623"/>
        <item x="1476"/>
        <item x="2172"/>
        <item x="17"/>
        <item x="494"/>
        <item x="233"/>
        <item x="1815"/>
        <item x="966"/>
        <item x="306"/>
        <item x="1779"/>
        <item x="522"/>
        <item x="466"/>
        <item x="1838"/>
        <item x="1727"/>
        <item x="123"/>
        <item x="1518"/>
        <item x="1061"/>
        <item x="2163"/>
        <item x="1431"/>
        <item x="1636"/>
        <item x="593"/>
        <item x="574"/>
        <item x="2140"/>
        <item x="1011"/>
        <item x="1033"/>
        <item x="635"/>
        <item x="1896"/>
        <item x="511"/>
        <item x="450"/>
        <item x="1239"/>
        <item x="867"/>
        <item x="216"/>
        <item x="2103"/>
        <item x="1550"/>
        <item x="913"/>
        <item x="2077"/>
        <item x="955"/>
        <item x="697"/>
        <item x="1618"/>
        <item x="1832"/>
        <item x="1588"/>
        <item x="432"/>
        <item x="552"/>
        <item x="1444"/>
        <item x="1992"/>
        <item x="355"/>
        <item x="990"/>
        <item x="41"/>
        <item x="1499"/>
        <item x="1273"/>
        <item x="2216"/>
        <item x="2249"/>
        <item x="720"/>
        <item x="1463"/>
        <item x="457"/>
        <item x="462"/>
        <item x="1744"/>
        <item x="561"/>
        <item x="1910"/>
        <item x="117"/>
        <item x="225"/>
        <item x="544"/>
        <item x="838"/>
        <item x="413"/>
        <item x="858"/>
        <item x="2092"/>
        <item x="975"/>
        <item x="987"/>
        <item x="1706"/>
        <item x="1258"/>
        <item x="1195"/>
        <item x="1306"/>
        <item x="35"/>
        <item x="1817"/>
        <item x="482"/>
        <item x="538"/>
        <item x="149"/>
        <item x="2040"/>
        <item x="1494"/>
        <item x="1005"/>
        <item x="1406"/>
        <item x="665"/>
        <item x="236"/>
        <item x="648"/>
        <item x="2002"/>
        <item x="787"/>
        <item x="1902"/>
        <item x="685"/>
        <item x="1842"/>
        <item x="625"/>
        <item x="196"/>
        <item x="484"/>
        <item x="271"/>
        <item x="1340"/>
        <item x="297"/>
        <item x="2033"/>
        <item x="767"/>
        <item x="1728"/>
        <item x="1783"/>
        <item x="609"/>
        <item x="1926"/>
        <item x="698"/>
        <item x="2215"/>
        <item x="410"/>
        <item x="72"/>
        <item x="540"/>
        <item x="288"/>
        <item x="769"/>
        <item x="1789"/>
        <item x="132"/>
        <item x="1990"/>
        <item x="902"/>
        <item x="1554"/>
        <item x="369"/>
        <item x="762"/>
        <item x="773"/>
        <item x="2073"/>
        <item x="2016"/>
        <item x="183"/>
        <item x="455"/>
        <item x="1327"/>
        <item x="1836"/>
        <item x="619"/>
        <item x="63"/>
        <item x="379"/>
        <item x="1095"/>
        <item x="1075"/>
        <item x="1799"/>
        <item x="651"/>
        <item x="1570"/>
        <item x="1999"/>
        <item x="2"/>
        <item x="890"/>
        <item x="440"/>
        <item x="408"/>
        <item x="1745"/>
        <item x="702"/>
        <item x="847"/>
        <item x="1138"/>
        <item x="24"/>
        <item x="1132"/>
        <item x="1354"/>
        <item x="459"/>
        <item x="370"/>
        <item x="669"/>
        <item x="979"/>
        <item x="230"/>
        <item x="1502"/>
        <item x="1549"/>
        <item x="258"/>
        <item x="1666"/>
        <item x="2075"/>
        <item x="859"/>
        <item x="1467"/>
        <item x="307"/>
        <item x="1243"/>
        <item x="689"/>
        <item x="1460"/>
        <item x="750"/>
        <item x="1277"/>
        <item x="211"/>
        <item x="295"/>
        <item x="299"/>
        <item x="1173"/>
        <item x="1921"/>
        <item x="1534"/>
        <item x="964"/>
        <item x="1482"/>
        <item x="1191"/>
        <item x="1448"/>
        <item x="12"/>
        <item x="1247"/>
        <item x="1193"/>
        <item x="1935"/>
        <item x="215"/>
        <item x="486"/>
        <item x="2218"/>
        <item x="428"/>
        <item x="878"/>
        <item x="758"/>
        <item x="1420"/>
        <item x="380"/>
        <item x="954"/>
        <item x="952"/>
        <item x="1766"/>
        <item x="1774"/>
        <item x="1770"/>
        <item x="726"/>
        <item x="453"/>
        <item x="1503"/>
        <item x="1098"/>
        <item x="488"/>
        <item x="2054"/>
        <item x="1180"/>
        <item x="2149"/>
        <item x="1907"/>
        <item x="27"/>
        <item x="311"/>
        <item x="382"/>
        <item x="422"/>
        <item x="970"/>
        <item x="338"/>
        <item x="1647"/>
        <item x="1668"/>
        <item x="2199"/>
        <item x="1673"/>
        <item x="358"/>
        <item x="545"/>
        <item x="1579"/>
        <item x="1100"/>
        <item x="1108"/>
        <item x="76"/>
        <item x="2225"/>
        <item x="1337"/>
        <item x="13"/>
        <item x="1787"/>
        <item x="2029"/>
        <item x="1572"/>
        <item x="347"/>
        <item x="761"/>
        <item x="1282"/>
        <item x="1453"/>
        <item x="2119"/>
        <item x="341"/>
        <item x="302"/>
        <item x="121"/>
        <item x="770"/>
        <item x="1451"/>
        <item x="162"/>
        <item x="722"/>
        <item x="1800"/>
        <item x="1742"/>
        <item x="1562"/>
        <item x="2052"/>
        <item x="1175"/>
        <item x="2133"/>
        <item x="1275"/>
        <item x="1980"/>
        <item x="599"/>
        <item x="262"/>
        <item x="423"/>
        <item x="627"/>
        <item x="2008"/>
        <item x="169"/>
        <item x="1504"/>
        <item x="504"/>
        <item x="519"/>
        <item x="393"/>
        <item x="692"/>
        <item x="1877"/>
        <item x="148"/>
        <item x="556"/>
        <item x="790"/>
        <item x="974"/>
        <item x="292"/>
        <item x="356"/>
        <item x="928"/>
        <item x="2105"/>
        <item x="1410"/>
        <item x="91"/>
        <item x="1238"/>
        <item x="239"/>
        <item x="661"/>
        <item x="821"/>
        <item x="1148"/>
        <item x="491"/>
        <item x="1417"/>
        <item x="1597"/>
        <item x="1498"/>
        <item x="1752"/>
        <item x="177"/>
        <item x="383"/>
        <item x="493"/>
        <item x="1601"/>
        <item x="742"/>
        <item x="1552"/>
        <item x="558"/>
        <item x="1697"/>
        <item x="52"/>
        <item x="1855"/>
        <item x="1288"/>
        <item x="1780"/>
        <item x="1544"/>
        <item x="1234"/>
        <item x="2254"/>
        <item x="879"/>
        <item x="817"/>
        <item x="2229"/>
        <item x="1363"/>
        <item x="1974"/>
        <item x="1629"/>
        <item x="2079"/>
        <item x="1435"/>
        <item x="67"/>
        <item x="1465"/>
        <item x="1168"/>
        <item x="240"/>
        <item x="1360"/>
        <item x="2082"/>
        <item x="224"/>
        <item x="1421"/>
        <item x="579"/>
        <item x="1218"/>
        <item x="430"/>
        <item x="976"/>
        <item x="1312"/>
        <item x="1892"/>
        <item x="1440"/>
        <item x="1117"/>
        <item x="1378"/>
        <item x="652"/>
        <item x="869"/>
        <item x="782"/>
        <item x="106"/>
        <item x="2183"/>
        <item x="308"/>
        <item x="1784"/>
        <item x="963"/>
        <item x="1224"/>
        <item x="395"/>
        <item x="1387"/>
        <item x="915"/>
        <item x="1919"/>
        <item x="1344"/>
        <item x="1313"/>
        <item x="223"/>
        <item x="1555"/>
        <item x="62"/>
        <item x="101"/>
        <item x="1474"/>
        <item x="161"/>
        <item x="1696"/>
        <item x="467"/>
        <item x="2053"/>
        <item x="1785"/>
        <item x="938"/>
        <item x="1958"/>
        <item x="71"/>
        <item x="2142"/>
        <item x="1397"/>
        <item x="1911"/>
        <item x="268"/>
        <item x="2025"/>
        <item x="1145"/>
        <item x="1426"/>
        <item x="324"/>
        <item x="300"/>
        <item x="434"/>
        <item x="415"/>
        <item x="1645"/>
        <item x="880"/>
        <item x="534"/>
        <item x="463"/>
        <item x="1802"/>
        <item x="967"/>
        <item x="352"/>
        <item x="527"/>
        <item x="1394"/>
        <item x="881"/>
        <item x="682"/>
        <item x="1325"/>
        <item x="167"/>
        <item x="257"/>
        <item x="2227"/>
        <item x="981"/>
        <item x="394"/>
        <item x="2127"/>
        <item x="2060"/>
        <item x="596"/>
        <item x="524"/>
        <item x="427"/>
        <item x="768"/>
        <item x="2202"/>
        <item x="1840"/>
        <item x="2185"/>
        <item x="1830"/>
        <item x="1264"/>
        <item x="1089"/>
        <item x="1945"/>
        <item x="1479"/>
        <item x="2078"/>
        <item x="1174"/>
        <item x="1510"/>
        <item x="794"/>
        <item x="1162"/>
        <item x="1723"/>
        <item x="322"/>
        <item x="1152"/>
        <item x="1595"/>
        <item x="1101"/>
        <item x="2124"/>
        <item x="935"/>
        <item x="586"/>
        <item x="407"/>
        <item x="1973"/>
        <item x="146"/>
        <item x="1515"/>
        <item x="610"/>
        <item x="748"/>
        <item x="1566"/>
        <item x="941"/>
        <item x="811"/>
        <item x="1160"/>
        <item x="2069"/>
        <item x="1141"/>
        <item x="1376"/>
        <item x="1361"/>
        <item x="1861"/>
        <item x="775"/>
        <item x="2244"/>
        <item x="510"/>
        <item x="1004"/>
        <item x="1231"/>
        <item x="1582"/>
        <item x="283"/>
        <item x="253"/>
        <item x="1553"/>
        <item x="962"/>
        <item x="523"/>
        <item x="643"/>
        <item x="270"/>
        <item x="1591"/>
        <item x="1424"/>
        <item x="1890"/>
        <item x="578"/>
        <item x="778"/>
        <item x="1932"/>
        <item x="333"/>
        <item x="56"/>
        <item x="549"/>
        <item x="206"/>
        <item x="203"/>
        <item x="189"/>
        <item x="1733"/>
        <item x="727"/>
        <item x="630"/>
        <item x="1989"/>
        <item x="1418"/>
        <item x="1256"/>
        <item x="256"/>
        <item x="1985"/>
        <item x="1366"/>
        <item x="968"/>
        <item x="812"/>
        <item x="1626"/>
        <item x="404"/>
        <item x="2129"/>
        <item x="2090"/>
        <item x="1520"/>
        <item x="1353"/>
        <item x="81"/>
        <item x="934"/>
        <item x="1232"/>
        <item x="279"/>
        <item x="553"/>
        <item x="170"/>
        <item x="836"/>
        <item x="903"/>
        <item x="1966"/>
        <item x="1851"/>
        <item x="2132"/>
        <item x="160"/>
        <item x="1796"/>
        <item x="1996"/>
        <item x="73"/>
        <item x="252"/>
        <item x="1242"/>
        <item x="982"/>
        <item x="737"/>
        <item x="1970"/>
        <item x="1032"/>
        <item x="2131"/>
        <item x="1039"/>
        <item x="2072"/>
        <item x="1454"/>
        <item x="541"/>
        <item x="988"/>
        <item x="107"/>
        <item x="693"/>
        <item x="314"/>
        <item x="958"/>
        <item x="888"/>
        <item x="607"/>
        <item x="912"/>
        <item x="1901"/>
        <item x="120"/>
        <item x="26"/>
        <item x="766"/>
        <item x="960"/>
        <item x="1695"/>
        <item x="2031"/>
        <item x="280"/>
        <item x="1067"/>
        <item x="2030"/>
        <item x="2251"/>
        <item x="501"/>
        <item x="577"/>
        <item x="1103"/>
        <item x="172"/>
        <item x="900"/>
        <item x="1903"/>
        <item x="1523"/>
        <item x="1437"/>
        <item x="1865"/>
        <item x="2158"/>
        <item x="337"/>
        <item x="803"/>
        <item x="133"/>
        <item x="1655"/>
        <item x="2253"/>
        <item x="1255"/>
        <item x="1203"/>
        <item x="317"/>
        <item x="1662"/>
        <item x="949"/>
        <item x="1245"/>
        <item x="887"/>
        <item x="156"/>
        <item x="892"/>
        <item x="841"/>
        <item x="1635"/>
        <item x="933"/>
        <item x="1469"/>
        <item x="995"/>
        <item x="180"/>
        <item x="1079"/>
        <item x="1841"/>
        <item x="1390"/>
        <item x="2144"/>
        <item x="1048"/>
        <item x="2226"/>
        <item x="2238"/>
        <item x="147"/>
        <item x="2211"/>
        <item x="1358"/>
        <item x="672"/>
        <item x="2154"/>
        <item x="1267"/>
        <item x="1430"/>
        <item x="1281"/>
        <item x="2085"/>
        <item x="951"/>
        <item x="143"/>
        <item x="808"/>
        <item x="40"/>
        <item x="1823"/>
        <item x="1801"/>
        <item x="559"/>
        <item x="1318"/>
        <item x="1279"/>
        <item x="1490"/>
        <item x="59"/>
        <item x="93"/>
        <item x="656"/>
        <item x="264"/>
        <item x="2190"/>
        <item x="1081"/>
        <item x="254"/>
        <item x="1715"/>
        <item x="1750"/>
        <item x="30"/>
        <item x="1414"/>
        <item x="2200"/>
        <item x="999"/>
        <item x="1111"/>
        <item x="645"/>
        <item x="512"/>
        <item x="1314"/>
        <item x="420"/>
        <item x="2007"/>
        <item x="1012"/>
        <item x="1107"/>
        <item x="1768"/>
        <item x="181"/>
        <item x="991"/>
        <item x="753"/>
        <item x="718"/>
        <item x="1962"/>
        <item x="531"/>
        <item x="1202"/>
        <item x="1952"/>
        <item x="1938"/>
        <item x="403"/>
        <item x="480"/>
        <item x="1513"/>
        <item x="2170"/>
        <item x="897"/>
        <item x="650"/>
        <item x="755"/>
        <item x="580"/>
        <item x="1062"/>
        <item x="336"/>
        <item x="2205"/>
        <item x="2224"/>
        <item x="1287"/>
        <item x="350"/>
        <item x="14"/>
        <item x="51"/>
        <item x="1705"/>
        <item x="112"/>
        <item x="1183"/>
        <item x="1385"/>
        <item x="959"/>
        <item x="662"/>
        <item x="2056"/>
        <item x="1205"/>
        <item x="55"/>
        <item x="1091"/>
        <item x="222"/>
        <item x="1096"/>
        <item x="90"/>
        <item x="340"/>
        <item x="2165"/>
        <item x="1827"/>
        <item x="849"/>
        <item x="605"/>
        <item x="377"/>
        <item x="1782"/>
        <item x="326"/>
        <item x="566"/>
        <item x="419"/>
        <item x="724"/>
        <item x="677"/>
        <item x="1222"/>
        <item x="828"/>
        <item x="321"/>
        <item x="173"/>
        <item x="1105"/>
        <item x="1854"/>
        <item x="1535"/>
        <item x="1948"/>
        <item x="1563"/>
        <item x="19"/>
        <item x="647"/>
        <item x="595"/>
        <item x="468"/>
        <item x="1135"/>
        <item x="1014"/>
        <item x="1112"/>
        <item x="2003"/>
        <item x="66"/>
        <item x="361"/>
        <item x="1646"/>
        <item x="591"/>
        <item x="684"/>
        <item x="2151"/>
        <item x="615"/>
        <item x="614"/>
        <item x="1791"/>
        <item x="2246"/>
        <item x="1675"/>
        <item x="1680"/>
        <item x="320"/>
        <item x="1585"/>
        <item x="569"/>
        <item x="456"/>
        <item x="150"/>
        <item x="1968"/>
        <item x="21"/>
        <item x="671"/>
        <item x="1013"/>
        <item x="1934"/>
        <item x="2050"/>
        <item x="1221"/>
        <item x="331"/>
        <item x="1665"/>
        <item x="1873"/>
        <item x="353"/>
        <item x="175"/>
        <item x="1756"/>
        <item x="1818"/>
        <item x="1913"/>
        <item x="1396"/>
        <item x="1760"/>
        <item x="373"/>
        <item x="1357"/>
        <item x="139"/>
        <item x="1305"/>
        <item x="1338"/>
        <item x="1650"/>
        <item x="229"/>
        <item x="1217"/>
        <item x="409"/>
        <item x="191"/>
        <item x="351"/>
        <item x="1856"/>
        <item x="116"/>
        <item x="1015"/>
        <item x="2242"/>
        <item x="986"/>
        <item x="1631"/>
        <item x="624"/>
        <item x="443"/>
        <item x="1315"/>
        <item x="118"/>
        <item x="119"/>
        <item x="398"/>
        <item x="247"/>
        <item x="676"/>
        <item x="483"/>
        <item x="2122"/>
        <item x="68"/>
        <item x="1920"/>
        <item x="1065"/>
        <item x="1930"/>
        <item x="687"/>
        <item x="1590"/>
        <item x="1317"/>
        <item x="1462"/>
        <item x="1185"/>
        <item x="1691"/>
        <item x="2104"/>
        <item x="1878"/>
        <item x="562"/>
        <item x="1150"/>
        <item x="111"/>
        <item x="520"/>
        <item x="2204"/>
        <item x="1972"/>
        <item x="642"/>
        <item x="1638"/>
        <item x="1192"/>
        <item x="2130"/>
        <item x="1933"/>
        <item x="2044"/>
        <item x="1047"/>
        <item x="907"/>
        <item x="265"/>
        <item x="103"/>
        <item x="464"/>
        <item x="1963"/>
        <item x="250"/>
        <item x="2207"/>
        <item x="1263"/>
        <item x="989"/>
        <item x="1869"/>
        <item x="712"/>
        <item x="1594"/>
        <item x="1035"/>
        <item x="1976"/>
        <item x="1714"/>
        <item x="1395"/>
        <item x="1236"/>
        <item x="1171"/>
        <item x="184"/>
        <item x="1775"/>
        <item x="497"/>
        <item x="1382"/>
        <item x="214"/>
        <item x="287"/>
        <item x="573"/>
        <item x="125"/>
        <item x="2231"/>
        <item x="400"/>
        <item x="255"/>
        <item x="1558"/>
        <item x="437"/>
        <item x="1698"/>
        <item x="376"/>
        <item x="272"/>
        <item x="113"/>
        <item x="498"/>
        <item x="581"/>
        <item x="2243"/>
        <item x="293"/>
        <item x="305"/>
        <item x="834"/>
        <item x="1888"/>
        <item x="925"/>
        <item x="58"/>
        <item x="1189"/>
        <item x="1472"/>
        <item x="1339"/>
        <item x="1541"/>
        <item x="1209"/>
        <item x="1619"/>
        <item x="1870"/>
        <item x="1575"/>
        <item x="144"/>
        <item x="388"/>
        <item x="263"/>
        <item x="816"/>
        <item x="155"/>
        <item x="1177"/>
        <item x="1858"/>
        <item x="2118"/>
        <item x="1564"/>
        <item x="1297"/>
        <item x="84"/>
        <item x="32"/>
        <item x="1445"/>
        <item x="565"/>
        <item x="378"/>
        <item x="680"/>
        <item x="1265"/>
        <item x="1953"/>
        <item x="1684"/>
        <item x="1176"/>
        <item x="2001"/>
        <item x="980"/>
        <item x="818"/>
        <item x="131"/>
        <item x="575"/>
        <item x="2222"/>
        <item x="2070"/>
        <item x="2086"/>
        <item x="1332"/>
        <item x="696"/>
        <item x="1729"/>
        <item x="441"/>
        <item x="1143"/>
        <item x="1994"/>
        <item x="1164"/>
        <item x="1283"/>
        <item x="606"/>
        <item x="1294"/>
        <item x="641"/>
        <item x="2111"/>
        <item x="673"/>
        <item x="1336"/>
        <item x="1511"/>
        <item x="412"/>
        <item x="831"/>
        <item x="1491"/>
        <item x="784"/>
        <item x="1843"/>
        <item x="1679"/>
        <item x="1443"/>
        <item x="269"/>
        <item x="717"/>
        <item x="1110"/>
        <item x="2187"/>
        <item x="2039"/>
        <item x="2182"/>
        <item x="1693"/>
        <item x="278"/>
        <item x="1897"/>
        <item x="2257"/>
        <item x="1551"/>
        <item x="732"/>
        <item x="1240"/>
        <item x="716"/>
        <item x="1276"/>
        <item x="329"/>
        <item x="1709"/>
        <item x="1270"/>
        <item x="0"/>
        <item x="1291"/>
        <item x="560"/>
        <item x="433"/>
        <item x="781"/>
        <item x="835"/>
        <item x="1027"/>
        <item x="1621"/>
        <item x="122"/>
        <item x="1505"/>
        <item x="948"/>
        <item x="2189"/>
        <item x="1689"/>
        <item x="1522"/>
        <item x="1188"/>
        <item x="1137"/>
        <item x="2081"/>
        <item x="1616"/>
        <item x="2196"/>
        <item x="654"/>
        <item x="1206"/>
        <item x="3"/>
        <item x="1574"/>
        <item x="1710"/>
        <item x="1519"/>
        <item x="1026"/>
        <item x="1022"/>
        <item x="801"/>
        <item x="1837"/>
        <item x="399"/>
        <item x="985"/>
        <item x="1736"/>
        <item x="633"/>
        <item x="1129"/>
        <item x="1190"/>
        <item x="1181"/>
        <item x="7"/>
        <item x="2041"/>
        <item x="1495"/>
        <item x="42"/>
        <item x="1487"/>
        <item x="75"/>
        <item x="1244"/>
        <item x="1374"/>
        <item x="2120"/>
        <item x="1268"/>
        <item x="853"/>
        <item x="349"/>
        <item x="2146"/>
        <item x="1536"/>
        <item x="2117"/>
        <item x="1538"/>
        <item x="1543"/>
        <item x="171"/>
        <item x="893"/>
        <item x="1024"/>
        <item x="1092"/>
        <item x="18"/>
        <item x="1375"/>
        <item x="983"/>
        <item x="2048"/>
        <item x="905"/>
        <item x="612"/>
        <item x="449"/>
        <item x="50"/>
        <item x="833"/>
        <item x="1492"/>
        <item x="2013"/>
        <item x="1819"/>
        <item x="2156"/>
        <item x="824"/>
        <item x="276"/>
        <item x="895"/>
        <item x="1528"/>
        <item x="2239"/>
        <item x="1480"/>
        <item x="873"/>
        <item x="629"/>
        <item x="1328"/>
        <item x="1508"/>
        <item x="1156"/>
        <item x="1155"/>
        <item x="273"/>
        <item x="854"/>
        <item x="842"/>
        <item x="1223"/>
        <item x="1759"/>
        <item x="1576"/>
        <item x="1310"/>
        <item x="1872"/>
        <item x="1610"/>
        <item x="1009"/>
        <item x="542"/>
        <item x="772"/>
        <item x="2214"/>
        <item x="1580"/>
        <item x="126"/>
        <item x="2049"/>
        <item x="442"/>
        <item x="334"/>
        <item x="1828"/>
        <item x="798"/>
        <item x="1927"/>
        <item x="1726"/>
        <item x="588"/>
        <item x="1816"/>
        <item x="1496"/>
        <item x="1161"/>
        <item x="723"/>
        <item x="1003"/>
        <item x="166"/>
        <item x="1885"/>
        <item x="102"/>
        <item x="1074"/>
        <item x="1661"/>
        <item x="837"/>
        <item x="1054"/>
        <item x="810"/>
        <item x="319"/>
        <item x="1806"/>
        <item x="749"/>
        <item x="508"/>
        <item x="739"/>
        <item x="916"/>
        <item x="194"/>
        <item x="1212"/>
        <item x="1978"/>
        <item x="1512"/>
        <item x="153"/>
        <item x="1131"/>
        <item x="69"/>
        <item x="2066"/>
        <item x="655"/>
        <item x="2236"/>
        <item x="829"/>
        <item x="992"/>
        <item x="1826"/>
        <item x="127"/>
        <item x="608"/>
        <item x="1682"/>
        <item x="1497"/>
        <item x="1849"/>
        <item x="1537"/>
        <item x="2100"/>
        <item x="1984"/>
        <item x="752"/>
        <item x="2055"/>
        <item x="860"/>
        <item x="1296"/>
        <item x="1844"/>
        <item x="1820"/>
        <item x="1540"/>
        <item x="1352"/>
        <item x="282"/>
        <item x="746"/>
        <item x="1423"/>
        <item x="109"/>
        <item x="2019"/>
        <item x="617"/>
        <item x="779"/>
        <item x="182"/>
        <item x="1002"/>
        <item x="2255"/>
        <item x="357"/>
        <item x="1608"/>
        <item x="1040"/>
        <item x="701"/>
        <item x="855"/>
        <item x="644"/>
        <item x="2058"/>
        <item x="568"/>
        <item x="499"/>
        <item x="213"/>
        <item x="436"/>
        <item x="445"/>
        <item x="1477"/>
        <item x="1701"/>
        <item x="2230"/>
        <item x="1547"/>
        <item x="29"/>
        <item x="479"/>
        <item x="765"/>
        <item x="1134"/>
        <item x="1371"/>
        <item x="1718"/>
        <item x="1667"/>
        <item x="2241"/>
        <item x="49"/>
        <item x="1438"/>
        <item x="1724"/>
        <item x="2106"/>
        <item x="1860"/>
        <item x="339"/>
        <item x="639"/>
        <item x="2208"/>
        <item x="1058"/>
        <item x="1147"/>
        <item x="163"/>
        <item x="2177"/>
        <item x="23"/>
        <item x="277"/>
        <item x="374"/>
        <item x="603"/>
        <item x="1711"/>
        <item x="22"/>
        <item x="1931"/>
        <item x="1942"/>
        <item x="1034"/>
        <item x="1722"/>
        <item x="533"/>
        <item x="814"/>
        <item x="429"/>
        <item x="281"/>
        <item x="1561"/>
        <item x="1725"/>
        <item x="1102"/>
        <item x="8"/>
        <item x="1044"/>
        <item x="2046"/>
        <item x="969"/>
        <item x="2107"/>
        <item x="602"/>
        <item x="202"/>
        <item x="1917"/>
        <item x="756"/>
        <item x="1923"/>
        <item x="795"/>
        <item x="195"/>
        <item x="584"/>
        <item x="567"/>
        <item x="1449"/>
        <item x="2045"/>
        <item x="1846"/>
        <item x="1404"/>
        <item x="2000"/>
        <item x="1319"/>
        <item x="653"/>
        <item x="2037"/>
        <item x="1821"/>
        <item x="209"/>
        <item x="1439"/>
        <item x="1874"/>
        <item x="1939"/>
        <item x="332"/>
        <item x="1545"/>
        <item x="809"/>
        <item x="1151"/>
        <item x="6"/>
        <item x="1578"/>
        <item x="1286"/>
        <item x="1672"/>
        <item x="1399"/>
        <item x="1771"/>
        <item x="1073"/>
        <item x="733"/>
        <item x="1446"/>
        <item x="1036"/>
        <item x="2206"/>
        <item x="679"/>
        <item x="1683"/>
        <item x="36"/>
        <item x="1415"/>
        <item x="138"/>
        <item x="786"/>
        <item x="1158"/>
        <item x="389"/>
        <item x="1253"/>
        <item x="1589"/>
        <item x="922"/>
        <item x="402"/>
        <item x="2011"/>
        <item x="1573"/>
        <item x="266"/>
        <item x="587"/>
        <item x="1235"/>
        <item x="634"/>
        <item x="1416"/>
        <item x="1392"/>
        <item x="1050"/>
        <item x="850"/>
        <item x="1924"/>
        <item x="783"/>
        <item x="235"/>
        <item x="738"/>
        <item x="1501"/>
        <item x="2139"/>
        <item x="1447"/>
        <item x="1961"/>
        <item x="825"/>
        <item x="760"/>
        <item x="1730"/>
        <item x="1940"/>
        <item x="1506"/>
        <item x="830"/>
        <item x="936"/>
        <item x="205"/>
        <item x="2248"/>
        <item x="945"/>
        <item x="2220"/>
        <item x="548"/>
        <item x="1000"/>
        <item x="1565"/>
        <item x="649"/>
        <item x="1068"/>
        <item x="2169"/>
        <item x="1473"/>
        <item x="1097"/>
        <item x="2038"/>
        <item x="996"/>
        <item x="1884"/>
        <item x="1944"/>
        <item x="386"/>
        <item x="532"/>
        <item x="2147"/>
        <item x="2181"/>
        <item x="142"/>
        <item x="797"/>
        <item x="1743"/>
        <item x="1025"/>
        <item x="1656"/>
        <item x="345"/>
        <item x="2035"/>
        <item x="2198"/>
        <item x="594"/>
        <item x="1380"/>
        <item x="674"/>
        <item x="1373"/>
        <item x="1941"/>
        <item x="785"/>
        <item x="1407"/>
        <item x="1640"/>
        <item x="694"/>
        <item x="1557"/>
        <item x="471"/>
        <item x="401"/>
        <item x="585"/>
        <item x="164"/>
        <item x="348"/>
        <item x="2213"/>
        <item x="10"/>
        <item x="1427"/>
        <item x="1249"/>
        <item x="598"/>
        <item x="972"/>
        <item x="251"/>
        <item x="863"/>
        <item x="1719"/>
        <item x="1777"/>
        <item x="1486"/>
        <item x="135"/>
        <item x="1045"/>
        <item x="1184"/>
        <item x="261"/>
        <item x="805"/>
        <item x="43"/>
        <item x="1139"/>
        <item x="1053"/>
        <item x="246"/>
        <item x="550"/>
        <item x="1227"/>
        <item x="2062"/>
        <item x="342"/>
        <item x="1778"/>
        <item x="1628"/>
        <item x="1694"/>
        <item x="1954"/>
        <item x="28"/>
        <item x="48"/>
        <item x="2235"/>
        <item x="1863"/>
        <item x="248"/>
        <item x="2091"/>
        <item x="917"/>
        <item x="367"/>
        <item x="1773"/>
        <item x="435"/>
        <item x="1951"/>
        <item x="1331"/>
        <item x="391"/>
        <item x="289"/>
        <item x="839"/>
        <item x="47"/>
        <item x="1077"/>
        <item x="1853"/>
        <item x="2087"/>
        <item x="105"/>
        <item x="1"/>
        <item x="174"/>
        <item x="978"/>
        <item x="1602"/>
        <item x="1876"/>
        <item x="1362"/>
        <item x="1569"/>
        <item x="1051"/>
        <item x="1433"/>
        <item x="1345"/>
        <item x="621"/>
        <item x="1991"/>
        <item x="159"/>
        <item x="1652"/>
        <item x="2116"/>
        <item x="866"/>
        <item x="1017"/>
        <item x="360"/>
        <item x="416"/>
        <item x="2064"/>
        <item x="1142"/>
        <item x="2096"/>
        <item x="45"/>
        <item x="793"/>
        <item x="1130"/>
        <item x="1596"/>
        <item x="396"/>
        <item x="2145"/>
        <item x="658"/>
        <item x="1765"/>
        <item x="1928"/>
        <item x="1751"/>
        <item x="1350"/>
        <item x="417"/>
        <item x="1792"/>
        <item x="1749"/>
        <item x="1772"/>
        <item x="2004"/>
        <item x="228"/>
        <item x="294"/>
        <item x="2188"/>
        <item x="1128"/>
        <item x="1979"/>
        <item x="1644"/>
        <item x="245"/>
        <item x="535"/>
        <item x="1809"/>
        <item x="961"/>
        <item x="1334"/>
        <item x="34"/>
        <item x="490"/>
        <item x="845"/>
        <item x="1329"/>
        <item x="2191"/>
        <item x="1955"/>
        <item x="330"/>
        <item x="478"/>
        <item x="86"/>
        <item x="473"/>
        <item x="741"/>
        <item x="1969"/>
        <item x="1127"/>
        <item x="563"/>
        <item x="496"/>
        <item x="343"/>
        <item x="1179"/>
        <item x="1309"/>
        <item x="1241"/>
        <item x="92"/>
        <item x="1384"/>
        <item x="1653"/>
        <item x="243"/>
        <item x="1021"/>
        <item x="526"/>
        <item x="1359"/>
        <item x="1166"/>
        <item x="1250"/>
        <item x="2009"/>
        <item x="1324"/>
        <item x="316"/>
        <item x="207"/>
        <item x="547"/>
        <item x="1094"/>
        <item x="241"/>
        <item x="2148"/>
        <item x="1349"/>
        <item x="862"/>
        <item x="1605"/>
        <item x="2195"/>
        <item x="274"/>
        <item x="1208"/>
        <item x="1388"/>
        <item x="1704"/>
        <item x="1488"/>
        <item x="1887"/>
        <item x="1542"/>
        <item x="1889"/>
        <item x="2021"/>
        <item x="1559"/>
        <item x="1057"/>
        <item x="1894"/>
        <item x="1720"/>
        <item x="2047"/>
        <item x="1516"/>
        <item x="381"/>
        <item x="1758"/>
        <item x="1539"/>
        <item x="638"/>
        <item x="600"/>
        <item x="1692"/>
        <item x="744"/>
        <item x="421"/>
        <item x="1292"/>
        <item x="323"/>
        <item x="515"/>
        <item x="1159"/>
        <item x="713"/>
        <item x="1019"/>
        <item x="667"/>
        <item x="1252"/>
        <item x="1637"/>
        <item x="1383"/>
        <item x="940"/>
        <item x="1485"/>
        <item x="1584"/>
        <item x="1788"/>
        <item x="1824"/>
        <item x="868"/>
        <item x="368"/>
        <item x="179"/>
        <item x="1018"/>
        <item x="221"/>
        <item x="500"/>
        <item x="2027"/>
        <item x="2017"/>
        <item x="1233"/>
        <item x="89"/>
        <item x="328"/>
        <item x="1028"/>
        <item x="1886"/>
        <item x="1577"/>
        <item x="70"/>
        <item x="1182"/>
        <item x="242"/>
        <item x="1957"/>
        <item x="130"/>
        <item x="88"/>
        <item x="452"/>
        <item x="37"/>
        <item x="1049"/>
        <item x="2193"/>
        <item x="1071"/>
        <item x="1422"/>
        <item x="1169"/>
        <item x="1187"/>
        <item x="1632"/>
        <item x="1369"/>
        <item x="543"/>
        <item x="1606"/>
        <item x="108"/>
        <item x="1607"/>
        <item x="740"/>
        <item x="1918"/>
        <item x="1304"/>
        <item x="1669"/>
        <item x="590"/>
        <item x="1298"/>
        <item x="734"/>
        <item x="1997"/>
        <item x="1560"/>
        <item x="1198"/>
        <item x="757"/>
        <item x="942"/>
        <item x="1905"/>
        <item x="1611"/>
        <item x="703"/>
        <item x="1402"/>
        <item x="1807"/>
        <item x="885"/>
        <item x="1372"/>
        <item x="502"/>
        <item x="238"/>
        <item x="128"/>
        <item x="771"/>
        <item x="1429"/>
        <item x="889"/>
        <item x="1056"/>
        <item x="1199"/>
        <item x="1659"/>
        <item x="2245"/>
        <item x="477"/>
        <item x="802"/>
        <item x="2232"/>
        <item x="1167"/>
        <item x="1581"/>
        <item x="711"/>
        <item x="1321"/>
        <item x="1458"/>
        <item x="640"/>
        <item x="492"/>
        <item x="1648"/>
        <item x="555"/>
        <item x="910"/>
        <item x="1197"/>
        <item x="1981"/>
        <item x="82"/>
        <item x="800"/>
        <item x="551"/>
        <item x="85"/>
        <item x="275"/>
        <item x="157"/>
        <item x="1466"/>
        <item x="876"/>
        <item x="1428"/>
        <item x="2076"/>
        <item x="1898"/>
        <item x="675"/>
        <item x="1731"/>
        <item x="843"/>
        <item x="210"/>
        <item x="1904"/>
        <item x="706"/>
        <item x="1690"/>
        <item x="943"/>
        <item x="1405"/>
        <item x="366"/>
        <item x="1712"/>
        <item x="956"/>
        <item x="1678"/>
        <item x="1795"/>
        <item x="384"/>
        <item x="365"/>
        <item x="94"/>
        <item x="375"/>
        <item x="516"/>
        <item x="927"/>
        <item x="1716"/>
        <item x="1983"/>
        <item x="1600"/>
        <item x="788"/>
        <item x="1333"/>
        <item x="1432"/>
        <item x="799"/>
        <item x="1411"/>
        <item x="198"/>
        <item x="472"/>
        <item x="372"/>
        <item x="1517"/>
        <item x="1481"/>
        <item x="1355"/>
        <item x="201"/>
        <item x="1489"/>
        <item x="1864"/>
        <item x="909"/>
        <item x="715"/>
        <item x="1290"/>
        <item x="554"/>
        <item x="2115"/>
        <item x="1586"/>
        <item x="192"/>
        <item x="1210"/>
        <item x="1001"/>
        <item x="346"/>
        <item x="1170"/>
        <item x="4"/>
        <item x="187"/>
        <item x="296"/>
        <item x="1341"/>
        <item x="1798"/>
        <item x="1219"/>
        <item x="1254"/>
        <item x="747"/>
        <item x="2179"/>
        <item x="1615"/>
        <item x="2020"/>
        <item x="1178"/>
        <item x="1834"/>
        <item x="1016"/>
        <item x="1909"/>
        <item x="920"/>
        <item x="1042"/>
        <item x="1278"/>
        <item x="97"/>
        <item x="851"/>
        <item x="1603"/>
        <item x="896"/>
        <item x="325"/>
        <item x="626"/>
        <item x="1967"/>
        <item x="1943"/>
        <item x="2250"/>
        <item x="1088"/>
        <item x="1308"/>
        <item x="1677"/>
        <item x="670"/>
        <item x="362"/>
        <item x="1527"/>
        <item x="822"/>
        <item x="1848"/>
        <item x="414"/>
        <item x="2134"/>
        <item x="819"/>
        <item x="188"/>
        <item x="1348"/>
        <item x="446"/>
        <item x="1080"/>
        <item x="1330"/>
        <item x="864"/>
        <item x="237"/>
        <item x="840"/>
        <item x="1599"/>
        <item x="2136"/>
        <item x="904"/>
        <item x="1335"/>
        <item x="618"/>
        <item x="444"/>
        <item x="145"/>
        <item x="1657"/>
        <item x="335"/>
        <item x="2010"/>
        <item x="1119"/>
        <item x="1556"/>
        <item x="2197"/>
        <item x="844"/>
        <item x="1172"/>
        <item x="426"/>
        <item x="1850"/>
        <item x="1699"/>
        <item x="763"/>
        <item x="1964"/>
        <item x="2083"/>
        <item x="1965"/>
        <item x="390"/>
        <item x="1977"/>
        <item x="1531"/>
        <item x="1069"/>
        <item x="1078"/>
        <item x="1226"/>
        <item x="1688"/>
        <item x="2109"/>
        <item x="921"/>
        <item x="525"/>
        <item x="1285"/>
        <item x="1530"/>
        <item x="158"/>
        <item x="1567"/>
        <item x="1893"/>
        <item x="1322"/>
        <item x="1347"/>
        <item x="1881"/>
        <item x="796"/>
        <item x="1825"/>
        <item x="832"/>
        <item x="2126"/>
        <item x="664"/>
        <item x="2110"/>
        <item x="1220"/>
        <item x="465"/>
        <item x="2071"/>
        <item x="631"/>
        <item x="546"/>
        <item x="80"/>
        <item x="1064"/>
        <item x="1753"/>
        <item x="1116"/>
        <item x="2034"/>
        <item x="1908"/>
        <item x="1391"/>
        <item x="60"/>
        <item x="1794"/>
        <item x="1133"/>
        <item x="1593"/>
        <item x="944"/>
        <item x="1810"/>
        <item x="2161"/>
        <item x="1452"/>
        <item x="939"/>
        <item x="1781"/>
        <item x="1052"/>
        <item x="1055"/>
        <item x="387"/>
        <item x="2024"/>
        <item x="1470"/>
        <item x="886"/>
        <item x="1857"/>
        <item x="1734"/>
        <item x="1658"/>
        <item x="1852"/>
        <item x="517"/>
        <item x="776"/>
        <item x="1882"/>
        <item x="1509"/>
        <item x="1008"/>
        <item x="1113"/>
        <item x="1186"/>
        <item x="977"/>
        <item x="454"/>
        <item x="1441"/>
        <item x="1320"/>
        <item x="1118"/>
        <item x="1947"/>
        <item x="1389"/>
        <item x="973"/>
        <item x="2234"/>
        <item x="1060"/>
        <item x="1793"/>
        <item x="707"/>
        <item x="1266"/>
        <item x="1804"/>
        <item x="2065"/>
        <item x="792"/>
        <item x="475"/>
        <item x="2042"/>
        <item x="1211"/>
        <item x="1262"/>
        <item x="725"/>
        <item x="714"/>
        <item x="284"/>
        <item x="1442"/>
        <item x="1754"/>
        <item x="1300"/>
        <item x="709"/>
        <item x="1529"/>
        <item x="1533"/>
        <item x="1020"/>
        <item x="1326"/>
        <item x="521"/>
        <item x="1450"/>
        <item x="489"/>
        <item x="1525"/>
        <item x="764"/>
        <item x="1674"/>
        <item x="397"/>
        <item x="924"/>
        <item x="2043"/>
        <item x="1746"/>
        <item x="1299"/>
        <item x="2173"/>
        <item x="1381"/>
        <item x="1010"/>
        <item x="2112"/>
        <item x="870"/>
        <item x="431"/>
        <item x="1136"/>
        <item x="743"/>
        <item x="1532"/>
        <item x="1029"/>
        <item x="2125"/>
        <item x="354"/>
        <item x="2123"/>
        <item x="537"/>
        <item x="83"/>
        <item x="33"/>
        <item x="846"/>
        <item x="114"/>
        <item x="528"/>
        <item x="1925"/>
        <item x="1670"/>
        <item x="745"/>
        <item x="310"/>
        <item x="285"/>
        <item x="2217"/>
        <item x="458"/>
        <item x="806"/>
        <item x="2203"/>
        <item x="1085"/>
        <item x="2155"/>
        <item x="777"/>
        <item x="871"/>
        <item x="1663"/>
        <item x="1475"/>
        <item x="1259"/>
        <item x="53"/>
        <item x="481"/>
        <item x="1971"/>
        <item x="438"/>
        <item x="5"/>
        <item x="918"/>
        <item x="315"/>
        <item x="1434"/>
        <item x="1617"/>
        <item x="984"/>
        <item x="507"/>
        <item x="1120"/>
        <item x="304"/>
        <item x="965"/>
        <item x="1483"/>
        <item x="1274"/>
        <item x="2168"/>
        <item x="1883"/>
        <item x="31"/>
        <item x="2095"/>
        <item x="1895"/>
        <item x="1986"/>
        <item x="1408"/>
        <item x="2137"/>
        <item x="1845"/>
        <item x="1814"/>
        <item x="110"/>
        <item x="1700"/>
        <item x="1899"/>
        <item x="2006"/>
        <item x="1455"/>
        <item x="447"/>
        <item x="424"/>
        <item x="219"/>
        <item x="2121"/>
        <item x="660"/>
        <item x="1713"/>
        <item x="2164"/>
        <item x="1808"/>
        <item x="1622"/>
        <item x="536"/>
        <item x="1230"/>
        <item x="61"/>
        <item x="1311"/>
        <item x="1681"/>
        <item x="852"/>
        <item x="1125"/>
        <item x="564"/>
        <item x="728"/>
        <item x="411"/>
        <item x="1284"/>
        <item x="20"/>
        <item x="950"/>
        <item x="2210"/>
        <item x="2023"/>
        <item x="791"/>
        <item x="1425"/>
        <item x="1367"/>
        <item x="998"/>
        <item x="1041"/>
        <item x="199"/>
        <item x="2150"/>
        <item x="100"/>
        <item x="813"/>
        <item x="1546"/>
        <item x="1484"/>
        <item x="729"/>
        <item x="2113"/>
        <item x="2175"/>
        <item x="637"/>
        <item x="908"/>
        <item x="678"/>
        <item x="267"/>
        <item x="2201"/>
        <item x="1063"/>
        <item x="1703"/>
        <item x="826"/>
        <item x="506"/>
        <item x="1307"/>
        <item x="1912"/>
        <item x="1686"/>
        <item x="2018"/>
        <item x="2221"/>
        <item x="1916"/>
        <item x="226"/>
        <item x="1612"/>
        <item x="1803"/>
        <item x="2059"/>
        <item x="134"/>
        <item x="312"/>
        <item x="96"/>
        <item x="54"/>
        <item x="1790"/>
        <item x="823"/>
        <item x="1196"/>
        <item x="937"/>
        <item x="2022"/>
        <item x="1671"/>
        <item x="2135"/>
        <item x="451"/>
        <item x="1106"/>
        <item x="141"/>
        <item x="2026"/>
        <item x="780"/>
        <item x="1571"/>
        <item x="1988"/>
        <item x="1403"/>
        <item x="74"/>
        <item x="1436"/>
        <item x="152"/>
        <item x="613"/>
        <item x="616"/>
        <item x="1123"/>
        <item x="1471"/>
        <item x="1721"/>
        <item x="1303"/>
        <item x="1786"/>
        <item x="2194"/>
        <item x="1757"/>
        <item x="691"/>
        <item x="1070"/>
        <item x="1213"/>
        <item x="1412"/>
        <item x="1237"/>
        <item x="244"/>
        <item x="2184"/>
        <item x="1735"/>
        <item x="168"/>
        <item x="1157"/>
        <item x="2212"/>
        <item x="1066"/>
        <item x="1956"/>
        <item x="1246"/>
        <item x="286"/>
        <item x="1831"/>
        <item x="249"/>
        <item x="668"/>
        <item x="1194"/>
        <item x="518"/>
        <item x="469"/>
        <item x="1046"/>
        <item x="884"/>
        <item x="2174"/>
        <item x="1811"/>
        <item x="140"/>
        <item x="1633"/>
        <item x="1493"/>
        <item x="1906"/>
        <item x="971"/>
        <item x="234"/>
        <item x="1982"/>
        <item x="2063"/>
        <item x="124"/>
        <item x="2097"/>
        <item x="1583"/>
        <item x="929"/>
        <item x="1702"/>
        <item x="700"/>
        <item x="914"/>
        <item x="1272"/>
        <item x="95"/>
        <item x="503"/>
        <item x="1642"/>
        <item x="2094"/>
        <item x="298"/>
        <item x="1598"/>
        <item x="1654"/>
        <item x="681"/>
        <item x="1207"/>
        <item x="2178"/>
        <item x="883"/>
        <item x="923"/>
        <item x="571"/>
        <item x="25"/>
        <item x="1620"/>
        <item x="1748"/>
        <item x="2084"/>
        <item x="1228"/>
        <item x="327"/>
        <item x="1975"/>
        <item x="1946"/>
        <item x="2152"/>
        <item x="807"/>
        <item x="1401"/>
        <item x="688"/>
        <item x="197"/>
        <item x="1007"/>
        <item x="1649"/>
        <item x="1379"/>
        <item x="2228"/>
        <item x="730"/>
        <item x="2067"/>
        <item x="514"/>
        <item x="1609"/>
        <item x="2036"/>
        <item x="2192"/>
        <item x="1664"/>
        <item x="539"/>
        <item x="1526"/>
        <item x="1351"/>
        <item x="104"/>
        <item x="57"/>
        <item x="1812"/>
        <item x="1859"/>
        <item x="16"/>
        <item x="1459"/>
        <item x="2032"/>
        <item x="418"/>
        <item x="719"/>
        <item x="1030"/>
        <item x="1763"/>
        <item x="2233"/>
        <item x="931"/>
        <item x="1461"/>
        <item x="1257"/>
        <item x="1813"/>
        <item x="2160"/>
        <item x="2057"/>
        <item x="2237"/>
        <item x="1936"/>
        <item x="1146"/>
        <item x="1037"/>
        <item x="1368"/>
        <item x="2256"/>
        <item x="1507"/>
        <item x="1084"/>
        <item x="1868"/>
        <item x="1915"/>
        <item x="461"/>
        <item x="901"/>
        <item x="476"/>
        <item x="1839"/>
        <item x="1737"/>
        <item x="1630"/>
        <item x="872"/>
        <item x="659"/>
        <item x="582"/>
        <item x="1776"/>
        <item x="1797"/>
        <item x="583"/>
        <item x="1104"/>
        <item x="1356"/>
        <item x="2098"/>
        <item x="1929"/>
        <item x="79"/>
        <item x="1090"/>
        <item x="1634"/>
        <item x="11"/>
        <item x="898"/>
        <item x="193"/>
        <item x="2108"/>
        <item x="291"/>
        <item x="1154"/>
        <item x="313"/>
        <item x="1343"/>
        <item x="1875"/>
        <item x="1076"/>
        <item x="1687"/>
        <item x="632"/>
        <item x="2005"/>
        <item x="557"/>
        <item x="882"/>
        <item x="1215"/>
        <item x="1165"/>
        <item x="1216"/>
        <item x="509"/>
        <item x="1140"/>
        <item x="894"/>
        <item x="1364"/>
        <item x="857"/>
        <item x="406"/>
        <item x="919"/>
        <item x="2088"/>
        <item x="260"/>
        <item x="1093"/>
        <item x="2166"/>
        <item x="344"/>
        <item x="1500"/>
        <item x="1922"/>
        <item x="877"/>
        <item x="77"/>
        <item x="646"/>
        <item x="848"/>
        <item x="1805"/>
        <item x="1740"/>
        <item x="1342"/>
        <item x="495"/>
        <item x="2176"/>
        <item x="2171"/>
        <item x="2153"/>
        <item x="1200"/>
        <item x="1229"/>
        <item x="1767"/>
        <item x="1153"/>
        <item x="1271"/>
        <item x="65"/>
        <item x="994"/>
        <item x="1295"/>
        <item x="1464"/>
        <item x="204"/>
        <item x="2028"/>
        <item x="212"/>
        <item x="1741"/>
        <item x="1524"/>
        <item x="1548"/>
        <item x="1038"/>
        <item x="259"/>
        <item x="2012"/>
        <item x="2162"/>
        <item x="1764"/>
        <item x="87"/>
        <item x="2102"/>
        <item x="1995"/>
        <item x="1829"/>
        <item x="1023"/>
        <item x="891"/>
        <item x="2157"/>
        <item x="385"/>
        <item x="1121"/>
        <item x="622"/>
        <item x="44"/>
        <item x="1717"/>
        <item x="460"/>
        <item x="1289"/>
        <item x="1204"/>
        <item x="1993"/>
        <item x="2180"/>
        <item x="1248"/>
        <item x="1099"/>
        <item x="78"/>
        <item x="2223"/>
        <item x="699"/>
        <item x="2089"/>
        <item x="1083"/>
        <item x="1163"/>
        <item x="1835"/>
        <item x="1660"/>
        <item x="820"/>
        <item x="1568"/>
        <item x="708"/>
        <item x="874"/>
        <item x="657"/>
        <item x="200"/>
        <item x="227"/>
        <item x="1260"/>
        <item x="513"/>
        <item x="2093"/>
        <item x="1891"/>
        <item x="1043"/>
        <item x="1822"/>
        <item x="861"/>
        <item x="218"/>
        <item x="666"/>
        <item x="906"/>
        <item x="1370"/>
        <item x="2240"/>
        <item x="1144"/>
        <item x="1755"/>
        <item x="1866"/>
        <item x="572"/>
        <item x="176"/>
        <item x="1301"/>
        <item x="290"/>
        <item x="604"/>
        <item x="178"/>
        <item x="1302"/>
        <item x="1377"/>
        <item x="1643"/>
        <item x="1398"/>
        <item x="2252"/>
        <item x="1225"/>
        <item x="576"/>
        <item x="1641"/>
        <item x="363"/>
        <item x="190"/>
        <item x="1847"/>
        <item x="1413"/>
        <item x="932"/>
        <item x="1762"/>
        <item x="38"/>
        <item x="774"/>
        <item x="1625"/>
        <item x="926"/>
        <item x="364"/>
        <item x="695"/>
        <item x="448"/>
        <item x="683"/>
        <item x="487"/>
        <item x="2080"/>
        <item x="1082"/>
        <item x="754"/>
        <item x="485"/>
        <item x="1604"/>
        <item x="1707"/>
        <item x="1833"/>
        <item x="721"/>
        <item x="1587"/>
        <item x="947"/>
        <item x="154"/>
        <item x="1592"/>
        <item x="46"/>
        <item x="1409"/>
        <item x="136"/>
        <item x="208"/>
        <item x="2101"/>
        <item x="957"/>
        <item x="1960"/>
        <item x="1201"/>
        <item x="1346"/>
        <item x="710"/>
        <item t="default"/>
      </items>
    </pivotField>
    <pivotField compact="0" showAll="0">
      <items count="2077">
        <item x="1857"/>
        <item x="1197"/>
        <item x="1594"/>
        <item x="1178"/>
        <item x="764"/>
        <item x="1353"/>
        <item x="514"/>
        <item x="602"/>
        <item x="137"/>
        <item x="1856"/>
        <item x="996"/>
        <item x="1715"/>
        <item x="1826"/>
        <item x="884"/>
        <item x="1899"/>
        <item x="427"/>
        <item x="1911"/>
        <item x="1546"/>
        <item x="576"/>
        <item x="513"/>
        <item x="1229"/>
        <item x="679"/>
        <item x="1933"/>
        <item x="1728"/>
        <item x="2039"/>
        <item x="1007"/>
        <item x="752"/>
        <item x="458"/>
        <item x="1046"/>
        <item x="662"/>
        <item x="580"/>
        <item x="365"/>
        <item x="1080"/>
        <item x="1304"/>
        <item x="1354"/>
        <item x="1727"/>
        <item x="813"/>
        <item x="1047"/>
        <item x="1889"/>
        <item x="1719"/>
        <item x="129"/>
        <item x="641"/>
        <item x="114"/>
        <item x="937"/>
        <item x="832"/>
        <item x="97"/>
        <item x="664"/>
        <item x="786"/>
        <item x="1021"/>
        <item x="1056"/>
        <item x="853"/>
        <item x="941"/>
        <item x="2009"/>
        <item x="1575"/>
        <item x="822"/>
        <item x="1599"/>
        <item x="1297"/>
        <item x="703"/>
        <item x="678"/>
        <item x="704"/>
        <item x="1410"/>
        <item x="1956"/>
        <item x="98"/>
        <item x="1054"/>
        <item x="1465"/>
        <item x="1320"/>
        <item x="121"/>
        <item x="1512"/>
        <item x="185"/>
        <item x="1503"/>
        <item x="1042"/>
        <item x="491"/>
        <item x="1970"/>
        <item x="15"/>
        <item x="299"/>
        <item x="717"/>
        <item x="1747"/>
        <item x="774"/>
        <item x="1992"/>
        <item x="1794"/>
        <item x="1406"/>
        <item x="396"/>
        <item x="1491"/>
        <item x="615"/>
        <item x="462"/>
        <item x="1906"/>
        <item x="1626"/>
        <item x="550"/>
        <item x="1186"/>
        <item x="1760"/>
        <item x="614"/>
        <item x="1236"/>
        <item x="450"/>
        <item x="1986"/>
        <item x="815"/>
        <item x="568"/>
        <item x="554"/>
        <item x="572"/>
        <item x="2067"/>
        <item x="1554"/>
        <item x="1022"/>
        <item x="1492"/>
        <item x="571"/>
        <item x="1635"/>
        <item x="41"/>
        <item x="1375"/>
        <item x="384"/>
        <item x="672"/>
        <item x="1058"/>
        <item x="1604"/>
        <item x="1619"/>
        <item x="150"/>
        <item x="671"/>
        <item x="1523"/>
        <item x="1770"/>
        <item x="1331"/>
        <item x="949"/>
        <item x="1309"/>
        <item x="1470"/>
        <item x="1972"/>
        <item x="998"/>
        <item x="354"/>
        <item x="599"/>
        <item x="314"/>
        <item x="123"/>
        <item x="1966"/>
        <item x="1949"/>
        <item x="234"/>
        <item x="475"/>
        <item x="1272"/>
        <item x="725"/>
        <item x="954"/>
        <item x="1365"/>
        <item x="1756"/>
        <item x="229"/>
        <item x="1345"/>
        <item x="1169"/>
        <item x="1780"/>
        <item x="1710"/>
        <item x="1657"/>
        <item x="215"/>
        <item x="1969"/>
        <item x="1979"/>
        <item x="9"/>
        <item x="149"/>
        <item x="132"/>
        <item x="2006"/>
        <item x="1640"/>
        <item x="1357"/>
        <item x="1181"/>
        <item x="919"/>
        <item x="1429"/>
        <item x="1602"/>
        <item x="1642"/>
        <item x="604"/>
        <item x="1793"/>
        <item x="146"/>
        <item x="65"/>
        <item x="214"/>
        <item x="1606"/>
        <item x="521"/>
        <item x="1190"/>
        <item x="73"/>
        <item x="903"/>
        <item x="780"/>
        <item x="1689"/>
        <item x="971"/>
        <item x="1581"/>
        <item x="254"/>
        <item x="420"/>
        <item x="213"/>
        <item x="406"/>
        <item x="1798"/>
        <item x="1348"/>
        <item x="728"/>
        <item x="1749"/>
        <item x="589"/>
        <item x="454"/>
        <item x="1396"/>
        <item x="1754"/>
        <item x="1590"/>
        <item x="1231"/>
        <item x="1284"/>
        <item x="1595"/>
        <item x="1158"/>
        <item x="2008"/>
        <item x="441"/>
        <item x="1359"/>
        <item x="2023"/>
        <item x="721"/>
        <item x="497"/>
        <item x="284"/>
        <item x="64"/>
        <item x="1748"/>
        <item x="1830"/>
        <item x="1397"/>
        <item x="643"/>
        <item x="190"/>
        <item x="1324"/>
        <item x="1624"/>
        <item x="480"/>
        <item x="1872"/>
        <item x="1789"/>
        <item x="1703"/>
        <item x="176"/>
        <item x="487"/>
        <item x="1733"/>
        <item x="416"/>
        <item x="1393"/>
        <item x="1294"/>
        <item x="222"/>
        <item x="1199"/>
        <item x="1255"/>
        <item x="1436"/>
        <item x="1079"/>
        <item x="515"/>
        <item x="168"/>
        <item x="1739"/>
        <item x="2045"/>
        <item x="348"/>
        <item x="1005"/>
        <item x="1118"/>
        <item x="973"/>
        <item x="1982"/>
        <item x="333"/>
        <item x="443"/>
        <item x="336"/>
        <item x="848"/>
        <item x="432"/>
        <item x="303"/>
        <item x="1577"/>
        <item x="666"/>
        <item x="1937"/>
        <item x="1878"/>
        <item x="1610"/>
        <item x="72"/>
        <item x="2068"/>
        <item x="1175"/>
        <item x="1892"/>
        <item x="1960"/>
        <item x="1107"/>
        <item x="19"/>
        <item x="661"/>
        <item x="1455"/>
        <item x="334"/>
        <item x="1973"/>
        <item x="972"/>
        <item x="247"/>
        <item x="931"/>
        <item x="650"/>
        <item x="1591"/>
        <item x="447"/>
        <item x="1713"/>
        <item x="51"/>
        <item x="999"/>
        <item x="171"/>
        <item x="639"/>
        <item x="428"/>
        <item x="1813"/>
        <item x="939"/>
        <item x="734"/>
        <item x="1114"/>
        <item x="795"/>
        <item x="231"/>
        <item x="892"/>
        <item x="184"/>
        <item x="1377"/>
        <item x="471"/>
        <item x="1266"/>
        <item x="1321"/>
        <item x="267"/>
        <item x="279"/>
        <item x="302"/>
        <item x="1449"/>
        <item x="164"/>
        <item x="607"/>
        <item x="371"/>
        <item x="399"/>
        <item x="1939"/>
        <item x="275"/>
        <item x="2038"/>
        <item x="1204"/>
        <item x="276"/>
        <item x="1638"/>
        <item x="868"/>
        <item x="1248"/>
        <item x="1690"/>
        <item x="796"/>
        <item x="1743"/>
        <item x="658"/>
        <item x="1125"/>
        <item x="295"/>
        <item x="574"/>
        <item x="2064"/>
        <item x="1166"/>
        <item x="2036"/>
        <item x="1035"/>
        <item x="1955"/>
        <item x="1551"/>
        <item x="1883"/>
        <item x="1069"/>
        <item x="116"/>
        <item x="21"/>
        <item x="792"/>
        <item x="840"/>
        <item x="1070"/>
        <item x="689"/>
        <item x="1543"/>
        <item x="1560"/>
        <item x="653"/>
        <item x="1977"/>
        <item x="179"/>
        <item x="990"/>
        <item x="859"/>
        <item x="1538"/>
        <item x="1243"/>
        <item x="626"/>
        <item x="1437"/>
        <item x="228"/>
        <item x="547"/>
        <item x="411"/>
        <item x="139"/>
        <item x="220"/>
        <item x="738"/>
        <item x="733"/>
        <item x="1333"/>
        <item x="1684"/>
        <item x="298"/>
        <item x="183"/>
        <item x="1159"/>
        <item x="106"/>
        <item x="469"/>
        <item x="525"/>
        <item x="1127"/>
        <item x="1433"/>
        <item x="826"/>
        <item x="1034"/>
        <item x="291"/>
        <item x="1250"/>
        <item x="750"/>
        <item x="598"/>
        <item x="89"/>
        <item x="1677"/>
        <item x="28"/>
        <item x="1777"/>
        <item x="1403"/>
        <item x="193"/>
        <item x="1673"/>
        <item x="1630"/>
        <item x="594"/>
        <item x="1771"/>
        <item x="1435"/>
        <item x="230"/>
        <item x="439"/>
        <item x="258"/>
        <item x="459"/>
        <item x="1071"/>
        <item x="250"/>
        <item x="737"/>
        <item x="656"/>
        <item x="1781"/>
        <item x="293"/>
        <item x="1073"/>
        <item x="2027"/>
        <item x="1335"/>
        <item x="1670"/>
        <item x="911"/>
        <item x="627"/>
        <item x="166"/>
        <item x="1138"/>
        <item x="1588"/>
        <item x="504"/>
        <item x="1230"/>
        <item x="1815"/>
        <item x="1567"/>
        <item x="1477"/>
        <item x="1522"/>
        <item x="709"/>
        <item x="1934"/>
        <item x="201"/>
        <item x="1888"/>
        <item x="25"/>
        <item x="1376"/>
        <item x="1102"/>
        <item x="640"/>
        <item x="1041"/>
        <item x="835"/>
        <item x="537"/>
        <item x="1180"/>
        <item x="1950"/>
        <item x="1868"/>
        <item x="2001"/>
        <item x="1631"/>
        <item x="962"/>
        <item x="1162"/>
        <item x="1636"/>
        <item x="351"/>
        <item x="1852"/>
        <item x="956"/>
        <item x="1182"/>
        <item x="187"/>
        <item x="1373"/>
        <item x="861"/>
        <item x="1545"/>
        <item x="223"/>
        <item x="1926"/>
        <item x="2055"/>
        <item x="90"/>
        <item x="1245"/>
        <item x="452"/>
        <item x="120"/>
        <item x="2"/>
        <item x="967"/>
        <item x="715"/>
        <item x="1139"/>
        <item x="76"/>
        <item x="118"/>
        <item x="1776"/>
        <item x="316"/>
        <item x="768"/>
        <item x="1627"/>
        <item x="587"/>
        <item x="305"/>
        <item x="1103"/>
        <item x="804"/>
        <item x="182"/>
        <item x="1316"/>
        <item x="2030"/>
        <item x="1700"/>
        <item x="561"/>
        <item x="1220"/>
        <item x="540"/>
        <item x="1475"/>
        <item x="1948"/>
        <item x="1737"/>
        <item x="790"/>
        <item x="912"/>
        <item x="1184"/>
        <item x="380"/>
        <item x="1519"/>
        <item x="1720"/>
        <item x="623"/>
        <item x="549"/>
        <item x="935"/>
        <item x="816"/>
        <item x="1467"/>
        <item x="1903"/>
        <item x="174"/>
        <item x="846"/>
        <item x="732"/>
        <item x="565"/>
        <item x="1098"/>
        <item x="1725"/>
        <item x="101"/>
        <item x="1803"/>
        <item x="1661"/>
        <item x="541"/>
        <item x="788"/>
        <item x="1323"/>
        <item x="1985"/>
        <item x="1765"/>
        <item x="1273"/>
        <item x="559"/>
        <item x="1890"/>
        <item x="1161"/>
        <item x="307"/>
        <item x="1448"/>
        <item x="1361"/>
        <item x="353"/>
        <item x="209"/>
        <item x="2044"/>
        <item x="264"/>
        <item x="1096"/>
        <item x="663"/>
        <item x="676"/>
        <item x="445"/>
        <item x="329"/>
        <item x="374"/>
        <item x="757"/>
        <item x="523"/>
        <item x="899"/>
        <item x="1957"/>
        <item x="539"/>
        <item x="1774"/>
        <item x="1817"/>
        <item x="777"/>
        <item x="1941"/>
        <item x="161"/>
        <item x="122"/>
        <item x="88"/>
        <item x="477"/>
        <item x="1943"/>
        <item x="636"/>
        <item x="1024"/>
        <item x="1089"/>
        <item x="304"/>
        <item x="1288"/>
        <item x="1938"/>
        <item x="570"/>
        <item x="649"/>
        <item x="686"/>
        <item x="1726"/>
        <item x="17"/>
        <item x="553"/>
        <item x="1839"/>
        <item x="259"/>
        <item x="1112"/>
        <item x="325"/>
        <item x="836"/>
        <item x="748"/>
        <item x="979"/>
        <item x="1013"/>
        <item x="364"/>
        <item x="1105"/>
        <item x="297"/>
        <item x="557"/>
        <item x="367"/>
        <item x="765"/>
        <item x="508"/>
        <item x="181"/>
        <item x="1843"/>
        <item x="1027"/>
        <item x="723"/>
        <item x="1778"/>
        <item x="1446"/>
        <item x="1786"/>
        <item x="261"/>
        <item x="1196"/>
        <item x="632"/>
        <item x="1044"/>
        <item x="2059"/>
        <item x="244"/>
        <item x="1301"/>
        <item x="618"/>
        <item x="422"/>
        <item x="1444"/>
        <item x="1592"/>
        <item x="647"/>
        <item x="918"/>
        <item x="959"/>
        <item x="1530"/>
        <item x="180"/>
        <item x="392"/>
        <item x="496"/>
        <item x="1355"/>
        <item x="1829"/>
        <item x="1915"/>
        <item x="660"/>
        <item x="1701"/>
        <item x="1210"/>
        <item x="1426"/>
        <item x="567"/>
        <item x="1296"/>
        <item x="43"/>
        <item x="1094"/>
        <item x="994"/>
        <item x="421"/>
        <item x="75"/>
        <item x="930"/>
        <item x="485"/>
        <item x="1485"/>
        <item x="268"/>
        <item x="1445"/>
        <item x="455"/>
        <item x="69"/>
        <item x="1164"/>
        <item x="947"/>
        <item x="926"/>
        <item x="290"/>
        <item x="787"/>
        <item x="466"/>
        <item x="1328"/>
        <item x="2072"/>
        <item x="1002"/>
        <item x="1894"/>
        <item x="844"/>
        <item x="1855"/>
        <item x="577"/>
        <item x="1709"/>
        <item x="993"/>
        <item x="204"/>
        <item x="85"/>
        <item x="856"/>
        <item x="1502"/>
        <item x="1675"/>
        <item x="144"/>
        <item x="1239"/>
        <item x="724"/>
        <item x="83"/>
        <item x="769"/>
        <item x="112"/>
        <item x="1997"/>
        <item x="1553"/>
        <item x="1920"/>
        <item x="1388"/>
        <item x="1101"/>
        <item x="1879"/>
        <item x="481"/>
        <item x="1680"/>
        <item x="716"/>
        <item x="583"/>
        <item x="1120"/>
        <item x="251"/>
        <item x="154"/>
        <item x="296"/>
        <item x="1040"/>
        <item x="1456"/>
        <item x="218"/>
        <item x="925"/>
        <item x="761"/>
        <item x="1616"/>
        <item x="1291"/>
        <item x="1908"/>
        <item x="785"/>
        <item x="2013"/>
        <item x="246"/>
        <item x="770"/>
        <item x="934"/>
        <item x="1945"/>
        <item x="1263"/>
        <item x="1238"/>
        <item x="313"/>
        <item x="517"/>
        <item x="1671"/>
        <item x="1812"/>
        <item x="163"/>
        <item x="1212"/>
        <item x="2048"/>
        <item x="2034"/>
        <item x="484"/>
        <item x="1116"/>
        <item x="473"/>
        <item x="2050"/>
        <item x="236"/>
        <item x="722"/>
        <item x="442"/>
        <item x="797"/>
        <item x="1907"/>
        <item x="729"/>
        <item x="1566"/>
        <item x="1837"/>
        <item x="1240"/>
        <item x="1533"/>
        <item x="1858"/>
        <item x="1919"/>
        <item x="1958"/>
        <item x="1350"/>
        <item x="1724"/>
        <item x="1217"/>
        <item x="227"/>
        <item x="31"/>
        <item x="1757"/>
        <item x="1351"/>
        <item x="413"/>
        <item x="548"/>
        <item x="63"/>
        <item x="1586"/>
        <item x="155"/>
        <item x="933"/>
        <item x="1500"/>
        <item x="1505"/>
        <item x="37"/>
        <item x="194"/>
        <item x="2005"/>
        <item x="1155"/>
        <item x="2063"/>
        <item x="609"/>
        <item x="874"/>
        <item x="566"/>
        <item x="1227"/>
        <item x="2054"/>
        <item x="318"/>
        <item x="61"/>
        <item x="1900"/>
        <item x="902"/>
        <item x="700"/>
        <item x="1732"/>
        <item x="1913"/>
        <item x="133"/>
        <item x="424"/>
        <item x="461"/>
        <item x="837"/>
        <item x="1820"/>
        <item x="456"/>
        <item x="158"/>
        <item x="784"/>
        <item x="1278"/>
        <item x="588"/>
        <item x="490"/>
        <item x="527"/>
        <item x="667"/>
        <item x="1951"/>
        <item x="1386"/>
        <item x="249"/>
        <item x="1219"/>
        <item x="14"/>
        <item x="776"/>
        <item x="363"/>
        <item x="2025"/>
        <item x="1374"/>
        <item x="68"/>
        <item x="727"/>
        <item x="355"/>
        <item x="1141"/>
        <item x="1870"/>
        <item x="591"/>
        <item x="125"/>
        <item x="1443"/>
        <item x="802"/>
        <item x="535"/>
        <item x="1242"/>
        <item x="1280"/>
        <item x="13"/>
        <item x="238"/>
        <item x="564"/>
        <item x="646"/>
        <item x="1528"/>
        <item x="451"/>
        <item x="320"/>
        <item x="1573"/>
        <item x="1995"/>
        <item x="1424"/>
        <item x="900"/>
        <item x="1270"/>
        <item x="23"/>
        <item x="1185"/>
        <item x="807"/>
        <item x="1785"/>
        <item x="93"/>
        <item x="1269"/>
        <item x="1653"/>
        <item x="1850"/>
        <item x="1228"/>
        <item x="1016"/>
        <item x="2051"/>
        <item x="30"/>
        <item x="2019"/>
        <item x="59"/>
        <item x="1854"/>
        <item x="975"/>
        <item x="1095"/>
        <item x="240"/>
        <item x="27"/>
        <item x="986"/>
        <item x="675"/>
        <item x="1508"/>
        <item x="1795"/>
        <item x="1234"/>
        <item x="1172"/>
        <item x="1391"/>
        <item x="1307"/>
        <item x="1153"/>
        <item x="1392"/>
        <item x="1223"/>
        <item x="1438"/>
        <item x="239"/>
        <item x="731"/>
        <item x="1420"/>
        <item x="385"/>
        <item x="331"/>
        <item x="1736"/>
        <item x="633"/>
        <item x="1891"/>
        <item x="1461"/>
        <item x="1513"/>
        <item x="946"/>
        <item x="1796"/>
        <item x="865"/>
        <item x="1247"/>
        <item x="1299"/>
        <item x="257"/>
        <item x="1200"/>
        <item x="1682"/>
        <item x="1384"/>
        <item x="2041"/>
        <item x="401"/>
        <item x="854"/>
        <item x="1648"/>
        <item x="1511"/>
        <item x="1552"/>
        <item x="888"/>
        <item x="762"/>
        <item x="2046"/>
        <item x="92"/>
        <item x="1405"/>
        <item x="905"/>
        <item x="743"/>
        <item x="1450"/>
        <item x="651"/>
        <item x="1225"/>
        <item x="1702"/>
        <item x="1998"/>
        <item x="1130"/>
        <item x="1585"/>
        <item x="1672"/>
        <item x="1559"/>
        <item x="1404"/>
        <item x="130"/>
        <item x="433"/>
        <item x="692"/>
        <item x="714"/>
        <item x="1224"/>
        <item x="1305"/>
        <item x="1532"/>
        <item x="1961"/>
        <item x="735"/>
        <item x="1967"/>
        <item x="38"/>
        <item x="1669"/>
        <item x="191"/>
        <item x="1489"/>
        <item x="148"/>
        <item x="12"/>
        <item x="203"/>
        <item x="592"/>
        <item x="1611"/>
        <item x="1086"/>
        <item x="1886"/>
        <item x="621"/>
        <item x="1412"/>
        <item x="1154"/>
        <item x="22"/>
        <item x="1300"/>
        <item x="1043"/>
        <item x="1418"/>
        <item x="5"/>
        <item x="1407"/>
        <item x="1946"/>
        <item x="622"/>
        <item x="1193"/>
        <item x="169"/>
        <item x="772"/>
        <item x="511"/>
        <item x="634"/>
        <item x="1863"/>
        <item x="1468"/>
        <item x="509"/>
        <item x="657"/>
        <item x="801"/>
        <item x="1838"/>
        <item x="1459"/>
        <item x="431"/>
        <item x="1029"/>
        <item x="1576"/>
        <item x="894"/>
        <item x="1687"/>
        <item x="2010"/>
        <item x="478"/>
        <item x="1428"/>
        <item x="248"/>
        <item x="375"/>
        <item x="560"/>
        <item x="838"/>
        <item x="1540"/>
        <item x="237"/>
        <item x="702"/>
        <item x="1954"/>
        <item x="1921"/>
        <item x="1860"/>
        <item x="143"/>
        <item x="1708"/>
        <item x="1423"/>
        <item x="2029"/>
        <item x="1441"/>
        <item x="1106"/>
        <item x="904"/>
        <item x="1059"/>
        <item x="1792"/>
        <item x="670"/>
        <item x="1481"/>
        <item x="389"/>
        <item x="1968"/>
        <item x="753"/>
        <item x="530"/>
        <item x="1655"/>
        <item x="1808"/>
        <item x="685"/>
        <item x="124"/>
        <item x="707"/>
        <item x="713"/>
        <item x="811"/>
        <item x="104"/>
        <item x="84"/>
        <item x="1282"/>
        <item x="908"/>
        <item x="1509"/>
        <item x="266"/>
        <item x="507"/>
        <item x="1249"/>
        <item x="613"/>
        <item x="1077"/>
        <item x="476"/>
        <item x="1849"/>
        <item x="1340"/>
        <item x="1651"/>
        <item x="1769"/>
        <item x="170"/>
        <item x="1458"/>
        <item x="1674"/>
        <item x="1912"/>
        <item x="1758"/>
        <item x="536"/>
        <item x="741"/>
        <item x="1751"/>
        <item x="958"/>
        <item x="569"/>
        <item x="620"/>
        <item x="512"/>
        <item x="1226"/>
        <item x="1310"/>
        <item x="2066"/>
        <item x="1113"/>
        <item x="1875"/>
        <item x="1463"/>
        <item x="821"/>
        <item x="590"/>
        <item x="326"/>
        <item x="281"/>
        <item x="851"/>
        <item x="1205"/>
        <item x="1980"/>
        <item x="1706"/>
        <item x="882"/>
        <item x="1633"/>
        <item x="1646"/>
        <item x="500"/>
        <item x="79"/>
        <item x="845"/>
        <item x="1014"/>
        <item x="49"/>
        <item x="1953"/>
        <item x="285"/>
        <item x="277"/>
        <item x="142"/>
        <item x="1910"/>
        <item x="705"/>
        <item x="863"/>
        <item x="791"/>
        <item x="923"/>
        <item x="57"/>
        <item x="895"/>
        <item x="200"/>
        <item x="997"/>
        <item x="8"/>
        <item x="1133"/>
        <item x="1944"/>
        <item x="1012"/>
        <item x="430"/>
        <item x="1570"/>
        <item x="870"/>
        <item x="1587"/>
        <item x="1916"/>
        <item x="1628"/>
        <item x="418"/>
        <item x="423"/>
        <item x="970"/>
        <item x="52"/>
        <item x="1768"/>
        <item x="1947"/>
        <item x="775"/>
        <item x="1494"/>
        <item x="110"/>
        <item x="630"/>
        <item x="1821"/>
        <item x="1189"/>
        <item x="1213"/>
        <item x="322"/>
        <item x="929"/>
        <item x="945"/>
        <item x="1486"/>
        <item x="1085"/>
        <item x="1194"/>
        <item x="7"/>
        <item x="1156"/>
        <item x="600"/>
        <item x="916"/>
        <item x="1764"/>
        <item x="617"/>
        <item x="980"/>
        <item x="1268"/>
        <item x="1924"/>
        <item x="696"/>
        <item x="760"/>
        <item x="157"/>
        <item x="1066"/>
        <item x="269"/>
        <item x="606"/>
        <item x="398"/>
        <item x="1562"/>
        <item x="1063"/>
        <item x="1831"/>
        <item x="952"/>
        <item x="944"/>
        <item x="35"/>
        <item x="1498"/>
        <item x="361"/>
        <item x="1160"/>
        <item x="479"/>
        <item x="1460"/>
        <item x="850"/>
        <item x="1409"/>
        <item x="1722"/>
        <item x="1075"/>
        <item x="789"/>
        <item x="1917"/>
        <item x="403"/>
        <item x="1232"/>
        <item x="1572"/>
        <item x="1597"/>
        <item x="1148"/>
        <item x="1537"/>
        <item x="2058"/>
        <item x="866"/>
        <item x="701"/>
        <item x="253"/>
        <item x="372"/>
        <item x="955"/>
        <item x="1805"/>
        <item x="113"/>
        <item x="1395"/>
        <item x="763"/>
        <item x="586"/>
        <item x="131"/>
        <item x="349"/>
        <item x="434"/>
        <item x="858"/>
        <item x="1788"/>
        <item x="597"/>
        <item x="1422"/>
        <item x="1740"/>
        <item x="914"/>
        <item x="252"/>
        <item x="1721"/>
        <item x="619"/>
        <item x="235"/>
        <item x="67"/>
        <item x="1062"/>
        <item x="578"/>
        <item x="1313"/>
        <item x="694"/>
        <item x="1696"/>
        <item x="1065"/>
        <item x="1496"/>
        <item x="756"/>
        <item x="1401"/>
        <item x="1135"/>
        <item x="575"/>
        <item x="1678"/>
        <item x="1008"/>
        <item x="936"/>
        <item x="1163"/>
        <item x="1419"/>
        <item x="1534"/>
        <item x="429"/>
        <item x="1652"/>
        <item x="1237"/>
        <item x="889"/>
        <item x="1286"/>
        <item x="1548"/>
        <item x="102"/>
        <item x="470"/>
        <item x="2062"/>
        <item x="1659"/>
        <item x="1416"/>
        <item x="494"/>
        <item x="1759"/>
        <item x="2012"/>
        <item x="2017"/>
        <item x="147"/>
        <item x="219"/>
        <item x="460"/>
        <item x="152"/>
        <item x="857"/>
        <item x="1371"/>
        <item x="1074"/>
        <item x="317"/>
        <item x="383"/>
        <item x="1176"/>
        <item x="1378"/>
        <item x="412"/>
        <item x="913"/>
        <item x="1615"/>
        <item x="1925"/>
        <item x="438"/>
        <item x="1510"/>
        <item x="2065"/>
        <item x="1241"/>
        <item x="1208"/>
        <item x="1342"/>
        <item x="1691"/>
        <item x="1656"/>
        <item x="1994"/>
        <item x="1487"/>
        <item x="1038"/>
        <item x="652"/>
        <item x="1527"/>
        <item x="1800"/>
        <item x="321"/>
        <item x="20"/>
        <item x="1693"/>
        <item x="1583"/>
        <item x="1763"/>
        <item x="1201"/>
        <item x="2049"/>
        <item x="1692"/>
        <item x="1484"/>
        <item x="1940"/>
        <item x="1959"/>
        <item x="2075"/>
        <item x="1417"/>
        <item x="612"/>
        <item x="529"/>
        <item x="1617"/>
        <item x="833"/>
        <item x="107"/>
        <item x="1681"/>
        <item x="1346"/>
        <item x="1658"/>
        <item x="1766"/>
        <item x="1884"/>
        <item x="1030"/>
        <item x="10"/>
        <item x="1337"/>
        <item x="362"/>
        <item x="1363"/>
        <item x="1326"/>
        <item x="1129"/>
        <item x="1214"/>
        <item x="751"/>
        <item x="1866"/>
        <item x="493"/>
        <item x="1603"/>
        <item x="1898"/>
        <item x="1031"/>
        <item x="1623"/>
        <item x="1876"/>
        <item x="356"/>
        <item x="693"/>
        <item x="495"/>
        <item x="745"/>
        <item x="1784"/>
        <item x="71"/>
        <item x="1364"/>
        <item x="668"/>
        <item x="128"/>
        <item x="1442"/>
        <item x="1010"/>
        <item x="1814"/>
        <item x="1260"/>
        <item x="1251"/>
        <item x="1561"/>
        <item x="1292"/>
        <item x="1718"/>
        <item x="135"/>
        <item x="794"/>
        <item x="1362"/>
        <item x="2057"/>
        <item x="1137"/>
        <item x="1006"/>
        <item x="1349"/>
        <item x="1962"/>
        <item x="545"/>
        <item x="1430"/>
        <item x="1150"/>
        <item x="966"/>
        <item x="1344"/>
        <item x="245"/>
        <item x="755"/>
        <item x="1399"/>
        <item x="1983"/>
        <item x="960"/>
        <item x="1931"/>
        <item x="887"/>
        <item x="45"/>
        <item x="224"/>
        <item x="301"/>
        <item x="1140"/>
        <item x="74"/>
        <item x="1478"/>
        <item x="233"/>
        <item x="1618"/>
        <item x="1471"/>
        <item x="208"/>
        <item x="2031"/>
        <item x="1644"/>
        <item x="1173"/>
        <item x="36"/>
        <item x="1589"/>
        <item x="241"/>
        <item x="957"/>
        <item x="1235"/>
        <item x="1051"/>
        <item x="87"/>
        <item x="486"/>
        <item x="843"/>
        <item x="1499"/>
        <item x="342"/>
        <item x="327"/>
        <item x="343"/>
        <item x="1704"/>
        <item x="742"/>
        <item x="1052"/>
        <item x="391"/>
        <item x="435"/>
        <item x="300"/>
        <item x="1524"/>
        <item x="1755"/>
        <item x="81"/>
        <item x="1314"/>
        <item x="1145"/>
        <item x="1339"/>
        <item x="352"/>
        <item x="42"/>
        <item x="376"/>
        <item x="339"/>
        <item x="610"/>
        <item x="943"/>
        <item x="1882"/>
        <item x="1824"/>
        <item x="3"/>
        <item x="977"/>
        <item x="24"/>
        <item x="1198"/>
        <item x="1097"/>
        <item x="1192"/>
        <item x="1896"/>
        <item x="311"/>
        <item x="1209"/>
        <item x="1504"/>
        <item x="1480"/>
        <item x="875"/>
        <item x="1152"/>
        <item x="173"/>
        <item x="719"/>
        <item x="119"/>
        <item x="890"/>
        <item x="1049"/>
        <item x="1474"/>
        <item x="605"/>
        <item x="1233"/>
        <item x="1806"/>
        <item x="1564"/>
        <item x="1036"/>
        <item x="1425"/>
        <item x="11"/>
        <item x="1082"/>
        <item x="593"/>
        <item x="1267"/>
        <item x="799"/>
        <item x="1832"/>
        <item x="1993"/>
        <item x="1734"/>
        <item x="483"/>
        <item x="1801"/>
        <item x="1731"/>
        <item x="1697"/>
        <item x="1845"/>
        <item x="1100"/>
        <item x="629"/>
        <item x="260"/>
        <item x="407"/>
        <item x="1452"/>
        <item x="332"/>
        <item x="390"/>
        <item x="1170"/>
        <item x="1109"/>
        <item x="924"/>
        <item x="1271"/>
        <item x="1121"/>
        <item x="1639"/>
        <item x="426"/>
        <item x="1327"/>
        <item x="1"/>
        <item x="1695"/>
        <item x="1142"/>
        <item x="1662"/>
        <item x="1649"/>
        <item x="404"/>
        <item x="655"/>
        <item x="1787"/>
        <item x="1790"/>
        <item x="1668"/>
        <item x="940"/>
        <item x="823"/>
        <item x="1295"/>
        <item x="2052"/>
        <item x="544"/>
        <item x="782"/>
        <item x="1717"/>
        <item x="1356"/>
        <item x="1306"/>
        <item x="1413"/>
        <item x="551"/>
        <item x="388"/>
        <item x="1394"/>
        <item x="1869"/>
        <item x="408"/>
        <item x="1568"/>
        <item x="217"/>
        <item x="1061"/>
        <item x="749"/>
        <item x="878"/>
        <item x="1825"/>
        <item x="2022"/>
        <item x="210"/>
        <item x="841"/>
        <item x="105"/>
        <item x="806"/>
        <item x="111"/>
        <item x="1699"/>
        <item x="1427"/>
        <item x="1464"/>
        <item x="932"/>
        <item x="368"/>
        <item x="896"/>
        <item x="1930"/>
        <item x="347"/>
        <item x="747"/>
        <item x="1971"/>
        <item x="883"/>
        <item x="1705"/>
        <item x="1246"/>
        <item x="915"/>
        <item x="2037"/>
        <item x="1865"/>
        <item x="271"/>
        <item x="1520"/>
        <item x="53"/>
        <item x="1650"/>
        <item x="386"/>
        <item x="688"/>
        <item x="1329"/>
        <item x="1087"/>
        <item x="710"/>
        <item x="1343"/>
        <item x="951"/>
        <item x="2073"/>
        <item x="1369"/>
        <item x="1621"/>
        <item x="1202"/>
        <item x="595"/>
        <item x="879"/>
        <item x="417"/>
        <item x="616"/>
        <item x="159"/>
        <item x="387"/>
        <item x="1612"/>
        <item x="225"/>
        <item x="1476"/>
        <item x="1809"/>
        <item x="414"/>
        <item x="927"/>
        <item x="974"/>
        <item x="1535"/>
        <item x="1880"/>
        <item x="1358"/>
        <item x="160"/>
        <item x="2014"/>
        <item x="310"/>
        <item x="1952"/>
        <item x="1981"/>
        <item x="585"/>
        <item x="1608"/>
        <item x="207"/>
        <item x="306"/>
        <item x="328"/>
        <item x="1804"/>
        <item x="1810"/>
        <item x="1853"/>
        <item x="1400"/>
        <item x="1408"/>
        <item x="520"/>
        <item x="1472"/>
        <item x="1550"/>
        <item x="817"/>
        <item x="379"/>
        <item x="103"/>
        <item x="91"/>
        <item x="988"/>
        <item x="631"/>
        <item x="555"/>
        <item x="39"/>
        <item x="1871"/>
        <item x="1132"/>
        <item x="444"/>
        <item x="510"/>
        <item x="449"/>
        <item x="909"/>
        <item x="29"/>
        <item x="1712"/>
        <item x="1221"/>
        <item x="1885"/>
        <item x="172"/>
        <item x="1203"/>
        <item x="54"/>
        <item x="1905"/>
        <item x="274"/>
        <item x="819"/>
        <item x="1844"/>
        <item x="1298"/>
        <item x="100"/>
        <item x="359"/>
        <item x="1823"/>
        <item x="1308"/>
        <item x="654"/>
        <item x="1897"/>
        <item x="1762"/>
        <item x="56"/>
        <item x="1799"/>
        <item x="402"/>
        <item x="2002"/>
        <item x="897"/>
        <item x="1753"/>
        <item x="4"/>
        <item x="810"/>
        <item x="6"/>
        <item x="282"/>
        <item x="584"/>
        <item x="808"/>
        <item x="642"/>
        <item x="138"/>
        <item x="995"/>
        <item x="869"/>
        <item x="534"/>
        <item x="531"/>
        <item x="312"/>
        <item x="330"/>
        <item x="1398"/>
        <item x="1637"/>
        <item x="2024"/>
        <item x="2021"/>
        <item x="1206"/>
        <item x="2035"/>
        <item x="108"/>
        <item x="1558"/>
        <item x="953"/>
        <item x="1143"/>
        <item x="1877"/>
        <item x="1679"/>
        <item x="377"/>
        <item x="1256"/>
        <item x="1904"/>
        <item x="1932"/>
        <item x="740"/>
        <item x="1660"/>
        <item x="70"/>
        <item x="199"/>
        <item x="860"/>
        <item x="1539"/>
        <item x="984"/>
        <item x="1126"/>
        <item x="1336"/>
        <item x="1893"/>
        <item x="2032"/>
        <item x="350"/>
        <item x="1818"/>
        <item x="162"/>
        <item x="1846"/>
        <item x="382"/>
        <item x="226"/>
        <item x="178"/>
        <item x="543"/>
        <item x="134"/>
        <item x="910"/>
        <item x="1179"/>
        <item x="1144"/>
        <item x="1643"/>
        <item x="506"/>
        <item x="1275"/>
        <item x="1411"/>
        <item x="648"/>
        <item x="744"/>
        <item x="1090"/>
        <item x="188"/>
        <item x="1840"/>
        <item x="1026"/>
        <item x="1115"/>
        <item x="115"/>
        <item x="1347"/>
        <item x="1466"/>
        <item x="2026"/>
        <item x="1783"/>
        <item x="969"/>
        <item x="1134"/>
        <item x="1370"/>
        <item x="1861"/>
        <item x="1836"/>
        <item x="1694"/>
        <item x="1521"/>
        <item x="645"/>
        <item x="1745"/>
        <item x="1848"/>
        <item x="415"/>
        <item x="730"/>
        <item x="907"/>
        <item x="562"/>
        <item x="881"/>
        <item x="283"/>
        <item x="1048"/>
        <item x="2042"/>
        <item x="1547"/>
        <item x="1434"/>
        <item x="524"/>
        <item x="638"/>
        <item x="1901"/>
        <item x="1004"/>
        <item x="1262"/>
        <item x="1258"/>
        <item x="1773"/>
        <item x="1664"/>
        <item x="1341"/>
        <item x="1187"/>
        <item x="683"/>
        <item x="2053"/>
        <item x="288"/>
        <item x="62"/>
        <item x="2018"/>
        <item x="95"/>
        <item x="1218"/>
        <item x="708"/>
        <item x="1542"/>
        <item x="1032"/>
        <item x="1319"/>
        <item x="60"/>
        <item x="746"/>
        <item x="834"/>
        <item x="1601"/>
        <item x="77"/>
        <item x="1128"/>
        <item x="1827"/>
        <item x="255"/>
        <item x="127"/>
        <item x="1119"/>
        <item x="1964"/>
        <item x="1110"/>
        <item x="1290"/>
        <item x="1750"/>
        <item x="1368"/>
        <item x="1402"/>
        <item x="394"/>
        <item x="1613"/>
        <item x="981"/>
        <item x="242"/>
        <item x="1711"/>
        <item x="1965"/>
        <item x="1569"/>
        <item x="1819"/>
        <item x="1334"/>
        <item x="968"/>
        <item x="1488"/>
        <item x="1146"/>
        <item x="2056"/>
        <item x="1117"/>
        <item x="831"/>
        <item x="1019"/>
        <item x="624"/>
        <item x="1439"/>
        <item x="1093"/>
        <item x="1563"/>
        <item x="920"/>
        <item x="1807"/>
        <item x="1775"/>
        <item x="1744"/>
        <item x="232"/>
        <item x="467"/>
        <item x="1707"/>
        <item x="1779"/>
        <item x="1151"/>
        <item x="1685"/>
        <item x="1999"/>
        <item x="1816"/>
        <item x="468"/>
        <item x="1259"/>
        <item x="1834"/>
        <item x="1942"/>
        <item x="2071"/>
        <item x="1507"/>
        <item x="324"/>
        <item x="677"/>
        <item x="319"/>
        <item x="1039"/>
        <item x="1536"/>
        <item x="1828"/>
        <item x="1580"/>
        <item x="849"/>
        <item x="1490"/>
        <item x="419"/>
        <item x="498"/>
        <item x="1517"/>
        <item x="579"/>
        <item x="518"/>
        <item x="2028"/>
        <item x="1325"/>
        <item x="1081"/>
        <item x="436"/>
        <item x="1072"/>
        <item x="1864"/>
        <item x="1050"/>
        <item x="1009"/>
        <item x="1772"/>
        <item x="370"/>
        <item x="820"/>
        <item x="175"/>
        <item x="1462"/>
        <item x="1195"/>
        <item x="1620"/>
        <item x="867"/>
        <item x="698"/>
        <item x="440"/>
        <item x="519"/>
        <item x="156"/>
        <item x="1654"/>
        <item x="601"/>
        <item x="1216"/>
        <item x="1099"/>
        <item x="1252"/>
        <item x="205"/>
        <item x="503"/>
        <item x="1037"/>
        <item x="922"/>
        <item x="1716"/>
        <item x="798"/>
        <item x="1380"/>
        <item x="687"/>
        <item x="1104"/>
        <item x="126"/>
        <item x="262"/>
        <item x="289"/>
        <item x="1372"/>
        <item x="522"/>
        <item x="1015"/>
        <item x="1741"/>
        <item x="1625"/>
        <item x="891"/>
        <item x="1092"/>
        <item x="1091"/>
        <item x="1108"/>
        <item x="335"/>
        <item x="502"/>
        <item x="2040"/>
        <item x="1064"/>
        <item x="526"/>
        <item x="1847"/>
        <item x="1338"/>
        <item x="55"/>
        <item x="1367"/>
        <item x="961"/>
        <item x="1859"/>
        <item x="1593"/>
        <item x="1067"/>
        <item x="1183"/>
        <item x="1605"/>
        <item x="1289"/>
        <item x="1873"/>
        <item x="1501"/>
        <item x="1895"/>
        <item x="373"/>
        <item x="505"/>
        <item x="1987"/>
        <item x="1497"/>
        <item x="315"/>
        <item x="195"/>
        <item x="211"/>
        <item x="1003"/>
        <item x="280"/>
        <item x="862"/>
        <item x="1632"/>
        <item x="1473"/>
        <item x="771"/>
        <item x="928"/>
        <item x="82"/>
        <item x="1518"/>
        <item x="516"/>
        <item x="1584"/>
        <item x="1147"/>
        <item x="1928"/>
        <item x="1447"/>
        <item x="800"/>
        <item x="830"/>
        <item x="345"/>
        <item x="1525"/>
        <item x="1131"/>
        <item x="542"/>
        <item x="1641"/>
        <item x="917"/>
        <item x="1244"/>
        <item x="0"/>
        <item x="680"/>
        <item x="1887"/>
        <item x="1025"/>
        <item x="1565"/>
        <item x="1330"/>
        <item x="2015"/>
        <item x="982"/>
        <item x="46"/>
        <item x="1382"/>
        <item x="829"/>
        <item x="58"/>
        <item x="1607"/>
        <item x="872"/>
        <item x="1984"/>
        <item x="1791"/>
        <item x="1317"/>
        <item x="712"/>
        <item x="2003"/>
        <item x="1851"/>
        <item x="1922"/>
        <item x="1598"/>
        <item x="381"/>
        <item x="221"/>
        <item x="1663"/>
        <item x="1171"/>
        <item x="1011"/>
        <item x="1311"/>
        <item x="1254"/>
        <item x="1666"/>
        <item x="1835"/>
        <item x="292"/>
        <item x="901"/>
        <item x="1767"/>
        <item x="983"/>
        <item x="2061"/>
        <item x="378"/>
        <item x="492"/>
        <item x="1068"/>
        <item x="489"/>
        <item x="1053"/>
        <item x="265"/>
        <item x="1318"/>
        <item x="80"/>
        <item x="86"/>
        <item x="573"/>
        <item x="1746"/>
        <item x="1614"/>
        <item x="192"/>
        <item x="847"/>
        <item x="94"/>
        <item x="145"/>
        <item x="625"/>
        <item x="1976"/>
        <item x="1752"/>
        <item x="26"/>
        <item x="1506"/>
        <item x="1088"/>
        <item x="1571"/>
        <item x="2004"/>
        <item x="1842"/>
        <item x="482"/>
        <item x="1735"/>
        <item x="243"/>
        <item x="582"/>
        <item x="695"/>
        <item x="1988"/>
        <item x="1020"/>
        <item x="665"/>
        <item x="338"/>
        <item x="1274"/>
        <item x="1168"/>
        <item x="212"/>
        <item x="1841"/>
        <item x="690"/>
        <item x="1265"/>
        <item x="32"/>
        <item x="1990"/>
        <item x="1582"/>
        <item x="167"/>
        <item x="596"/>
        <item x="766"/>
        <item x="308"/>
        <item x="1549"/>
        <item x="669"/>
        <item x="1261"/>
        <item x="1665"/>
        <item x="1578"/>
        <item x="1526"/>
        <item x="1453"/>
        <item x="581"/>
        <item x="1667"/>
        <item x="96"/>
        <item x="1495"/>
        <item x="1211"/>
        <item x="360"/>
        <item x="488"/>
        <item x="2070"/>
        <item x="1332"/>
        <item x="1923"/>
        <item x="1381"/>
        <item x="400"/>
        <item x="1557"/>
        <item x="1645"/>
        <item x="1421"/>
        <item x="346"/>
        <item x="117"/>
        <item x="323"/>
        <item x="1023"/>
        <item x="1383"/>
        <item x="109"/>
        <item x="1055"/>
        <item x="992"/>
        <item x="1634"/>
        <item x="987"/>
        <item x="637"/>
        <item x="805"/>
        <item x="1493"/>
        <item x="1515"/>
        <item x="546"/>
        <item x="34"/>
        <item x="1122"/>
        <item x="793"/>
        <item x="824"/>
        <item x="1541"/>
        <item x="1111"/>
        <item x="270"/>
        <item x="1253"/>
        <item x="873"/>
        <item x="603"/>
        <item x="1281"/>
        <item x="682"/>
        <item x="1989"/>
        <item x="818"/>
        <item x="1909"/>
        <item x="1622"/>
        <item x="1811"/>
        <item x="1531"/>
        <item x="1544"/>
        <item x="1609"/>
        <item x="1285"/>
        <item x="1874"/>
        <item x="783"/>
        <item x="337"/>
        <item x="1555"/>
        <item x="1918"/>
        <item x="1352"/>
        <item x="1479"/>
        <item x="1596"/>
        <item x="1366"/>
        <item x="1440"/>
        <item x="773"/>
        <item x="893"/>
        <item x="1389"/>
        <item x="99"/>
        <item x="1387"/>
        <item x="448"/>
        <item x="885"/>
        <item x="812"/>
        <item x="852"/>
        <item x="673"/>
        <item x="196"/>
        <item x="1529"/>
        <item x="767"/>
        <item x="697"/>
        <item x="1454"/>
        <item x="991"/>
        <item x="1165"/>
        <item x="393"/>
        <item x="1000"/>
        <item x="1729"/>
        <item x="465"/>
        <item x="1415"/>
        <item x="1431"/>
        <item x="357"/>
        <item x="198"/>
        <item x="2011"/>
        <item x="499"/>
        <item x="453"/>
        <item x="720"/>
        <item x="1076"/>
        <item x="842"/>
        <item x="1688"/>
        <item x="256"/>
        <item x="2074"/>
        <item x="2007"/>
        <item x="532"/>
        <item x="1390"/>
        <item x="1276"/>
        <item x="151"/>
        <item x="803"/>
        <item x="1279"/>
        <item x="1083"/>
        <item x="1283"/>
        <item x="1698"/>
        <item x="1136"/>
        <item x="759"/>
        <item x="779"/>
        <item x="44"/>
        <item x="1782"/>
        <item x="294"/>
        <item x="1600"/>
        <item x="1045"/>
        <item x="828"/>
        <item x="366"/>
        <item x="876"/>
        <item x="608"/>
        <item x="877"/>
        <item x="827"/>
        <item x="1207"/>
        <item x="1293"/>
        <item x="635"/>
        <item x="1451"/>
        <item x="1914"/>
        <item x="964"/>
        <item x="711"/>
        <item x="141"/>
        <item x="1902"/>
        <item x="538"/>
        <item x="880"/>
        <item x="718"/>
        <item x="1991"/>
        <item x="1929"/>
        <item x="47"/>
        <item x="1723"/>
        <item x="1057"/>
        <item x="18"/>
        <item x="1797"/>
        <item x="1556"/>
        <item x="699"/>
        <item x="706"/>
        <item x="1414"/>
        <item x="33"/>
        <item x="1761"/>
        <item x="273"/>
        <item x="1974"/>
        <item x="1174"/>
        <item x="948"/>
        <item x="410"/>
        <item x="1927"/>
        <item x="1629"/>
        <item x="1302"/>
        <item x="50"/>
        <item x="781"/>
        <item x="78"/>
        <item x="405"/>
        <item x="1001"/>
        <item x="2060"/>
        <item x="1149"/>
        <item x="1516"/>
        <item x="1881"/>
        <item x="153"/>
        <item x="1579"/>
        <item x="809"/>
        <item x="16"/>
        <item x="1683"/>
        <item x="1714"/>
        <item x="754"/>
        <item x="1177"/>
        <item x="1287"/>
        <item x="369"/>
        <item x="736"/>
        <item x="1303"/>
        <item x="825"/>
        <item x="197"/>
        <item x="758"/>
        <item x="978"/>
        <item x="437"/>
        <item x="344"/>
        <item x="1084"/>
        <item x="1018"/>
        <item x="395"/>
        <item x="674"/>
        <item x="1028"/>
        <item x="1191"/>
        <item x="855"/>
        <item x="501"/>
        <item x="1432"/>
        <item x="1264"/>
        <item x="558"/>
        <item x="165"/>
        <item x="1123"/>
        <item x="309"/>
        <item x="1482"/>
        <item x="177"/>
        <item x="446"/>
        <item x="1188"/>
        <item x="1867"/>
        <item x="1078"/>
        <item x="965"/>
        <item x="563"/>
        <item x="1730"/>
        <item x="1060"/>
        <item x="556"/>
        <item x="40"/>
        <item x="963"/>
        <item x="358"/>
        <item x="1978"/>
        <item x="341"/>
        <item x="425"/>
        <item x="397"/>
        <item x="1802"/>
        <item x="1963"/>
        <item x="976"/>
        <item x="1822"/>
        <item x="950"/>
        <item x="1033"/>
        <item x="1738"/>
        <item x="2020"/>
        <item x="938"/>
        <item x="1975"/>
        <item x="921"/>
        <item x="1277"/>
        <item x="989"/>
        <item x="659"/>
        <item x="1124"/>
        <item x="1996"/>
        <item x="814"/>
        <item x="474"/>
        <item x="263"/>
        <item x="202"/>
        <item x="216"/>
        <item x="2033"/>
        <item x="2069"/>
        <item x="1514"/>
        <item x="778"/>
        <item x="1360"/>
        <item x="2047"/>
        <item x="464"/>
        <item x="457"/>
        <item x="942"/>
        <item x="691"/>
        <item x="136"/>
        <item x="1379"/>
        <item x="272"/>
        <item x="864"/>
        <item x="1222"/>
        <item x="278"/>
        <item x="189"/>
        <item x="2043"/>
        <item x="1574"/>
        <item x="628"/>
        <item x="1833"/>
        <item x="463"/>
        <item x="1315"/>
        <item x="552"/>
        <item x="1257"/>
        <item x="839"/>
        <item x="644"/>
        <item x="1167"/>
        <item x="2000"/>
        <item x="1385"/>
        <item x="871"/>
        <item x="1457"/>
        <item x="726"/>
        <item x="340"/>
        <item x="681"/>
        <item x="1469"/>
        <item x="533"/>
        <item x="985"/>
        <item x="287"/>
        <item x="1017"/>
        <item x="528"/>
        <item x="1157"/>
        <item x="611"/>
        <item x="48"/>
        <item x="206"/>
        <item x="409"/>
        <item x="140"/>
        <item x="684"/>
        <item x="1322"/>
        <item x="472"/>
        <item x="1215"/>
        <item x="1483"/>
        <item x="66"/>
        <item x="739"/>
        <item x="1647"/>
        <item x="1936"/>
        <item x="286"/>
        <item x="886"/>
        <item x="1935"/>
        <item x="2016"/>
        <item x="1742"/>
        <item x="1686"/>
        <item x="1312"/>
        <item x="906"/>
        <item x="1862"/>
        <item x="898"/>
        <item x="1676"/>
        <item x="186"/>
        <item t="default"/>
      </items>
    </pivotField>
    <pivotField compact="0" showAll="0">
      <items count="7">
        <item x="1"/>
        <item x="2"/>
        <item x="5"/>
        <item x="3"/>
        <item x="4"/>
        <item x="0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54">
        <item x="649"/>
        <item x="691"/>
        <item x="314"/>
        <item x="164"/>
        <item x="238"/>
        <item x="740"/>
        <item x="440"/>
        <item x="216"/>
        <item x="613"/>
        <item x="499"/>
        <item x="463"/>
        <item x="357"/>
        <item x="206"/>
        <item x="107"/>
        <item x="503"/>
        <item x="28"/>
        <item x="140"/>
        <item x="232"/>
        <item x="513"/>
        <item x="273"/>
        <item x="97"/>
        <item x="427"/>
        <item x="254"/>
        <item x="453"/>
        <item x="378"/>
        <item x="635"/>
        <item x="210"/>
        <item x="220"/>
        <item x="159"/>
        <item x="36"/>
        <item x="332"/>
        <item x="260"/>
        <item x="296"/>
        <item x="366"/>
        <item x="462"/>
        <item x="194"/>
        <item x="472"/>
        <item x="548"/>
        <item x="361"/>
        <item x="196"/>
        <item x="668"/>
        <item x="249"/>
        <item x="679"/>
        <item x="39"/>
        <item x="738"/>
        <item x="732"/>
        <item x="334"/>
        <item x="127"/>
        <item x="688"/>
        <item x="584"/>
        <item x="119"/>
        <item x="1"/>
        <item x="380"/>
        <item x="2"/>
        <item x="432"/>
        <item x="692"/>
        <item x="493"/>
        <item x="674"/>
        <item x="154"/>
        <item x="96"/>
        <item x="518"/>
        <item x="483"/>
        <item x="74"/>
        <item x="29"/>
        <item x="43"/>
        <item x="307"/>
        <item x="330"/>
        <item x="664"/>
        <item x="575"/>
        <item x="589"/>
        <item x="746"/>
        <item x="235"/>
        <item x="603"/>
        <item x="178"/>
        <item x="368"/>
        <item x="532"/>
        <item x="342"/>
        <item x="626"/>
        <item x="258"/>
        <item x="57"/>
        <item x="91"/>
        <item x="619"/>
        <item x="719"/>
        <item x="699"/>
        <item x="632"/>
        <item x="662"/>
        <item x="162"/>
        <item x="597"/>
        <item x="509"/>
        <item x="271"/>
        <item x="94"/>
        <item x="743"/>
        <item x="250"/>
        <item x="581"/>
        <item x="391"/>
        <item x="547"/>
        <item x="566"/>
        <item x="406"/>
        <item x="587"/>
        <item x="687"/>
        <item x="735"/>
        <item x="25"/>
        <item x="384"/>
        <item x="267"/>
        <item x="716"/>
        <item x="715"/>
        <item x="227"/>
        <item x="424"/>
        <item x="430"/>
        <item x="395"/>
        <item x="492"/>
        <item x="511"/>
        <item x="323"/>
        <item x="747"/>
        <item x="337"/>
        <item x="538"/>
        <item x="482"/>
        <item x="313"/>
        <item x="172"/>
        <item x="338"/>
        <item x="466"/>
        <item x="348"/>
        <item x="180"/>
        <item x="292"/>
        <item x="257"/>
        <item x="684"/>
        <item x="274"/>
        <item x="407"/>
        <item x="485"/>
        <item x="102"/>
        <item x="241"/>
        <item x="293"/>
        <item x="373"/>
        <item x="389"/>
        <item x="439"/>
        <item x="17"/>
        <item x="624"/>
        <item x="599"/>
        <item x="263"/>
        <item x="745"/>
        <item x="428"/>
        <item x="398"/>
        <item x="390"/>
        <item x="494"/>
        <item x="534"/>
        <item x="90"/>
        <item x="558"/>
        <item x="177"/>
        <item x="52"/>
        <item x="131"/>
        <item x="467"/>
        <item x="226"/>
        <item x="93"/>
        <item x="557"/>
        <item x="352"/>
        <item x="229"/>
        <item x="471"/>
        <item x="620"/>
        <item x="505"/>
        <item x="601"/>
        <item x="752"/>
        <item x="487"/>
        <item x="312"/>
        <item x="165"/>
        <item x="418"/>
        <item x="586"/>
        <item x="709"/>
        <item x="475"/>
        <item x="268"/>
        <item x="516"/>
        <item x="591"/>
        <item x="48"/>
        <item x="385"/>
        <item x="98"/>
        <item x="306"/>
        <item x="527"/>
        <item x="21"/>
        <item x="750"/>
        <item x="593"/>
        <item x="120"/>
        <item x="80"/>
        <item x="356"/>
        <item x="38"/>
        <item x="409"/>
        <item x="615"/>
        <item x="697"/>
        <item x="114"/>
        <item x="500"/>
        <item x="284"/>
        <item x="23"/>
        <item x="221"/>
        <item x="410"/>
        <item x="729"/>
        <item x="452"/>
        <item x="617"/>
        <item x="186"/>
        <item x="651"/>
        <item x="207"/>
        <item x="643"/>
        <item x="486"/>
        <item x="526"/>
        <item x="124"/>
        <item x="530"/>
        <item x="677"/>
        <item x="259"/>
        <item x="404"/>
        <item x="680"/>
        <item x="723"/>
        <item x="724"/>
        <item x="671"/>
        <item x="144"/>
        <item x="157"/>
        <item x="139"/>
        <item x="209"/>
        <item x="125"/>
        <item x="610"/>
        <item x="700"/>
        <item x="283"/>
        <item x="95"/>
        <item x="60"/>
        <item x="720"/>
        <item x="224"/>
        <item x="104"/>
        <item x="34"/>
        <item x="681"/>
        <item x="393"/>
        <item x="282"/>
        <item x="474"/>
        <item x="443"/>
        <item x="277"/>
        <item x="191"/>
        <item x="614"/>
        <item x="637"/>
        <item x="246"/>
        <item x="176"/>
        <item x="429"/>
        <item x="722"/>
        <item x="507"/>
        <item x="376"/>
        <item x="667"/>
        <item x="417"/>
        <item x="604"/>
        <item x="364"/>
        <item x="742"/>
        <item x="419"/>
        <item x="435"/>
        <item x="666"/>
        <item x="242"/>
        <item x="333"/>
        <item x="349"/>
        <item x="535"/>
        <item x="553"/>
        <item x="225"/>
        <item x="434"/>
        <item x="415"/>
        <item x="182"/>
        <item x="542"/>
        <item x="479"/>
        <item x="280"/>
        <item x="450"/>
        <item x="336"/>
        <item x="539"/>
        <item x="297"/>
        <item x="291"/>
        <item x="711"/>
        <item x="353"/>
        <item x="543"/>
        <item x="79"/>
        <item x="728"/>
        <item x="576"/>
        <item x="135"/>
        <item x="41"/>
        <item x="281"/>
        <item x="18"/>
        <item x="645"/>
        <item x="465"/>
        <item x="272"/>
        <item x="672"/>
        <item x="75"/>
        <item x="616"/>
        <item x="171"/>
        <item x="322"/>
        <item x="8"/>
        <item x="65"/>
        <item x="612"/>
        <item x="308"/>
        <item x="187"/>
        <item x="67"/>
        <item x="495"/>
        <item x="290"/>
        <item x="214"/>
        <item x="300"/>
        <item x="179"/>
        <item x="301"/>
        <item x="346"/>
        <item x="37"/>
        <item x="544"/>
        <item x="655"/>
        <item x="497"/>
        <item x="609"/>
        <item x="315"/>
        <item x="595"/>
        <item x="456"/>
        <item x="58"/>
        <item x="269"/>
        <item x="190"/>
        <item x="359"/>
        <item x="442"/>
        <item x="733"/>
        <item x="174"/>
        <item x="47"/>
        <item x="121"/>
        <item x="15"/>
        <item x="727"/>
        <item x="379"/>
        <item x="279"/>
        <item x="113"/>
        <item x="423"/>
        <item x="441"/>
        <item x="92"/>
        <item x="161"/>
        <item x="628"/>
        <item x="707"/>
        <item x="82"/>
        <item x="408"/>
        <item x="248"/>
        <item x="151"/>
        <item x="50"/>
        <item x="670"/>
        <item x="304"/>
        <item x="143"/>
        <item x="327"/>
        <item x="402"/>
        <item x="682"/>
        <item x="412"/>
        <item x="133"/>
        <item x="239"/>
        <item x="344"/>
        <item x="26"/>
        <item x="101"/>
        <item x="192"/>
        <item x="245"/>
        <item x="708"/>
        <item x="110"/>
        <item x="158"/>
        <item x="627"/>
        <item x="152"/>
        <item x="377"/>
        <item x="386"/>
        <item x="577"/>
        <item x="49"/>
        <item x="730"/>
        <item x="62"/>
        <item x="669"/>
        <item x="331"/>
        <item x="117"/>
        <item x="12"/>
        <item x="5"/>
        <item x="646"/>
        <item x="108"/>
        <item x="477"/>
        <item x="288"/>
        <item x="289"/>
        <item x="491"/>
        <item x="541"/>
        <item x="51"/>
        <item x="358"/>
        <item x="148"/>
        <item x="652"/>
        <item x="618"/>
        <item x="298"/>
        <item x="634"/>
        <item x="123"/>
        <item x="365"/>
        <item x="529"/>
        <item x="240"/>
        <item x="564"/>
        <item x="622"/>
        <item x="237"/>
        <item x="54"/>
        <item x="30"/>
        <item x="69"/>
        <item x="14"/>
        <item x="583"/>
        <item x="20"/>
        <item x="71"/>
        <item x="588"/>
        <item x="549"/>
        <item x="579"/>
        <item x="731"/>
        <item x="185"/>
        <item x="255"/>
        <item x="744"/>
        <item x="204"/>
        <item x="654"/>
        <item x="704"/>
        <item x="109"/>
        <item x="285"/>
        <item x="88"/>
        <item x="189"/>
        <item x="265"/>
        <item x="561"/>
        <item x="714"/>
        <item x="11"/>
        <item x="77"/>
        <item x="205"/>
        <item x="66"/>
        <item x="585"/>
        <item x="457"/>
        <item x="198"/>
        <item x="222"/>
        <item x="266"/>
        <item x="211"/>
        <item x="524"/>
        <item x="546"/>
        <item x="208"/>
        <item x="213"/>
        <item x="341"/>
        <item x="126"/>
        <item x="702"/>
        <item x="683"/>
        <item x="56"/>
        <item x="706"/>
        <item x="739"/>
        <item x="473"/>
        <item x="625"/>
        <item x="112"/>
        <item x="233"/>
        <item x="276"/>
        <item x="689"/>
        <item x="347"/>
        <item x="501"/>
        <item x="639"/>
        <item x="219"/>
        <item x="540"/>
        <item x="73"/>
        <item x="698"/>
        <item x="690"/>
        <item x="629"/>
        <item x="741"/>
        <item x="228"/>
        <item x="236"/>
        <item x="580"/>
        <item x="464"/>
        <item x="134"/>
        <item x="381"/>
        <item x="422"/>
        <item x="705"/>
        <item x="446"/>
        <item x="45"/>
        <item x="383"/>
        <item x="302"/>
        <item x="147"/>
        <item x="436"/>
        <item x="594"/>
        <item x="343"/>
        <item x="454"/>
        <item x="751"/>
        <item x="270"/>
        <item x="375"/>
        <item x="521"/>
        <item x="218"/>
        <item x="605"/>
        <item x="675"/>
        <item x="444"/>
        <item x="563"/>
        <item x="275"/>
        <item x="128"/>
        <item x="369"/>
        <item x="305"/>
        <item x="262"/>
        <item x="387"/>
        <item x="4"/>
        <item x="7"/>
        <item x="320"/>
        <item x="414"/>
        <item x="33"/>
        <item x="231"/>
        <item x="641"/>
        <item x="16"/>
        <item x="531"/>
        <item x="426"/>
        <item x="653"/>
        <item x="582"/>
        <item x="545"/>
        <item x="251"/>
        <item x="572"/>
        <item x="168"/>
        <item x="324"/>
        <item x="142"/>
        <item x="512"/>
        <item x="676"/>
        <item x="559"/>
        <item x="55"/>
        <item x="400"/>
        <item x="574"/>
        <item x="53"/>
        <item x="371"/>
        <item x="498"/>
        <item x="129"/>
        <item x="630"/>
        <item x="661"/>
        <item x="413"/>
        <item x="188"/>
        <item x="537"/>
        <item x="663"/>
        <item x="326"/>
        <item x="525"/>
        <item x="13"/>
        <item x="193"/>
        <item x="647"/>
        <item x="644"/>
        <item x="508"/>
        <item x="551"/>
        <item x="83"/>
        <item x="355"/>
        <item x="382"/>
        <item x="685"/>
        <item x="351"/>
        <item x="202"/>
        <item x="199"/>
        <item x="234"/>
        <item x="122"/>
        <item x="170"/>
        <item x="405"/>
        <item x="345"/>
        <item x="734"/>
        <item x="78"/>
        <item x="656"/>
        <item x="569"/>
        <item x="449"/>
        <item x="319"/>
        <item x="370"/>
        <item x="195"/>
        <item x="570"/>
        <item x="363"/>
        <item x="85"/>
        <item x="166"/>
        <item x="401"/>
        <item x="717"/>
        <item x="40"/>
        <item x="481"/>
        <item x="100"/>
        <item x="286"/>
        <item x="175"/>
        <item x="247"/>
        <item x="138"/>
        <item x="27"/>
        <item x="420"/>
        <item x="416"/>
        <item x="478"/>
        <item x="84"/>
        <item x="200"/>
        <item x="149"/>
        <item x="528"/>
        <item x="63"/>
        <item x="611"/>
        <item x="484"/>
        <item x="169"/>
        <item x="3"/>
        <item x="470"/>
        <item x="76"/>
        <item x="631"/>
        <item x="153"/>
        <item x="693"/>
        <item x="354"/>
        <item x="243"/>
        <item x="431"/>
        <item x="46"/>
        <item x="573"/>
        <item x="68"/>
        <item x="523"/>
        <item x="556"/>
        <item x="403"/>
        <item x="399"/>
        <item x="598"/>
        <item x="552"/>
        <item x="468"/>
        <item x="578"/>
        <item x="638"/>
        <item x="155"/>
        <item x="712"/>
        <item x="657"/>
        <item x="550"/>
        <item x="388"/>
        <item x="264"/>
        <item x="602"/>
        <item x="726"/>
        <item x="374"/>
        <item x="642"/>
        <item x="217"/>
        <item x="480"/>
        <item x="447"/>
        <item x="372"/>
        <item x="392"/>
        <item x="141"/>
        <item x="311"/>
        <item x="130"/>
        <item x="325"/>
        <item x="445"/>
        <item x="451"/>
        <item x="89"/>
        <item x="621"/>
        <item x="554"/>
        <item x="660"/>
        <item x="397"/>
        <item x="81"/>
        <item x="522"/>
        <item x="421"/>
        <item x="44"/>
        <item x="278"/>
        <item x="695"/>
        <item x="496"/>
        <item x="350"/>
        <item x="648"/>
        <item x="6"/>
        <item x="490"/>
        <item x="659"/>
        <item x="253"/>
        <item x="725"/>
        <item x="565"/>
        <item x="623"/>
        <item x="433"/>
        <item x="116"/>
        <item x="87"/>
        <item x="721"/>
        <item x="299"/>
        <item x="510"/>
        <item x="665"/>
        <item x="252"/>
        <item x="256"/>
        <item x="173"/>
        <item x="567"/>
        <item x="163"/>
        <item x="201"/>
        <item x="340"/>
        <item x="335"/>
        <item x="520"/>
        <item x="737"/>
        <item x="0"/>
        <item x="150"/>
        <item x="517"/>
        <item x="339"/>
        <item x="360"/>
        <item x="61"/>
        <item x="678"/>
        <item x="10"/>
        <item x="294"/>
        <item x="560"/>
        <item x="367"/>
        <item x="519"/>
        <item x="24"/>
        <item x="86"/>
        <item x="244"/>
        <item x="261"/>
        <item x="329"/>
        <item x="146"/>
        <item x="316"/>
        <item x="694"/>
        <item x="99"/>
        <item x="362"/>
        <item x="212"/>
        <item x="673"/>
        <item x="701"/>
        <item x="215"/>
        <item x="310"/>
        <item x="59"/>
        <item x="459"/>
        <item x="167"/>
        <item x="137"/>
        <item x="514"/>
        <item x="72"/>
        <item x="111"/>
        <item x="448"/>
        <item x="606"/>
        <item x="425"/>
        <item x="590"/>
        <item x="749"/>
        <item x="197"/>
        <item x="181"/>
        <item x="396"/>
        <item x="303"/>
        <item x="317"/>
        <item x="203"/>
        <item x="506"/>
        <item x="536"/>
        <item x="132"/>
        <item x="115"/>
        <item x="658"/>
        <item x="533"/>
        <item x="105"/>
        <item x="476"/>
        <item x="469"/>
        <item x="736"/>
        <item x="9"/>
        <item x="592"/>
        <item x="568"/>
        <item x="633"/>
        <item x="696"/>
        <item x="156"/>
        <item x="230"/>
        <item x="32"/>
        <item x="504"/>
        <item x="718"/>
        <item x="309"/>
        <item x="295"/>
        <item x="223"/>
        <item x="160"/>
        <item x="70"/>
        <item x="106"/>
        <item x="488"/>
        <item x="321"/>
        <item x="600"/>
        <item x="458"/>
        <item x="328"/>
        <item x="455"/>
        <item x="103"/>
        <item x="22"/>
        <item x="437"/>
        <item x="145"/>
        <item x="713"/>
        <item x="438"/>
        <item x="318"/>
        <item x="394"/>
        <item x="608"/>
        <item x="411"/>
        <item x="640"/>
        <item x="636"/>
        <item x="64"/>
        <item x="571"/>
        <item x="710"/>
        <item x="489"/>
        <item x="515"/>
        <item x="686"/>
        <item x="184"/>
        <item x="19"/>
        <item x="596"/>
        <item x="650"/>
        <item x="562"/>
        <item x="748"/>
        <item x="42"/>
        <item x="31"/>
        <item x="35"/>
        <item x="136"/>
        <item x="287"/>
        <item x="183"/>
        <item x="502"/>
        <item x="607"/>
        <item x="703"/>
        <item x="460"/>
        <item x="555"/>
        <item x="461"/>
        <item x="118"/>
        <item t="default"/>
      </items>
    </pivotField>
    <pivotField compact="0" showAll="0">
      <items count="3">
        <item x="1"/>
        <item x="0"/>
        <item t="default"/>
      </items>
    </pivotField>
    <pivotField compact="0" defaultSubtotal="0" showAll="0">
      <items count="4">
        <item x="0"/>
        <item x="3"/>
        <item x="1"/>
        <item x="2"/>
      </items>
    </pivotField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Count of Transaction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s__Transaction_Date" sourceName="Years (Transaction_Date)">
  <pivotTables>
    <pivotTable tabId="6" name="PivotTable2"/>
  </pivotTables>
  <data>
    <tabular pivotCacheId="1">
      <items count="4">
        <i x="1" s="1"/>
        <i x="2" s="1"/>
        <i x="0" s="1" nd="1"/>
        <i x="3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ode" sourceName="Payment_Mode">
  <pivotTables>
    <pivotTable tabId="5" name="PivotTable1"/>
  </pivotTables>
  <data>
    <tabular pivotCacheId="1">
      <items count="6">
        <i x="1" s="1"/>
        <i x="2" s="1"/>
        <i x="5" s="1"/>
        <i x="3" s="1"/>
        <i x="4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_Channel" sourceName="Sales_Channel">
  <pivotTables>
    <pivotTable tabId="7" name="PivotTable3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turn_Status" sourceName="Return_Status">
  <pivotTables>
    <pivotTable tabId="10" name="PivotTable6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ayment_Mode" cache="Slicer_Payment_Mode" caption="Payment_Mode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s (Transaction_Date)" cache="Slicer_Years__Transaction_Date" caption="Years (Transaction_Date)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ales_Channel" cache="Slicer_Sales_Channel" caption="Sales_Channel" rowHeight="22542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turn_Status" cache="Slicer_Return_Status" caption="Return_Status" rowHeight="225425"/>
</slicers>
</file>

<file path=xl/tables/table1.xml><?xml version="1.0" encoding="utf-8"?>
<table xmlns="http://schemas.openxmlformats.org/spreadsheetml/2006/main" id="1" name="Table1" displayName="Table1" ref="A1:Z2501" totalsRowShown="0">
  <autoFilter xmlns:etc="http://www.wps.cn/officeDocument/2017/etCustomData" ref="A1:Z2501" etc:filterBottomFollowUsedRange="0">
    <extLst/>
  </autoFilter>
  <tableColumns count="26">
    <tableColumn id="1" name="Transaction_ID"/>
    <tableColumn id="2" name="Invoice_Number"/>
    <tableColumn id="3" name="Transaction_Date" dataDxfId="19"/>
    <tableColumn id="4" name="Year"/>
    <tableColumn id="5" name="Month"/>
    <tableColumn id="6" name="Month_Name"/>
    <tableColumn id="7" name="Quarter"/>
    <tableColumn id="8" name="Customer_ID"/>
    <tableColumn id="9" name="Product_ID"/>
    <tableColumn id="10" name="Store_ID"/>
    <tableColumn id="11" name="Employee_ID"/>
    <tableColumn id="12" name="Quantity"/>
    <tableColumn id="13" name="Unit_Price" dataDxfId="20"/>
    <tableColumn id="14" name="Discount_Pct" dataDxfId="21"/>
    <tableColumn id="15" name="Discount_Amount" dataDxfId="22"/>
    <tableColumn id="16" name="Tax_Amount" dataDxfId="23"/>
    <tableColumn id="17" name="Sales_Amount" dataDxfId="24"/>
    <tableColumn id="18" name="Cost_Amount" dataDxfId="25"/>
    <tableColumn id="19" name="Profit" dataDxfId="26"/>
    <tableColumn id="20" name="Profit_Margin" dataDxfId="27"/>
    <tableColumn id="21" name="Payment_Mode"/>
    <tableColumn id="22" name="Return_Status"/>
    <tableColumn id="23" name="Returned_Flag"/>
    <tableColumn id="24" name="Sales_Channel"/>
    <tableColumn id="25" name="Order_Time"/>
    <tableColumn id="26" name="Day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自定义 3">
    <a:dk1>
      <a:srgbClr val="000000"/>
    </a:dk1>
    <a:lt1>
      <a:srgbClr val="FFFFFF"/>
    </a:lt1>
    <a:dk2>
      <a:srgbClr val="44546A"/>
    </a:dk2>
    <a:lt2>
      <a:srgbClr val="E7E6E6"/>
    </a:lt2>
    <a:accent1>
      <a:srgbClr val="EE5796"/>
    </a:accent1>
    <a:accent2>
      <a:srgbClr val="F9B525"/>
    </a:accent2>
    <a:accent3>
      <a:srgbClr val="6D78FA"/>
    </a:accent3>
    <a:accent4>
      <a:srgbClr val="0EE2EF"/>
    </a:accent4>
    <a:accent5>
      <a:srgbClr val="93DE03"/>
    </a:accent5>
    <a:accent6>
      <a:srgbClr val="F5F804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showGridLines="0" tabSelected="1" workbookViewId="0">
      <selection activeCell="Q7" sqref="Q7"/>
    </sheetView>
  </sheetViews>
  <sheetFormatPr defaultColWidth="8.88888888888889" defaultRowHeight="14.4" outlineLevelRow="7"/>
  <sheetData>
    <row r="1" spans="1:1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ht="18" spans="1:15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5" spans="1:15">
      <c r="A5" s="13" t="s">
        <v>2</v>
      </c>
      <c r="B5" s="13"/>
      <c r="C5" s="13"/>
      <c r="D5" s="14" t="s">
        <v>3</v>
      </c>
      <c r="E5" s="14"/>
      <c r="F5" s="14"/>
      <c r="G5" s="15" t="s">
        <v>4</v>
      </c>
      <c r="H5" s="15"/>
      <c r="I5" s="15"/>
      <c r="J5" s="16" t="s">
        <v>5</v>
      </c>
      <c r="K5" s="16"/>
      <c r="L5" s="16"/>
      <c r="M5" s="17" t="s">
        <v>6</v>
      </c>
      <c r="N5" s="18"/>
      <c r="O5" s="18"/>
    </row>
    <row r="6" spans="1:15">
      <c r="A6" s="19">
        <f>COUNTA(Sales_Data!A2:A2501)</f>
        <v>2500</v>
      </c>
      <c r="B6" s="19"/>
      <c r="C6" s="19"/>
      <c r="D6" s="20">
        <f>SUM(Sales_Data!L2:L2501)</f>
        <v>9823</v>
      </c>
      <c r="E6" s="20"/>
      <c r="F6" s="20"/>
      <c r="G6" s="21">
        <f>SUM(Sales_Data!Q2:Q2501)</f>
        <v>2868432.6</v>
      </c>
      <c r="H6" s="21"/>
      <c r="I6" s="21"/>
      <c r="J6" s="22">
        <f>SUM(Sales_Data!S2:S2501)</f>
        <v>737358.89</v>
      </c>
      <c r="K6" s="22"/>
      <c r="L6" s="22"/>
      <c r="M6" s="23">
        <f>SUM(Sales_Data!S2:S2501)/SUM(Sales_Data!Q2:Q2501)</f>
        <v>0.25705986258837</v>
      </c>
      <c r="N6" s="23"/>
      <c r="O6" s="23"/>
    </row>
    <row r="7" spans="1:15">
      <c r="A7" s="19"/>
      <c r="B7" s="19"/>
      <c r="C7" s="19"/>
      <c r="D7" s="20"/>
      <c r="E7" s="20"/>
      <c r="F7" s="20"/>
      <c r="G7" s="21"/>
      <c r="H7" s="21"/>
      <c r="I7" s="21"/>
      <c r="J7" s="22"/>
      <c r="K7" s="22"/>
      <c r="L7" s="22"/>
      <c r="M7" s="23"/>
      <c r="N7" s="23"/>
      <c r="O7" s="23"/>
    </row>
    <row r="8" spans="1:15">
      <c r="A8" s="19"/>
      <c r="B8" s="19"/>
      <c r="C8" s="19"/>
      <c r="D8" s="20"/>
      <c r="E8" s="20"/>
      <c r="F8" s="20"/>
      <c r="G8" s="21"/>
      <c r="H8" s="21"/>
      <c r="I8" s="21"/>
      <c r="J8" s="22"/>
      <c r="K8" s="22"/>
      <c r="L8" s="22"/>
      <c r="M8" s="23"/>
      <c r="N8" s="23"/>
      <c r="O8" s="23"/>
    </row>
  </sheetData>
  <mergeCells count="12">
    <mergeCell ref="A3:N3"/>
    <mergeCell ref="A5:C5"/>
    <mergeCell ref="D5:F5"/>
    <mergeCell ref="G5:I5"/>
    <mergeCell ref="J5:L5"/>
    <mergeCell ref="M5:O5"/>
    <mergeCell ref="A1:N2"/>
    <mergeCell ref="A6:C8"/>
    <mergeCell ref="D6:F8"/>
    <mergeCell ref="G6:I8"/>
    <mergeCell ref="J6:L8"/>
    <mergeCell ref="M6:O8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B4" sqref="B4:B9"/>
    </sheetView>
  </sheetViews>
  <sheetFormatPr defaultColWidth="8.88888888888889" defaultRowHeight="14.4" outlineLevelCol="1"/>
  <cols>
    <col min="1" max="1" width="17.8888888888889"/>
    <col min="2" max="3" width="21.5555555555556"/>
  </cols>
  <sheetData>
    <row r="3" spans="1:2">
      <c r="A3" t="s">
        <v>7</v>
      </c>
      <c r="B3" t="s">
        <v>8</v>
      </c>
    </row>
    <row r="4" spans="1:2">
      <c r="A4" t="s">
        <v>9</v>
      </c>
      <c r="B4" s="8">
        <v>432694.8</v>
      </c>
    </row>
    <row r="5" spans="1:2">
      <c r="A5" t="s">
        <v>10</v>
      </c>
      <c r="B5" s="8">
        <v>468798.76</v>
      </c>
    </row>
    <row r="6" spans="1:2">
      <c r="A6" t="s">
        <v>11</v>
      </c>
      <c r="B6" s="8">
        <v>490398.19</v>
      </c>
    </row>
    <row r="7" spans="1:2">
      <c r="A7" t="s">
        <v>12</v>
      </c>
      <c r="B7" s="8">
        <v>438113.87</v>
      </c>
    </row>
    <row r="8" spans="1:2">
      <c r="A8" t="s">
        <v>13</v>
      </c>
      <c r="B8" s="8">
        <v>549309.6</v>
      </c>
    </row>
    <row r="9" spans="1:2">
      <c r="A9" t="s">
        <v>14</v>
      </c>
      <c r="B9" s="8">
        <v>489117.379999999</v>
      </c>
    </row>
    <row r="10" spans="1:2">
      <c r="A10" t="s">
        <v>15</v>
      </c>
      <c r="B10">
        <v>2868432.6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9"/>
  <sheetViews>
    <sheetView workbookViewId="0">
      <selection activeCell="B5" sqref="B5 B18 C5 C18"/>
      <pivotSelection pane="bottomRight" showHeader="1" extendable="1" axis="axisRow" activeRow="4" activeCol="1" previousRow="4" previousCol="1" click="1" r:id="rId1">
        <pivotArea dataOnly="0" fieldPosition="0">
          <references count="1">
            <reference field="2" count="1">
              <x v="3"/>
            </reference>
          </references>
        </pivotArea>
      </pivotSelection>
    </sheetView>
  </sheetViews>
  <sheetFormatPr defaultColWidth="8.88888888888889" defaultRowHeight="14.4" outlineLevelCol="2"/>
  <cols>
    <col min="1" max="2" width="19.1111111111111"/>
    <col min="3" max="3" width="21.5555555555556"/>
  </cols>
  <sheetData>
    <row r="3" spans="1:3">
      <c r="A3" t="s">
        <v>16</v>
      </c>
      <c r="B3" t="s">
        <v>17</v>
      </c>
      <c r="C3" t="s">
        <v>8</v>
      </c>
    </row>
    <row r="4" spans="1:3">
      <c r="A4" t="s">
        <v>18</v>
      </c>
    </row>
    <row r="5" spans="1:3">
      <c r="B5" t="s">
        <v>19</v>
      </c>
      <c r="C5">
        <v>1682.32</v>
      </c>
    </row>
    <row r="6" spans="1:3">
      <c r="B6" t="s">
        <v>20</v>
      </c>
      <c r="C6">
        <v>195249.44</v>
      </c>
    </row>
    <row r="7" spans="1:3">
      <c r="B7" t="s">
        <v>21</v>
      </c>
      <c r="C7">
        <v>223829.24</v>
      </c>
    </row>
    <row r="8" spans="1:3">
      <c r="B8" t="s">
        <v>22</v>
      </c>
      <c r="C8">
        <v>226577.54</v>
      </c>
    </row>
    <row r="9" spans="1:3">
      <c r="B9" t="s">
        <v>23</v>
      </c>
      <c r="C9">
        <v>171047.56</v>
      </c>
    </row>
    <row r="10" spans="1:3">
      <c r="B10" t="s">
        <v>24</v>
      </c>
      <c r="C10">
        <v>193434.23</v>
      </c>
    </row>
    <row r="11" spans="1:3">
      <c r="B11" t="s">
        <v>25</v>
      </c>
      <c r="C11">
        <v>239642.24</v>
      </c>
    </row>
    <row r="12" spans="1:3">
      <c r="B12" t="s">
        <v>26</v>
      </c>
      <c r="C12">
        <v>445171.86</v>
      </c>
    </row>
    <row r="13" spans="1:3">
      <c r="B13" t="s">
        <v>27</v>
      </c>
      <c r="C13">
        <v>303499.88</v>
      </c>
    </row>
    <row r="14" spans="1:3">
      <c r="B14" t="s">
        <v>28</v>
      </c>
      <c r="C14">
        <v>335655.2</v>
      </c>
    </row>
    <row r="15" spans="1:3">
      <c r="A15" t="s">
        <v>29</v>
      </c>
    </row>
    <row r="16" spans="1:3">
      <c r="B16" t="s">
        <v>30</v>
      </c>
      <c r="C16">
        <v>121730.91</v>
      </c>
    </row>
    <row r="17" spans="1:3">
      <c r="B17" t="s">
        <v>31</v>
      </c>
      <c r="C17">
        <v>169237.23</v>
      </c>
    </row>
    <row r="18" spans="1:3">
      <c r="B18" t="s">
        <v>19</v>
      </c>
      <c r="C18">
        <v>241674.95</v>
      </c>
    </row>
    <row r="19" spans="1:3">
      <c r="A19" t="s">
        <v>15</v>
      </c>
      <c r="B19"/>
      <c r="C19">
        <v>2868432.6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5" sqref="A5"/>
    </sheetView>
  </sheetViews>
  <sheetFormatPr defaultColWidth="8.88888888888889" defaultRowHeight="14.4" outlineLevelRow="6" outlineLevelCol="1"/>
  <cols>
    <col min="1" max="1" width="16.2222222222222"/>
    <col min="2" max="2" width="21.5555555555556"/>
  </cols>
  <sheetData>
    <row r="3" spans="1:2">
      <c r="A3" t="s">
        <v>32</v>
      </c>
      <c r="B3" t="s">
        <v>8</v>
      </c>
    </row>
    <row r="4" spans="1:2">
      <c r="A4" t="s">
        <v>33</v>
      </c>
      <c r="B4">
        <v>1969380.3</v>
      </c>
    </row>
    <row r="5" spans="1:2">
      <c r="A5" t="s">
        <v>34</v>
      </c>
      <c r="B5">
        <v>286557.95</v>
      </c>
    </row>
    <row r="6" spans="1:2">
      <c r="A6" t="s">
        <v>35</v>
      </c>
      <c r="B6">
        <v>612494.35</v>
      </c>
    </row>
    <row r="7" spans="1:2">
      <c r="A7" t="s">
        <v>15</v>
      </c>
      <c r="B7">
        <v>2868432.6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9"/>
  <sheetViews>
    <sheetView workbookViewId="0">
      <selection activeCell="J21" sqref="J21"/>
    </sheetView>
  </sheetViews>
  <sheetFormatPr defaultColWidth="8.88888888888889" defaultRowHeight="14.4" outlineLevelCol="2"/>
  <cols>
    <col min="1" max="1" width="26.1111111111111"/>
    <col min="2" max="2" width="19.1111111111111"/>
    <col min="3" max="3" width="13.1111111111111"/>
  </cols>
  <sheetData>
    <row r="3" spans="1:3">
      <c r="A3" t="s">
        <v>16</v>
      </c>
      <c r="B3" t="s">
        <v>17</v>
      </c>
      <c r="C3" t="s">
        <v>36</v>
      </c>
    </row>
    <row r="4" spans="1:3">
      <c r="A4" t="s">
        <v>18</v>
      </c>
    </row>
    <row r="5" spans="1:3">
      <c r="B5" t="s">
        <v>19</v>
      </c>
      <c r="C5">
        <v>252.44</v>
      </c>
    </row>
    <row r="6" spans="1:3">
      <c r="B6" t="s">
        <v>20</v>
      </c>
      <c r="C6">
        <v>50155.37</v>
      </c>
    </row>
    <row r="7" spans="1:3">
      <c r="B7" t="s">
        <v>21</v>
      </c>
      <c r="C7">
        <v>61161.92</v>
      </c>
    </row>
    <row r="8" spans="1:3">
      <c r="B8" t="s">
        <v>22</v>
      </c>
      <c r="C8">
        <v>58096.27</v>
      </c>
    </row>
    <row r="9" spans="1:3">
      <c r="B9" t="s">
        <v>23</v>
      </c>
      <c r="C9">
        <v>42067</v>
      </c>
    </row>
    <row r="10" spans="1:3">
      <c r="B10" t="s">
        <v>24</v>
      </c>
      <c r="C10">
        <v>49379.88</v>
      </c>
    </row>
    <row r="11" spans="1:3">
      <c r="B11" t="s">
        <v>25</v>
      </c>
      <c r="C11">
        <v>58943.03</v>
      </c>
    </row>
    <row r="12" spans="1:3">
      <c r="B12" t="s">
        <v>26</v>
      </c>
      <c r="C12">
        <v>115133.04</v>
      </c>
    </row>
    <row r="13" spans="1:3">
      <c r="B13" t="s">
        <v>27</v>
      </c>
      <c r="C13">
        <v>79014.61</v>
      </c>
    </row>
    <row r="14" spans="1:3">
      <c r="B14" t="s">
        <v>28</v>
      </c>
      <c r="C14">
        <v>88664.43</v>
      </c>
    </row>
    <row r="15" spans="1:3">
      <c r="A15" t="s">
        <v>29</v>
      </c>
    </row>
    <row r="16" spans="1:3">
      <c r="B16" t="s">
        <v>30</v>
      </c>
      <c r="C16">
        <v>29980.87</v>
      </c>
    </row>
    <row r="17" spans="1:3">
      <c r="B17" t="s">
        <v>31</v>
      </c>
      <c r="C17">
        <v>43151.69</v>
      </c>
    </row>
    <row r="18" spans="1:3">
      <c r="B18" t="s">
        <v>19</v>
      </c>
      <c r="C18">
        <v>61358.34</v>
      </c>
    </row>
    <row r="19" spans="1:3">
      <c r="A19" t="s">
        <v>15</v>
      </c>
      <c r="B19"/>
      <c r="C19">
        <v>737358.89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L17" sqref="L17"/>
    </sheetView>
  </sheetViews>
  <sheetFormatPr defaultColWidth="8.88888888888889" defaultRowHeight="14.4" outlineLevelCol="1"/>
  <cols>
    <col min="1" max="1" width="11.6666666666667"/>
    <col min="2" max="2" width="21.5555555555556"/>
  </cols>
  <sheetData>
    <row r="3" spans="1:2">
      <c r="A3" t="s">
        <v>37</v>
      </c>
      <c r="B3" t="s">
        <v>8</v>
      </c>
    </row>
    <row r="4" spans="1:2">
      <c r="A4" t="s">
        <v>38</v>
      </c>
      <c r="B4">
        <v>36723.73</v>
      </c>
    </row>
    <row r="5" spans="1:2">
      <c r="A5" t="s">
        <v>39</v>
      </c>
      <c r="B5">
        <v>34742.58</v>
      </c>
    </row>
    <row r="6" spans="1:2">
      <c r="A6" t="s">
        <v>40</v>
      </c>
      <c r="B6">
        <v>34391.99</v>
      </c>
    </row>
    <row r="7" spans="1:2">
      <c r="A7" t="s">
        <v>41</v>
      </c>
      <c r="B7">
        <v>31485.48</v>
      </c>
    </row>
    <row r="8" spans="1:2">
      <c r="A8" t="s">
        <v>42</v>
      </c>
      <c r="B8">
        <v>31447.34</v>
      </c>
    </row>
    <row r="9" spans="1:2">
      <c r="A9" t="s">
        <v>43</v>
      </c>
      <c r="B9">
        <v>30207.06</v>
      </c>
    </row>
    <row r="10" spans="1:2">
      <c r="A10" t="s">
        <v>44</v>
      </c>
      <c r="B10">
        <v>29715.49</v>
      </c>
    </row>
    <row r="11" spans="1:2">
      <c r="A11" t="s">
        <v>45</v>
      </c>
      <c r="B11">
        <v>29122.22</v>
      </c>
    </row>
    <row r="12" spans="1:2">
      <c r="A12" t="s">
        <v>46</v>
      </c>
      <c r="B12">
        <v>29035</v>
      </c>
    </row>
    <row r="13" spans="1:2">
      <c r="A13" t="s">
        <v>47</v>
      </c>
      <c r="B13">
        <v>28821.34</v>
      </c>
    </row>
    <row r="14" spans="1:2">
      <c r="A14" t="s">
        <v>15</v>
      </c>
      <c r="B14">
        <v>315692.23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B5" sqref="B5"/>
    </sheetView>
  </sheetViews>
  <sheetFormatPr defaultColWidth="8.88888888888889" defaultRowHeight="14.4" outlineLevelRow="5" outlineLevelCol="1"/>
  <cols>
    <col min="1" max="1" width="16"/>
    <col min="2" max="2" width="23.5555555555556"/>
  </cols>
  <sheetData>
    <row r="3" spans="1:2">
      <c r="A3" t="s">
        <v>48</v>
      </c>
      <c r="B3" t="s">
        <v>49</v>
      </c>
    </row>
    <row r="4" spans="1:2">
      <c r="A4" t="s">
        <v>50</v>
      </c>
      <c r="B4">
        <v>2386</v>
      </c>
    </row>
    <row r="5" spans="1:2">
      <c r="A5" t="s">
        <v>51</v>
      </c>
      <c r="B5">
        <v>114</v>
      </c>
    </row>
    <row r="6" spans="1:2">
      <c r="A6" t="s">
        <v>15</v>
      </c>
      <c r="B6">
        <v>2500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501"/>
  <sheetViews>
    <sheetView workbookViewId="0">
      <pane ySplit="1" topLeftCell="A2" activePane="bottomLeft" state="frozen"/>
      <selection/>
      <selection pane="bottomLeft" activeCell="E17" sqref="E17"/>
    </sheetView>
  </sheetViews>
  <sheetFormatPr defaultColWidth="9" defaultRowHeight="14.4"/>
  <cols>
    <col min="1" max="2" width="16" customWidth="1"/>
    <col min="3" max="3" width="21" customWidth="1"/>
    <col min="4" max="5" width="10" customWidth="1"/>
    <col min="6" max="6" width="12" customWidth="1"/>
    <col min="7" max="7" width="10" customWidth="1"/>
    <col min="8" max="8" width="13" customWidth="1"/>
    <col min="9" max="9" width="12" customWidth="1"/>
    <col min="10" max="10" width="10" customWidth="1"/>
    <col min="11" max="11" width="13" customWidth="1"/>
    <col min="12" max="12" width="10" customWidth="1"/>
    <col min="13" max="13" width="12" customWidth="1"/>
    <col min="14" max="14" width="14" customWidth="1"/>
    <col min="15" max="15" width="17" customWidth="1"/>
    <col min="16" max="16" width="12" customWidth="1"/>
    <col min="17" max="17" width="14" customWidth="1"/>
    <col min="18" max="18" width="13" customWidth="1"/>
    <col min="19" max="19" width="10" customWidth="1"/>
    <col min="20" max="20" width="22" customWidth="1"/>
    <col min="21" max="21" width="14" customWidth="1"/>
    <col min="22" max="24" width="15" customWidth="1"/>
    <col min="25" max="25" width="12" customWidth="1"/>
    <col min="26" max="26" width="10" customWidth="1"/>
  </cols>
  <sheetData>
    <row r="1" spans="1:26">
      <c r="A1" s="3" t="s">
        <v>52</v>
      </c>
      <c r="B1" s="3" t="s">
        <v>53</v>
      </c>
      <c r="C1" s="3" t="s">
        <v>17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  <c r="J1" s="3" t="s">
        <v>37</v>
      </c>
      <c r="K1" s="3" t="s">
        <v>60</v>
      </c>
      <c r="L1" s="3" t="s">
        <v>61</v>
      </c>
      <c r="M1" s="3" t="s">
        <v>62</v>
      </c>
      <c r="N1" s="3" t="s">
        <v>63</v>
      </c>
      <c r="O1" s="3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3" t="s">
        <v>69</v>
      </c>
      <c r="U1" s="3" t="s">
        <v>7</v>
      </c>
      <c r="V1" s="3" t="s">
        <v>48</v>
      </c>
      <c r="W1" s="3" t="s">
        <v>70</v>
      </c>
      <c r="X1" s="3" t="s">
        <v>32</v>
      </c>
      <c r="Y1" s="3" t="s">
        <v>71</v>
      </c>
      <c r="Z1" s="3" t="s">
        <v>72</v>
      </c>
    </row>
    <row r="2" spans="1:26">
      <c r="A2" t="s">
        <v>73</v>
      </c>
      <c r="B2" t="s">
        <v>73</v>
      </c>
      <c r="C2" s="4">
        <v>45836</v>
      </c>
      <c r="D2">
        <v>2025</v>
      </c>
      <c r="E2">
        <v>6</v>
      </c>
      <c r="F2" t="s">
        <v>22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>
        <v>1</v>
      </c>
      <c r="M2" s="5">
        <v>416.08</v>
      </c>
      <c r="N2" s="6">
        <v>0</v>
      </c>
      <c r="O2" s="5">
        <v>0</v>
      </c>
      <c r="P2" s="5">
        <v>62.41</v>
      </c>
      <c r="Q2" s="5">
        <v>478.49</v>
      </c>
      <c r="R2" s="5">
        <v>319.64</v>
      </c>
      <c r="S2" s="5">
        <v>158.85</v>
      </c>
      <c r="T2" s="7">
        <v>0.331981859599992</v>
      </c>
      <c r="U2" t="s">
        <v>14</v>
      </c>
      <c r="V2" t="s">
        <v>50</v>
      </c>
      <c r="W2" t="s">
        <v>50</v>
      </c>
      <c r="X2" t="s">
        <v>33</v>
      </c>
      <c r="Y2" t="s">
        <v>79</v>
      </c>
      <c r="Z2" t="s">
        <v>80</v>
      </c>
    </row>
    <row r="3" spans="1:26">
      <c r="A3" t="s">
        <v>81</v>
      </c>
      <c r="B3" t="s">
        <v>81</v>
      </c>
      <c r="C3" s="4">
        <v>46103</v>
      </c>
      <c r="D3">
        <v>2026</v>
      </c>
      <c r="E3">
        <v>3</v>
      </c>
      <c r="F3" t="s">
        <v>19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>
        <v>2</v>
      </c>
      <c r="M3" s="5">
        <v>448.94</v>
      </c>
      <c r="N3" s="6">
        <v>0</v>
      </c>
      <c r="O3" s="5">
        <v>0</v>
      </c>
      <c r="P3" s="5">
        <v>134.68</v>
      </c>
      <c r="Q3" s="5">
        <v>1032.56</v>
      </c>
      <c r="R3" s="5">
        <v>760.16</v>
      </c>
      <c r="S3" s="5">
        <v>272.4</v>
      </c>
      <c r="T3" s="7">
        <v>0.263810335476873</v>
      </c>
      <c r="U3" t="s">
        <v>14</v>
      </c>
      <c r="V3" t="s">
        <v>50</v>
      </c>
      <c r="W3" t="s">
        <v>50</v>
      </c>
      <c r="X3" t="s">
        <v>34</v>
      </c>
      <c r="Y3" t="s">
        <v>87</v>
      </c>
      <c r="Z3" t="s">
        <v>80</v>
      </c>
    </row>
    <row r="4" spans="1:26">
      <c r="A4" t="s">
        <v>88</v>
      </c>
      <c r="B4" t="s">
        <v>88</v>
      </c>
      <c r="C4" s="4">
        <v>45920</v>
      </c>
      <c r="D4">
        <v>2025</v>
      </c>
      <c r="E4">
        <v>9</v>
      </c>
      <c r="F4" t="s">
        <v>25</v>
      </c>
      <c r="G4" t="s">
        <v>89</v>
      </c>
      <c r="H4" t="s">
        <v>90</v>
      </c>
      <c r="I4" t="s">
        <v>91</v>
      </c>
      <c r="J4" t="s">
        <v>92</v>
      </c>
      <c r="K4" t="s">
        <v>93</v>
      </c>
      <c r="L4">
        <v>1</v>
      </c>
      <c r="M4" s="5">
        <v>234.86</v>
      </c>
      <c r="N4" s="6">
        <v>10</v>
      </c>
      <c r="O4" s="5">
        <v>23.49</v>
      </c>
      <c r="P4" s="5">
        <v>31.71</v>
      </c>
      <c r="Q4" s="5">
        <v>243.08</v>
      </c>
      <c r="R4" s="5">
        <v>213.23</v>
      </c>
      <c r="S4" s="5">
        <v>29.85</v>
      </c>
      <c r="T4" s="7">
        <v>0.122799078492677</v>
      </c>
      <c r="U4" t="s">
        <v>9</v>
      </c>
      <c r="V4" t="s">
        <v>50</v>
      </c>
      <c r="W4" t="s">
        <v>50</v>
      </c>
      <c r="X4" t="s">
        <v>33</v>
      </c>
      <c r="Y4" t="s">
        <v>94</v>
      </c>
      <c r="Z4" t="s">
        <v>80</v>
      </c>
    </row>
    <row r="5" spans="1:26">
      <c r="A5" t="s">
        <v>95</v>
      </c>
      <c r="B5" t="s">
        <v>95</v>
      </c>
      <c r="C5" s="4">
        <v>45848</v>
      </c>
      <c r="D5">
        <v>2025</v>
      </c>
      <c r="E5">
        <v>7</v>
      </c>
      <c r="F5" t="s">
        <v>23</v>
      </c>
      <c r="G5" t="s">
        <v>89</v>
      </c>
      <c r="H5" t="s">
        <v>96</v>
      </c>
      <c r="I5" t="s">
        <v>97</v>
      </c>
      <c r="J5" t="s">
        <v>98</v>
      </c>
      <c r="K5" t="s">
        <v>99</v>
      </c>
      <c r="L5">
        <v>2</v>
      </c>
      <c r="M5" s="5">
        <v>398.25</v>
      </c>
      <c r="N5" s="6">
        <v>20</v>
      </c>
      <c r="O5" s="5">
        <v>159.3</v>
      </c>
      <c r="P5" s="5">
        <v>95.58</v>
      </c>
      <c r="Q5" s="5">
        <v>637.2</v>
      </c>
      <c r="R5" s="5">
        <v>473.08</v>
      </c>
      <c r="S5" s="5">
        <v>164.12</v>
      </c>
      <c r="T5" s="7">
        <v>0.257564344005022</v>
      </c>
      <c r="U5" t="s">
        <v>10</v>
      </c>
      <c r="V5" t="s">
        <v>50</v>
      </c>
      <c r="W5" t="s">
        <v>50</v>
      </c>
      <c r="X5" t="s">
        <v>33</v>
      </c>
      <c r="Y5" t="s">
        <v>100</v>
      </c>
      <c r="Z5" t="s">
        <v>101</v>
      </c>
    </row>
    <row r="6" spans="1:26">
      <c r="A6" t="s">
        <v>102</v>
      </c>
      <c r="B6" t="s">
        <v>102</v>
      </c>
      <c r="C6" s="4">
        <v>45844</v>
      </c>
      <c r="D6">
        <v>2025</v>
      </c>
      <c r="E6">
        <v>7</v>
      </c>
      <c r="F6" t="s">
        <v>23</v>
      </c>
      <c r="G6" t="s">
        <v>89</v>
      </c>
      <c r="H6" t="s">
        <v>103</v>
      </c>
      <c r="I6" t="s">
        <v>104</v>
      </c>
      <c r="J6" t="s">
        <v>105</v>
      </c>
      <c r="K6" t="s">
        <v>106</v>
      </c>
      <c r="L6">
        <v>4</v>
      </c>
      <c r="M6" s="5">
        <v>351.96</v>
      </c>
      <c r="N6" s="6">
        <v>15</v>
      </c>
      <c r="O6" s="5">
        <v>211.18</v>
      </c>
      <c r="P6" s="5">
        <v>179.5</v>
      </c>
      <c r="Q6" s="5">
        <v>1376.16</v>
      </c>
      <c r="R6" s="5">
        <v>984.48</v>
      </c>
      <c r="S6" s="5">
        <v>391.68</v>
      </c>
      <c r="T6" s="7">
        <v>0.28461806766655</v>
      </c>
      <c r="U6" t="s">
        <v>10</v>
      </c>
      <c r="V6" t="s">
        <v>50</v>
      </c>
      <c r="W6" t="s">
        <v>50</v>
      </c>
      <c r="X6" t="s">
        <v>35</v>
      </c>
      <c r="Y6" t="s">
        <v>107</v>
      </c>
      <c r="Z6" t="s">
        <v>80</v>
      </c>
    </row>
    <row r="7" spans="1:26">
      <c r="A7" t="s">
        <v>108</v>
      </c>
      <c r="B7" t="s">
        <v>108</v>
      </c>
      <c r="C7" s="4">
        <v>45827</v>
      </c>
      <c r="D7">
        <v>2025</v>
      </c>
      <c r="E7">
        <v>6</v>
      </c>
      <c r="F7" t="s">
        <v>22</v>
      </c>
      <c r="G7" t="s">
        <v>74</v>
      </c>
      <c r="H7" t="s">
        <v>109</v>
      </c>
      <c r="I7" t="s">
        <v>110</v>
      </c>
      <c r="J7" t="s">
        <v>111</v>
      </c>
      <c r="K7" t="s">
        <v>112</v>
      </c>
      <c r="L7">
        <v>8</v>
      </c>
      <c r="M7" s="5">
        <v>356.6</v>
      </c>
      <c r="N7" s="6">
        <v>5</v>
      </c>
      <c r="O7" s="5">
        <v>142.64</v>
      </c>
      <c r="P7" s="5">
        <v>406.52</v>
      </c>
      <c r="Q7" s="5">
        <v>2710.16</v>
      </c>
      <c r="R7" s="5">
        <v>2174.24</v>
      </c>
      <c r="S7" s="5">
        <v>535.92</v>
      </c>
      <c r="T7" s="7">
        <v>0.197744782595862</v>
      </c>
      <c r="U7" t="s">
        <v>14</v>
      </c>
      <c r="V7" t="s">
        <v>50</v>
      </c>
      <c r="W7" t="s">
        <v>50</v>
      </c>
      <c r="X7" t="s">
        <v>33</v>
      </c>
      <c r="Y7" t="s">
        <v>113</v>
      </c>
      <c r="Z7" t="s">
        <v>101</v>
      </c>
    </row>
    <row r="8" spans="1:26">
      <c r="A8" t="s">
        <v>114</v>
      </c>
      <c r="B8" t="s">
        <v>114</v>
      </c>
      <c r="C8" s="4">
        <v>45857</v>
      </c>
      <c r="D8">
        <v>2025</v>
      </c>
      <c r="E8">
        <v>7</v>
      </c>
      <c r="F8" t="s">
        <v>23</v>
      </c>
      <c r="G8" t="s">
        <v>89</v>
      </c>
      <c r="H8" t="s">
        <v>115</v>
      </c>
      <c r="I8" t="s">
        <v>116</v>
      </c>
      <c r="J8" t="s">
        <v>39</v>
      </c>
      <c r="K8" t="s">
        <v>117</v>
      </c>
      <c r="L8">
        <v>4</v>
      </c>
      <c r="M8" s="5">
        <v>172.63</v>
      </c>
      <c r="N8" s="6">
        <v>0</v>
      </c>
      <c r="O8" s="5">
        <v>0</v>
      </c>
      <c r="P8" s="5">
        <v>103.58</v>
      </c>
      <c r="Q8" s="5">
        <v>794.1</v>
      </c>
      <c r="R8" s="5">
        <v>568</v>
      </c>
      <c r="S8" s="5">
        <v>226.1</v>
      </c>
      <c r="T8" s="7">
        <v>0.284724845737313</v>
      </c>
      <c r="U8" t="s">
        <v>12</v>
      </c>
      <c r="V8" t="s">
        <v>50</v>
      </c>
      <c r="W8" t="s">
        <v>50</v>
      </c>
      <c r="X8" t="s">
        <v>33</v>
      </c>
      <c r="Y8" t="s">
        <v>118</v>
      </c>
      <c r="Z8" t="s">
        <v>80</v>
      </c>
    </row>
    <row r="9" spans="1:26">
      <c r="A9" t="s">
        <v>119</v>
      </c>
      <c r="B9" t="s">
        <v>119</v>
      </c>
      <c r="C9" s="4">
        <v>46110</v>
      </c>
      <c r="D9">
        <v>2026</v>
      </c>
      <c r="E9">
        <v>3</v>
      </c>
      <c r="F9" t="s">
        <v>19</v>
      </c>
      <c r="G9" t="s">
        <v>82</v>
      </c>
      <c r="H9" t="s">
        <v>120</v>
      </c>
      <c r="I9" t="s">
        <v>116</v>
      </c>
      <c r="J9" t="s">
        <v>121</v>
      </c>
      <c r="K9" t="s">
        <v>122</v>
      </c>
      <c r="L9">
        <v>4</v>
      </c>
      <c r="M9" s="5">
        <v>172.63</v>
      </c>
      <c r="N9" s="6">
        <v>0</v>
      </c>
      <c r="O9" s="5">
        <v>0</v>
      </c>
      <c r="P9" s="5">
        <v>103.58</v>
      </c>
      <c r="Q9" s="5">
        <v>794.1</v>
      </c>
      <c r="R9" s="5">
        <v>568</v>
      </c>
      <c r="S9" s="5">
        <v>226.1</v>
      </c>
      <c r="T9" s="7">
        <v>0.284724845737313</v>
      </c>
      <c r="U9" t="s">
        <v>9</v>
      </c>
      <c r="V9" t="s">
        <v>50</v>
      </c>
      <c r="W9" t="s">
        <v>50</v>
      </c>
      <c r="X9" t="s">
        <v>33</v>
      </c>
      <c r="Y9" t="s">
        <v>123</v>
      </c>
      <c r="Z9" t="s">
        <v>80</v>
      </c>
    </row>
    <row r="10" spans="1:26">
      <c r="A10" t="s">
        <v>124</v>
      </c>
      <c r="B10" t="s">
        <v>124</v>
      </c>
      <c r="C10" s="4">
        <v>45893</v>
      </c>
      <c r="D10">
        <v>2025</v>
      </c>
      <c r="E10">
        <v>8</v>
      </c>
      <c r="F10" t="s">
        <v>24</v>
      </c>
      <c r="G10" t="s">
        <v>89</v>
      </c>
      <c r="H10" t="s">
        <v>125</v>
      </c>
      <c r="I10" t="s">
        <v>126</v>
      </c>
      <c r="J10" t="s">
        <v>127</v>
      </c>
      <c r="K10" t="s">
        <v>128</v>
      </c>
      <c r="L10">
        <v>5</v>
      </c>
      <c r="M10" s="5">
        <v>131.03</v>
      </c>
      <c r="N10" s="6">
        <v>0</v>
      </c>
      <c r="O10" s="5">
        <v>0</v>
      </c>
      <c r="P10" s="5">
        <v>98.27</v>
      </c>
      <c r="Q10" s="5">
        <v>753.42</v>
      </c>
      <c r="R10" s="5">
        <v>586.35</v>
      </c>
      <c r="S10" s="5">
        <v>167.07</v>
      </c>
      <c r="T10" s="7">
        <v>0.221748825356375</v>
      </c>
      <c r="U10" t="s">
        <v>13</v>
      </c>
      <c r="V10" t="s">
        <v>50</v>
      </c>
      <c r="W10" t="s">
        <v>50</v>
      </c>
      <c r="X10" t="s">
        <v>35</v>
      </c>
      <c r="Y10" t="s">
        <v>129</v>
      </c>
      <c r="Z10" t="s">
        <v>80</v>
      </c>
    </row>
    <row r="11" spans="1:26">
      <c r="A11" t="s">
        <v>130</v>
      </c>
      <c r="B11" t="s">
        <v>130</v>
      </c>
      <c r="C11" s="4">
        <v>45807</v>
      </c>
      <c r="D11">
        <v>2025</v>
      </c>
      <c r="E11">
        <v>5</v>
      </c>
      <c r="F11" t="s">
        <v>21</v>
      </c>
      <c r="G11" t="s">
        <v>74</v>
      </c>
      <c r="H11" t="s">
        <v>131</v>
      </c>
      <c r="I11" t="s">
        <v>132</v>
      </c>
      <c r="J11" t="s">
        <v>133</v>
      </c>
      <c r="K11" t="s">
        <v>134</v>
      </c>
      <c r="L11">
        <v>4</v>
      </c>
      <c r="M11" s="5">
        <v>260.93</v>
      </c>
      <c r="N11" s="6">
        <v>5</v>
      </c>
      <c r="O11" s="5">
        <v>52.19</v>
      </c>
      <c r="P11" s="5">
        <v>148.73</v>
      </c>
      <c r="Q11" s="5">
        <v>991.53</v>
      </c>
      <c r="R11" s="5">
        <v>776.24</v>
      </c>
      <c r="S11" s="5">
        <v>215.29</v>
      </c>
      <c r="T11" s="7">
        <v>0.217129083335855</v>
      </c>
      <c r="U11" t="s">
        <v>13</v>
      </c>
      <c r="V11" t="s">
        <v>50</v>
      </c>
      <c r="W11" t="s">
        <v>50</v>
      </c>
      <c r="X11" t="s">
        <v>33</v>
      </c>
      <c r="Y11" t="s">
        <v>135</v>
      </c>
      <c r="Z11" t="s">
        <v>101</v>
      </c>
    </row>
    <row r="12" spans="1:26">
      <c r="A12" t="s">
        <v>136</v>
      </c>
      <c r="B12" t="s">
        <v>136</v>
      </c>
      <c r="C12" s="4">
        <v>45980</v>
      </c>
      <c r="D12">
        <v>2025</v>
      </c>
      <c r="E12">
        <v>11</v>
      </c>
      <c r="F12" t="s">
        <v>27</v>
      </c>
      <c r="G12" t="s">
        <v>137</v>
      </c>
      <c r="H12" t="s">
        <v>138</v>
      </c>
      <c r="I12" t="s">
        <v>139</v>
      </c>
      <c r="J12" t="s">
        <v>140</v>
      </c>
      <c r="K12" t="s">
        <v>141</v>
      </c>
      <c r="L12">
        <v>5</v>
      </c>
      <c r="M12" s="5">
        <v>42.05</v>
      </c>
      <c r="N12" s="6">
        <v>20</v>
      </c>
      <c r="O12" s="5">
        <v>42.05</v>
      </c>
      <c r="P12" s="5">
        <v>25.23</v>
      </c>
      <c r="Q12" s="5">
        <v>168.2</v>
      </c>
      <c r="R12" s="5">
        <v>162</v>
      </c>
      <c r="S12" s="5">
        <v>6.2</v>
      </c>
      <c r="T12" s="7">
        <v>0.0368608799048752</v>
      </c>
      <c r="U12" t="s">
        <v>13</v>
      </c>
      <c r="V12" t="s">
        <v>50</v>
      </c>
      <c r="W12" t="s">
        <v>50</v>
      </c>
      <c r="X12" t="s">
        <v>33</v>
      </c>
      <c r="Y12" t="s">
        <v>142</v>
      </c>
      <c r="Z12" t="s">
        <v>101</v>
      </c>
    </row>
    <row r="13" spans="1:26">
      <c r="A13" t="s">
        <v>143</v>
      </c>
      <c r="B13" t="s">
        <v>143</v>
      </c>
      <c r="C13" s="4">
        <v>46092</v>
      </c>
      <c r="D13">
        <v>2026</v>
      </c>
      <c r="E13">
        <v>3</v>
      </c>
      <c r="F13" t="s">
        <v>19</v>
      </c>
      <c r="G13" t="s">
        <v>82</v>
      </c>
      <c r="H13" t="s">
        <v>144</v>
      </c>
      <c r="I13" t="s">
        <v>145</v>
      </c>
      <c r="J13" t="s">
        <v>146</v>
      </c>
      <c r="K13" t="s">
        <v>147</v>
      </c>
      <c r="L13">
        <v>2</v>
      </c>
      <c r="M13" s="5">
        <v>522.78</v>
      </c>
      <c r="N13" s="6">
        <v>0</v>
      </c>
      <c r="O13" s="5">
        <v>0</v>
      </c>
      <c r="P13" s="5">
        <v>156.83</v>
      </c>
      <c r="Q13" s="5">
        <v>1045.56</v>
      </c>
      <c r="R13" s="5">
        <v>791.74</v>
      </c>
      <c r="S13" s="5">
        <v>253.82</v>
      </c>
      <c r="T13" s="7">
        <v>0.242759860744481</v>
      </c>
      <c r="U13" t="s">
        <v>10</v>
      </c>
      <c r="V13" t="s">
        <v>50</v>
      </c>
      <c r="W13" t="s">
        <v>50</v>
      </c>
      <c r="X13" t="s">
        <v>33</v>
      </c>
      <c r="Y13" t="s">
        <v>148</v>
      </c>
      <c r="Z13" t="s">
        <v>101</v>
      </c>
    </row>
    <row r="14" spans="1:26">
      <c r="A14" t="s">
        <v>149</v>
      </c>
      <c r="B14" t="s">
        <v>149</v>
      </c>
      <c r="C14" s="4">
        <v>45792</v>
      </c>
      <c r="D14">
        <v>2025</v>
      </c>
      <c r="E14">
        <v>5</v>
      </c>
      <c r="F14" t="s">
        <v>21</v>
      </c>
      <c r="G14" t="s">
        <v>74</v>
      </c>
      <c r="H14" t="s">
        <v>150</v>
      </c>
      <c r="I14" t="s">
        <v>151</v>
      </c>
      <c r="J14" t="s">
        <v>152</v>
      </c>
      <c r="K14" t="s">
        <v>153</v>
      </c>
      <c r="L14">
        <v>7</v>
      </c>
      <c r="M14" s="5">
        <v>475.81</v>
      </c>
      <c r="N14" s="6">
        <v>0</v>
      </c>
      <c r="O14" s="5">
        <v>0</v>
      </c>
      <c r="P14" s="5">
        <v>499.6</v>
      </c>
      <c r="Q14" s="5">
        <v>3330.67</v>
      </c>
      <c r="R14" s="5">
        <v>2461.41</v>
      </c>
      <c r="S14" s="5">
        <v>869.26</v>
      </c>
      <c r="T14" s="7">
        <v>0.260986528236061</v>
      </c>
      <c r="U14" t="s">
        <v>10</v>
      </c>
      <c r="V14" t="s">
        <v>50</v>
      </c>
      <c r="W14" t="s">
        <v>50</v>
      </c>
      <c r="X14" t="s">
        <v>33</v>
      </c>
      <c r="Y14" t="s">
        <v>154</v>
      </c>
      <c r="Z14" t="s">
        <v>101</v>
      </c>
    </row>
    <row r="15" spans="1:26">
      <c r="A15" t="s">
        <v>155</v>
      </c>
      <c r="B15" t="s">
        <v>155</v>
      </c>
      <c r="C15" s="4">
        <v>45909</v>
      </c>
      <c r="D15">
        <v>2025</v>
      </c>
      <c r="E15">
        <v>9</v>
      </c>
      <c r="F15" t="s">
        <v>25</v>
      </c>
      <c r="G15" t="s">
        <v>89</v>
      </c>
      <c r="H15" t="s">
        <v>156</v>
      </c>
      <c r="I15" t="s">
        <v>157</v>
      </c>
      <c r="J15" t="s">
        <v>158</v>
      </c>
      <c r="K15" t="s">
        <v>159</v>
      </c>
      <c r="L15">
        <v>3</v>
      </c>
      <c r="M15" s="5">
        <v>59.92</v>
      </c>
      <c r="N15" s="6">
        <v>0</v>
      </c>
      <c r="O15" s="5">
        <v>0</v>
      </c>
      <c r="P15" s="5">
        <v>26.96</v>
      </c>
      <c r="Q15" s="5">
        <v>179.76</v>
      </c>
      <c r="R15" s="5">
        <v>144.45</v>
      </c>
      <c r="S15" s="5">
        <v>35.31</v>
      </c>
      <c r="T15" s="7">
        <v>0.196428571428572</v>
      </c>
      <c r="U15" t="s">
        <v>10</v>
      </c>
      <c r="V15" t="s">
        <v>50</v>
      </c>
      <c r="W15" t="s">
        <v>50</v>
      </c>
      <c r="X15" t="s">
        <v>33</v>
      </c>
      <c r="Y15" t="s">
        <v>160</v>
      </c>
      <c r="Z15" t="s">
        <v>101</v>
      </c>
    </row>
    <row r="16" spans="1:26">
      <c r="A16" t="s">
        <v>161</v>
      </c>
      <c r="B16" t="s">
        <v>161</v>
      </c>
      <c r="C16" s="4">
        <v>45815</v>
      </c>
      <c r="D16">
        <v>2025</v>
      </c>
      <c r="E16">
        <v>6</v>
      </c>
      <c r="F16" t="s">
        <v>22</v>
      </c>
      <c r="G16" t="s">
        <v>74</v>
      </c>
      <c r="H16" t="s">
        <v>162</v>
      </c>
      <c r="I16" t="s">
        <v>163</v>
      </c>
      <c r="J16" t="s">
        <v>164</v>
      </c>
      <c r="K16" t="s">
        <v>165</v>
      </c>
      <c r="L16">
        <v>1</v>
      </c>
      <c r="M16" s="5">
        <v>253.11</v>
      </c>
      <c r="N16" s="6">
        <v>20</v>
      </c>
      <c r="O16" s="5">
        <v>50.62</v>
      </c>
      <c r="P16" s="5">
        <v>30.37</v>
      </c>
      <c r="Q16" s="5">
        <v>232.86</v>
      </c>
      <c r="R16" s="5">
        <v>190.74</v>
      </c>
      <c r="S16" s="5">
        <v>42.12</v>
      </c>
      <c r="T16" s="7">
        <v>0.180881216181396</v>
      </c>
      <c r="U16" t="s">
        <v>10</v>
      </c>
      <c r="V16" t="s">
        <v>50</v>
      </c>
      <c r="W16" t="s">
        <v>50</v>
      </c>
      <c r="X16" t="s">
        <v>33</v>
      </c>
      <c r="Y16" t="s">
        <v>166</v>
      </c>
      <c r="Z16" t="s">
        <v>80</v>
      </c>
    </row>
    <row r="17" spans="1:26">
      <c r="A17" t="s">
        <v>167</v>
      </c>
      <c r="B17" t="s">
        <v>167</v>
      </c>
      <c r="C17" s="4">
        <v>45967</v>
      </c>
      <c r="D17">
        <v>2025</v>
      </c>
      <c r="E17">
        <v>11</v>
      </c>
      <c r="F17" t="s">
        <v>27</v>
      </c>
      <c r="G17" t="s">
        <v>137</v>
      </c>
      <c r="H17" t="s">
        <v>168</v>
      </c>
      <c r="I17" t="s">
        <v>169</v>
      </c>
      <c r="J17" t="s">
        <v>170</v>
      </c>
      <c r="K17" t="s">
        <v>171</v>
      </c>
      <c r="L17">
        <v>4</v>
      </c>
      <c r="M17" s="5">
        <v>141.11</v>
      </c>
      <c r="N17" s="6">
        <v>0</v>
      </c>
      <c r="O17" s="5">
        <v>0</v>
      </c>
      <c r="P17" s="5">
        <v>84.67</v>
      </c>
      <c r="Q17" s="5">
        <v>564.44</v>
      </c>
      <c r="R17" s="5">
        <v>463.64</v>
      </c>
      <c r="S17" s="5">
        <v>100.8</v>
      </c>
      <c r="T17" s="7">
        <v>0.178584083339239</v>
      </c>
      <c r="U17" t="s">
        <v>10</v>
      </c>
      <c r="V17" t="s">
        <v>50</v>
      </c>
      <c r="W17" t="s">
        <v>50</v>
      </c>
      <c r="X17" t="s">
        <v>33</v>
      </c>
      <c r="Y17" t="s">
        <v>172</v>
      </c>
      <c r="Z17" t="s">
        <v>101</v>
      </c>
    </row>
    <row r="18" spans="1:26">
      <c r="A18" t="s">
        <v>173</v>
      </c>
      <c r="B18" t="s">
        <v>173</v>
      </c>
      <c r="C18" s="4">
        <v>45792</v>
      </c>
      <c r="D18">
        <v>2025</v>
      </c>
      <c r="E18">
        <v>5</v>
      </c>
      <c r="F18" t="s">
        <v>21</v>
      </c>
      <c r="G18" t="s">
        <v>74</v>
      </c>
      <c r="H18" t="s">
        <v>96</v>
      </c>
      <c r="I18" t="s">
        <v>174</v>
      </c>
      <c r="J18" t="s">
        <v>175</v>
      </c>
      <c r="K18" t="s">
        <v>176</v>
      </c>
      <c r="L18">
        <v>4</v>
      </c>
      <c r="M18" s="5">
        <v>397.22</v>
      </c>
      <c r="N18" s="6">
        <v>20</v>
      </c>
      <c r="O18" s="5">
        <v>317.78</v>
      </c>
      <c r="P18" s="5">
        <v>190.67</v>
      </c>
      <c r="Q18" s="5">
        <v>1271.1</v>
      </c>
      <c r="R18" s="5">
        <v>1277.48</v>
      </c>
      <c r="S18" s="5">
        <v>-6.38</v>
      </c>
      <c r="T18" s="7">
        <v>-0.00501927464400913</v>
      </c>
      <c r="U18" t="s">
        <v>9</v>
      </c>
      <c r="V18" t="s">
        <v>50</v>
      </c>
      <c r="W18" t="s">
        <v>50</v>
      </c>
      <c r="X18" t="s">
        <v>33</v>
      </c>
      <c r="Y18" t="s">
        <v>177</v>
      </c>
      <c r="Z18" t="s">
        <v>101</v>
      </c>
    </row>
    <row r="19" spans="1:26">
      <c r="A19" t="s">
        <v>178</v>
      </c>
      <c r="B19" t="s">
        <v>178</v>
      </c>
      <c r="C19" s="4">
        <v>45962</v>
      </c>
      <c r="D19">
        <v>2025</v>
      </c>
      <c r="E19">
        <v>11</v>
      </c>
      <c r="F19" t="s">
        <v>27</v>
      </c>
      <c r="G19" t="s">
        <v>137</v>
      </c>
      <c r="H19" t="s">
        <v>179</v>
      </c>
      <c r="I19" t="s">
        <v>180</v>
      </c>
      <c r="J19" t="s">
        <v>181</v>
      </c>
      <c r="K19" t="s">
        <v>182</v>
      </c>
      <c r="L19">
        <v>4</v>
      </c>
      <c r="M19" s="5">
        <v>425.83</v>
      </c>
      <c r="N19" s="6">
        <v>0</v>
      </c>
      <c r="O19" s="5">
        <v>0</v>
      </c>
      <c r="P19" s="5">
        <v>255.5</v>
      </c>
      <c r="Q19" s="5">
        <v>1958.82</v>
      </c>
      <c r="R19" s="5">
        <v>1172.2</v>
      </c>
      <c r="S19" s="5">
        <v>786.62</v>
      </c>
      <c r="T19" s="7">
        <v>0.401578501342645</v>
      </c>
      <c r="U19" t="s">
        <v>11</v>
      </c>
      <c r="V19" t="s">
        <v>50</v>
      </c>
      <c r="W19" t="s">
        <v>50</v>
      </c>
      <c r="X19" t="s">
        <v>33</v>
      </c>
      <c r="Y19" t="s">
        <v>183</v>
      </c>
      <c r="Z19" t="s">
        <v>80</v>
      </c>
    </row>
    <row r="20" spans="1:26">
      <c r="A20" t="s">
        <v>184</v>
      </c>
      <c r="B20" t="s">
        <v>184</v>
      </c>
      <c r="C20" s="4">
        <v>46091</v>
      </c>
      <c r="D20">
        <v>2026</v>
      </c>
      <c r="E20">
        <v>3</v>
      </c>
      <c r="F20" t="s">
        <v>19</v>
      </c>
      <c r="G20" t="s">
        <v>82</v>
      </c>
      <c r="H20" t="s">
        <v>185</v>
      </c>
      <c r="I20" t="s">
        <v>186</v>
      </c>
      <c r="J20" t="s">
        <v>85</v>
      </c>
      <c r="K20" t="s">
        <v>86</v>
      </c>
      <c r="L20">
        <v>1</v>
      </c>
      <c r="M20" s="5">
        <v>93.47</v>
      </c>
      <c r="N20" s="6">
        <v>10</v>
      </c>
      <c r="O20" s="5">
        <v>9.35</v>
      </c>
      <c r="P20" s="5">
        <v>12.62</v>
      </c>
      <c r="Q20" s="5">
        <v>84.12</v>
      </c>
      <c r="R20" s="5">
        <v>72.29</v>
      </c>
      <c r="S20" s="5">
        <v>11.83</v>
      </c>
      <c r="T20" s="7">
        <v>0.140632429862102</v>
      </c>
      <c r="U20" t="s">
        <v>14</v>
      </c>
      <c r="V20" t="s">
        <v>50</v>
      </c>
      <c r="W20" t="s">
        <v>50</v>
      </c>
      <c r="X20" t="s">
        <v>33</v>
      </c>
      <c r="Y20" t="s">
        <v>187</v>
      </c>
      <c r="Z20" t="s">
        <v>101</v>
      </c>
    </row>
    <row r="21" spans="1:26">
      <c r="A21" t="s">
        <v>188</v>
      </c>
      <c r="B21" t="s">
        <v>188</v>
      </c>
      <c r="C21" s="4">
        <v>45911</v>
      </c>
      <c r="D21">
        <v>2025</v>
      </c>
      <c r="E21">
        <v>9</v>
      </c>
      <c r="F21" t="s">
        <v>25</v>
      </c>
      <c r="G21" t="s">
        <v>89</v>
      </c>
      <c r="H21" t="s">
        <v>189</v>
      </c>
      <c r="I21" t="s">
        <v>190</v>
      </c>
      <c r="J21" t="s">
        <v>191</v>
      </c>
      <c r="K21" t="s">
        <v>192</v>
      </c>
      <c r="L21">
        <v>1</v>
      </c>
      <c r="M21" s="5">
        <v>437.49</v>
      </c>
      <c r="N21" s="6">
        <v>0</v>
      </c>
      <c r="O21" s="5">
        <v>0</v>
      </c>
      <c r="P21" s="5">
        <v>65.62</v>
      </c>
      <c r="Q21" s="5">
        <v>437.49</v>
      </c>
      <c r="R21" s="5">
        <v>265.44</v>
      </c>
      <c r="S21" s="5">
        <v>172.05</v>
      </c>
      <c r="T21" s="7">
        <v>0.393266131797298</v>
      </c>
      <c r="U21" t="s">
        <v>10</v>
      </c>
      <c r="V21" t="s">
        <v>50</v>
      </c>
      <c r="W21" t="s">
        <v>50</v>
      </c>
      <c r="X21" t="s">
        <v>35</v>
      </c>
      <c r="Y21" t="s">
        <v>193</v>
      </c>
      <c r="Z21" t="s">
        <v>101</v>
      </c>
    </row>
    <row r="22" spans="1:26">
      <c r="A22" t="s">
        <v>194</v>
      </c>
      <c r="B22" t="s">
        <v>194</v>
      </c>
      <c r="C22" s="4">
        <v>45803</v>
      </c>
      <c r="D22">
        <v>2025</v>
      </c>
      <c r="E22">
        <v>5</v>
      </c>
      <c r="F22" t="s">
        <v>21</v>
      </c>
      <c r="G22" t="s">
        <v>74</v>
      </c>
      <c r="H22" t="s">
        <v>195</v>
      </c>
      <c r="I22" t="s">
        <v>196</v>
      </c>
      <c r="J22" t="s">
        <v>197</v>
      </c>
      <c r="K22" t="s">
        <v>198</v>
      </c>
      <c r="L22">
        <v>5</v>
      </c>
      <c r="M22" s="5">
        <v>332.73</v>
      </c>
      <c r="N22" s="6">
        <v>15</v>
      </c>
      <c r="O22" s="5">
        <v>249.55</v>
      </c>
      <c r="P22" s="5">
        <v>212.12</v>
      </c>
      <c r="Q22" s="5">
        <v>1414.1</v>
      </c>
      <c r="R22" s="5">
        <v>1306.1</v>
      </c>
      <c r="S22" s="5">
        <v>108</v>
      </c>
      <c r="T22" s="7">
        <v>0.0763736652287674</v>
      </c>
      <c r="U22" t="s">
        <v>9</v>
      </c>
      <c r="V22" t="s">
        <v>50</v>
      </c>
      <c r="W22" t="s">
        <v>50</v>
      </c>
      <c r="X22" t="s">
        <v>33</v>
      </c>
      <c r="Y22" t="s">
        <v>199</v>
      </c>
      <c r="Z22" t="s">
        <v>101</v>
      </c>
    </row>
    <row r="23" spans="1:26">
      <c r="A23" t="s">
        <v>200</v>
      </c>
      <c r="B23" t="s">
        <v>200</v>
      </c>
      <c r="C23" s="4">
        <v>46112</v>
      </c>
      <c r="D23">
        <v>2026</v>
      </c>
      <c r="E23">
        <v>3</v>
      </c>
      <c r="F23" t="s">
        <v>19</v>
      </c>
      <c r="G23" t="s">
        <v>82</v>
      </c>
      <c r="H23" t="s">
        <v>201</v>
      </c>
      <c r="I23" t="s">
        <v>196</v>
      </c>
      <c r="J23" t="s">
        <v>202</v>
      </c>
      <c r="K23" t="s">
        <v>203</v>
      </c>
      <c r="L23">
        <v>7</v>
      </c>
      <c r="M23" s="5">
        <v>343.97</v>
      </c>
      <c r="N23" s="6">
        <v>0</v>
      </c>
      <c r="O23" s="5">
        <v>0</v>
      </c>
      <c r="P23" s="5">
        <v>361.17</v>
      </c>
      <c r="Q23" s="5">
        <v>2407.79</v>
      </c>
      <c r="R23" s="5">
        <v>1828.54</v>
      </c>
      <c r="S23" s="5">
        <v>579.25</v>
      </c>
      <c r="T23" s="7">
        <v>0.240573305811553</v>
      </c>
      <c r="U23" t="s">
        <v>13</v>
      </c>
      <c r="V23" t="s">
        <v>50</v>
      </c>
      <c r="W23" t="s">
        <v>50</v>
      </c>
      <c r="X23" t="s">
        <v>35</v>
      </c>
      <c r="Y23" t="s">
        <v>204</v>
      </c>
      <c r="Z23" t="s">
        <v>101</v>
      </c>
    </row>
    <row r="24" spans="1:26">
      <c r="A24" t="s">
        <v>205</v>
      </c>
      <c r="B24" t="s">
        <v>205</v>
      </c>
      <c r="C24" s="4">
        <v>45918</v>
      </c>
      <c r="D24">
        <v>2025</v>
      </c>
      <c r="E24">
        <v>9</v>
      </c>
      <c r="F24" t="s">
        <v>25</v>
      </c>
      <c r="G24" t="s">
        <v>89</v>
      </c>
      <c r="H24" t="s">
        <v>206</v>
      </c>
      <c r="I24" t="s">
        <v>207</v>
      </c>
      <c r="J24" t="s">
        <v>208</v>
      </c>
      <c r="K24" t="s">
        <v>209</v>
      </c>
      <c r="L24">
        <v>6</v>
      </c>
      <c r="M24" s="5">
        <v>337.98</v>
      </c>
      <c r="N24" s="6">
        <v>15</v>
      </c>
      <c r="O24" s="5">
        <v>304.18</v>
      </c>
      <c r="P24" s="5">
        <v>258.56</v>
      </c>
      <c r="Q24" s="5">
        <v>1723.7</v>
      </c>
      <c r="R24" s="5">
        <v>1559.58</v>
      </c>
      <c r="S24" s="5">
        <v>164.12</v>
      </c>
      <c r="T24" s="7">
        <v>0.0952137843012125</v>
      </c>
      <c r="U24" t="s">
        <v>9</v>
      </c>
      <c r="V24" t="s">
        <v>50</v>
      </c>
      <c r="W24" t="s">
        <v>50</v>
      </c>
      <c r="X24" t="s">
        <v>33</v>
      </c>
      <c r="Y24" t="s">
        <v>210</v>
      </c>
      <c r="Z24" t="s">
        <v>101</v>
      </c>
    </row>
    <row r="25" spans="1:26">
      <c r="A25" t="s">
        <v>211</v>
      </c>
      <c r="B25" t="s">
        <v>211</v>
      </c>
      <c r="C25" s="4">
        <v>45842</v>
      </c>
      <c r="D25">
        <v>2025</v>
      </c>
      <c r="E25">
        <v>7</v>
      </c>
      <c r="F25" t="s">
        <v>23</v>
      </c>
      <c r="G25" t="s">
        <v>89</v>
      </c>
      <c r="H25" t="s">
        <v>212</v>
      </c>
      <c r="I25" t="s">
        <v>213</v>
      </c>
      <c r="J25" t="s">
        <v>214</v>
      </c>
      <c r="K25" t="s">
        <v>215</v>
      </c>
      <c r="L25">
        <v>3</v>
      </c>
      <c r="M25" s="5">
        <v>191.13</v>
      </c>
      <c r="N25" s="6">
        <v>0</v>
      </c>
      <c r="O25" s="5">
        <v>0</v>
      </c>
      <c r="P25" s="5">
        <v>86.01</v>
      </c>
      <c r="Q25" s="5">
        <v>573.39</v>
      </c>
      <c r="R25" s="5">
        <v>460.26</v>
      </c>
      <c r="S25" s="5">
        <v>113.13</v>
      </c>
      <c r="T25" s="7">
        <v>0.197300266834092</v>
      </c>
      <c r="U25" t="s">
        <v>10</v>
      </c>
      <c r="V25" t="s">
        <v>50</v>
      </c>
      <c r="W25" t="s">
        <v>50</v>
      </c>
      <c r="X25" t="s">
        <v>34</v>
      </c>
      <c r="Y25" t="s">
        <v>216</v>
      </c>
      <c r="Z25" t="s">
        <v>101</v>
      </c>
    </row>
    <row r="26" spans="1:26">
      <c r="A26" t="s">
        <v>217</v>
      </c>
      <c r="B26" t="s">
        <v>217</v>
      </c>
      <c r="C26" s="4">
        <v>45914</v>
      </c>
      <c r="D26">
        <v>2025</v>
      </c>
      <c r="E26">
        <v>9</v>
      </c>
      <c r="F26" t="s">
        <v>25</v>
      </c>
      <c r="G26" t="s">
        <v>89</v>
      </c>
      <c r="H26" t="s">
        <v>218</v>
      </c>
      <c r="I26" t="s">
        <v>219</v>
      </c>
      <c r="J26" t="s">
        <v>220</v>
      </c>
      <c r="K26" t="s">
        <v>221</v>
      </c>
      <c r="L26">
        <v>5</v>
      </c>
      <c r="M26" s="5">
        <v>225.45</v>
      </c>
      <c r="N26" s="6">
        <v>10</v>
      </c>
      <c r="O26" s="5">
        <v>112.72</v>
      </c>
      <c r="P26" s="5">
        <v>152.18</v>
      </c>
      <c r="Q26" s="5">
        <v>1166.71</v>
      </c>
      <c r="R26" s="5">
        <v>954.5</v>
      </c>
      <c r="S26" s="5">
        <v>212.21</v>
      </c>
      <c r="T26" s="7">
        <v>0.181887529891747</v>
      </c>
      <c r="U26" t="s">
        <v>9</v>
      </c>
      <c r="V26" t="s">
        <v>50</v>
      </c>
      <c r="W26" t="s">
        <v>50</v>
      </c>
      <c r="X26" t="s">
        <v>33</v>
      </c>
      <c r="Y26" t="s">
        <v>222</v>
      </c>
      <c r="Z26" t="s">
        <v>80</v>
      </c>
    </row>
    <row r="27" spans="1:26">
      <c r="A27" t="s">
        <v>223</v>
      </c>
      <c r="B27" t="s">
        <v>223</v>
      </c>
      <c r="C27" s="4">
        <v>46074</v>
      </c>
      <c r="D27">
        <v>2026</v>
      </c>
      <c r="E27">
        <v>2</v>
      </c>
      <c r="F27" t="s">
        <v>31</v>
      </c>
      <c r="G27" t="s">
        <v>82</v>
      </c>
      <c r="H27" t="s">
        <v>224</v>
      </c>
      <c r="I27" t="s">
        <v>225</v>
      </c>
      <c r="J27" t="s">
        <v>226</v>
      </c>
      <c r="K27" t="s">
        <v>227</v>
      </c>
      <c r="L27">
        <v>2</v>
      </c>
      <c r="M27" s="5">
        <v>355.64</v>
      </c>
      <c r="N27" s="6">
        <v>0</v>
      </c>
      <c r="O27" s="5">
        <v>0</v>
      </c>
      <c r="P27" s="5">
        <v>106.69</v>
      </c>
      <c r="Q27" s="5">
        <v>817.97</v>
      </c>
      <c r="R27" s="5">
        <v>606.82</v>
      </c>
      <c r="S27" s="5">
        <v>211.15</v>
      </c>
      <c r="T27" s="7">
        <v>0.258139051554458</v>
      </c>
      <c r="U27" t="s">
        <v>10</v>
      </c>
      <c r="V27" t="s">
        <v>50</v>
      </c>
      <c r="W27" t="s">
        <v>50</v>
      </c>
      <c r="X27" t="s">
        <v>33</v>
      </c>
      <c r="Y27" t="s">
        <v>228</v>
      </c>
      <c r="Z27" t="s">
        <v>80</v>
      </c>
    </row>
    <row r="28" spans="1:26">
      <c r="A28" t="s">
        <v>229</v>
      </c>
      <c r="B28" t="s">
        <v>229</v>
      </c>
      <c r="C28" s="4">
        <v>45916</v>
      </c>
      <c r="D28">
        <v>2025</v>
      </c>
      <c r="E28">
        <v>9</v>
      </c>
      <c r="F28" t="s">
        <v>25</v>
      </c>
      <c r="G28" t="s">
        <v>89</v>
      </c>
      <c r="H28" t="s">
        <v>230</v>
      </c>
      <c r="I28" t="s">
        <v>157</v>
      </c>
      <c r="J28" t="s">
        <v>202</v>
      </c>
      <c r="K28" t="s">
        <v>231</v>
      </c>
      <c r="L28">
        <v>5</v>
      </c>
      <c r="M28" s="5">
        <v>67.99</v>
      </c>
      <c r="N28" s="6">
        <v>20</v>
      </c>
      <c r="O28" s="5">
        <v>67.99</v>
      </c>
      <c r="P28" s="5">
        <v>40.79</v>
      </c>
      <c r="Q28" s="5">
        <v>271.96</v>
      </c>
      <c r="R28" s="5">
        <v>240.75</v>
      </c>
      <c r="S28" s="5">
        <v>31.21</v>
      </c>
      <c r="T28" s="7">
        <v>0.114759523459332</v>
      </c>
      <c r="U28" t="s">
        <v>10</v>
      </c>
      <c r="V28" t="s">
        <v>50</v>
      </c>
      <c r="W28" t="s">
        <v>50</v>
      </c>
      <c r="X28" t="s">
        <v>33</v>
      </c>
      <c r="Y28" t="s">
        <v>232</v>
      </c>
      <c r="Z28" t="s">
        <v>101</v>
      </c>
    </row>
    <row r="29" spans="1:26">
      <c r="A29" t="s">
        <v>233</v>
      </c>
      <c r="B29" t="s">
        <v>233</v>
      </c>
      <c r="C29" s="4">
        <v>45941</v>
      </c>
      <c r="D29">
        <v>2025</v>
      </c>
      <c r="E29">
        <v>10</v>
      </c>
      <c r="F29" t="s">
        <v>26</v>
      </c>
      <c r="G29" t="s">
        <v>137</v>
      </c>
      <c r="H29" t="s">
        <v>234</v>
      </c>
      <c r="I29" t="s">
        <v>235</v>
      </c>
      <c r="J29" t="s">
        <v>38</v>
      </c>
      <c r="K29" t="s">
        <v>236</v>
      </c>
      <c r="L29">
        <v>8</v>
      </c>
      <c r="M29" s="5">
        <v>235.08</v>
      </c>
      <c r="N29" s="6">
        <v>0</v>
      </c>
      <c r="O29" s="5">
        <v>0</v>
      </c>
      <c r="P29" s="5">
        <v>282.1</v>
      </c>
      <c r="Q29" s="5">
        <v>2162.74</v>
      </c>
      <c r="R29" s="5">
        <v>1416.24</v>
      </c>
      <c r="S29" s="5">
        <v>746.5</v>
      </c>
      <c r="T29" s="7">
        <v>0.345164004919685</v>
      </c>
      <c r="U29" t="s">
        <v>9</v>
      </c>
      <c r="V29" t="s">
        <v>50</v>
      </c>
      <c r="W29" t="s">
        <v>50</v>
      </c>
      <c r="X29" t="s">
        <v>33</v>
      </c>
      <c r="Y29" t="s">
        <v>237</v>
      </c>
      <c r="Z29" t="s">
        <v>80</v>
      </c>
    </row>
    <row r="30" spans="1:26">
      <c r="A30" t="s">
        <v>238</v>
      </c>
      <c r="B30" t="s">
        <v>238</v>
      </c>
      <c r="C30" s="4">
        <v>45910</v>
      </c>
      <c r="D30">
        <v>2025</v>
      </c>
      <c r="E30">
        <v>9</v>
      </c>
      <c r="F30" t="s">
        <v>25</v>
      </c>
      <c r="G30" t="s">
        <v>89</v>
      </c>
      <c r="H30" t="s">
        <v>239</v>
      </c>
      <c r="I30" t="s">
        <v>235</v>
      </c>
      <c r="J30" t="s">
        <v>240</v>
      </c>
      <c r="K30" t="s">
        <v>241</v>
      </c>
      <c r="L30">
        <v>2</v>
      </c>
      <c r="M30" s="5">
        <v>217.42</v>
      </c>
      <c r="N30" s="6">
        <v>0</v>
      </c>
      <c r="O30" s="5">
        <v>0</v>
      </c>
      <c r="P30" s="5">
        <v>65.23</v>
      </c>
      <c r="Q30" s="5">
        <v>434.84</v>
      </c>
      <c r="R30" s="5">
        <v>354.06</v>
      </c>
      <c r="S30" s="5">
        <v>80.78</v>
      </c>
      <c r="T30" s="7">
        <v>0.185769478428847</v>
      </c>
      <c r="U30" t="s">
        <v>11</v>
      </c>
      <c r="V30" t="s">
        <v>50</v>
      </c>
      <c r="W30" t="s">
        <v>50</v>
      </c>
      <c r="X30" t="s">
        <v>35</v>
      </c>
      <c r="Y30" t="s">
        <v>242</v>
      </c>
      <c r="Z30" t="s">
        <v>101</v>
      </c>
    </row>
    <row r="31" spans="1:26">
      <c r="A31" t="s">
        <v>243</v>
      </c>
      <c r="B31" t="s">
        <v>243</v>
      </c>
      <c r="C31" s="4">
        <v>45763</v>
      </c>
      <c r="D31">
        <v>2025</v>
      </c>
      <c r="E31">
        <v>4</v>
      </c>
      <c r="F31" t="s">
        <v>20</v>
      </c>
      <c r="G31" t="s">
        <v>74</v>
      </c>
      <c r="H31" t="s">
        <v>244</v>
      </c>
      <c r="I31" t="s">
        <v>245</v>
      </c>
      <c r="J31" t="s">
        <v>246</v>
      </c>
      <c r="K31" t="s">
        <v>247</v>
      </c>
      <c r="L31">
        <v>3</v>
      </c>
      <c r="M31" s="5">
        <v>121.9</v>
      </c>
      <c r="N31" s="6">
        <v>0</v>
      </c>
      <c r="O31" s="5">
        <v>0</v>
      </c>
      <c r="P31" s="5">
        <v>54.86</v>
      </c>
      <c r="Q31" s="5">
        <v>365.7</v>
      </c>
      <c r="R31" s="5">
        <v>326.76</v>
      </c>
      <c r="S31" s="5">
        <v>38.94</v>
      </c>
      <c r="T31" s="7">
        <v>0.106480721903199</v>
      </c>
      <c r="U31" t="s">
        <v>12</v>
      </c>
      <c r="V31" t="s">
        <v>50</v>
      </c>
      <c r="W31" t="s">
        <v>50</v>
      </c>
      <c r="X31" t="s">
        <v>35</v>
      </c>
      <c r="Y31" t="s">
        <v>248</v>
      </c>
      <c r="Z31" t="s">
        <v>101</v>
      </c>
    </row>
    <row r="32" spans="1:26">
      <c r="A32" t="s">
        <v>249</v>
      </c>
      <c r="B32" t="s">
        <v>249</v>
      </c>
      <c r="C32" s="4">
        <v>46004</v>
      </c>
      <c r="D32">
        <v>2025</v>
      </c>
      <c r="E32">
        <v>12</v>
      </c>
      <c r="F32" t="s">
        <v>28</v>
      </c>
      <c r="G32" t="s">
        <v>137</v>
      </c>
      <c r="H32" t="s">
        <v>250</v>
      </c>
      <c r="I32" t="s">
        <v>251</v>
      </c>
      <c r="J32" t="s">
        <v>252</v>
      </c>
      <c r="K32" t="s">
        <v>253</v>
      </c>
      <c r="L32">
        <v>4</v>
      </c>
      <c r="M32" s="5">
        <v>205.93</v>
      </c>
      <c r="N32" s="6">
        <v>0</v>
      </c>
      <c r="O32" s="5">
        <v>0</v>
      </c>
      <c r="P32" s="5">
        <v>123.56</v>
      </c>
      <c r="Q32" s="5">
        <v>947.28</v>
      </c>
      <c r="R32" s="5">
        <v>680.8</v>
      </c>
      <c r="S32" s="5">
        <v>266.48</v>
      </c>
      <c r="T32" s="7">
        <v>0.281310700109788</v>
      </c>
      <c r="U32" t="s">
        <v>10</v>
      </c>
      <c r="V32" t="s">
        <v>50</v>
      </c>
      <c r="W32" t="s">
        <v>50</v>
      </c>
      <c r="X32" t="s">
        <v>33</v>
      </c>
      <c r="Y32" t="s">
        <v>254</v>
      </c>
      <c r="Z32" t="s">
        <v>80</v>
      </c>
    </row>
    <row r="33" spans="1:26">
      <c r="A33" t="s">
        <v>255</v>
      </c>
      <c r="B33" t="s">
        <v>255</v>
      </c>
      <c r="C33" s="4">
        <v>45991</v>
      </c>
      <c r="D33">
        <v>2025</v>
      </c>
      <c r="E33">
        <v>11</v>
      </c>
      <c r="F33" t="s">
        <v>27</v>
      </c>
      <c r="G33" t="s">
        <v>137</v>
      </c>
      <c r="H33" t="s">
        <v>256</v>
      </c>
      <c r="I33" t="s">
        <v>225</v>
      </c>
      <c r="J33" t="s">
        <v>257</v>
      </c>
      <c r="K33" t="s">
        <v>258</v>
      </c>
      <c r="L33">
        <v>3</v>
      </c>
      <c r="M33" s="5">
        <v>404.19</v>
      </c>
      <c r="N33" s="6">
        <v>20</v>
      </c>
      <c r="O33" s="5">
        <v>242.51</v>
      </c>
      <c r="P33" s="5">
        <v>145.51</v>
      </c>
      <c r="Q33" s="5">
        <v>1115.57</v>
      </c>
      <c r="R33" s="5">
        <v>910.23</v>
      </c>
      <c r="S33" s="5">
        <v>205.34</v>
      </c>
      <c r="T33" s="7">
        <v>0.184067337773515</v>
      </c>
      <c r="U33" t="s">
        <v>11</v>
      </c>
      <c r="V33" t="s">
        <v>50</v>
      </c>
      <c r="W33" t="s">
        <v>50</v>
      </c>
      <c r="X33" t="s">
        <v>34</v>
      </c>
      <c r="Y33" t="s">
        <v>259</v>
      </c>
      <c r="Z33" t="s">
        <v>80</v>
      </c>
    </row>
    <row r="34" spans="1:26">
      <c r="A34" t="s">
        <v>260</v>
      </c>
      <c r="B34" t="s">
        <v>260</v>
      </c>
      <c r="C34" s="4">
        <v>46081</v>
      </c>
      <c r="D34">
        <v>2026</v>
      </c>
      <c r="E34">
        <v>2</v>
      </c>
      <c r="F34" t="s">
        <v>31</v>
      </c>
      <c r="G34" t="s">
        <v>82</v>
      </c>
      <c r="H34" t="s">
        <v>261</v>
      </c>
      <c r="I34" t="s">
        <v>262</v>
      </c>
      <c r="J34" t="s">
        <v>263</v>
      </c>
      <c r="K34" t="s">
        <v>264</v>
      </c>
      <c r="L34">
        <v>4</v>
      </c>
      <c r="M34" s="5">
        <v>147.97</v>
      </c>
      <c r="N34" s="6">
        <v>20</v>
      </c>
      <c r="O34" s="5">
        <v>118.38</v>
      </c>
      <c r="P34" s="5">
        <v>71.02</v>
      </c>
      <c r="Q34" s="5">
        <v>544.52</v>
      </c>
      <c r="R34" s="5">
        <v>451.2</v>
      </c>
      <c r="S34" s="5">
        <v>93.32</v>
      </c>
      <c r="T34" s="7">
        <v>0.171380298244325</v>
      </c>
      <c r="U34" t="s">
        <v>14</v>
      </c>
      <c r="V34" t="s">
        <v>50</v>
      </c>
      <c r="W34" t="s">
        <v>50</v>
      </c>
      <c r="X34" t="s">
        <v>35</v>
      </c>
      <c r="Y34" t="s">
        <v>265</v>
      </c>
      <c r="Z34" t="s">
        <v>80</v>
      </c>
    </row>
    <row r="35" spans="1:26">
      <c r="A35" t="s">
        <v>266</v>
      </c>
      <c r="B35" t="s">
        <v>266</v>
      </c>
      <c r="C35" s="4">
        <v>45958</v>
      </c>
      <c r="D35">
        <v>2025</v>
      </c>
      <c r="E35">
        <v>10</v>
      </c>
      <c r="F35" t="s">
        <v>26</v>
      </c>
      <c r="G35" t="s">
        <v>137</v>
      </c>
      <c r="H35" t="s">
        <v>267</v>
      </c>
      <c r="I35" t="s">
        <v>268</v>
      </c>
      <c r="J35" t="s">
        <v>269</v>
      </c>
      <c r="K35" t="s">
        <v>270</v>
      </c>
      <c r="L35">
        <v>5</v>
      </c>
      <c r="M35" s="5">
        <v>332.74</v>
      </c>
      <c r="N35" s="6">
        <v>5</v>
      </c>
      <c r="O35" s="5">
        <v>83.19</v>
      </c>
      <c r="P35" s="5">
        <v>237.08</v>
      </c>
      <c r="Q35" s="5">
        <v>1580.51</v>
      </c>
      <c r="R35" s="5">
        <v>1026.35</v>
      </c>
      <c r="S35" s="5">
        <v>554.16</v>
      </c>
      <c r="T35" s="7">
        <v>0.350621002081607</v>
      </c>
      <c r="U35" t="s">
        <v>13</v>
      </c>
      <c r="V35" t="s">
        <v>50</v>
      </c>
      <c r="W35" t="s">
        <v>50</v>
      </c>
      <c r="X35" t="s">
        <v>33</v>
      </c>
      <c r="Y35" t="s">
        <v>271</v>
      </c>
      <c r="Z35" t="s">
        <v>101</v>
      </c>
    </row>
    <row r="36" spans="1:26">
      <c r="A36" t="s">
        <v>272</v>
      </c>
      <c r="B36" t="s">
        <v>272</v>
      </c>
      <c r="C36" s="4">
        <v>45935</v>
      </c>
      <c r="D36">
        <v>2025</v>
      </c>
      <c r="E36">
        <v>10</v>
      </c>
      <c r="F36" t="s">
        <v>26</v>
      </c>
      <c r="G36" t="s">
        <v>137</v>
      </c>
      <c r="H36" t="s">
        <v>273</v>
      </c>
      <c r="I36" t="s">
        <v>274</v>
      </c>
      <c r="J36" t="s">
        <v>240</v>
      </c>
      <c r="K36" t="s">
        <v>275</v>
      </c>
      <c r="L36">
        <v>1</v>
      </c>
      <c r="M36" s="5">
        <v>318.62</v>
      </c>
      <c r="N36" s="6">
        <v>0</v>
      </c>
      <c r="O36" s="5">
        <v>0</v>
      </c>
      <c r="P36" s="5">
        <v>47.79</v>
      </c>
      <c r="Q36" s="5">
        <v>366.41</v>
      </c>
      <c r="R36" s="5">
        <v>221.72</v>
      </c>
      <c r="S36" s="5">
        <v>144.69</v>
      </c>
      <c r="T36" s="7">
        <v>0.394885510766627</v>
      </c>
      <c r="U36" t="s">
        <v>14</v>
      </c>
      <c r="V36" t="s">
        <v>50</v>
      </c>
      <c r="W36" t="s">
        <v>50</v>
      </c>
      <c r="X36" t="s">
        <v>33</v>
      </c>
      <c r="Y36" t="s">
        <v>276</v>
      </c>
      <c r="Z36" t="s">
        <v>80</v>
      </c>
    </row>
    <row r="37" spans="1:26">
      <c r="A37" t="s">
        <v>277</v>
      </c>
      <c r="B37" t="s">
        <v>277</v>
      </c>
      <c r="C37" s="4">
        <v>45767</v>
      </c>
      <c r="D37">
        <v>2025</v>
      </c>
      <c r="E37">
        <v>4</v>
      </c>
      <c r="F37" t="s">
        <v>20</v>
      </c>
      <c r="G37" t="s">
        <v>74</v>
      </c>
      <c r="H37" t="s">
        <v>278</v>
      </c>
      <c r="I37" t="s">
        <v>279</v>
      </c>
      <c r="J37" t="s">
        <v>280</v>
      </c>
      <c r="K37" t="s">
        <v>281</v>
      </c>
      <c r="L37">
        <v>3</v>
      </c>
      <c r="M37" s="5">
        <v>418.79</v>
      </c>
      <c r="N37" s="6">
        <v>0</v>
      </c>
      <c r="O37" s="5">
        <v>0</v>
      </c>
      <c r="P37" s="5">
        <v>188.46</v>
      </c>
      <c r="Q37" s="5">
        <v>1444.83</v>
      </c>
      <c r="R37" s="5">
        <v>926.82</v>
      </c>
      <c r="S37" s="5">
        <v>518.01</v>
      </c>
      <c r="T37" s="7">
        <v>0.358526608666764</v>
      </c>
      <c r="U37" t="s">
        <v>11</v>
      </c>
      <c r="V37" t="s">
        <v>50</v>
      </c>
      <c r="W37" t="s">
        <v>50</v>
      </c>
      <c r="X37" t="s">
        <v>35</v>
      </c>
      <c r="Y37" t="s">
        <v>282</v>
      </c>
      <c r="Z37" t="s">
        <v>80</v>
      </c>
    </row>
    <row r="38" spans="1:26">
      <c r="A38" t="s">
        <v>283</v>
      </c>
      <c r="B38" t="s">
        <v>283</v>
      </c>
      <c r="C38" s="4">
        <v>45980</v>
      </c>
      <c r="D38">
        <v>2025</v>
      </c>
      <c r="E38">
        <v>11</v>
      </c>
      <c r="F38" t="s">
        <v>27</v>
      </c>
      <c r="G38" t="s">
        <v>137</v>
      </c>
      <c r="H38" t="s">
        <v>284</v>
      </c>
      <c r="I38" t="s">
        <v>285</v>
      </c>
      <c r="J38" t="s">
        <v>286</v>
      </c>
      <c r="K38" t="s">
        <v>287</v>
      </c>
      <c r="L38">
        <v>3</v>
      </c>
      <c r="M38" s="5">
        <v>541.35</v>
      </c>
      <c r="N38" s="6">
        <v>20</v>
      </c>
      <c r="O38" s="5">
        <v>324.81</v>
      </c>
      <c r="P38" s="5">
        <v>194.89</v>
      </c>
      <c r="Q38" s="5">
        <v>1299.24</v>
      </c>
      <c r="R38" s="5">
        <v>1009.2</v>
      </c>
      <c r="S38" s="5">
        <v>290.04</v>
      </c>
      <c r="T38" s="7">
        <v>0.223238200794311</v>
      </c>
      <c r="U38" t="s">
        <v>10</v>
      </c>
      <c r="V38" t="s">
        <v>50</v>
      </c>
      <c r="W38" t="s">
        <v>50</v>
      </c>
      <c r="X38" t="s">
        <v>33</v>
      </c>
      <c r="Y38" t="s">
        <v>288</v>
      </c>
      <c r="Z38" t="s">
        <v>101</v>
      </c>
    </row>
    <row r="39" spans="1:26">
      <c r="A39" t="s">
        <v>289</v>
      </c>
      <c r="B39" t="s">
        <v>289</v>
      </c>
      <c r="C39" s="4">
        <v>45914</v>
      </c>
      <c r="D39">
        <v>2025</v>
      </c>
      <c r="E39">
        <v>9</v>
      </c>
      <c r="F39" t="s">
        <v>25</v>
      </c>
      <c r="G39" t="s">
        <v>89</v>
      </c>
      <c r="H39" t="s">
        <v>144</v>
      </c>
      <c r="I39" t="s">
        <v>290</v>
      </c>
      <c r="J39" t="s">
        <v>291</v>
      </c>
      <c r="K39" t="s">
        <v>270</v>
      </c>
      <c r="L39">
        <v>1</v>
      </c>
      <c r="M39" s="5">
        <v>80.5</v>
      </c>
      <c r="N39" s="6">
        <v>10</v>
      </c>
      <c r="O39" s="5">
        <v>8.05</v>
      </c>
      <c r="P39" s="5">
        <v>10.87</v>
      </c>
      <c r="Q39" s="5">
        <v>83.32</v>
      </c>
      <c r="R39" s="5">
        <v>62.25</v>
      </c>
      <c r="S39" s="5">
        <v>21.07</v>
      </c>
      <c r="T39" s="7">
        <v>0.25288046087374</v>
      </c>
      <c r="U39" t="s">
        <v>9</v>
      </c>
      <c r="V39" t="s">
        <v>50</v>
      </c>
      <c r="W39" t="s">
        <v>50</v>
      </c>
      <c r="X39" t="s">
        <v>33</v>
      </c>
      <c r="Y39" t="s">
        <v>292</v>
      </c>
      <c r="Z39" t="s">
        <v>80</v>
      </c>
    </row>
    <row r="40" spans="1:26">
      <c r="A40" t="s">
        <v>293</v>
      </c>
      <c r="B40" t="s">
        <v>293</v>
      </c>
      <c r="C40" s="4">
        <v>45939</v>
      </c>
      <c r="D40">
        <v>2025</v>
      </c>
      <c r="E40">
        <v>10</v>
      </c>
      <c r="F40" t="s">
        <v>26</v>
      </c>
      <c r="G40" t="s">
        <v>137</v>
      </c>
      <c r="H40" t="s">
        <v>294</v>
      </c>
      <c r="I40" t="s">
        <v>295</v>
      </c>
      <c r="J40" t="s">
        <v>296</v>
      </c>
      <c r="K40" t="s">
        <v>297</v>
      </c>
      <c r="L40">
        <v>4</v>
      </c>
      <c r="M40" s="5">
        <v>328.56</v>
      </c>
      <c r="N40" s="6">
        <v>0</v>
      </c>
      <c r="O40" s="5">
        <v>0</v>
      </c>
      <c r="P40" s="5">
        <v>197.14</v>
      </c>
      <c r="Q40" s="5">
        <v>1314.24</v>
      </c>
      <c r="R40" s="5">
        <v>1086.12</v>
      </c>
      <c r="S40" s="5">
        <v>228.12</v>
      </c>
      <c r="T40" s="7">
        <v>0.173575602629657</v>
      </c>
      <c r="U40" t="s">
        <v>10</v>
      </c>
      <c r="V40" t="s">
        <v>50</v>
      </c>
      <c r="W40" t="s">
        <v>50</v>
      </c>
      <c r="X40" t="s">
        <v>33</v>
      </c>
      <c r="Y40" t="s">
        <v>298</v>
      </c>
      <c r="Z40" t="s">
        <v>101</v>
      </c>
    </row>
    <row r="41" spans="1:26">
      <c r="A41" t="s">
        <v>299</v>
      </c>
      <c r="B41" t="s">
        <v>299</v>
      </c>
      <c r="C41" s="4">
        <v>46072</v>
      </c>
      <c r="D41">
        <v>2026</v>
      </c>
      <c r="E41">
        <v>2</v>
      </c>
      <c r="F41" t="s">
        <v>31</v>
      </c>
      <c r="G41" t="s">
        <v>82</v>
      </c>
      <c r="H41" t="s">
        <v>300</v>
      </c>
      <c r="I41" t="s">
        <v>301</v>
      </c>
      <c r="J41" t="s">
        <v>302</v>
      </c>
      <c r="K41" t="s">
        <v>303</v>
      </c>
      <c r="L41">
        <v>7</v>
      </c>
      <c r="M41" s="5">
        <v>243</v>
      </c>
      <c r="N41" s="6">
        <v>0</v>
      </c>
      <c r="O41" s="5">
        <v>0</v>
      </c>
      <c r="P41" s="5">
        <v>255.15</v>
      </c>
      <c r="Q41" s="5">
        <v>1701</v>
      </c>
      <c r="R41" s="5">
        <v>1368.08</v>
      </c>
      <c r="S41" s="5">
        <v>332.92</v>
      </c>
      <c r="T41" s="7">
        <v>0.195720164609054</v>
      </c>
      <c r="U41" t="s">
        <v>14</v>
      </c>
      <c r="V41" t="s">
        <v>50</v>
      </c>
      <c r="W41" t="s">
        <v>50</v>
      </c>
      <c r="X41" t="s">
        <v>34</v>
      </c>
      <c r="Y41" t="s">
        <v>304</v>
      </c>
      <c r="Z41" t="s">
        <v>101</v>
      </c>
    </row>
    <row r="42" spans="1:26">
      <c r="A42" t="s">
        <v>305</v>
      </c>
      <c r="B42" t="s">
        <v>305</v>
      </c>
      <c r="C42" s="4">
        <v>45781</v>
      </c>
      <c r="D42">
        <v>2025</v>
      </c>
      <c r="E42">
        <v>5</v>
      </c>
      <c r="F42" t="s">
        <v>21</v>
      </c>
      <c r="G42" t="s">
        <v>74</v>
      </c>
      <c r="H42" t="s">
        <v>306</v>
      </c>
      <c r="I42" t="s">
        <v>301</v>
      </c>
      <c r="J42" t="s">
        <v>307</v>
      </c>
      <c r="K42" t="s">
        <v>308</v>
      </c>
      <c r="L42">
        <v>3</v>
      </c>
      <c r="M42" s="5">
        <v>236.07</v>
      </c>
      <c r="N42" s="6">
        <v>0</v>
      </c>
      <c r="O42" s="5">
        <v>0</v>
      </c>
      <c r="P42" s="5">
        <v>106.23</v>
      </c>
      <c r="Q42" s="5">
        <v>814.44</v>
      </c>
      <c r="R42" s="5">
        <v>586.32</v>
      </c>
      <c r="S42" s="5">
        <v>228.12</v>
      </c>
      <c r="T42" s="7">
        <v>0.280094297922499</v>
      </c>
      <c r="U42" t="s">
        <v>12</v>
      </c>
      <c r="V42" t="s">
        <v>50</v>
      </c>
      <c r="W42" t="s">
        <v>50</v>
      </c>
      <c r="X42" t="s">
        <v>33</v>
      </c>
      <c r="Y42" t="s">
        <v>309</v>
      </c>
      <c r="Z42" t="s">
        <v>80</v>
      </c>
    </row>
    <row r="43" spans="1:26">
      <c r="A43" t="s">
        <v>310</v>
      </c>
      <c r="B43" t="s">
        <v>310</v>
      </c>
      <c r="C43" s="4">
        <v>46033</v>
      </c>
      <c r="D43">
        <v>2026</v>
      </c>
      <c r="E43">
        <v>1</v>
      </c>
      <c r="F43" t="s">
        <v>30</v>
      </c>
      <c r="G43" t="s">
        <v>82</v>
      </c>
      <c r="H43" t="s">
        <v>311</v>
      </c>
      <c r="I43" t="s">
        <v>312</v>
      </c>
      <c r="J43" t="s">
        <v>269</v>
      </c>
      <c r="K43" t="s">
        <v>313</v>
      </c>
      <c r="L43">
        <v>7</v>
      </c>
      <c r="M43" s="5">
        <v>428.85</v>
      </c>
      <c r="N43" s="6">
        <v>0</v>
      </c>
      <c r="O43" s="5">
        <v>0</v>
      </c>
      <c r="P43" s="5">
        <v>450.29</v>
      </c>
      <c r="Q43" s="5">
        <v>3452.24</v>
      </c>
      <c r="R43" s="5">
        <v>2001.3</v>
      </c>
      <c r="S43" s="5">
        <v>1450.94</v>
      </c>
      <c r="T43" s="7">
        <v>0.420289435265219</v>
      </c>
      <c r="U43" t="s">
        <v>13</v>
      </c>
      <c r="V43" t="s">
        <v>50</v>
      </c>
      <c r="W43" t="s">
        <v>50</v>
      </c>
      <c r="X43" t="s">
        <v>33</v>
      </c>
      <c r="Y43" t="s">
        <v>314</v>
      </c>
      <c r="Z43" t="s">
        <v>80</v>
      </c>
    </row>
    <row r="44" spans="1:26">
      <c r="A44" t="s">
        <v>315</v>
      </c>
      <c r="B44" t="s">
        <v>315</v>
      </c>
      <c r="C44" s="4">
        <v>45868</v>
      </c>
      <c r="D44">
        <v>2025</v>
      </c>
      <c r="E44">
        <v>7</v>
      </c>
      <c r="F44" t="s">
        <v>23</v>
      </c>
      <c r="G44" t="s">
        <v>89</v>
      </c>
      <c r="H44" t="s">
        <v>316</v>
      </c>
      <c r="I44" t="s">
        <v>317</v>
      </c>
      <c r="J44" t="s">
        <v>318</v>
      </c>
      <c r="K44" t="s">
        <v>319</v>
      </c>
      <c r="L44">
        <v>1</v>
      </c>
      <c r="M44" s="5">
        <v>155.55</v>
      </c>
      <c r="N44" s="6">
        <v>10</v>
      </c>
      <c r="O44" s="5">
        <v>15.55</v>
      </c>
      <c r="P44" s="5">
        <v>21</v>
      </c>
      <c r="Q44" s="5">
        <v>140</v>
      </c>
      <c r="R44" s="5">
        <v>137.64</v>
      </c>
      <c r="S44" s="5">
        <v>2.36</v>
      </c>
      <c r="T44" s="7">
        <v>0.0168571428571429</v>
      </c>
      <c r="U44" t="s">
        <v>10</v>
      </c>
      <c r="V44" t="s">
        <v>50</v>
      </c>
      <c r="W44" t="s">
        <v>50</v>
      </c>
      <c r="X44" t="s">
        <v>33</v>
      </c>
      <c r="Y44" t="s">
        <v>320</v>
      </c>
      <c r="Z44" t="s">
        <v>101</v>
      </c>
    </row>
    <row r="45" spans="1:26">
      <c r="A45" t="s">
        <v>321</v>
      </c>
      <c r="B45" t="s">
        <v>321</v>
      </c>
      <c r="C45" s="4">
        <v>45913</v>
      </c>
      <c r="D45">
        <v>2025</v>
      </c>
      <c r="E45">
        <v>9</v>
      </c>
      <c r="F45" t="s">
        <v>25</v>
      </c>
      <c r="G45" t="s">
        <v>89</v>
      </c>
      <c r="H45" t="s">
        <v>322</v>
      </c>
      <c r="I45" t="s">
        <v>323</v>
      </c>
      <c r="J45" t="s">
        <v>133</v>
      </c>
      <c r="K45" t="s">
        <v>324</v>
      </c>
      <c r="L45">
        <v>7</v>
      </c>
      <c r="M45" s="5">
        <v>51.58</v>
      </c>
      <c r="N45" s="6">
        <v>15</v>
      </c>
      <c r="O45" s="5">
        <v>54.16</v>
      </c>
      <c r="P45" s="5">
        <v>46.04</v>
      </c>
      <c r="Q45" s="5">
        <v>352.93</v>
      </c>
      <c r="R45" s="5">
        <v>262.36</v>
      </c>
      <c r="S45" s="5">
        <v>90.57</v>
      </c>
      <c r="T45" s="7">
        <v>0.256623126399003</v>
      </c>
      <c r="U45" t="s">
        <v>10</v>
      </c>
      <c r="V45" t="s">
        <v>50</v>
      </c>
      <c r="W45" t="s">
        <v>50</v>
      </c>
      <c r="X45" t="s">
        <v>34</v>
      </c>
      <c r="Y45" t="s">
        <v>325</v>
      </c>
      <c r="Z45" t="s">
        <v>80</v>
      </c>
    </row>
    <row r="46" spans="1:26">
      <c r="A46" t="s">
        <v>326</v>
      </c>
      <c r="B46" t="s">
        <v>326</v>
      </c>
      <c r="C46" s="4">
        <v>46040</v>
      </c>
      <c r="D46">
        <v>2026</v>
      </c>
      <c r="E46">
        <v>1</v>
      </c>
      <c r="F46" t="s">
        <v>30</v>
      </c>
      <c r="G46" t="s">
        <v>82</v>
      </c>
      <c r="H46" t="s">
        <v>327</v>
      </c>
      <c r="I46" t="s">
        <v>328</v>
      </c>
      <c r="J46" t="s">
        <v>252</v>
      </c>
      <c r="K46" t="s">
        <v>253</v>
      </c>
      <c r="L46">
        <v>1</v>
      </c>
      <c r="M46" s="5">
        <v>124.84</v>
      </c>
      <c r="N46" s="6">
        <v>20</v>
      </c>
      <c r="O46" s="5">
        <v>24.97</v>
      </c>
      <c r="P46" s="5">
        <v>14.98</v>
      </c>
      <c r="Q46" s="5">
        <v>114.85</v>
      </c>
      <c r="R46" s="5">
        <v>97.35</v>
      </c>
      <c r="S46" s="5">
        <v>17.5</v>
      </c>
      <c r="T46" s="7">
        <v>0.152372659991293</v>
      </c>
      <c r="U46" t="s">
        <v>12</v>
      </c>
      <c r="V46" t="s">
        <v>50</v>
      </c>
      <c r="W46" t="s">
        <v>50</v>
      </c>
      <c r="X46" t="s">
        <v>33</v>
      </c>
      <c r="Y46" t="s">
        <v>329</v>
      </c>
      <c r="Z46" t="s">
        <v>80</v>
      </c>
    </row>
    <row r="47" spans="1:26">
      <c r="A47" t="s">
        <v>330</v>
      </c>
      <c r="B47" t="s">
        <v>330</v>
      </c>
      <c r="C47" s="4">
        <v>45956</v>
      </c>
      <c r="D47">
        <v>2025</v>
      </c>
      <c r="E47">
        <v>10</v>
      </c>
      <c r="F47" t="s">
        <v>26</v>
      </c>
      <c r="G47" t="s">
        <v>137</v>
      </c>
      <c r="H47" t="s">
        <v>331</v>
      </c>
      <c r="I47" t="s">
        <v>332</v>
      </c>
      <c r="J47" t="s">
        <v>333</v>
      </c>
      <c r="K47" t="s">
        <v>334</v>
      </c>
      <c r="L47">
        <v>5</v>
      </c>
      <c r="M47" s="5">
        <v>76.39</v>
      </c>
      <c r="N47" s="6">
        <v>0</v>
      </c>
      <c r="O47" s="5">
        <v>0</v>
      </c>
      <c r="P47" s="5">
        <v>57.29</v>
      </c>
      <c r="Q47" s="5">
        <v>439.24</v>
      </c>
      <c r="R47" s="5">
        <v>271.6</v>
      </c>
      <c r="S47" s="5">
        <v>167.64</v>
      </c>
      <c r="T47" s="7">
        <v>0.381659229578363</v>
      </c>
      <c r="U47" t="s">
        <v>14</v>
      </c>
      <c r="V47" t="s">
        <v>50</v>
      </c>
      <c r="W47" t="s">
        <v>50</v>
      </c>
      <c r="X47" t="s">
        <v>33</v>
      </c>
      <c r="Y47" t="s">
        <v>335</v>
      </c>
      <c r="Z47" t="s">
        <v>80</v>
      </c>
    </row>
    <row r="48" spans="1:26">
      <c r="A48" t="s">
        <v>336</v>
      </c>
      <c r="B48" t="s">
        <v>336</v>
      </c>
      <c r="C48" s="4">
        <v>45979</v>
      </c>
      <c r="D48">
        <v>2025</v>
      </c>
      <c r="E48">
        <v>11</v>
      </c>
      <c r="F48" t="s">
        <v>27</v>
      </c>
      <c r="G48" t="s">
        <v>137</v>
      </c>
      <c r="H48" t="s">
        <v>337</v>
      </c>
      <c r="I48" t="s">
        <v>338</v>
      </c>
      <c r="J48" t="s">
        <v>339</v>
      </c>
      <c r="K48" t="s">
        <v>340</v>
      </c>
      <c r="L48">
        <v>5</v>
      </c>
      <c r="M48" s="5">
        <v>230.98</v>
      </c>
      <c r="N48" s="6">
        <v>10</v>
      </c>
      <c r="O48" s="5">
        <v>115.49</v>
      </c>
      <c r="P48" s="5">
        <v>155.91</v>
      </c>
      <c r="Q48" s="5">
        <v>1039.41</v>
      </c>
      <c r="R48" s="5">
        <v>778.25</v>
      </c>
      <c r="S48" s="5">
        <v>261.16</v>
      </c>
      <c r="T48" s="7">
        <v>0.251257925169086</v>
      </c>
      <c r="U48" t="s">
        <v>10</v>
      </c>
      <c r="V48" t="s">
        <v>50</v>
      </c>
      <c r="W48" t="s">
        <v>50</v>
      </c>
      <c r="X48" t="s">
        <v>33</v>
      </c>
      <c r="Y48" t="s">
        <v>341</v>
      </c>
      <c r="Z48" t="s">
        <v>101</v>
      </c>
    </row>
    <row r="49" spans="1:26">
      <c r="A49" t="s">
        <v>342</v>
      </c>
      <c r="B49" t="s">
        <v>342</v>
      </c>
      <c r="C49" s="4">
        <v>45955</v>
      </c>
      <c r="D49">
        <v>2025</v>
      </c>
      <c r="E49">
        <v>10</v>
      </c>
      <c r="F49" t="s">
        <v>26</v>
      </c>
      <c r="G49" t="s">
        <v>137</v>
      </c>
      <c r="H49" t="s">
        <v>343</v>
      </c>
      <c r="I49" t="s">
        <v>344</v>
      </c>
      <c r="J49" t="s">
        <v>345</v>
      </c>
      <c r="K49" t="s">
        <v>346</v>
      </c>
      <c r="L49">
        <v>6</v>
      </c>
      <c r="M49" s="5">
        <v>558.82</v>
      </c>
      <c r="N49" s="6">
        <v>15</v>
      </c>
      <c r="O49" s="5">
        <v>502.94</v>
      </c>
      <c r="P49" s="5">
        <v>427.5</v>
      </c>
      <c r="Q49" s="5">
        <v>3277.48</v>
      </c>
      <c r="R49" s="5">
        <v>2179.74</v>
      </c>
      <c r="S49" s="5">
        <v>1097.74</v>
      </c>
      <c r="T49" s="7">
        <v>0.334934156730171</v>
      </c>
      <c r="U49" t="s">
        <v>10</v>
      </c>
      <c r="V49" t="s">
        <v>50</v>
      </c>
      <c r="W49" t="s">
        <v>50</v>
      </c>
      <c r="X49" t="s">
        <v>35</v>
      </c>
      <c r="Y49" t="s">
        <v>347</v>
      </c>
      <c r="Z49" t="s">
        <v>80</v>
      </c>
    </row>
    <row r="50" spans="1:26">
      <c r="A50" t="s">
        <v>348</v>
      </c>
      <c r="B50" t="s">
        <v>348</v>
      </c>
      <c r="C50" s="4">
        <v>46039</v>
      </c>
      <c r="D50">
        <v>2026</v>
      </c>
      <c r="E50">
        <v>1</v>
      </c>
      <c r="F50" t="s">
        <v>30</v>
      </c>
      <c r="G50" t="s">
        <v>82</v>
      </c>
      <c r="H50" t="s">
        <v>349</v>
      </c>
      <c r="I50" t="s">
        <v>350</v>
      </c>
      <c r="J50" t="s">
        <v>351</v>
      </c>
      <c r="K50" t="s">
        <v>352</v>
      </c>
      <c r="L50">
        <v>2</v>
      </c>
      <c r="M50" s="5">
        <v>343.56</v>
      </c>
      <c r="N50" s="6">
        <v>10</v>
      </c>
      <c r="O50" s="5">
        <v>68.71</v>
      </c>
      <c r="P50" s="5">
        <v>92.76</v>
      </c>
      <c r="Q50" s="5">
        <v>711.17</v>
      </c>
      <c r="R50" s="5">
        <v>432.64</v>
      </c>
      <c r="S50" s="5">
        <v>278.53</v>
      </c>
      <c r="T50" s="7">
        <v>0.391650378952993</v>
      </c>
      <c r="U50" t="s">
        <v>13</v>
      </c>
      <c r="V50" t="s">
        <v>50</v>
      </c>
      <c r="W50" t="s">
        <v>50</v>
      </c>
      <c r="X50" t="s">
        <v>35</v>
      </c>
      <c r="Y50" t="s">
        <v>353</v>
      </c>
      <c r="Z50" t="s">
        <v>80</v>
      </c>
    </row>
    <row r="51" spans="1:26">
      <c r="A51" t="s">
        <v>354</v>
      </c>
      <c r="B51" t="s">
        <v>354</v>
      </c>
      <c r="C51" s="4">
        <v>45955</v>
      </c>
      <c r="D51">
        <v>2025</v>
      </c>
      <c r="E51">
        <v>10</v>
      </c>
      <c r="F51" t="s">
        <v>26</v>
      </c>
      <c r="G51" t="s">
        <v>137</v>
      </c>
      <c r="H51" t="s">
        <v>355</v>
      </c>
      <c r="I51" t="s">
        <v>356</v>
      </c>
      <c r="J51" t="s">
        <v>357</v>
      </c>
      <c r="K51" t="s">
        <v>358</v>
      </c>
      <c r="L51">
        <v>7</v>
      </c>
      <c r="M51" s="5">
        <v>504.43</v>
      </c>
      <c r="N51" s="6">
        <v>5</v>
      </c>
      <c r="O51" s="5">
        <v>176.55</v>
      </c>
      <c r="P51" s="5">
        <v>503.17</v>
      </c>
      <c r="Q51" s="5">
        <v>3857.63</v>
      </c>
      <c r="R51" s="5">
        <v>1980.16</v>
      </c>
      <c r="S51" s="5">
        <v>1877.47</v>
      </c>
      <c r="T51" s="7">
        <v>0.486690014335227</v>
      </c>
      <c r="U51" t="s">
        <v>14</v>
      </c>
      <c r="V51" t="s">
        <v>50</v>
      </c>
      <c r="W51" t="s">
        <v>50</v>
      </c>
      <c r="X51" t="s">
        <v>35</v>
      </c>
      <c r="Y51" t="s">
        <v>359</v>
      </c>
      <c r="Z51" t="s">
        <v>80</v>
      </c>
    </row>
    <row r="52" spans="1:26">
      <c r="A52" t="s">
        <v>360</v>
      </c>
      <c r="B52" t="s">
        <v>360</v>
      </c>
      <c r="C52" s="4">
        <v>46020</v>
      </c>
      <c r="D52">
        <v>2025</v>
      </c>
      <c r="E52">
        <v>12</v>
      </c>
      <c r="F52" t="s">
        <v>28</v>
      </c>
      <c r="G52" t="s">
        <v>137</v>
      </c>
      <c r="H52" t="s">
        <v>361</v>
      </c>
      <c r="I52" t="s">
        <v>362</v>
      </c>
      <c r="J52" t="s">
        <v>363</v>
      </c>
      <c r="K52" t="s">
        <v>364</v>
      </c>
      <c r="L52">
        <v>4</v>
      </c>
      <c r="M52" s="5">
        <v>349.59</v>
      </c>
      <c r="N52" s="6">
        <v>10</v>
      </c>
      <c r="O52" s="5">
        <v>139.84</v>
      </c>
      <c r="P52" s="5">
        <v>188.78</v>
      </c>
      <c r="Q52" s="5">
        <v>1258.52</v>
      </c>
      <c r="R52" s="5">
        <v>989</v>
      </c>
      <c r="S52" s="5">
        <v>269.52</v>
      </c>
      <c r="T52" s="7">
        <v>0.214156310587039</v>
      </c>
      <c r="U52" t="s">
        <v>10</v>
      </c>
      <c r="V52" t="s">
        <v>50</v>
      </c>
      <c r="W52" t="s">
        <v>50</v>
      </c>
      <c r="X52" t="s">
        <v>33</v>
      </c>
      <c r="Y52" t="s">
        <v>365</v>
      </c>
      <c r="Z52" t="s">
        <v>101</v>
      </c>
    </row>
    <row r="53" spans="1:26">
      <c r="A53" t="s">
        <v>366</v>
      </c>
      <c r="B53" t="s">
        <v>366</v>
      </c>
      <c r="C53" s="4">
        <v>45780</v>
      </c>
      <c r="D53">
        <v>2025</v>
      </c>
      <c r="E53">
        <v>5</v>
      </c>
      <c r="F53" t="s">
        <v>21</v>
      </c>
      <c r="G53" t="s">
        <v>74</v>
      </c>
      <c r="H53" t="s">
        <v>367</v>
      </c>
      <c r="I53" t="s">
        <v>368</v>
      </c>
      <c r="J53" t="s">
        <v>369</v>
      </c>
      <c r="K53" t="s">
        <v>370</v>
      </c>
      <c r="L53">
        <v>8</v>
      </c>
      <c r="M53" s="5">
        <v>76.67</v>
      </c>
      <c r="N53" s="6">
        <v>5</v>
      </c>
      <c r="O53" s="5">
        <v>30.67</v>
      </c>
      <c r="P53" s="5">
        <v>87.4</v>
      </c>
      <c r="Q53" s="5">
        <v>670.09</v>
      </c>
      <c r="R53" s="5">
        <v>403.44</v>
      </c>
      <c r="S53" s="5">
        <v>266.65</v>
      </c>
      <c r="T53" s="7">
        <v>0.39793162112552</v>
      </c>
      <c r="U53" t="s">
        <v>13</v>
      </c>
      <c r="V53" t="s">
        <v>50</v>
      </c>
      <c r="W53" t="s">
        <v>50</v>
      </c>
      <c r="X53" t="s">
        <v>35</v>
      </c>
      <c r="Y53" t="s">
        <v>371</v>
      </c>
      <c r="Z53" t="s">
        <v>80</v>
      </c>
    </row>
    <row r="54" spans="1:26">
      <c r="A54" t="s">
        <v>372</v>
      </c>
      <c r="B54" t="s">
        <v>372</v>
      </c>
      <c r="C54" s="4">
        <v>45813</v>
      </c>
      <c r="D54">
        <v>2025</v>
      </c>
      <c r="E54">
        <v>6</v>
      </c>
      <c r="F54" t="s">
        <v>22</v>
      </c>
      <c r="G54" t="s">
        <v>74</v>
      </c>
      <c r="H54" t="s">
        <v>373</v>
      </c>
      <c r="I54" t="s">
        <v>374</v>
      </c>
      <c r="J54" t="s">
        <v>43</v>
      </c>
      <c r="K54" t="s">
        <v>375</v>
      </c>
      <c r="L54">
        <v>7</v>
      </c>
      <c r="M54" s="5">
        <v>435.94</v>
      </c>
      <c r="N54" s="6">
        <v>15</v>
      </c>
      <c r="O54" s="5">
        <v>457.74</v>
      </c>
      <c r="P54" s="5">
        <v>389.08</v>
      </c>
      <c r="Q54" s="5">
        <v>2593.84</v>
      </c>
      <c r="R54" s="5">
        <v>2386.3</v>
      </c>
      <c r="S54" s="5">
        <v>207.54</v>
      </c>
      <c r="T54" s="7">
        <v>0.0800126453443543</v>
      </c>
      <c r="U54" t="s">
        <v>14</v>
      </c>
      <c r="V54" t="s">
        <v>50</v>
      </c>
      <c r="W54" t="s">
        <v>50</v>
      </c>
      <c r="X54" t="s">
        <v>33</v>
      </c>
      <c r="Y54" t="s">
        <v>376</v>
      </c>
      <c r="Z54" t="s">
        <v>101</v>
      </c>
    </row>
    <row r="55" spans="1:26">
      <c r="A55" t="s">
        <v>377</v>
      </c>
      <c r="B55" t="s">
        <v>377</v>
      </c>
      <c r="C55" s="4">
        <v>45816</v>
      </c>
      <c r="D55">
        <v>2025</v>
      </c>
      <c r="E55">
        <v>6</v>
      </c>
      <c r="F55" t="s">
        <v>22</v>
      </c>
      <c r="G55" t="s">
        <v>74</v>
      </c>
      <c r="H55" t="s">
        <v>378</v>
      </c>
      <c r="I55" t="s">
        <v>379</v>
      </c>
      <c r="J55" t="s">
        <v>226</v>
      </c>
      <c r="K55" t="s">
        <v>380</v>
      </c>
      <c r="L55">
        <v>3</v>
      </c>
      <c r="M55" s="5">
        <v>245.32</v>
      </c>
      <c r="N55" s="6">
        <v>5</v>
      </c>
      <c r="O55" s="5">
        <v>36.8</v>
      </c>
      <c r="P55" s="5">
        <v>104.87</v>
      </c>
      <c r="Q55" s="5">
        <v>804.03</v>
      </c>
      <c r="R55" s="5">
        <v>628.14</v>
      </c>
      <c r="S55" s="5">
        <v>175.89</v>
      </c>
      <c r="T55" s="7">
        <v>0.218760494011418</v>
      </c>
      <c r="U55" t="s">
        <v>11</v>
      </c>
      <c r="V55" t="s">
        <v>50</v>
      </c>
      <c r="W55" t="s">
        <v>50</v>
      </c>
      <c r="X55" t="s">
        <v>33</v>
      </c>
      <c r="Y55" t="s">
        <v>381</v>
      </c>
      <c r="Z55" t="s">
        <v>80</v>
      </c>
    </row>
    <row r="56" spans="1:26">
      <c r="A56" t="s">
        <v>382</v>
      </c>
      <c r="B56" t="s">
        <v>382</v>
      </c>
      <c r="C56" s="4">
        <v>46002</v>
      </c>
      <c r="D56">
        <v>2025</v>
      </c>
      <c r="E56">
        <v>12</v>
      </c>
      <c r="F56" t="s">
        <v>28</v>
      </c>
      <c r="G56" t="s">
        <v>137</v>
      </c>
      <c r="H56" t="s">
        <v>383</v>
      </c>
      <c r="I56" t="s">
        <v>384</v>
      </c>
      <c r="J56" t="s">
        <v>296</v>
      </c>
      <c r="K56" t="s">
        <v>297</v>
      </c>
      <c r="L56">
        <v>2</v>
      </c>
      <c r="M56" s="5">
        <v>186.38</v>
      </c>
      <c r="N56" s="6">
        <v>0</v>
      </c>
      <c r="O56" s="5">
        <v>0</v>
      </c>
      <c r="P56" s="5">
        <v>55.91</v>
      </c>
      <c r="Q56" s="5">
        <v>372.76</v>
      </c>
      <c r="R56" s="5">
        <v>271.32</v>
      </c>
      <c r="S56" s="5">
        <v>101.44</v>
      </c>
      <c r="T56" s="7">
        <v>0.272132203026076</v>
      </c>
      <c r="U56" t="s">
        <v>14</v>
      </c>
      <c r="V56" t="s">
        <v>50</v>
      </c>
      <c r="W56" t="s">
        <v>50</v>
      </c>
      <c r="X56" t="s">
        <v>35</v>
      </c>
      <c r="Y56" t="s">
        <v>385</v>
      </c>
      <c r="Z56" t="s">
        <v>101</v>
      </c>
    </row>
    <row r="57" spans="1:26">
      <c r="A57" t="s">
        <v>386</v>
      </c>
      <c r="B57" t="s">
        <v>386</v>
      </c>
      <c r="C57" s="4">
        <v>45965</v>
      </c>
      <c r="D57">
        <v>2025</v>
      </c>
      <c r="E57">
        <v>11</v>
      </c>
      <c r="F57" t="s">
        <v>27</v>
      </c>
      <c r="G57" t="s">
        <v>137</v>
      </c>
      <c r="H57" t="s">
        <v>387</v>
      </c>
      <c r="I57" t="s">
        <v>169</v>
      </c>
      <c r="J57" t="s">
        <v>105</v>
      </c>
      <c r="K57" t="s">
        <v>192</v>
      </c>
      <c r="L57">
        <v>2</v>
      </c>
      <c r="M57" s="5">
        <v>141.11</v>
      </c>
      <c r="N57" s="6">
        <v>0</v>
      </c>
      <c r="O57" s="5">
        <v>0</v>
      </c>
      <c r="P57" s="5">
        <v>42.33</v>
      </c>
      <c r="Q57" s="5">
        <v>282.22</v>
      </c>
      <c r="R57" s="5">
        <v>231.82</v>
      </c>
      <c r="S57" s="5">
        <v>50.4</v>
      </c>
      <c r="T57" s="7">
        <v>0.178584083339239</v>
      </c>
      <c r="U57" t="s">
        <v>11</v>
      </c>
      <c r="V57" t="s">
        <v>50</v>
      </c>
      <c r="W57" t="s">
        <v>50</v>
      </c>
      <c r="X57" t="s">
        <v>33</v>
      </c>
      <c r="Y57" t="s">
        <v>183</v>
      </c>
      <c r="Z57" t="s">
        <v>101</v>
      </c>
    </row>
    <row r="58" spans="1:26">
      <c r="A58" t="s">
        <v>388</v>
      </c>
      <c r="B58" t="s">
        <v>388</v>
      </c>
      <c r="C58" s="4">
        <v>45815</v>
      </c>
      <c r="D58">
        <v>2025</v>
      </c>
      <c r="E58">
        <v>6</v>
      </c>
      <c r="F58" t="s">
        <v>22</v>
      </c>
      <c r="G58" t="s">
        <v>74</v>
      </c>
      <c r="H58" t="s">
        <v>389</v>
      </c>
      <c r="I58" t="s">
        <v>132</v>
      </c>
      <c r="J58" t="s">
        <v>390</v>
      </c>
      <c r="K58" t="s">
        <v>391</v>
      </c>
      <c r="L58">
        <v>7</v>
      </c>
      <c r="M58" s="5">
        <v>293.76</v>
      </c>
      <c r="N58" s="6">
        <v>20</v>
      </c>
      <c r="O58" s="5">
        <v>411.26</v>
      </c>
      <c r="P58" s="5">
        <v>246.76</v>
      </c>
      <c r="Q58" s="5">
        <v>1891.82</v>
      </c>
      <c r="R58" s="5">
        <v>1358.42</v>
      </c>
      <c r="S58" s="5">
        <v>533.4</v>
      </c>
      <c r="T58" s="7">
        <v>0.281950714127137</v>
      </c>
      <c r="U58" t="s">
        <v>10</v>
      </c>
      <c r="V58" t="s">
        <v>51</v>
      </c>
      <c r="W58" t="s">
        <v>51</v>
      </c>
      <c r="X58" t="s">
        <v>34</v>
      </c>
      <c r="Y58" t="s">
        <v>392</v>
      </c>
      <c r="Z58" t="s">
        <v>80</v>
      </c>
    </row>
    <row r="59" spans="1:26">
      <c r="A59" t="s">
        <v>393</v>
      </c>
      <c r="B59" t="s">
        <v>393</v>
      </c>
      <c r="C59" s="4">
        <v>45759</v>
      </c>
      <c r="D59">
        <v>2025</v>
      </c>
      <c r="E59">
        <v>4</v>
      </c>
      <c r="F59" t="s">
        <v>20</v>
      </c>
      <c r="G59" t="s">
        <v>74</v>
      </c>
      <c r="H59" t="s">
        <v>394</v>
      </c>
      <c r="I59" t="s">
        <v>395</v>
      </c>
      <c r="J59" t="s">
        <v>396</v>
      </c>
      <c r="K59" t="s">
        <v>397</v>
      </c>
      <c r="L59">
        <v>4</v>
      </c>
      <c r="M59" s="5">
        <v>465.03</v>
      </c>
      <c r="N59" s="6">
        <v>10</v>
      </c>
      <c r="O59" s="5">
        <v>186.01</v>
      </c>
      <c r="P59" s="5">
        <v>251.12</v>
      </c>
      <c r="Q59" s="5">
        <v>1925.23</v>
      </c>
      <c r="R59" s="5">
        <v>1302.44</v>
      </c>
      <c r="S59" s="5">
        <v>622.79</v>
      </c>
      <c r="T59" s="7">
        <v>0.323488622138653</v>
      </c>
      <c r="U59" t="s">
        <v>13</v>
      </c>
      <c r="V59" t="s">
        <v>50</v>
      </c>
      <c r="W59" t="s">
        <v>50</v>
      </c>
      <c r="X59" t="s">
        <v>33</v>
      </c>
      <c r="Y59" t="s">
        <v>398</v>
      </c>
      <c r="Z59" t="s">
        <v>80</v>
      </c>
    </row>
    <row r="60" spans="1:26">
      <c r="A60" t="s">
        <v>399</v>
      </c>
      <c r="B60" t="s">
        <v>399</v>
      </c>
      <c r="C60" s="4">
        <v>46046</v>
      </c>
      <c r="D60">
        <v>2026</v>
      </c>
      <c r="E60">
        <v>1</v>
      </c>
      <c r="F60" t="s">
        <v>30</v>
      </c>
      <c r="G60" t="s">
        <v>82</v>
      </c>
      <c r="H60" t="s">
        <v>400</v>
      </c>
      <c r="I60" t="s">
        <v>139</v>
      </c>
      <c r="J60" t="s">
        <v>401</v>
      </c>
      <c r="K60" t="s">
        <v>402</v>
      </c>
      <c r="L60">
        <v>8</v>
      </c>
      <c r="M60" s="5">
        <v>39.34</v>
      </c>
      <c r="N60" s="6">
        <v>0</v>
      </c>
      <c r="O60" s="5">
        <v>0</v>
      </c>
      <c r="P60" s="5">
        <v>47.21</v>
      </c>
      <c r="Q60" s="5">
        <v>361.93</v>
      </c>
      <c r="R60" s="5">
        <v>259.2</v>
      </c>
      <c r="S60" s="5">
        <v>102.73</v>
      </c>
      <c r="T60" s="7">
        <v>0.283839416461747</v>
      </c>
      <c r="U60" t="s">
        <v>9</v>
      </c>
      <c r="V60" t="s">
        <v>50</v>
      </c>
      <c r="W60" t="s">
        <v>50</v>
      </c>
      <c r="X60" t="s">
        <v>33</v>
      </c>
      <c r="Y60" t="s">
        <v>403</v>
      </c>
      <c r="Z60" t="s">
        <v>80</v>
      </c>
    </row>
    <row r="61" spans="1:26">
      <c r="A61" t="s">
        <v>404</v>
      </c>
      <c r="B61" t="s">
        <v>404</v>
      </c>
      <c r="C61" s="4">
        <v>45800</v>
      </c>
      <c r="D61">
        <v>2025</v>
      </c>
      <c r="E61">
        <v>5</v>
      </c>
      <c r="F61" t="s">
        <v>21</v>
      </c>
      <c r="G61" t="s">
        <v>74</v>
      </c>
      <c r="H61" t="s">
        <v>405</v>
      </c>
      <c r="I61" t="s">
        <v>406</v>
      </c>
      <c r="J61" t="s">
        <v>197</v>
      </c>
      <c r="K61" t="s">
        <v>407</v>
      </c>
      <c r="L61">
        <v>1</v>
      </c>
      <c r="M61" s="5">
        <v>353.05</v>
      </c>
      <c r="N61" s="6">
        <v>5</v>
      </c>
      <c r="O61" s="5">
        <v>17.65</v>
      </c>
      <c r="P61" s="5">
        <v>50.31</v>
      </c>
      <c r="Q61" s="5">
        <v>335.4</v>
      </c>
      <c r="R61" s="5">
        <v>262.8</v>
      </c>
      <c r="S61" s="5">
        <v>72.6</v>
      </c>
      <c r="T61" s="7">
        <v>0.216457960644007</v>
      </c>
      <c r="U61" t="s">
        <v>11</v>
      </c>
      <c r="V61" t="s">
        <v>50</v>
      </c>
      <c r="W61" t="s">
        <v>50</v>
      </c>
      <c r="X61" t="s">
        <v>35</v>
      </c>
      <c r="Y61" t="s">
        <v>408</v>
      </c>
      <c r="Z61" t="s">
        <v>101</v>
      </c>
    </row>
    <row r="62" spans="1:26">
      <c r="A62" t="s">
        <v>409</v>
      </c>
      <c r="B62" t="s">
        <v>409</v>
      </c>
      <c r="C62" s="4">
        <v>45760</v>
      </c>
      <c r="D62">
        <v>2025</v>
      </c>
      <c r="E62">
        <v>4</v>
      </c>
      <c r="F62" t="s">
        <v>20</v>
      </c>
      <c r="G62" t="s">
        <v>74</v>
      </c>
      <c r="H62" t="s">
        <v>410</v>
      </c>
      <c r="I62" t="s">
        <v>411</v>
      </c>
      <c r="J62" t="s">
        <v>412</v>
      </c>
      <c r="K62" t="s">
        <v>413</v>
      </c>
      <c r="L62">
        <v>4</v>
      </c>
      <c r="M62" s="5">
        <v>506</v>
      </c>
      <c r="N62" s="6">
        <v>0</v>
      </c>
      <c r="O62" s="5">
        <v>0</v>
      </c>
      <c r="P62" s="5">
        <v>303.6</v>
      </c>
      <c r="Q62" s="5">
        <v>2327.6</v>
      </c>
      <c r="R62" s="5">
        <v>1547.56</v>
      </c>
      <c r="S62" s="5">
        <v>780.04</v>
      </c>
      <c r="T62" s="7">
        <v>0.335126310362605</v>
      </c>
      <c r="U62" t="s">
        <v>13</v>
      </c>
      <c r="V62" t="s">
        <v>50</v>
      </c>
      <c r="W62" t="s">
        <v>50</v>
      </c>
      <c r="X62" t="s">
        <v>35</v>
      </c>
      <c r="Y62" t="s">
        <v>414</v>
      </c>
      <c r="Z62" t="s">
        <v>80</v>
      </c>
    </row>
    <row r="63" spans="1:26">
      <c r="A63" t="s">
        <v>415</v>
      </c>
      <c r="B63" t="s">
        <v>415</v>
      </c>
      <c r="C63" s="4">
        <v>45825</v>
      </c>
      <c r="D63">
        <v>2025</v>
      </c>
      <c r="E63">
        <v>6</v>
      </c>
      <c r="F63" t="s">
        <v>22</v>
      </c>
      <c r="G63" t="s">
        <v>74</v>
      </c>
      <c r="H63" t="s">
        <v>416</v>
      </c>
      <c r="I63" t="s">
        <v>417</v>
      </c>
      <c r="J63" t="s">
        <v>418</v>
      </c>
      <c r="K63" t="s">
        <v>419</v>
      </c>
      <c r="L63">
        <v>2</v>
      </c>
      <c r="M63" s="5">
        <v>380.12</v>
      </c>
      <c r="N63" s="6">
        <v>0</v>
      </c>
      <c r="O63" s="5">
        <v>0</v>
      </c>
      <c r="P63" s="5">
        <v>114.04</v>
      </c>
      <c r="Q63" s="5">
        <v>760.24</v>
      </c>
      <c r="R63" s="5">
        <v>619.96</v>
      </c>
      <c r="S63" s="5">
        <v>140.28</v>
      </c>
      <c r="T63" s="7">
        <v>0.184520677680732</v>
      </c>
      <c r="U63" t="s">
        <v>13</v>
      </c>
      <c r="V63" t="s">
        <v>50</v>
      </c>
      <c r="W63" t="s">
        <v>50</v>
      </c>
      <c r="X63" t="s">
        <v>33</v>
      </c>
      <c r="Y63" t="s">
        <v>420</v>
      </c>
      <c r="Z63" t="s">
        <v>101</v>
      </c>
    </row>
    <row r="64" spans="1:26">
      <c r="A64" t="s">
        <v>421</v>
      </c>
      <c r="B64" t="s">
        <v>421</v>
      </c>
      <c r="C64" s="4">
        <v>46012</v>
      </c>
      <c r="D64">
        <v>2025</v>
      </c>
      <c r="E64">
        <v>12</v>
      </c>
      <c r="F64" t="s">
        <v>28</v>
      </c>
      <c r="G64" t="s">
        <v>137</v>
      </c>
      <c r="H64" t="s">
        <v>422</v>
      </c>
      <c r="I64" t="s">
        <v>423</v>
      </c>
      <c r="J64" t="s">
        <v>318</v>
      </c>
      <c r="K64" t="s">
        <v>159</v>
      </c>
      <c r="L64">
        <v>5</v>
      </c>
      <c r="M64" s="5">
        <v>53.39</v>
      </c>
      <c r="N64" s="6">
        <v>0</v>
      </c>
      <c r="O64" s="5">
        <v>0</v>
      </c>
      <c r="P64" s="5">
        <v>40.04</v>
      </c>
      <c r="Q64" s="5">
        <v>306.99</v>
      </c>
      <c r="R64" s="5">
        <v>215.05</v>
      </c>
      <c r="S64" s="5">
        <v>91.94</v>
      </c>
      <c r="T64" s="7">
        <v>0.29948858268999</v>
      </c>
      <c r="U64" t="s">
        <v>14</v>
      </c>
      <c r="V64" t="s">
        <v>50</v>
      </c>
      <c r="W64" t="s">
        <v>50</v>
      </c>
      <c r="X64" t="s">
        <v>33</v>
      </c>
      <c r="Y64" t="s">
        <v>353</v>
      </c>
      <c r="Z64" t="s">
        <v>80</v>
      </c>
    </row>
    <row r="65" spans="1:26">
      <c r="A65" t="s">
        <v>424</v>
      </c>
      <c r="B65" t="s">
        <v>424</v>
      </c>
      <c r="C65" s="4">
        <v>46097</v>
      </c>
      <c r="D65">
        <v>2026</v>
      </c>
      <c r="E65">
        <v>3</v>
      </c>
      <c r="F65" t="s">
        <v>19</v>
      </c>
      <c r="G65" t="s">
        <v>82</v>
      </c>
      <c r="H65" t="s">
        <v>425</v>
      </c>
      <c r="I65" t="s">
        <v>151</v>
      </c>
      <c r="J65" t="s">
        <v>40</v>
      </c>
      <c r="K65" t="s">
        <v>426</v>
      </c>
      <c r="L65">
        <v>6</v>
      </c>
      <c r="M65" s="5">
        <v>473.63</v>
      </c>
      <c r="N65" s="6">
        <v>10</v>
      </c>
      <c r="O65" s="5">
        <v>284.18</v>
      </c>
      <c r="P65" s="5">
        <v>383.64</v>
      </c>
      <c r="Q65" s="5">
        <v>2557.6</v>
      </c>
      <c r="R65" s="5">
        <v>2109.78</v>
      </c>
      <c r="S65" s="5">
        <v>447.82</v>
      </c>
      <c r="T65" s="7">
        <v>0.1750938379731</v>
      </c>
      <c r="U65" t="s">
        <v>13</v>
      </c>
      <c r="V65" t="s">
        <v>50</v>
      </c>
      <c r="W65" t="s">
        <v>50</v>
      </c>
      <c r="X65" t="s">
        <v>33</v>
      </c>
      <c r="Y65" t="s">
        <v>259</v>
      </c>
      <c r="Z65" t="s">
        <v>101</v>
      </c>
    </row>
    <row r="66" spans="1:26">
      <c r="A66" t="s">
        <v>427</v>
      </c>
      <c r="B66" t="s">
        <v>427</v>
      </c>
      <c r="C66" s="4">
        <v>46026</v>
      </c>
      <c r="D66">
        <v>2026</v>
      </c>
      <c r="E66">
        <v>1</v>
      </c>
      <c r="F66" t="s">
        <v>30</v>
      </c>
      <c r="G66" t="s">
        <v>82</v>
      </c>
      <c r="H66" t="s">
        <v>428</v>
      </c>
      <c r="I66" t="s">
        <v>429</v>
      </c>
      <c r="J66" t="s">
        <v>430</v>
      </c>
      <c r="K66" t="s">
        <v>431</v>
      </c>
      <c r="L66">
        <v>4</v>
      </c>
      <c r="M66" s="5">
        <v>416.77</v>
      </c>
      <c r="N66" s="6">
        <v>0</v>
      </c>
      <c r="O66" s="5">
        <v>0</v>
      </c>
      <c r="P66" s="5">
        <v>250.06</v>
      </c>
      <c r="Q66" s="5">
        <v>1917.14</v>
      </c>
      <c r="R66" s="5">
        <v>1344.28</v>
      </c>
      <c r="S66" s="5">
        <v>572.86</v>
      </c>
      <c r="T66" s="7">
        <v>0.298809685260336</v>
      </c>
      <c r="U66" t="s">
        <v>14</v>
      </c>
      <c r="V66" t="s">
        <v>50</v>
      </c>
      <c r="W66" t="s">
        <v>50</v>
      </c>
      <c r="X66" t="s">
        <v>33</v>
      </c>
      <c r="Y66" t="s">
        <v>432</v>
      </c>
      <c r="Z66" t="s">
        <v>80</v>
      </c>
    </row>
    <row r="67" spans="1:26">
      <c r="A67" t="s">
        <v>433</v>
      </c>
      <c r="B67" t="s">
        <v>433</v>
      </c>
      <c r="C67" s="4">
        <v>46101</v>
      </c>
      <c r="D67">
        <v>2026</v>
      </c>
      <c r="E67">
        <v>3</v>
      </c>
      <c r="F67" t="s">
        <v>19</v>
      </c>
      <c r="G67" t="s">
        <v>82</v>
      </c>
      <c r="H67" t="s">
        <v>425</v>
      </c>
      <c r="I67" t="s">
        <v>434</v>
      </c>
      <c r="J67" t="s">
        <v>435</v>
      </c>
      <c r="K67" t="s">
        <v>436</v>
      </c>
      <c r="L67">
        <v>4</v>
      </c>
      <c r="M67" s="5">
        <v>83.49</v>
      </c>
      <c r="N67" s="6">
        <v>0</v>
      </c>
      <c r="O67" s="5">
        <v>0</v>
      </c>
      <c r="P67" s="5">
        <v>50.09</v>
      </c>
      <c r="Q67" s="5">
        <v>333.96</v>
      </c>
      <c r="R67" s="5">
        <v>276.36</v>
      </c>
      <c r="S67" s="5">
        <v>57.6</v>
      </c>
      <c r="T67" s="7">
        <v>0.172475745598275</v>
      </c>
      <c r="U67" t="s">
        <v>12</v>
      </c>
      <c r="V67" t="s">
        <v>50</v>
      </c>
      <c r="W67" t="s">
        <v>50</v>
      </c>
      <c r="X67" t="s">
        <v>35</v>
      </c>
      <c r="Y67" t="s">
        <v>437</v>
      </c>
      <c r="Z67" t="s">
        <v>101</v>
      </c>
    </row>
    <row r="68" spans="1:26">
      <c r="A68" t="s">
        <v>438</v>
      </c>
      <c r="B68" t="s">
        <v>438</v>
      </c>
      <c r="C68" s="4">
        <v>45975</v>
      </c>
      <c r="D68">
        <v>2025</v>
      </c>
      <c r="E68">
        <v>11</v>
      </c>
      <c r="F68" t="s">
        <v>27</v>
      </c>
      <c r="G68" t="s">
        <v>137</v>
      </c>
      <c r="H68" t="s">
        <v>439</v>
      </c>
      <c r="I68" t="s">
        <v>126</v>
      </c>
      <c r="J68" t="s">
        <v>440</v>
      </c>
      <c r="K68" t="s">
        <v>441</v>
      </c>
      <c r="L68">
        <v>4</v>
      </c>
      <c r="M68" s="5">
        <v>131.03</v>
      </c>
      <c r="N68" s="6">
        <v>5</v>
      </c>
      <c r="O68" s="5">
        <v>26.21</v>
      </c>
      <c r="P68" s="5">
        <v>74.69</v>
      </c>
      <c r="Q68" s="5">
        <v>497.91</v>
      </c>
      <c r="R68" s="5">
        <v>469.08</v>
      </c>
      <c r="S68" s="5">
        <v>28.83</v>
      </c>
      <c r="T68" s="7">
        <v>0.0579020304874375</v>
      </c>
      <c r="U68" t="s">
        <v>13</v>
      </c>
      <c r="V68" t="s">
        <v>50</v>
      </c>
      <c r="W68" t="s">
        <v>50</v>
      </c>
      <c r="X68" t="s">
        <v>33</v>
      </c>
      <c r="Y68" t="s">
        <v>335</v>
      </c>
      <c r="Z68" t="s">
        <v>101</v>
      </c>
    </row>
    <row r="69" spans="1:26">
      <c r="A69" t="s">
        <v>442</v>
      </c>
      <c r="B69" t="s">
        <v>442</v>
      </c>
      <c r="C69" s="4">
        <v>45999</v>
      </c>
      <c r="D69">
        <v>2025</v>
      </c>
      <c r="E69">
        <v>12</v>
      </c>
      <c r="F69" t="s">
        <v>28</v>
      </c>
      <c r="G69" t="s">
        <v>137</v>
      </c>
      <c r="H69" t="s">
        <v>443</v>
      </c>
      <c r="I69" t="s">
        <v>444</v>
      </c>
      <c r="J69" t="s">
        <v>445</v>
      </c>
      <c r="K69" t="s">
        <v>446</v>
      </c>
      <c r="L69">
        <v>2</v>
      </c>
      <c r="M69" s="5">
        <v>99.93</v>
      </c>
      <c r="N69" s="6">
        <v>10</v>
      </c>
      <c r="O69" s="5">
        <v>19.99</v>
      </c>
      <c r="P69" s="5">
        <v>26.98</v>
      </c>
      <c r="Q69" s="5">
        <v>179.87</v>
      </c>
      <c r="R69" s="5">
        <v>172.1</v>
      </c>
      <c r="S69" s="5">
        <v>7.77</v>
      </c>
      <c r="T69" s="7">
        <v>0.0431978651248124</v>
      </c>
      <c r="U69" t="s">
        <v>10</v>
      </c>
      <c r="V69" t="s">
        <v>50</v>
      </c>
      <c r="W69" t="s">
        <v>50</v>
      </c>
      <c r="X69" t="s">
        <v>33</v>
      </c>
      <c r="Y69" t="s">
        <v>447</v>
      </c>
      <c r="Z69" t="s">
        <v>101</v>
      </c>
    </row>
    <row r="70" spans="1:26">
      <c r="A70" t="s">
        <v>448</v>
      </c>
      <c r="B70" t="s">
        <v>448</v>
      </c>
      <c r="C70" s="4">
        <v>45773</v>
      </c>
      <c r="D70">
        <v>2025</v>
      </c>
      <c r="E70">
        <v>4</v>
      </c>
      <c r="F70" t="s">
        <v>20</v>
      </c>
      <c r="G70" t="s">
        <v>74</v>
      </c>
      <c r="H70" t="s">
        <v>449</v>
      </c>
      <c r="I70" t="s">
        <v>450</v>
      </c>
      <c r="J70" t="s">
        <v>140</v>
      </c>
      <c r="K70" t="s">
        <v>141</v>
      </c>
      <c r="L70">
        <v>4</v>
      </c>
      <c r="M70" s="5">
        <v>440.5</v>
      </c>
      <c r="N70" s="6">
        <v>0</v>
      </c>
      <c r="O70" s="5">
        <v>0</v>
      </c>
      <c r="P70" s="5">
        <v>264.3</v>
      </c>
      <c r="Q70" s="5">
        <v>2026.3</v>
      </c>
      <c r="R70" s="5">
        <v>1016.2</v>
      </c>
      <c r="S70" s="5">
        <v>1010.1</v>
      </c>
      <c r="T70" s="7">
        <v>0.498494793465923</v>
      </c>
      <c r="U70" t="s">
        <v>14</v>
      </c>
      <c r="V70" t="s">
        <v>50</v>
      </c>
      <c r="W70" t="s">
        <v>50</v>
      </c>
      <c r="X70" t="s">
        <v>33</v>
      </c>
      <c r="Y70" t="s">
        <v>451</v>
      </c>
      <c r="Z70" t="s">
        <v>80</v>
      </c>
    </row>
    <row r="71" spans="1:26">
      <c r="A71" t="s">
        <v>452</v>
      </c>
      <c r="B71" t="s">
        <v>452</v>
      </c>
      <c r="C71" s="4">
        <v>45912</v>
      </c>
      <c r="D71">
        <v>2025</v>
      </c>
      <c r="E71">
        <v>9</v>
      </c>
      <c r="F71" t="s">
        <v>25</v>
      </c>
      <c r="G71" t="s">
        <v>89</v>
      </c>
      <c r="H71" t="s">
        <v>453</v>
      </c>
      <c r="I71" t="s">
        <v>454</v>
      </c>
      <c r="J71" t="s">
        <v>170</v>
      </c>
      <c r="K71" t="s">
        <v>455</v>
      </c>
      <c r="L71">
        <v>2</v>
      </c>
      <c r="M71" s="5">
        <v>299.73</v>
      </c>
      <c r="N71" s="6">
        <v>20</v>
      </c>
      <c r="O71" s="5">
        <v>119.89</v>
      </c>
      <c r="P71" s="5">
        <v>71.94</v>
      </c>
      <c r="Q71" s="5">
        <v>479.57</v>
      </c>
      <c r="R71" s="5">
        <v>369.48</v>
      </c>
      <c r="S71" s="5">
        <v>110.09</v>
      </c>
      <c r="T71" s="7">
        <v>0.229559814000042</v>
      </c>
      <c r="U71" t="s">
        <v>12</v>
      </c>
      <c r="V71" t="s">
        <v>50</v>
      </c>
      <c r="W71" t="s">
        <v>50</v>
      </c>
      <c r="X71" t="s">
        <v>35</v>
      </c>
      <c r="Y71" t="s">
        <v>456</v>
      </c>
      <c r="Z71" t="s">
        <v>101</v>
      </c>
    </row>
    <row r="72" spans="1:26">
      <c r="A72" t="s">
        <v>457</v>
      </c>
      <c r="B72" t="s">
        <v>457</v>
      </c>
      <c r="C72" s="4">
        <v>45918</v>
      </c>
      <c r="D72">
        <v>2025</v>
      </c>
      <c r="E72">
        <v>9</v>
      </c>
      <c r="F72" t="s">
        <v>25</v>
      </c>
      <c r="G72" t="s">
        <v>89</v>
      </c>
      <c r="H72" t="s">
        <v>458</v>
      </c>
      <c r="I72" t="s">
        <v>459</v>
      </c>
      <c r="J72" t="s">
        <v>460</v>
      </c>
      <c r="K72" t="s">
        <v>461</v>
      </c>
      <c r="L72">
        <v>3</v>
      </c>
      <c r="M72" s="5">
        <v>97.24</v>
      </c>
      <c r="N72" s="6">
        <v>0</v>
      </c>
      <c r="O72" s="5">
        <v>0</v>
      </c>
      <c r="P72" s="5">
        <v>43.76</v>
      </c>
      <c r="Q72" s="5">
        <v>291.72</v>
      </c>
      <c r="R72" s="5">
        <v>239.46</v>
      </c>
      <c r="S72" s="5">
        <v>52.26</v>
      </c>
      <c r="T72" s="7">
        <v>0.179144385026738</v>
      </c>
      <c r="U72" t="s">
        <v>12</v>
      </c>
      <c r="V72" t="s">
        <v>50</v>
      </c>
      <c r="W72" t="s">
        <v>50</v>
      </c>
      <c r="X72" t="s">
        <v>33</v>
      </c>
      <c r="Y72" t="s">
        <v>462</v>
      </c>
      <c r="Z72" t="s">
        <v>101</v>
      </c>
    </row>
    <row r="73" spans="1:26">
      <c r="A73" t="s">
        <v>463</v>
      </c>
      <c r="B73" t="s">
        <v>463</v>
      </c>
      <c r="C73" s="4">
        <v>45934</v>
      </c>
      <c r="D73">
        <v>2025</v>
      </c>
      <c r="E73">
        <v>10</v>
      </c>
      <c r="F73" t="s">
        <v>26</v>
      </c>
      <c r="G73" t="s">
        <v>137</v>
      </c>
      <c r="H73" t="s">
        <v>464</v>
      </c>
      <c r="I73" t="s">
        <v>251</v>
      </c>
      <c r="J73" t="s">
        <v>465</v>
      </c>
      <c r="K73" t="s">
        <v>466</v>
      </c>
      <c r="L73">
        <v>4</v>
      </c>
      <c r="M73" s="5">
        <v>205.93</v>
      </c>
      <c r="N73" s="6">
        <v>15</v>
      </c>
      <c r="O73" s="5">
        <v>123.56</v>
      </c>
      <c r="P73" s="5">
        <v>105.02</v>
      </c>
      <c r="Q73" s="5">
        <v>805.18</v>
      </c>
      <c r="R73" s="5">
        <v>680.8</v>
      </c>
      <c r="S73" s="5">
        <v>124.38</v>
      </c>
      <c r="T73" s="7">
        <v>0.154474775826523</v>
      </c>
      <c r="U73" t="s">
        <v>13</v>
      </c>
      <c r="V73" t="s">
        <v>50</v>
      </c>
      <c r="W73" t="s">
        <v>50</v>
      </c>
      <c r="X73" t="s">
        <v>35</v>
      </c>
      <c r="Y73" t="s">
        <v>467</v>
      </c>
      <c r="Z73" t="s">
        <v>80</v>
      </c>
    </row>
    <row r="74" spans="1:26">
      <c r="A74" t="s">
        <v>468</v>
      </c>
      <c r="B74" t="s">
        <v>468</v>
      </c>
      <c r="C74" s="4">
        <v>46040</v>
      </c>
      <c r="D74">
        <v>2026</v>
      </c>
      <c r="E74">
        <v>1</v>
      </c>
      <c r="F74" t="s">
        <v>30</v>
      </c>
      <c r="G74" t="s">
        <v>82</v>
      </c>
      <c r="H74" t="s">
        <v>469</v>
      </c>
      <c r="I74" t="s">
        <v>470</v>
      </c>
      <c r="J74" t="s">
        <v>471</v>
      </c>
      <c r="K74" t="s">
        <v>472</v>
      </c>
      <c r="L74">
        <v>2</v>
      </c>
      <c r="M74" s="5">
        <v>290.45</v>
      </c>
      <c r="N74" s="6">
        <v>0</v>
      </c>
      <c r="O74" s="5">
        <v>0</v>
      </c>
      <c r="P74" s="5">
        <v>87.14</v>
      </c>
      <c r="Q74" s="5">
        <v>668.03</v>
      </c>
      <c r="R74" s="5">
        <v>475.78</v>
      </c>
      <c r="S74" s="5">
        <v>192.25</v>
      </c>
      <c r="T74" s="7">
        <v>0.28778647665524</v>
      </c>
      <c r="U74" t="s">
        <v>14</v>
      </c>
      <c r="V74" t="s">
        <v>50</v>
      </c>
      <c r="W74" t="s">
        <v>50</v>
      </c>
      <c r="X74" t="s">
        <v>33</v>
      </c>
      <c r="Y74" t="s">
        <v>473</v>
      </c>
      <c r="Z74" t="s">
        <v>80</v>
      </c>
    </row>
    <row r="75" spans="1:26">
      <c r="A75" t="s">
        <v>474</v>
      </c>
      <c r="B75" t="s">
        <v>474</v>
      </c>
      <c r="C75" s="4">
        <v>45766</v>
      </c>
      <c r="D75">
        <v>2025</v>
      </c>
      <c r="E75">
        <v>4</v>
      </c>
      <c r="F75" t="s">
        <v>20</v>
      </c>
      <c r="G75" t="s">
        <v>74</v>
      </c>
      <c r="H75" t="s">
        <v>475</v>
      </c>
      <c r="I75" t="s">
        <v>476</v>
      </c>
      <c r="J75" t="s">
        <v>477</v>
      </c>
      <c r="K75" t="s">
        <v>478</v>
      </c>
      <c r="L75">
        <v>4</v>
      </c>
      <c r="M75" s="5">
        <v>305.67</v>
      </c>
      <c r="N75" s="6">
        <v>5</v>
      </c>
      <c r="O75" s="5">
        <v>61.13</v>
      </c>
      <c r="P75" s="5">
        <v>174.23</v>
      </c>
      <c r="Q75" s="5">
        <v>1335.78</v>
      </c>
      <c r="R75" s="5">
        <v>1005.68</v>
      </c>
      <c r="S75" s="5">
        <v>330.1</v>
      </c>
      <c r="T75" s="7">
        <v>0.247121531988801</v>
      </c>
      <c r="U75" t="s">
        <v>11</v>
      </c>
      <c r="V75" t="s">
        <v>50</v>
      </c>
      <c r="W75" t="s">
        <v>50</v>
      </c>
      <c r="X75" t="s">
        <v>33</v>
      </c>
      <c r="Y75" t="s">
        <v>479</v>
      </c>
      <c r="Z75" t="s">
        <v>80</v>
      </c>
    </row>
    <row r="76" spans="1:26">
      <c r="A76" t="s">
        <v>480</v>
      </c>
      <c r="B76" t="s">
        <v>480</v>
      </c>
      <c r="C76" s="4">
        <v>45942</v>
      </c>
      <c r="D76">
        <v>2025</v>
      </c>
      <c r="E76">
        <v>10</v>
      </c>
      <c r="F76" t="s">
        <v>26</v>
      </c>
      <c r="G76" t="s">
        <v>137</v>
      </c>
      <c r="H76" t="s">
        <v>481</v>
      </c>
      <c r="I76" t="s">
        <v>379</v>
      </c>
      <c r="J76" t="s">
        <v>482</v>
      </c>
      <c r="K76" t="s">
        <v>192</v>
      </c>
      <c r="L76">
        <v>1</v>
      </c>
      <c r="M76" s="5">
        <v>245.32</v>
      </c>
      <c r="N76" s="6">
        <v>5</v>
      </c>
      <c r="O76" s="5">
        <v>12.27</v>
      </c>
      <c r="P76" s="5">
        <v>34.96</v>
      </c>
      <c r="Q76" s="5">
        <v>268.01</v>
      </c>
      <c r="R76" s="5">
        <v>209.38</v>
      </c>
      <c r="S76" s="5">
        <v>58.63</v>
      </c>
      <c r="T76" s="7">
        <v>0.218760494011418</v>
      </c>
      <c r="U76" t="s">
        <v>10</v>
      </c>
      <c r="V76" t="s">
        <v>50</v>
      </c>
      <c r="W76" t="s">
        <v>50</v>
      </c>
      <c r="X76" t="s">
        <v>33</v>
      </c>
      <c r="Y76" t="s">
        <v>483</v>
      </c>
      <c r="Z76" t="s">
        <v>80</v>
      </c>
    </row>
    <row r="77" spans="1:26">
      <c r="A77" t="s">
        <v>484</v>
      </c>
      <c r="B77" t="s">
        <v>484</v>
      </c>
      <c r="C77" s="4">
        <v>45972</v>
      </c>
      <c r="D77">
        <v>2025</v>
      </c>
      <c r="E77">
        <v>11</v>
      </c>
      <c r="F77" t="s">
        <v>27</v>
      </c>
      <c r="G77" t="s">
        <v>137</v>
      </c>
      <c r="H77" t="s">
        <v>485</v>
      </c>
      <c r="I77" t="s">
        <v>338</v>
      </c>
      <c r="J77" t="s">
        <v>280</v>
      </c>
      <c r="K77" t="s">
        <v>281</v>
      </c>
      <c r="L77">
        <v>2</v>
      </c>
      <c r="M77" s="5">
        <v>210.36</v>
      </c>
      <c r="N77" s="6">
        <v>20</v>
      </c>
      <c r="O77" s="5">
        <v>84.14</v>
      </c>
      <c r="P77" s="5">
        <v>50.49</v>
      </c>
      <c r="Q77" s="5">
        <v>336.58</v>
      </c>
      <c r="R77" s="5">
        <v>311.3</v>
      </c>
      <c r="S77" s="5">
        <v>25.28</v>
      </c>
      <c r="T77" s="7">
        <v>0.075108443757799</v>
      </c>
      <c r="U77" t="s">
        <v>13</v>
      </c>
      <c r="V77" t="s">
        <v>50</v>
      </c>
      <c r="W77" t="s">
        <v>50</v>
      </c>
      <c r="X77" t="s">
        <v>33</v>
      </c>
      <c r="Y77" t="s">
        <v>486</v>
      </c>
      <c r="Z77" t="s">
        <v>101</v>
      </c>
    </row>
    <row r="78" spans="1:26">
      <c r="A78" t="s">
        <v>487</v>
      </c>
      <c r="B78" t="s">
        <v>487</v>
      </c>
      <c r="C78" s="4">
        <v>45932</v>
      </c>
      <c r="D78">
        <v>2025</v>
      </c>
      <c r="E78">
        <v>10</v>
      </c>
      <c r="F78" t="s">
        <v>26</v>
      </c>
      <c r="G78" t="s">
        <v>137</v>
      </c>
      <c r="H78" t="s">
        <v>488</v>
      </c>
      <c r="I78" t="s">
        <v>429</v>
      </c>
      <c r="J78" t="s">
        <v>489</v>
      </c>
      <c r="K78" t="s">
        <v>490</v>
      </c>
      <c r="L78">
        <v>5</v>
      </c>
      <c r="M78" s="5">
        <v>413.68</v>
      </c>
      <c r="N78" s="6">
        <v>15</v>
      </c>
      <c r="O78" s="5">
        <v>310.26</v>
      </c>
      <c r="P78" s="5">
        <v>263.72</v>
      </c>
      <c r="Q78" s="5">
        <v>1758.14</v>
      </c>
      <c r="R78" s="5">
        <v>1680.35</v>
      </c>
      <c r="S78" s="5">
        <v>77.79</v>
      </c>
      <c r="T78" s="7">
        <v>0.0442456232154436</v>
      </c>
      <c r="U78" t="s">
        <v>11</v>
      </c>
      <c r="V78" t="s">
        <v>50</v>
      </c>
      <c r="W78" t="s">
        <v>50</v>
      </c>
      <c r="X78" t="s">
        <v>33</v>
      </c>
      <c r="Y78" t="s">
        <v>491</v>
      </c>
      <c r="Z78" t="s">
        <v>101</v>
      </c>
    </row>
    <row r="79" spans="1:26">
      <c r="A79" t="s">
        <v>492</v>
      </c>
      <c r="B79" t="s">
        <v>492</v>
      </c>
      <c r="C79" s="4">
        <v>45925</v>
      </c>
      <c r="D79">
        <v>2025</v>
      </c>
      <c r="E79">
        <v>9</v>
      </c>
      <c r="F79" t="s">
        <v>25</v>
      </c>
      <c r="G79" t="s">
        <v>89</v>
      </c>
      <c r="H79" t="s">
        <v>256</v>
      </c>
      <c r="I79" t="s">
        <v>493</v>
      </c>
      <c r="J79" t="s">
        <v>357</v>
      </c>
      <c r="K79" t="s">
        <v>494</v>
      </c>
      <c r="L79">
        <v>6</v>
      </c>
      <c r="M79" s="5">
        <v>428.04</v>
      </c>
      <c r="N79" s="6">
        <v>0</v>
      </c>
      <c r="O79" s="5">
        <v>0</v>
      </c>
      <c r="P79" s="5">
        <v>385.24</v>
      </c>
      <c r="Q79" s="5">
        <v>2568.24</v>
      </c>
      <c r="R79" s="5">
        <v>1921.14</v>
      </c>
      <c r="S79" s="5">
        <v>647.1</v>
      </c>
      <c r="T79" s="7">
        <v>0.251962433417438</v>
      </c>
      <c r="U79" t="s">
        <v>14</v>
      </c>
      <c r="V79" t="s">
        <v>50</v>
      </c>
      <c r="W79" t="s">
        <v>50</v>
      </c>
      <c r="X79" t="s">
        <v>33</v>
      </c>
      <c r="Y79" t="s">
        <v>495</v>
      </c>
      <c r="Z79" t="s">
        <v>101</v>
      </c>
    </row>
    <row r="80" spans="1:26">
      <c r="A80" t="s">
        <v>496</v>
      </c>
      <c r="B80" t="s">
        <v>496</v>
      </c>
      <c r="C80" s="4">
        <v>46047</v>
      </c>
      <c r="D80">
        <v>2026</v>
      </c>
      <c r="E80">
        <v>1</v>
      </c>
      <c r="F80" t="s">
        <v>30</v>
      </c>
      <c r="G80" t="s">
        <v>82</v>
      </c>
      <c r="H80" t="s">
        <v>497</v>
      </c>
      <c r="I80" t="s">
        <v>498</v>
      </c>
      <c r="J80" t="s">
        <v>191</v>
      </c>
      <c r="K80" t="s">
        <v>499</v>
      </c>
      <c r="L80">
        <v>3</v>
      </c>
      <c r="M80" s="5">
        <v>374.82</v>
      </c>
      <c r="N80" s="6">
        <v>15</v>
      </c>
      <c r="O80" s="5">
        <v>168.67</v>
      </c>
      <c r="P80" s="5">
        <v>143.37</v>
      </c>
      <c r="Q80" s="5">
        <v>1099.16</v>
      </c>
      <c r="R80" s="5">
        <v>931.14</v>
      </c>
      <c r="S80" s="5">
        <v>168.02</v>
      </c>
      <c r="T80" s="7">
        <v>0.152862185669056</v>
      </c>
      <c r="U80" t="s">
        <v>9</v>
      </c>
      <c r="V80" t="s">
        <v>50</v>
      </c>
      <c r="W80" t="s">
        <v>50</v>
      </c>
      <c r="X80" t="s">
        <v>33</v>
      </c>
      <c r="Y80" t="s">
        <v>500</v>
      </c>
      <c r="Z80" t="s">
        <v>80</v>
      </c>
    </row>
    <row r="81" spans="1:26">
      <c r="A81" t="s">
        <v>501</v>
      </c>
      <c r="B81" t="s">
        <v>501</v>
      </c>
      <c r="C81" s="4">
        <v>46086</v>
      </c>
      <c r="D81">
        <v>2026</v>
      </c>
      <c r="E81">
        <v>3</v>
      </c>
      <c r="F81" t="s">
        <v>19</v>
      </c>
      <c r="G81" t="s">
        <v>82</v>
      </c>
      <c r="H81" t="s">
        <v>502</v>
      </c>
      <c r="I81" t="s">
        <v>503</v>
      </c>
      <c r="J81" t="s">
        <v>504</v>
      </c>
      <c r="K81" t="s">
        <v>505</v>
      </c>
      <c r="L81">
        <v>5</v>
      </c>
      <c r="M81" s="5">
        <v>71.29</v>
      </c>
      <c r="N81" s="6">
        <v>5</v>
      </c>
      <c r="O81" s="5">
        <v>17.82</v>
      </c>
      <c r="P81" s="5">
        <v>50.79</v>
      </c>
      <c r="Q81" s="5">
        <v>338.63</v>
      </c>
      <c r="R81" s="5">
        <v>296.85</v>
      </c>
      <c r="S81" s="5">
        <v>41.78</v>
      </c>
      <c r="T81" s="7">
        <v>0.123379499748989</v>
      </c>
      <c r="U81" t="s">
        <v>13</v>
      </c>
      <c r="V81" t="s">
        <v>51</v>
      </c>
      <c r="W81" t="s">
        <v>51</v>
      </c>
      <c r="X81" t="s">
        <v>33</v>
      </c>
      <c r="Y81" t="s">
        <v>506</v>
      </c>
      <c r="Z81" t="s">
        <v>101</v>
      </c>
    </row>
    <row r="82" spans="1:26">
      <c r="A82" t="s">
        <v>507</v>
      </c>
      <c r="B82" t="s">
        <v>507</v>
      </c>
      <c r="C82" s="4">
        <v>45981</v>
      </c>
      <c r="D82">
        <v>2025</v>
      </c>
      <c r="E82">
        <v>11</v>
      </c>
      <c r="F82" t="s">
        <v>27</v>
      </c>
      <c r="G82" t="s">
        <v>137</v>
      </c>
      <c r="H82" t="s">
        <v>508</v>
      </c>
      <c r="I82" t="s">
        <v>76</v>
      </c>
      <c r="J82" t="s">
        <v>509</v>
      </c>
      <c r="K82" t="s">
        <v>510</v>
      </c>
      <c r="L82">
        <v>7</v>
      </c>
      <c r="M82" s="5">
        <v>456.66</v>
      </c>
      <c r="N82" s="6">
        <v>0</v>
      </c>
      <c r="O82" s="5">
        <v>0</v>
      </c>
      <c r="P82" s="5">
        <v>479.49</v>
      </c>
      <c r="Q82" s="5">
        <v>3196.62</v>
      </c>
      <c r="R82" s="5">
        <v>2237.48</v>
      </c>
      <c r="S82" s="5">
        <v>959.14</v>
      </c>
      <c r="T82" s="7">
        <v>0.300048175885779</v>
      </c>
      <c r="U82" t="s">
        <v>11</v>
      </c>
      <c r="V82" t="s">
        <v>50</v>
      </c>
      <c r="W82" t="s">
        <v>50</v>
      </c>
      <c r="X82" t="s">
        <v>33</v>
      </c>
      <c r="Y82" t="s">
        <v>511</v>
      </c>
      <c r="Z82" t="s">
        <v>101</v>
      </c>
    </row>
    <row r="83" spans="1:26">
      <c r="A83" t="s">
        <v>512</v>
      </c>
      <c r="B83" t="s">
        <v>512</v>
      </c>
      <c r="C83" s="4">
        <v>45946</v>
      </c>
      <c r="D83">
        <v>2025</v>
      </c>
      <c r="E83">
        <v>10</v>
      </c>
      <c r="F83" t="s">
        <v>26</v>
      </c>
      <c r="G83" t="s">
        <v>137</v>
      </c>
      <c r="H83" t="s">
        <v>513</v>
      </c>
      <c r="I83" t="s">
        <v>514</v>
      </c>
      <c r="J83" t="s">
        <v>77</v>
      </c>
      <c r="K83" t="s">
        <v>515</v>
      </c>
      <c r="L83">
        <v>5</v>
      </c>
      <c r="M83" s="5">
        <v>671.76</v>
      </c>
      <c r="N83" s="6">
        <v>15</v>
      </c>
      <c r="O83" s="5">
        <v>503.82</v>
      </c>
      <c r="P83" s="5">
        <v>428.25</v>
      </c>
      <c r="Q83" s="5">
        <v>2854.98</v>
      </c>
      <c r="R83" s="5">
        <v>1718.25</v>
      </c>
      <c r="S83" s="5">
        <v>1136.73</v>
      </c>
      <c r="T83" s="7">
        <v>0.398156904776916</v>
      </c>
      <c r="U83" t="s">
        <v>10</v>
      </c>
      <c r="V83" t="s">
        <v>50</v>
      </c>
      <c r="W83" t="s">
        <v>50</v>
      </c>
      <c r="X83" t="s">
        <v>35</v>
      </c>
      <c r="Y83" t="s">
        <v>516</v>
      </c>
      <c r="Z83" t="s">
        <v>101</v>
      </c>
    </row>
    <row r="84" spans="1:26">
      <c r="A84" t="s">
        <v>517</v>
      </c>
      <c r="B84" t="s">
        <v>517</v>
      </c>
      <c r="C84" s="4">
        <v>45854</v>
      </c>
      <c r="D84">
        <v>2025</v>
      </c>
      <c r="E84">
        <v>7</v>
      </c>
      <c r="F84" t="s">
        <v>23</v>
      </c>
      <c r="G84" t="s">
        <v>89</v>
      </c>
      <c r="H84" t="s">
        <v>337</v>
      </c>
      <c r="I84" t="s">
        <v>145</v>
      </c>
      <c r="J84" t="s">
        <v>39</v>
      </c>
      <c r="K84" t="s">
        <v>518</v>
      </c>
      <c r="L84">
        <v>8</v>
      </c>
      <c r="M84" s="5">
        <v>530.14</v>
      </c>
      <c r="N84" s="6">
        <v>5</v>
      </c>
      <c r="O84" s="5">
        <v>212.06</v>
      </c>
      <c r="P84" s="5">
        <v>604.36</v>
      </c>
      <c r="Q84" s="5">
        <v>4029.06</v>
      </c>
      <c r="R84" s="5">
        <v>3166.96</v>
      </c>
      <c r="S84" s="5">
        <v>862.1</v>
      </c>
      <c r="T84" s="7">
        <v>0.21397050428636</v>
      </c>
      <c r="U84" t="s">
        <v>11</v>
      </c>
      <c r="V84" t="s">
        <v>50</v>
      </c>
      <c r="W84" t="s">
        <v>50</v>
      </c>
      <c r="X84" t="s">
        <v>33</v>
      </c>
      <c r="Y84" t="s">
        <v>519</v>
      </c>
      <c r="Z84" t="s">
        <v>101</v>
      </c>
    </row>
    <row r="85" spans="1:26">
      <c r="A85" t="s">
        <v>520</v>
      </c>
      <c r="B85" t="s">
        <v>520</v>
      </c>
      <c r="C85" s="4">
        <v>45774</v>
      </c>
      <c r="D85">
        <v>2025</v>
      </c>
      <c r="E85">
        <v>4</v>
      </c>
      <c r="F85" t="s">
        <v>20</v>
      </c>
      <c r="G85" t="s">
        <v>74</v>
      </c>
      <c r="H85" t="s">
        <v>521</v>
      </c>
      <c r="I85" t="s">
        <v>116</v>
      </c>
      <c r="J85" t="s">
        <v>522</v>
      </c>
      <c r="K85" t="s">
        <v>523</v>
      </c>
      <c r="L85">
        <v>6</v>
      </c>
      <c r="M85" s="5">
        <v>187.76</v>
      </c>
      <c r="N85" s="6">
        <v>0</v>
      </c>
      <c r="O85" s="5">
        <v>0</v>
      </c>
      <c r="P85" s="5">
        <v>168.98</v>
      </c>
      <c r="Q85" s="5">
        <v>1295.54</v>
      </c>
      <c r="R85" s="5">
        <v>852</v>
      </c>
      <c r="S85" s="5">
        <v>443.54</v>
      </c>
      <c r="T85" s="7">
        <v>0.342359170693302</v>
      </c>
      <c r="U85" t="s">
        <v>11</v>
      </c>
      <c r="V85" t="s">
        <v>50</v>
      </c>
      <c r="W85" t="s">
        <v>50</v>
      </c>
      <c r="X85" t="s">
        <v>33</v>
      </c>
      <c r="Y85" t="s">
        <v>524</v>
      </c>
      <c r="Z85" t="s">
        <v>80</v>
      </c>
    </row>
    <row r="86" spans="1:26">
      <c r="A86" t="s">
        <v>525</v>
      </c>
      <c r="B86" t="s">
        <v>525</v>
      </c>
      <c r="C86" s="4">
        <v>45873</v>
      </c>
      <c r="D86">
        <v>2025</v>
      </c>
      <c r="E86">
        <v>8</v>
      </c>
      <c r="F86" t="s">
        <v>24</v>
      </c>
      <c r="G86" t="s">
        <v>89</v>
      </c>
      <c r="H86" t="s">
        <v>526</v>
      </c>
      <c r="I86" t="s">
        <v>169</v>
      </c>
      <c r="J86" t="s">
        <v>522</v>
      </c>
      <c r="K86" t="s">
        <v>523</v>
      </c>
      <c r="L86">
        <v>3</v>
      </c>
      <c r="M86" s="5">
        <v>141.11</v>
      </c>
      <c r="N86" s="6">
        <v>0</v>
      </c>
      <c r="O86" s="5">
        <v>0</v>
      </c>
      <c r="P86" s="5">
        <v>63.5</v>
      </c>
      <c r="Q86" s="5">
        <v>423.33</v>
      </c>
      <c r="R86" s="5">
        <v>347.73</v>
      </c>
      <c r="S86" s="5">
        <v>75.6</v>
      </c>
      <c r="T86" s="7">
        <v>0.178584083339239</v>
      </c>
      <c r="U86" t="s">
        <v>11</v>
      </c>
      <c r="V86" t="s">
        <v>50</v>
      </c>
      <c r="W86" t="s">
        <v>50</v>
      </c>
      <c r="X86" t="s">
        <v>33</v>
      </c>
      <c r="Y86" t="s">
        <v>381</v>
      </c>
      <c r="Z86" t="s">
        <v>101</v>
      </c>
    </row>
    <row r="87" spans="1:26">
      <c r="A87" t="s">
        <v>527</v>
      </c>
      <c r="B87" t="s">
        <v>527</v>
      </c>
      <c r="C87" s="4">
        <v>45961</v>
      </c>
      <c r="D87">
        <v>2025</v>
      </c>
      <c r="E87">
        <v>10</v>
      </c>
      <c r="F87" t="s">
        <v>26</v>
      </c>
      <c r="G87" t="s">
        <v>137</v>
      </c>
      <c r="H87" t="s">
        <v>528</v>
      </c>
      <c r="I87" t="s">
        <v>406</v>
      </c>
      <c r="J87" t="s">
        <v>257</v>
      </c>
      <c r="K87" t="s">
        <v>258</v>
      </c>
      <c r="L87">
        <v>4</v>
      </c>
      <c r="M87" s="5">
        <v>353.05</v>
      </c>
      <c r="N87" s="6">
        <v>0</v>
      </c>
      <c r="O87" s="5">
        <v>0</v>
      </c>
      <c r="P87" s="5">
        <v>211.83</v>
      </c>
      <c r="Q87" s="5">
        <v>1412.2</v>
      </c>
      <c r="R87" s="5">
        <v>1051.2</v>
      </c>
      <c r="S87" s="5">
        <v>361</v>
      </c>
      <c r="T87" s="7">
        <v>0.255629514233111</v>
      </c>
      <c r="U87" t="s">
        <v>10</v>
      </c>
      <c r="V87" t="s">
        <v>51</v>
      </c>
      <c r="W87" t="s">
        <v>51</v>
      </c>
      <c r="X87" t="s">
        <v>33</v>
      </c>
      <c r="Y87" t="s">
        <v>529</v>
      </c>
      <c r="Z87" t="s">
        <v>101</v>
      </c>
    </row>
    <row r="88" spans="1:26">
      <c r="A88" t="s">
        <v>530</v>
      </c>
      <c r="B88" t="s">
        <v>530</v>
      </c>
      <c r="C88" s="4">
        <v>46109</v>
      </c>
      <c r="D88">
        <v>2026</v>
      </c>
      <c r="E88">
        <v>3</v>
      </c>
      <c r="F88" t="s">
        <v>19</v>
      </c>
      <c r="G88" t="s">
        <v>82</v>
      </c>
      <c r="H88" t="s">
        <v>531</v>
      </c>
      <c r="I88" t="s">
        <v>151</v>
      </c>
      <c r="J88" t="s">
        <v>532</v>
      </c>
      <c r="K88" t="s">
        <v>533</v>
      </c>
      <c r="L88">
        <v>3</v>
      </c>
      <c r="M88" s="5">
        <v>455.73</v>
      </c>
      <c r="N88" s="6">
        <v>0</v>
      </c>
      <c r="O88" s="5">
        <v>0</v>
      </c>
      <c r="P88" s="5">
        <v>205.08</v>
      </c>
      <c r="Q88" s="5">
        <v>1572.27</v>
      </c>
      <c r="R88" s="5">
        <v>1054.89</v>
      </c>
      <c r="S88" s="5">
        <v>517.38</v>
      </c>
      <c r="T88" s="7">
        <v>0.329065618500639</v>
      </c>
      <c r="U88" t="s">
        <v>10</v>
      </c>
      <c r="V88" t="s">
        <v>50</v>
      </c>
      <c r="W88" t="s">
        <v>50</v>
      </c>
      <c r="X88" t="s">
        <v>33</v>
      </c>
      <c r="Y88" t="s">
        <v>534</v>
      </c>
      <c r="Z88" t="s">
        <v>80</v>
      </c>
    </row>
    <row r="89" spans="1:26">
      <c r="A89" t="s">
        <v>535</v>
      </c>
      <c r="B89" t="s">
        <v>535</v>
      </c>
      <c r="C89" s="4">
        <v>46004</v>
      </c>
      <c r="D89">
        <v>2025</v>
      </c>
      <c r="E89">
        <v>12</v>
      </c>
      <c r="F89" t="s">
        <v>28</v>
      </c>
      <c r="G89" t="s">
        <v>137</v>
      </c>
      <c r="H89" t="s">
        <v>536</v>
      </c>
      <c r="I89" t="s">
        <v>537</v>
      </c>
      <c r="J89" t="s">
        <v>538</v>
      </c>
      <c r="K89" t="s">
        <v>539</v>
      </c>
      <c r="L89">
        <v>4</v>
      </c>
      <c r="M89" s="5">
        <v>232.58</v>
      </c>
      <c r="N89" s="6">
        <v>15</v>
      </c>
      <c r="O89" s="5">
        <v>139.55</v>
      </c>
      <c r="P89" s="5">
        <v>118.62</v>
      </c>
      <c r="Q89" s="5">
        <v>909.39</v>
      </c>
      <c r="R89" s="5">
        <v>764.8</v>
      </c>
      <c r="S89" s="5">
        <v>144.59</v>
      </c>
      <c r="T89" s="7">
        <v>0.158996690088961</v>
      </c>
      <c r="U89" t="s">
        <v>13</v>
      </c>
      <c r="V89" t="s">
        <v>50</v>
      </c>
      <c r="W89" t="s">
        <v>50</v>
      </c>
      <c r="X89" t="s">
        <v>35</v>
      </c>
      <c r="Y89" t="s">
        <v>540</v>
      </c>
      <c r="Z89" t="s">
        <v>80</v>
      </c>
    </row>
    <row r="90" spans="1:26">
      <c r="A90" t="s">
        <v>541</v>
      </c>
      <c r="B90" t="s">
        <v>541</v>
      </c>
      <c r="C90" s="4">
        <v>45948</v>
      </c>
      <c r="D90">
        <v>2025</v>
      </c>
      <c r="E90">
        <v>10</v>
      </c>
      <c r="F90" t="s">
        <v>26</v>
      </c>
      <c r="G90" t="s">
        <v>137</v>
      </c>
      <c r="H90" t="s">
        <v>542</v>
      </c>
      <c r="I90" t="s">
        <v>543</v>
      </c>
      <c r="J90" t="s">
        <v>418</v>
      </c>
      <c r="K90" t="s">
        <v>419</v>
      </c>
      <c r="L90">
        <v>4</v>
      </c>
      <c r="M90" s="5">
        <v>401.06</v>
      </c>
      <c r="N90" s="6">
        <v>5</v>
      </c>
      <c r="O90" s="5">
        <v>80.21</v>
      </c>
      <c r="P90" s="5">
        <v>228.6</v>
      </c>
      <c r="Q90" s="5">
        <v>1752.63</v>
      </c>
      <c r="R90" s="5">
        <v>1389.88</v>
      </c>
      <c r="S90" s="5">
        <v>362.75</v>
      </c>
      <c r="T90" s="7">
        <v>0.206974660938133</v>
      </c>
      <c r="U90" t="s">
        <v>14</v>
      </c>
      <c r="V90" t="s">
        <v>50</v>
      </c>
      <c r="W90" t="s">
        <v>50</v>
      </c>
      <c r="X90" t="s">
        <v>33</v>
      </c>
      <c r="Y90" t="s">
        <v>544</v>
      </c>
      <c r="Z90" t="s">
        <v>80</v>
      </c>
    </row>
    <row r="91" spans="1:26">
      <c r="A91" t="s">
        <v>545</v>
      </c>
      <c r="B91" t="s">
        <v>545</v>
      </c>
      <c r="C91" s="4">
        <v>46019</v>
      </c>
      <c r="D91">
        <v>2025</v>
      </c>
      <c r="E91">
        <v>12</v>
      </c>
      <c r="F91" t="s">
        <v>28</v>
      </c>
      <c r="G91" t="s">
        <v>137</v>
      </c>
      <c r="H91" t="s">
        <v>546</v>
      </c>
      <c r="I91" t="s">
        <v>547</v>
      </c>
      <c r="J91" t="s">
        <v>548</v>
      </c>
      <c r="K91" t="s">
        <v>549</v>
      </c>
      <c r="L91">
        <v>4</v>
      </c>
      <c r="M91" s="5">
        <v>503.36</v>
      </c>
      <c r="N91" s="6">
        <v>20</v>
      </c>
      <c r="O91" s="5">
        <v>402.69</v>
      </c>
      <c r="P91" s="5">
        <v>241.61</v>
      </c>
      <c r="Q91" s="5">
        <v>1852.36</v>
      </c>
      <c r="R91" s="5">
        <v>1559.2</v>
      </c>
      <c r="S91" s="5">
        <v>293.16</v>
      </c>
      <c r="T91" s="7">
        <v>0.158262972640308</v>
      </c>
      <c r="U91" t="s">
        <v>14</v>
      </c>
      <c r="V91" t="s">
        <v>50</v>
      </c>
      <c r="W91" t="s">
        <v>50</v>
      </c>
      <c r="X91" t="s">
        <v>33</v>
      </c>
      <c r="Y91" t="s">
        <v>550</v>
      </c>
      <c r="Z91" t="s">
        <v>80</v>
      </c>
    </row>
    <row r="92" spans="1:26">
      <c r="A92" t="s">
        <v>551</v>
      </c>
      <c r="B92" t="s">
        <v>551</v>
      </c>
      <c r="C92" s="4">
        <v>45899</v>
      </c>
      <c r="D92">
        <v>2025</v>
      </c>
      <c r="E92">
        <v>8</v>
      </c>
      <c r="F92" t="s">
        <v>24</v>
      </c>
      <c r="G92" t="s">
        <v>89</v>
      </c>
      <c r="H92" t="s">
        <v>552</v>
      </c>
      <c r="I92" t="s">
        <v>553</v>
      </c>
      <c r="J92" t="s">
        <v>307</v>
      </c>
      <c r="K92" t="s">
        <v>554</v>
      </c>
      <c r="L92">
        <v>0</v>
      </c>
      <c r="M92" s="5">
        <v>335.52</v>
      </c>
      <c r="N92" s="6">
        <v>0</v>
      </c>
      <c r="O92" s="5">
        <v>0</v>
      </c>
      <c r="P92" s="5">
        <v>0</v>
      </c>
      <c r="Q92" s="5">
        <v>3086.78</v>
      </c>
      <c r="R92" s="5">
        <v>2029.6</v>
      </c>
      <c r="S92" s="5">
        <v>1057.18</v>
      </c>
      <c r="T92" s="7">
        <v>0.342486344993812</v>
      </c>
      <c r="U92" t="s">
        <v>13</v>
      </c>
      <c r="V92" t="s">
        <v>50</v>
      </c>
      <c r="W92" t="s">
        <v>50</v>
      </c>
      <c r="X92" t="s">
        <v>33</v>
      </c>
      <c r="Y92" t="s">
        <v>555</v>
      </c>
      <c r="Z92" t="s">
        <v>80</v>
      </c>
    </row>
    <row r="93" spans="1:26">
      <c r="A93" t="s">
        <v>556</v>
      </c>
      <c r="B93" t="s">
        <v>556</v>
      </c>
      <c r="C93" s="4">
        <v>46102</v>
      </c>
      <c r="D93">
        <v>2026</v>
      </c>
      <c r="E93">
        <v>3</v>
      </c>
      <c r="F93" t="s">
        <v>19</v>
      </c>
      <c r="G93" t="s">
        <v>82</v>
      </c>
      <c r="H93" t="s">
        <v>557</v>
      </c>
      <c r="I93" t="s">
        <v>395</v>
      </c>
      <c r="J93" t="s">
        <v>558</v>
      </c>
      <c r="K93" t="s">
        <v>559</v>
      </c>
      <c r="L93">
        <v>3</v>
      </c>
      <c r="M93" s="5">
        <v>446.17</v>
      </c>
      <c r="N93" s="6">
        <v>15</v>
      </c>
      <c r="O93" s="5">
        <v>200.78</v>
      </c>
      <c r="P93" s="5">
        <v>170.66</v>
      </c>
      <c r="Q93" s="5">
        <v>1308.39</v>
      </c>
      <c r="R93" s="5">
        <v>976.83</v>
      </c>
      <c r="S93" s="5">
        <v>331.56</v>
      </c>
      <c r="T93" s="7">
        <v>0.253410680301745</v>
      </c>
      <c r="U93" t="s">
        <v>13</v>
      </c>
      <c r="V93" t="s">
        <v>50</v>
      </c>
      <c r="W93" t="s">
        <v>50</v>
      </c>
      <c r="X93" t="s">
        <v>34</v>
      </c>
      <c r="Y93" t="s">
        <v>560</v>
      </c>
      <c r="Z93" t="s">
        <v>80</v>
      </c>
    </row>
    <row r="94" spans="1:26">
      <c r="A94" t="s">
        <v>561</v>
      </c>
      <c r="B94" t="s">
        <v>561</v>
      </c>
      <c r="C94" s="4">
        <v>45775</v>
      </c>
      <c r="D94">
        <v>2025</v>
      </c>
      <c r="E94">
        <v>4</v>
      </c>
      <c r="F94" t="s">
        <v>20</v>
      </c>
      <c r="G94" t="s">
        <v>74</v>
      </c>
      <c r="H94" t="s">
        <v>331</v>
      </c>
      <c r="I94" t="s">
        <v>562</v>
      </c>
      <c r="J94" t="s">
        <v>563</v>
      </c>
      <c r="K94" t="s">
        <v>564</v>
      </c>
      <c r="L94">
        <v>6</v>
      </c>
      <c r="M94" s="5">
        <v>465.55</v>
      </c>
      <c r="N94" s="6">
        <v>15</v>
      </c>
      <c r="O94" s="5">
        <v>419</v>
      </c>
      <c r="P94" s="5">
        <v>356.15</v>
      </c>
      <c r="Q94" s="5">
        <v>2374.3</v>
      </c>
      <c r="R94" s="5">
        <v>2047.44</v>
      </c>
      <c r="S94" s="5">
        <v>326.86</v>
      </c>
      <c r="T94" s="7">
        <v>0.137665838352356</v>
      </c>
      <c r="U94" t="s">
        <v>13</v>
      </c>
      <c r="V94" t="s">
        <v>50</v>
      </c>
      <c r="W94" t="s">
        <v>50</v>
      </c>
      <c r="X94" t="s">
        <v>33</v>
      </c>
      <c r="Y94" t="s">
        <v>565</v>
      </c>
      <c r="Z94" t="s">
        <v>101</v>
      </c>
    </row>
    <row r="95" spans="1:26">
      <c r="A95" t="s">
        <v>566</v>
      </c>
      <c r="B95" t="s">
        <v>566</v>
      </c>
      <c r="C95" s="4">
        <v>45767</v>
      </c>
      <c r="D95">
        <v>2025</v>
      </c>
      <c r="E95">
        <v>4</v>
      </c>
      <c r="F95" t="s">
        <v>20</v>
      </c>
      <c r="G95" t="s">
        <v>74</v>
      </c>
      <c r="H95" t="s">
        <v>428</v>
      </c>
      <c r="I95" t="s">
        <v>245</v>
      </c>
      <c r="J95" t="s">
        <v>567</v>
      </c>
      <c r="K95" t="s">
        <v>568</v>
      </c>
      <c r="L95">
        <v>8</v>
      </c>
      <c r="M95" s="5">
        <v>124.7</v>
      </c>
      <c r="N95" s="6">
        <v>15</v>
      </c>
      <c r="O95" s="5">
        <v>149.64</v>
      </c>
      <c r="P95" s="5">
        <v>127.19</v>
      </c>
      <c r="Q95" s="5">
        <v>975.15</v>
      </c>
      <c r="R95" s="5">
        <v>871.36</v>
      </c>
      <c r="S95" s="5">
        <v>103.79</v>
      </c>
      <c r="T95" s="7">
        <v>0.106434907450136</v>
      </c>
      <c r="U95" t="s">
        <v>10</v>
      </c>
      <c r="V95" t="s">
        <v>50</v>
      </c>
      <c r="W95" t="s">
        <v>50</v>
      </c>
      <c r="X95" t="s">
        <v>33</v>
      </c>
      <c r="Y95" t="s">
        <v>569</v>
      </c>
      <c r="Z95" t="s">
        <v>80</v>
      </c>
    </row>
    <row r="96" spans="1:26">
      <c r="A96" t="s">
        <v>570</v>
      </c>
      <c r="B96" t="s">
        <v>570</v>
      </c>
      <c r="C96" s="4">
        <v>45788</v>
      </c>
      <c r="D96">
        <v>2025</v>
      </c>
      <c r="E96">
        <v>5</v>
      </c>
      <c r="F96" t="s">
        <v>21</v>
      </c>
      <c r="G96" t="s">
        <v>74</v>
      </c>
      <c r="H96" t="s">
        <v>571</v>
      </c>
      <c r="I96" t="s">
        <v>151</v>
      </c>
      <c r="J96" t="s">
        <v>77</v>
      </c>
      <c r="K96" t="s">
        <v>572</v>
      </c>
      <c r="L96">
        <v>1</v>
      </c>
      <c r="M96" s="5">
        <v>434.65</v>
      </c>
      <c r="N96" s="6">
        <v>20</v>
      </c>
      <c r="O96" s="5">
        <v>86.93</v>
      </c>
      <c r="P96" s="5">
        <v>52.16</v>
      </c>
      <c r="Q96" s="5">
        <v>399.88</v>
      </c>
      <c r="R96" s="5">
        <v>351.63</v>
      </c>
      <c r="S96" s="5">
        <v>48.25</v>
      </c>
      <c r="T96" s="7">
        <v>0.120661198359508</v>
      </c>
      <c r="U96" t="s">
        <v>12</v>
      </c>
      <c r="V96" t="s">
        <v>50</v>
      </c>
      <c r="W96" t="s">
        <v>50</v>
      </c>
      <c r="X96" t="s">
        <v>35</v>
      </c>
      <c r="Y96" t="s">
        <v>118</v>
      </c>
      <c r="Z96" t="s">
        <v>80</v>
      </c>
    </row>
    <row r="97" spans="1:26">
      <c r="A97" t="s">
        <v>573</v>
      </c>
      <c r="B97" t="s">
        <v>573</v>
      </c>
      <c r="C97" s="4">
        <v>45990</v>
      </c>
      <c r="D97">
        <v>2025</v>
      </c>
      <c r="E97">
        <v>11</v>
      </c>
      <c r="F97" t="s">
        <v>27</v>
      </c>
      <c r="G97" t="s">
        <v>137</v>
      </c>
      <c r="H97" t="s">
        <v>201</v>
      </c>
      <c r="I97" t="s">
        <v>574</v>
      </c>
      <c r="J97" t="s">
        <v>164</v>
      </c>
      <c r="K97" t="s">
        <v>575</v>
      </c>
      <c r="L97">
        <v>8</v>
      </c>
      <c r="M97" s="5">
        <v>128.33</v>
      </c>
      <c r="N97" s="6">
        <v>10</v>
      </c>
      <c r="O97" s="5">
        <v>102.66</v>
      </c>
      <c r="P97" s="5">
        <v>138.6</v>
      </c>
      <c r="Q97" s="5">
        <v>1062.58</v>
      </c>
      <c r="R97" s="5">
        <v>765.6</v>
      </c>
      <c r="S97" s="5">
        <v>296.98</v>
      </c>
      <c r="T97" s="7">
        <v>0.279489544316663</v>
      </c>
      <c r="U97" t="s">
        <v>14</v>
      </c>
      <c r="V97" t="s">
        <v>50</v>
      </c>
      <c r="W97" t="s">
        <v>50</v>
      </c>
      <c r="X97" t="s">
        <v>33</v>
      </c>
      <c r="Y97" t="s">
        <v>576</v>
      </c>
      <c r="Z97" t="s">
        <v>80</v>
      </c>
    </row>
    <row r="98" spans="1:26">
      <c r="A98" t="s">
        <v>577</v>
      </c>
      <c r="B98" t="s">
        <v>577</v>
      </c>
      <c r="C98" s="4">
        <v>45780</v>
      </c>
      <c r="D98">
        <v>2025</v>
      </c>
      <c r="E98">
        <v>5</v>
      </c>
      <c r="F98" t="s">
        <v>21</v>
      </c>
      <c r="G98" t="s">
        <v>74</v>
      </c>
      <c r="H98" t="s">
        <v>578</v>
      </c>
      <c r="I98" t="s">
        <v>132</v>
      </c>
      <c r="J98" t="s">
        <v>351</v>
      </c>
      <c r="K98" t="s">
        <v>579</v>
      </c>
      <c r="L98">
        <v>2</v>
      </c>
      <c r="M98" s="5">
        <v>260.93</v>
      </c>
      <c r="N98" s="6">
        <v>20</v>
      </c>
      <c r="O98" s="5">
        <v>104.37</v>
      </c>
      <c r="P98" s="5">
        <v>62.62</v>
      </c>
      <c r="Q98" s="5">
        <v>480.11</v>
      </c>
      <c r="R98" s="5">
        <v>388.12</v>
      </c>
      <c r="S98" s="5">
        <v>91.99</v>
      </c>
      <c r="T98" s="7">
        <v>0.191601924558955</v>
      </c>
      <c r="U98" t="s">
        <v>12</v>
      </c>
      <c r="V98" t="s">
        <v>50</v>
      </c>
      <c r="W98" t="s">
        <v>50</v>
      </c>
      <c r="X98" t="s">
        <v>33</v>
      </c>
      <c r="Y98" t="s">
        <v>580</v>
      </c>
      <c r="Z98" t="s">
        <v>80</v>
      </c>
    </row>
    <row r="99" spans="1:26">
      <c r="A99" t="s">
        <v>581</v>
      </c>
      <c r="B99" t="s">
        <v>581</v>
      </c>
      <c r="C99" s="4">
        <v>45997</v>
      </c>
      <c r="D99">
        <v>2025</v>
      </c>
      <c r="E99">
        <v>12</v>
      </c>
      <c r="F99" t="s">
        <v>28</v>
      </c>
      <c r="G99" t="s">
        <v>137</v>
      </c>
      <c r="H99" t="s">
        <v>582</v>
      </c>
      <c r="I99" t="s">
        <v>583</v>
      </c>
      <c r="J99" t="s">
        <v>390</v>
      </c>
      <c r="K99" t="s">
        <v>391</v>
      </c>
      <c r="L99">
        <v>8</v>
      </c>
      <c r="M99" s="5">
        <v>279.93</v>
      </c>
      <c r="N99" s="6">
        <v>20</v>
      </c>
      <c r="O99" s="5">
        <v>447.89</v>
      </c>
      <c r="P99" s="5">
        <v>268.73</v>
      </c>
      <c r="Q99" s="5">
        <v>2060.28</v>
      </c>
      <c r="R99" s="5">
        <v>1684.16</v>
      </c>
      <c r="S99" s="5">
        <v>376.12</v>
      </c>
      <c r="T99" s="7">
        <v>0.182557710602442</v>
      </c>
      <c r="U99" t="s">
        <v>9</v>
      </c>
      <c r="V99" t="s">
        <v>50</v>
      </c>
      <c r="W99" t="s">
        <v>50</v>
      </c>
      <c r="X99" t="s">
        <v>33</v>
      </c>
      <c r="Y99" t="s">
        <v>584</v>
      </c>
      <c r="Z99" t="s">
        <v>80</v>
      </c>
    </row>
    <row r="100" spans="1:26">
      <c r="A100" t="s">
        <v>585</v>
      </c>
      <c r="B100" t="s">
        <v>585</v>
      </c>
      <c r="C100" s="4">
        <v>46056</v>
      </c>
      <c r="D100">
        <v>2026</v>
      </c>
      <c r="E100">
        <v>2</v>
      </c>
      <c r="F100" t="s">
        <v>31</v>
      </c>
      <c r="G100" t="s">
        <v>82</v>
      </c>
      <c r="H100" t="s">
        <v>586</v>
      </c>
      <c r="I100" t="s">
        <v>587</v>
      </c>
      <c r="J100" t="s">
        <v>41</v>
      </c>
      <c r="K100" t="s">
        <v>588</v>
      </c>
      <c r="L100">
        <v>5</v>
      </c>
      <c r="M100" s="5">
        <v>420.41</v>
      </c>
      <c r="N100" s="6">
        <v>0</v>
      </c>
      <c r="O100" s="5">
        <v>0</v>
      </c>
      <c r="P100" s="5">
        <v>315.31</v>
      </c>
      <c r="Q100" s="5">
        <v>2102.05</v>
      </c>
      <c r="R100" s="5">
        <v>1378.35</v>
      </c>
      <c r="S100" s="5">
        <v>723.7</v>
      </c>
      <c r="T100" s="7">
        <v>0.344282961870555</v>
      </c>
      <c r="U100" t="s">
        <v>10</v>
      </c>
      <c r="V100" t="s">
        <v>50</v>
      </c>
      <c r="W100" t="s">
        <v>50</v>
      </c>
      <c r="X100" t="s">
        <v>33</v>
      </c>
      <c r="Y100" t="s">
        <v>589</v>
      </c>
      <c r="Z100" t="s">
        <v>101</v>
      </c>
    </row>
    <row r="101" spans="1:26">
      <c r="A101" t="s">
        <v>590</v>
      </c>
      <c r="B101" t="s">
        <v>590</v>
      </c>
      <c r="C101" s="4">
        <v>45893</v>
      </c>
      <c r="D101">
        <v>2025</v>
      </c>
      <c r="E101">
        <v>8</v>
      </c>
      <c r="F101" t="s">
        <v>24</v>
      </c>
      <c r="G101" t="s">
        <v>89</v>
      </c>
      <c r="H101" t="s">
        <v>591</v>
      </c>
      <c r="I101" t="s">
        <v>592</v>
      </c>
      <c r="J101" t="s">
        <v>593</v>
      </c>
      <c r="K101" t="s">
        <v>594</v>
      </c>
      <c r="L101">
        <v>8</v>
      </c>
      <c r="M101" s="5">
        <v>226.02</v>
      </c>
      <c r="N101" s="6">
        <v>0</v>
      </c>
      <c r="O101" s="5">
        <v>0</v>
      </c>
      <c r="P101" s="5">
        <v>271.22</v>
      </c>
      <c r="Q101" s="5">
        <v>2079.38</v>
      </c>
      <c r="R101" s="5">
        <v>1457.36</v>
      </c>
      <c r="S101" s="5">
        <v>622.02</v>
      </c>
      <c r="T101" s="7">
        <v>0.299137242831998</v>
      </c>
      <c r="U101" t="s">
        <v>13</v>
      </c>
      <c r="V101" t="s">
        <v>50</v>
      </c>
      <c r="W101" t="s">
        <v>50</v>
      </c>
      <c r="X101" t="s">
        <v>33</v>
      </c>
      <c r="Y101" t="s">
        <v>595</v>
      </c>
      <c r="Z101" t="s">
        <v>80</v>
      </c>
    </row>
    <row r="102" spans="1:26">
      <c r="A102" t="s">
        <v>596</v>
      </c>
      <c r="B102" t="s">
        <v>596</v>
      </c>
      <c r="C102" s="4">
        <v>45878</v>
      </c>
      <c r="D102">
        <v>2025</v>
      </c>
      <c r="E102">
        <v>8</v>
      </c>
      <c r="F102" t="s">
        <v>24</v>
      </c>
      <c r="G102" t="s">
        <v>89</v>
      </c>
      <c r="H102" t="s">
        <v>597</v>
      </c>
      <c r="I102" t="s">
        <v>598</v>
      </c>
      <c r="J102" t="s">
        <v>92</v>
      </c>
      <c r="K102" t="s">
        <v>599</v>
      </c>
      <c r="L102">
        <v>2</v>
      </c>
      <c r="M102" s="5">
        <v>491.81</v>
      </c>
      <c r="N102" s="6">
        <v>0</v>
      </c>
      <c r="O102" s="5">
        <v>0</v>
      </c>
      <c r="P102" s="5">
        <v>147.54</v>
      </c>
      <c r="Q102" s="5">
        <v>1131.16</v>
      </c>
      <c r="R102" s="5">
        <v>731.14</v>
      </c>
      <c r="S102" s="5">
        <v>400.02</v>
      </c>
      <c r="T102" s="7">
        <v>0.353636974433325</v>
      </c>
      <c r="U102" t="s">
        <v>11</v>
      </c>
      <c r="V102" t="s">
        <v>50</v>
      </c>
      <c r="W102" t="s">
        <v>50</v>
      </c>
      <c r="X102" t="s">
        <v>33</v>
      </c>
      <c r="Y102" t="s">
        <v>600</v>
      </c>
      <c r="Z102" t="s">
        <v>80</v>
      </c>
    </row>
    <row r="103" spans="1:26">
      <c r="A103" t="s">
        <v>601</v>
      </c>
      <c r="B103" t="s">
        <v>601</v>
      </c>
      <c r="C103" s="4">
        <v>46080</v>
      </c>
      <c r="D103">
        <v>2026</v>
      </c>
      <c r="E103">
        <v>2</v>
      </c>
      <c r="F103" t="s">
        <v>31</v>
      </c>
      <c r="G103" t="s">
        <v>82</v>
      </c>
      <c r="H103" t="s">
        <v>602</v>
      </c>
      <c r="I103" t="s">
        <v>434</v>
      </c>
      <c r="J103" t="s">
        <v>246</v>
      </c>
      <c r="K103" t="s">
        <v>247</v>
      </c>
      <c r="L103">
        <v>4</v>
      </c>
      <c r="M103" s="5">
        <v>83.59</v>
      </c>
      <c r="N103" s="6">
        <v>20</v>
      </c>
      <c r="O103" s="5">
        <v>66.87</v>
      </c>
      <c r="P103" s="5">
        <v>40.12</v>
      </c>
      <c r="Q103" s="5">
        <v>267.49</v>
      </c>
      <c r="R103" s="5">
        <v>276.36</v>
      </c>
      <c r="S103" s="5">
        <v>-8.87</v>
      </c>
      <c r="T103" s="7">
        <v>-0.0331601181352574</v>
      </c>
      <c r="U103" t="s">
        <v>12</v>
      </c>
      <c r="V103" t="s">
        <v>50</v>
      </c>
      <c r="W103" t="s">
        <v>50</v>
      </c>
      <c r="X103" t="s">
        <v>33</v>
      </c>
      <c r="Y103" t="s">
        <v>603</v>
      </c>
      <c r="Z103" t="s">
        <v>101</v>
      </c>
    </row>
    <row r="104" spans="1:26">
      <c r="A104" t="s">
        <v>604</v>
      </c>
      <c r="B104" t="s">
        <v>604</v>
      </c>
      <c r="C104" s="4">
        <v>46099</v>
      </c>
      <c r="D104">
        <v>2026</v>
      </c>
      <c r="E104">
        <v>3</v>
      </c>
      <c r="F104" t="s">
        <v>19</v>
      </c>
      <c r="G104" t="s">
        <v>82</v>
      </c>
      <c r="H104" t="s">
        <v>605</v>
      </c>
      <c r="I104" t="s">
        <v>169</v>
      </c>
      <c r="J104" t="s">
        <v>133</v>
      </c>
      <c r="K104" t="s">
        <v>134</v>
      </c>
      <c r="L104">
        <v>5</v>
      </c>
      <c r="M104" s="5">
        <v>143.03</v>
      </c>
      <c r="N104" s="6">
        <v>20</v>
      </c>
      <c r="O104" s="5">
        <v>143.03</v>
      </c>
      <c r="P104" s="5">
        <v>85.82</v>
      </c>
      <c r="Q104" s="5">
        <v>572.12</v>
      </c>
      <c r="R104" s="5">
        <v>579.55</v>
      </c>
      <c r="S104" s="5">
        <v>-7.43</v>
      </c>
      <c r="T104" s="7">
        <v>-0.0129867859889534</v>
      </c>
      <c r="U104" t="s">
        <v>10</v>
      </c>
      <c r="V104" t="s">
        <v>50</v>
      </c>
      <c r="W104" t="s">
        <v>50</v>
      </c>
      <c r="X104" t="s">
        <v>33</v>
      </c>
      <c r="Y104" t="s">
        <v>606</v>
      </c>
      <c r="Z104" t="s">
        <v>101</v>
      </c>
    </row>
    <row r="105" spans="1:26">
      <c r="A105" t="s">
        <v>607</v>
      </c>
      <c r="B105" t="s">
        <v>607</v>
      </c>
      <c r="C105" s="4">
        <v>45885</v>
      </c>
      <c r="D105">
        <v>2025</v>
      </c>
      <c r="E105">
        <v>8</v>
      </c>
      <c r="F105" t="s">
        <v>24</v>
      </c>
      <c r="G105" t="s">
        <v>89</v>
      </c>
      <c r="H105" t="s">
        <v>608</v>
      </c>
      <c r="I105" t="s">
        <v>609</v>
      </c>
      <c r="J105" t="s">
        <v>610</v>
      </c>
      <c r="K105" t="s">
        <v>611</v>
      </c>
      <c r="L105">
        <v>4</v>
      </c>
      <c r="M105" s="5">
        <v>351.62</v>
      </c>
      <c r="N105" s="6">
        <v>0</v>
      </c>
      <c r="O105" s="5">
        <v>0</v>
      </c>
      <c r="P105" s="5">
        <v>210.97</v>
      </c>
      <c r="Q105" s="5">
        <v>1617.45</v>
      </c>
      <c r="R105" s="5">
        <v>1021.96</v>
      </c>
      <c r="S105" s="5">
        <v>595.49</v>
      </c>
      <c r="T105" s="7">
        <v>0.368165940214535</v>
      </c>
      <c r="U105" t="s">
        <v>11</v>
      </c>
      <c r="V105" t="s">
        <v>50</v>
      </c>
      <c r="W105" t="s">
        <v>50</v>
      </c>
      <c r="X105" t="s">
        <v>33</v>
      </c>
      <c r="Y105" t="s">
        <v>612</v>
      </c>
      <c r="Z105" t="s">
        <v>80</v>
      </c>
    </row>
    <row r="106" spans="1:26">
      <c r="A106" t="s">
        <v>613</v>
      </c>
      <c r="B106" t="s">
        <v>613</v>
      </c>
      <c r="C106" s="4">
        <v>45753</v>
      </c>
      <c r="D106">
        <v>2025</v>
      </c>
      <c r="E106">
        <v>4</v>
      </c>
      <c r="F106" t="s">
        <v>20</v>
      </c>
      <c r="G106" t="s">
        <v>74</v>
      </c>
      <c r="H106" t="s">
        <v>614</v>
      </c>
      <c r="I106" t="s">
        <v>615</v>
      </c>
      <c r="J106" t="s">
        <v>504</v>
      </c>
      <c r="K106" t="s">
        <v>505</v>
      </c>
      <c r="L106">
        <v>4</v>
      </c>
      <c r="M106" s="5">
        <v>46.76</v>
      </c>
      <c r="N106" s="6">
        <v>5</v>
      </c>
      <c r="O106" s="5">
        <v>9.35</v>
      </c>
      <c r="P106" s="5">
        <v>26.65</v>
      </c>
      <c r="Q106" s="5">
        <v>204.34</v>
      </c>
      <c r="R106" s="5">
        <v>146.6</v>
      </c>
      <c r="S106" s="5">
        <v>57.74</v>
      </c>
      <c r="T106" s="7">
        <v>0.282568268571988</v>
      </c>
      <c r="U106" t="s">
        <v>11</v>
      </c>
      <c r="V106" t="s">
        <v>50</v>
      </c>
      <c r="W106" t="s">
        <v>50</v>
      </c>
      <c r="X106" t="s">
        <v>34</v>
      </c>
      <c r="Y106" t="s">
        <v>616</v>
      </c>
      <c r="Z106" t="s">
        <v>80</v>
      </c>
    </row>
    <row r="107" spans="1:26">
      <c r="A107" t="s">
        <v>617</v>
      </c>
      <c r="B107" t="s">
        <v>617</v>
      </c>
      <c r="C107" s="4">
        <v>45894</v>
      </c>
      <c r="D107">
        <v>2025</v>
      </c>
      <c r="E107">
        <v>8</v>
      </c>
      <c r="F107" t="s">
        <v>24</v>
      </c>
      <c r="G107" t="s">
        <v>89</v>
      </c>
      <c r="H107" t="s">
        <v>618</v>
      </c>
      <c r="I107" t="s">
        <v>279</v>
      </c>
      <c r="J107" t="s">
        <v>42</v>
      </c>
      <c r="K107" t="s">
        <v>619</v>
      </c>
      <c r="L107">
        <v>4</v>
      </c>
      <c r="M107" s="5">
        <v>418.79</v>
      </c>
      <c r="N107" s="6">
        <v>15</v>
      </c>
      <c r="O107" s="5">
        <v>251.27</v>
      </c>
      <c r="P107" s="5">
        <v>213.58</v>
      </c>
      <c r="Q107" s="5">
        <v>1423.89</v>
      </c>
      <c r="R107" s="5">
        <v>1235.76</v>
      </c>
      <c r="S107" s="5">
        <v>188.13</v>
      </c>
      <c r="T107" s="7">
        <v>0.132123970250511</v>
      </c>
      <c r="U107" t="s">
        <v>13</v>
      </c>
      <c r="V107" t="s">
        <v>50</v>
      </c>
      <c r="W107" t="s">
        <v>50</v>
      </c>
      <c r="X107" t="s">
        <v>33</v>
      </c>
      <c r="Y107" t="s">
        <v>620</v>
      </c>
      <c r="Z107" t="s">
        <v>101</v>
      </c>
    </row>
    <row r="108" spans="1:26">
      <c r="A108" t="s">
        <v>621</v>
      </c>
      <c r="B108" t="s">
        <v>621</v>
      </c>
      <c r="C108" s="4">
        <v>45932</v>
      </c>
      <c r="D108">
        <v>2025</v>
      </c>
      <c r="E108">
        <v>10</v>
      </c>
      <c r="F108" t="s">
        <v>26</v>
      </c>
      <c r="G108" t="s">
        <v>137</v>
      </c>
      <c r="H108" t="s">
        <v>622</v>
      </c>
      <c r="I108" t="s">
        <v>623</v>
      </c>
      <c r="J108" t="s">
        <v>291</v>
      </c>
      <c r="K108" t="s">
        <v>270</v>
      </c>
      <c r="L108">
        <v>4</v>
      </c>
      <c r="M108" s="5">
        <v>155.15</v>
      </c>
      <c r="N108" s="6">
        <v>10</v>
      </c>
      <c r="O108" s="5">
        <v>62.06</v>
      </c>
      <c r="P108" s="5">
        <v>83.78</v>
      </c>
      <c r="Q108" s="5">
        <v>558.54</v>
      </c>
      <c r="R108" s="5">
        <v>427.96</v>
      </c>
      <c r="S108" s="5">
        <v>130.58</v>
      </c>
      <c r="T108" s="7">
        <v>0.233788090378487</v>
      </c>
      <c r="U108" t="s">
        <v>9</v>
      </c>
      <c r="V108" t="s">
        <v>50</v>
      </c>
      <c r="W108" t="s">
        <v>50</v>
      </c>
      <c r="X108" t="s">
        <v>35</v>
      </c>
      <c r="Y108" t="s">
        <v>624</v>
      </c>
      <c r="Z108" t="s">
        <v>101</v>
      </c>
    </row>
    <row r="109" spans="1:26">
      <c r="A109" t="s">
        <v>625</v>
      </c>
      <c r="B109" t="s">
        <v>625</v>
      </c>
      <c r="C109" s="4">
        <v>45959</v>
      </c>
      <c r="D109">
        <v>2025</v>
      </c>
      <c r="E109">
        <v>10</v>
      </c>
      <c r="F109" t="s">
        <v>26</v>
      </c>
      <c r="G109" t="s">
        <v>137</v>
      </c>
      <c r="H109" t="s">
        <v>497</v>
      </c>
      <c r="I109" t="s">
        <v>476</v>
      </c>
      <c r="J109" t="s">
        <v>626</v>
      </c>
      <c r="K109" t="s">
        <v>627</v>
      </c>
      <c r="L109">
        <v>8</v>
      </c>
      <c r="M109" s="5">
        <v>348.9</v>
      </c>
      <c r="N109" s="6">
        <v>0</v>
      </c>
      <c r="O109" s="5">
        <v>0</v>
      </c>
      <c r="P109" s="5">
        <v>418.68</v>
      </c>
      <c r="Q109" s="5">
        <v>2791.2</v>
      </c>
      <c r="R109" s="5">
        <v>2011.36</v>
      </c>
      <c r="S109" s="5">
        <v>779.84</v>
      </c>
      <c r="T109" s="7">
        <v>0.27939237603898</v>
      </c>
      <c r="U109" t="s">
        <v>12</v>
      </c>
      <c r="V109" t="s">
        <v>50</v>
      </c>
      <c r="W109" t="s">
        <v>50</v>
      </c>
      <c r="X109" t="s">
        <v>33</v>
      </c>
      <c r="Y109" t="s">
        <v>628</v>
      </c>
      <c r="Z109" t="s">
        <v>101</v>
      </c>
    </row>
    <row r="110" spans="1:26">
      <c r="A110" t="s">
        <v>629</v>
      </c>
      <c r="B110" t="s">
        <v>629</v>
      </c>
      <c r="C110" s="4">
        <v>45864</v>
      </c>
      <c r="D110">
        <v>2025</v>
      </c>
      <c r="E110">
        <v>7</v>
      </c>
      <c r="F110" t="s">
        <v>23</v>
      </c>
      <c r="G110" t="s">
        <v>89</v>
      </c>
      <c r="H110" t="s">
        <v>630</v>
      </c>
      <c r="I110" t="s">
        <v>543</v>
      </c>
      <c r="J110" t="s">
        <v>631</v>
      </c>
      <c r="K110" t="s">
        <v>632</v>
      </c>
      <c r="L110">
        <v>3</v>
      </c>
      <c r="M110" s="5">
        <v>401.06</v>
      </c>
      <c r="N110" s="6">
        <v>5</v>
      </c>
      <c r="O110" s="5">
        <v>60.16</v>
      </c>
      <c r="P110" s="5">
        <v>171.45</v>
      </c>
      <c r="Q110" s="5">
        <v>1314.47</v>
      </c>
      <c r="R110" s="5">
        <v>1042.41</v>
      </c>
      <c r="S110" s="5">
        <v>272.06</v>
      </c>
      <c r="T110" s="7">
        <v>0.206973152677505</v>
      </c>
      <c r="U110" t="s">
        <v>13</v>
      </c>
      <c r="V110" t="s">
        <v>50</v>
      </c>
      <c r="W110" t="s">
        <v>50</v>
      </c>
      <c r="X110" t="s">
        <v>33</v>
      </c>
      <c r="Y110" t="s">
        <v>633</v>
      </c>
      <c r="Z110" t="s">
        <v>80</v>
      </c>
    </row>
    <row r="111" spans="1:26">
      <c r="A111" t="s">
        <v>634</v>
      </c>
      <c r="B111" t="s">
        <v>634</v>
      </c>
      <c r="C111" s="4">
        <v>45877</v>
      </c>
      <c r="D111">
        <v>2025</v>
      </c>
      <c r="E111">
        <v>8</v>
      </c>
      <c r="F111" t="s">
        <v>24</v>
      </c>
      <c r="G111" t="s">
        <v>89</v>
      </c>
      <c r="H111" t="s">
        <v>635</v>
      </c>
      <c r="I111" t="s">
        <v>323</v>
      </c>
      <c r="J111" t="s">
        <v>140</v>
      </c>
      <c r="K111" t="s">
        <v>141</v>
      </c>
      <c r="L111">
        <v>4</v>
      </c>
      <c r="M111" s="5">
        <v>51.33</v>
      </c>
      <c r="N111" s="6">
        <v>0</v>
      </c>
      <c r="O111" s="5">
        <v>0</v>
      </c>
      <c r="P111" s="5">
        <v>30.8</v>
      </c>
      <c r="Q111" s="5">
        <v>205.32</v>
      </c>
      <c r="R111" s="5">
        <v>149.92</v>
      </c>
      <c r="S111" s="5">
        <v>55.4</v>
      </c>
      <c r="T111" s="7">
        <v>0.269822715760764</v>
      </c>
      <c r="U111" t="s">
        <v>14</v>
      </c>
      <c r="V111" t="s">
        <v>50</v>
      </c>
      <c r="W111" t="s">
        <v>50</v>
      </c>
      <c r="X111" t="s">
        <v>33</v>
      </c>
      <c r="Y111" t="s">
        <v>636</v>
      </c>
      <c r="Z111" t="s">
        <v>101</v>
      </c>
    </row>
    <row r="112" spans="1:26">
      <c r="A112" t="s">
        <v>637</v>
      </c>
      <c r="B112" t="s">
        <v>637</v>
      </c>
      <c r="C112" s="4">
        <v>46099</v>
      </c>
      <c r="D112">
        <v>2026</v>
      </c>
      <c r="E112">
        <v>3</v>
      </c>
      <c r="F112" t="s">
        <v>19</v>
      </c>
      <c r="G112" t="s">
        <v>82</v>
      </c>
      <c r="H112" t="s">
        <v>638</v>
      </c>
      <c r="I112" t="s">
        <v>374</v>
      </c>
      <c r="J112" t="s">
        <v>202</v>
      </c>
      <c r="K112" t="s">
        <v>203</v>
      </c>
      <c r="L112">
        <v>2</v>
      </c>
      <c r="M112" s="5">
        <v>400.33</v>
      </c>
      <c r="N112" s="6">
        <v>5</v>
      </c>
      <c r="O112" s="5">
        <v>40.03</v>
      </c>
      <c r="P112" s="5">
        <v>114.09</v>
      </c>
      <c r="Q112" s="5">
        <v>760.63</v>
      </c>
      <c r="R112" s="5">
        <v>681.8</v>
      </c>
      <c r="S112" s="5">
        <v>78.83</v>
      </c>
      <c r="T112" s="7">
        <v>0.103637773950541</v>
      </c>
      <c r="U112" t="s">
        <v>14</v>
      </c>
      <c r="V112" t="s">
        <v>50</v>
      </c>
      <c r="W112" t="s">
        <v>50</v>
      </c>
      <c r="X112" t="s">
        <v>33</v>
      </c>
      <c r="Y112" t="s">
        <v>639</v>
      </c>
      <c r="Z112" t="s">
        <v>101</v>
      </c>
    </row>
    <row r="113" spans="1:26">
      <c r="A113" t="s">
        <v>640</v>
      </c>
      <c r="B113" t="s">
        <v>640</v>
      </c>
      <c r="C113" s="4">
        <v>45986</v>
      </c>
      <c r="D113">
        <v>2025</v>
      </c>
      <c r="E113">
        <v>11</v>
      </c>
      <c r="F113" t="s">
        <v>27</v>
      </c>
      <c r="G113" t="s">
        <v>137</v>
      </c>
      <c r="H113" t="s">
        <v>641</v>
      </c>
      <c r="I113" t="s">
        <v>190</v>
      </c>
      <c r="J113" t="s">
        <v>642</v>
      </c>
      <c r="K113" t="s">
        <v>643</v>
      </c>
      <c r="L113">
        <v>4</v>
      </c>
      <c r="M113" s="5">
        <v>437.49</v>
      </c>
      <c r="N113" s="6">
        <v>20</v>
      </c>
      <c r="O113" s="5">
        <v>349.99</v>
      </c>
      <c r="P113" s="5">
        <v>210</v>
      </c>
      <c r="Q113" s="5">
        <v>1399.97</v>
      </c>
      <c r="R113" s="5">
        <v>1061.76</v>
      </c>
      <c r="S113" s="5">
        <v>338.21</v>
      </c>
      <c r="T113" s="7">
        <v>0.241583748223176</v>
      </c>
      <c r="U113" t="s">
        <v>11</v>
      </c>
      <c r="V113" t="s">
        <v>50</v>
      </c>
      <c r="W113" t="s">
        <v>50</v>
      </c>
      <c r="X113" t="s">
        <v>35</v>
      </c>
      <c r="Y113" t="s">
        <v>644</v>
      </c>
      <c r="Z113" t="s">
        <v>101</v>
      </c>
    </row>
    <row r="114" spans="1:26">
      <c r="A114" t="s">
        <v>645</v>
      </c>
      <c r="B114" t="s">
        <v>645</v>
      </c>
      <c r="C114" s="4">
        <v>45977</v>
      </c>
      <c r="D114">
        <v>2025</v>
      </c>
      <c r="E114">
        <v>11</v>
      </c>
      <c r="F114" t="s">
        <v>27</v>
      </c>
      <c r="G114" t="s">
        <v>137</v>
      </c>
      <c r="H114" t="s">
        <v>646</v>
      </c>
      <c r="I114" t="s">
        <v>647</v>
      </c>
      <c r="J114" t="s">
        <v>648</v>
      </c>
      <c r="K114" t="s">
        <v>649</v>
      </c>
      <c r="L114">
        <v>8</v>
      </c>
      <c r="M114" s="5">
        <v>84.09</v>
      </c>
      <c r="N114" s="6">
        <v>10</v>
      </c>
      <c r="O114" s="5">
        <v>67.27</v>
      </c>
      <c r="P114" s="5">
        <v>90.82</v>
      </c>
      <c r="Q114" s="5">
        <v>696.27</v>
      </c>
      <c r="R114" s="5">
        <v>497.12</v>
      </c>
      <c r="S114" s="5">
        <v>199.15</v>
      </c>
      <c r="T114" s="7">
        <v>0.286024099846324</v>
      </c>
      <c r="U114" t="s">
        <v>9</v>
      </c>
      <c r="V114" t="s">
        <v>50</v>
      </c>
      <c r="W114" t="s">
        <v>50</v>
      </c>
      <c r="X114" t="s">
        <v>33</v>
      </c>
      <c r="Y114" t="s">
        <v>650</v>
      </c>
      <c r="Z114" t="s">
        <v>80</v>
      </c>
    </row>
    <row r="115" spans="1:26">
      <c r="A115" t="s">
        <v>651</v>
      </c>
      <c r="B115" t="s">
        <v>651</v>
      </c>
      <c r="C115" s="4">
        <v>45767</v>
      </c>
      <c r="D115">
        <v>2025</v>
      </c>
      <c r="E115">
        <v>4</v>
      </c>
      <c r="F115" t="s">
        <v>20</v>
      </c>
      <c r="G115" t="s">
        <v>74</v>
      </c>
      <c r="H115" t="s">
        <v>652</v>
      </c>
      <c r="I115" t="s">
        <v>653</v>
      </c>
      <c r="J115" t="s">
        <v>654</v>
      </c>
      <c r="K115" t="s">
        <v>655</v>
      </c>
      <c r="L115">
        <v>4</v>
      </c>
      <c r="M115" s="5">
        <v>339.13</v>
      </c>
      <c r="N115" s="6">
        <v>0</v>
      </c>
      <c r="O115" s="5">
        <v>0</v>
      </c>
      <c r="P115" s="5">
        <v>203.48</v>
      </c>
      <c r="Q115" s="5">
        <v>1560</v>
      </c>
      <c r="R115" s="5">
        <v>1002.72</v>
      </c>
      <c r="S115" s="5">
        <v>557.28</v>
      </c>
      <c r="T115" s="7">
        <v>0.357230769230769</v>
      </c>
      <c r="U115" t="s">
        <v>14</v>
      </c>
      <c r="V115" t="s">
        <v>50</v>
      </c>
      <c r="W115" t="s">
        <v>50</v>
      </c>
      <c r="X115" t="s">
        <v>33</v>
      </c>
      <c r="Y115" t="s">
        <v>656</v>
      </c>
      <c r="Z115" t="s">
        <v>80</v>
      </c>
    </row>
    <row r="116" spans="1:26">
      <c r="A116" t="s">
        <v>657</v>
      </c>
      <c r="B116" t="s">
        <v>657</v>
      </c>
      <c r="C116" s="4">
        <v>45879</v>
      </c>
      <c r="D116">
        <v>2025</v>
      </c>
      <c r="E116">
        <v>8</v>
      </c>
      <c r="F116" t="s">
        <v>24</v>
      </c>
      <c r="G116" t="s">
        <v>89</v>
      </c>
      <c r="H116" t="s">
        <v>658</v>
      </c>
      <c r="I116" t="s">
        <v>262</v>
      </c>
      <c r="J116" t="s">
        <v>659</v>
      </c>
      <c r="K116" t="s">
        <v>660</v>
      </c>
      <c r="L116">
        <v>4</v>
      </c>
      <c r="M116" s="5">
        <v>147.97</v>
      </c>
      <c r="N116" s="6">
        <v>15</v>
      </c>
      <c r="O116" s="5">
        <v>88.78</v>
      </c>
      <c r="P116" s="5">
        <v>75.46</v>
      </c>
      <c r="Q116" s="5">
        <v>578.56</v>
      </c>
      <c r="R116" s="5">
        <v>451.2</v>
      </c>
      <c r="S116" s="5">
        <v>127.36</v>
      </c>
      <c r="T116" s="7">
        <v>0.220132743362832</v>
      </c>
      <c r="U116" t="s">
        <v>13</v>
      </c>
      <c r="V116" t="s">
        <v>51</v>
      </c>
      <c r="W116" t="s">
        <v>51</v>
      </c>
      <c r="X116" t="s">
        <v>34</v>
      </c>
      <c r="Y116" t="s">
        <v>661</v>
      </c>
      <c r="Z116" t="s">
        <v>80</v>
      </c>
    </row>
    <row r="117" spans="1:26">
      <c r="A117" t="s">
        <v>662</v>
      </c>
      <c r="B117" t="s">
        <v>662</v>
      </c>
      <c r="C117" s="4">
        <v>45823</v>
      </c>
      <c r="D117">
        <v>2025</v>
      </c>
      <c r="E117">
        <v>6</v>
      </c>
      <c r="F117" t="s">
        <v>22</v>
      </c>
      <c r="G117" t="s">
        <v>74</v>
      </c>
      <c r="H117" t="s">
        <v>663</v>
      </c>
      <c r="I117" t="s">
        <v>664</v>
      </c>
      <c r="J117" t="s">
        <v>665</v>
      </c>
      <c r="K117" t="s">
        <v>666</v>
      </c>
      <c r="L117">
        <v>1</v>
      </c>
      <c r="M117" s="5">
        <v>327.08</v>
      </c>
      <c r="N117" s="6">
        <v>0</v>
      </c>
      <c r="O117" s="5">
        <v>0</v>
      </c>
      <c r="P117" s="5">
        <v>49.06</v>
      </c>
      <c r="Q117" s="5">
        <v>376.14</v>
      </c>
      <c r="R117" s="5">
        <v>274.61</v>
      </c>
      <c r="S117" s="5">
        <v>101.53</v>
      </c>
      <c r="T117" s="7">
        <v>0.269926091348966</v>
      </c>
      <c r="U117" t="s">
        <v>14</v>
      </c>
      <c r="V117" t="s">
        <v>50</v>
      </c>
      <c r="W117" t="s">
        <v>50</v>
      </c>
      <c r="X117" t="s">
        <v>33</v>
      </c>
      <c r="Y117" t="s">
        <v>667</v>
      </c>
      <c r="Z117" t="s">
        <v>80</v>
      </c>
    </row>
    <row r="118" spans="1:26">
      <c r="A118" t="s">
        <v>668</v>
      </c>
      <c r="B118" t="s">
        <v>668</v>
      </c>
      <c r="C118" s="4">
        <v>45857</v>
      </c>
      <c r="D118">
        <v>2025</v>
      </c>
      <c r="E118">
        <v>7</v>
      </c>
      <c r="F118" t="s">
        <v>23</v>
      </c>
      <c r="G118" t="s">
        <v>89</v>
      </c>
      <c r="H118" t="s">
        <v>669</v>
      </c>
      <c r="I118" t="s">
        <v>592</v>
      </c>
      <c r="J118" t="s">
        <v>77</v>
      </c>
      <c r="K118" t="s">
        <v>198</v>
      </c>
      <c r="L118">
        <v>4</v>
      </c>
      <c r="M118" s="5">
        <v>221.61</v>
      </c>
      <c r="N118" s="6">
        <v>15</v>
      </c>
      <c r="O118" s="5">
        <v>132.97</v>
      </c>
      <c r="P118" s="5">
        <v>113.02</v>
      </c>
      <c r="Q118" s="5">
        <v>866.49</v>
      </c>
      <c r="R118" s="5">
        <v>728.68</v>
      </c>
      <c r="S118" s="5">
        <v>137.81</v>
      </c>
      <c r="T118" s="7">
        <v>0.159043958960865</v>
      </c>
      <c r="U118" t="s">
        <v>13</v>
      </c>
      <c r="V118" t="s">
        <v>51</v>
      </c>
      <c r="W118" t="s">
        <v>51</v>
      </c>
      <c r="X118" t="s">
        <v>33</v>
      </c>
      <c r="Y118" t="s">
        <v>576</v>
      </c>
      <c r="Z118" t="s">
        <v>80</v>
      </c>
    </row>
    <row r="119" spans="1:26">
      <c r="A119" t="s">
        <v>670</v>
      </c>
      <c r="B119" t="s">
        <v>670</v>
      </c>
      <c r="C119" s="4">
        <v>45954</v>
      </c>
      <c r="D119">
        <v>2025</v>
      </c>
      <c r="E119">
        <v>10</v>
      </c>
      <c r="F119" t="s">
        <v>26</v>
      </c>
      <c r="G119" t="s">
        <v>137</v>
      </c>
      <c r="H119" t="s">
        <v>671</v>
      </c>
      <c r="I119" t="s">
        <v>476</v>
      </c>
      <c r="J119" t="s">
        <v>648</v>
      </c>
      <c r="K119" t="s">
        <v>672</v>
      </c>
      <c r="L119">
        <v>7</v>
      </c>
      <c r="M119" s="5">
        <v>342.68</v>
      </c>
      <c r="N119" s="6">
        <v>5</v>
      </c>
      <c r="O119" s="5">
        <v>119.94</v>
      </c>
      <c r="P119" s="5">
        <v>341.82</v>
      </c>
      <c r="Q119" s="5">
        <v>2278.82</v>
      </c>
      <c r="R119" s="5">
        <v>1759.94</v>
      </c>
      <c r="S119" s="5">
        <v>518.88</v>
      </c>
      <c r="T119" s="7">
        <v>0.227696790444177</v>
      </c>
      <c r="U119" t="s">
        <v>12</v>
      </c>
      <c r="V119" t="s">
        <v>50</v>
      </c>
      <c r="W119" t="s">
        <v>50</v>
      </c>
      <c r="X119" t="s">
        <v>33</v>
      </c>
      <c r="Y119" t="s">
        <v>673</v>
      </c>
      <c r="Z119" t="s">
        <v>101</v>
      </c>
    </row>
    <row r="120" spans="1:26">
      <c r="A120" t="s">
        <v>674</v>
      </c>
      <c r="B120" t="s">
        <v>674</v>
      </c>
      <c r="C120" s="4">
        <v>45883</v>
      </c>
      <c r="D120">
        <v>2025</v>
      </c>
      <c r="E120">
        <v>8</v>
      </c>
      <c r="F120" t="s">
        <v>24</v>
      </c>
      <c r="G120" t="s">
        <v>89</v>
      </c>
      <c r="H120" t="s">
        <v>675</v>
      </c>
      <c r="I120" t="s">
        <v>503</v>
      </c>
      <c r="J120" t="s">
        <v>676</v>
      </c>
      <c r="K120" t="s">
        <v>677</v>
      </c>
      <c r="L120">
        <v>4</v>
      </c>
      <c r="M120" s="5">
        <v>71.29</v>
      </c>
      <c r="N120" s="6">
        <v>20</v>
      </c>
      <c r="O120" s="5">
        <v>57.03</v>
      </c>
      <c r="P120" s="5">
        <v>34.22</v>
      </c>
      <c r="Q120" s="5">
        <v>228.13</v>
      </c>
      <c r="R120" s="5">
        <v>237.48</v>
      </c>
      <c r="S120" s="5">
        <v>-9.35</v>
      </c>
      <c r="T120" s="7">
        <v>-0.040985403059659</v>
      </c>
      <c r="U120" t="s">
        <v>14</v>
      </c>
      <c r="V120" t="s">
        <v>50</v>
      </c>
      <c r="W120" t="s">
        <v>50</v>
      </c>
      <c r="X120" t="s">
        <v>33</v>
      </c>
      <c r="Y120" t="s">
        <v>678</v>
      </c>
      <c r="Z120" t="s">
        <v>101</v>
      </c>
    </row>
    <row r="121" spans="1:26">
      <c r="A121" t="s">
        <v>679</v>
      </c>
      <c r="B121" t="s">
        <v>679</v>
      </c>
      <c r="C121" s="4">
        <v>46067</v>
      </c>
      <c r="D121">
        <v>2026</v>
      </c>
      <c r="E121">
        <v>2</v>
      </c>
      <c r="F121" t="s">
        <v>31</v>
      </c>
      <c r="G121" t="s">
        <v>82</v>
      </c>
      <c r="H121" t="s">
        <v>680</v>
      </c>
      <c r="I121" t="s">
        <v>180</v>
      </c>
      <c r="J121" t="s">
        <v>681</v>
      </c>
      <c r="K121" t="s">
        <v>682</v>
      </c>
      <c r="L121">
        <v>1</v>
      </c>
      <c r="M121" s="5">
        <v>379.12</v>
      </c>
      <c r="N121" s="6">
        <v>5</v>
      </c>
      <c r="O121" s="5">
        <v>18.96</v>
      </c>
      <c r="P121" s="5">
        <v>54.02</v>
      </c>
      <c r="Q121" s="5">
        <v>414.18</v>
      </c>
      <c r="R121" s="5">
        <v>293.05</v>
      </c>
      <c r="S121" s="5">
        <v>121.13</v>
      </c>
      <c r="T121" s="7">
        <v>0.292457385677725</v>
      </c>
      <c r="U121" t="s">
        <v>11</v>
      </c>
      <c r="V121" t="s">
        <v>51</v>
      </c>
      <c r="W121" t="s">
        <v>51</v>
      </c>
      <c r="X121" t="s">
        <v>35</v>
      </c>
      <c r="Y121" t="s">
        <v>683</v>
      </c>
      <c r="Z121" t="s">
        <v>80</v>
      </c>
    </row>
    <row r="122" spans="1:26">
      <c r="A122" t="s">
        <v>684</v>
      </c>
      <c r="B122" t="s">
        <v>684</v>
      </c>
      <c r="C122" s="4">
        <v>45983</v>
      </c>
      <c r="D122">
        <v>2025</v>
      </c>
      <c r="E122">
        <v>11</v>
      </c>
      <c r="F122" t="s">
        <v>27</v>
      </c>
      <c r="G122" t="s">
        <v>137</v>
      </c>
      <c r="H122" t="s">
        <v>685</v>
      </c>
      <c r="I122" t="s">
        <v>503</v>
      </c>
      <c r="J122" t="s">
        <v>197</v>
      </c>
      <c r="K122" t="s">
        <v>407</v>
      </c>
      <c r="L122">
        <v>3</v>
      </c>
      <c r="M122" s="5">
        <v>71.29</v>
      </c>
      <c r="N122" s="6">
        <v>20</v>
      </c>
      <c r="O122" s="5">
        <v>42.77</v>
      </c>
      <c r="P122" s="5">
        <v>25.66</v>
      </c>
      <c r="Q122" s="5">
        <v>196.76</v>
      </c>
      <c r="R122" s="5">
        <v>178.11</v>
      </c>
      <c r="S122" s="5">
        <v>18.65</v>
      </c>
      <c r="T122" s="7">
        <v>0.0947855255133157</v>
      </c>
      <c r="U122" t="s">
        <v>9</v>
      </c>
      <c r="V122" t="s">
        <v>50</v>
      </c>
      <c r="W122" t="s">
        <v>50</v>
      </c>
      <c r="X122" t="s">
        <v>33</v>
      </c>
      <c r="Y122" t="s">
        <v>686</v>
      </c>
      <c r="Z122" t="s">
        <v>80</v>
      </c>
    </row>
    <row r="123" spans="1:26">
      <c r="A123" t="s">
        <v>687</v>
      </c>
      <c r="B123" t="s">
        <v>687</v>
      </c>
      <c r="C123" s="4">
        <v>45767</v>
      </c>
      <c r="D123">
        <v>2025</v>
      </c>
      <c r="E123">
        <v>4</v>
      </c>
      <c r="F123" t="s">
        <v>20</v>
      </c>
      <c r="G123" t="s">
        <v>74</v>
      </c>
      <c r="H123" t="s">
        <v>688</v>
      </c>
      <c r="I123" t="s">
        <v>689</v>
      </c>
      <c r="J123" t="s">
        <v>175</v>
      </c>
      <c r="K123" t="s">
        <v>690</v>
      </c>
      <c r="L123">
        <v>1</v>
      </c>
      <c r="M123" s="5">
        <v>123.11</v>
      </c>
      <c r="N123" s="6">
        <v>0</v>
      </c>
      <c r="O123" s="5">
        <v>0</v>
      </c>
      <c r="P123" s="5">
        <v>18.47</v>
      </c>
      <c r="Q123" s="5">
        <v>141.58</v>
      </c>
      <c r="R123" s="5">
        <v>91.18</v>
      </c>
      <c r="S123" s="5">
        <v>50.4</v>
      </c>
      <c r="T123" s="7">
        <v>0.35598248340161</v>
      </c>
      <c r="U123" t="s">
        <v>14</v>
      </c>
      <c r="V123" t="s">
        <v>51</v>
      </c>
      <c r="W123" t="s">
        <v>51</v>
      </c>
      <c r="X123" t="s">
        <v>35</v>
      </c>
      <c r="Y123" t="s">
        <v>691</v>
      </c>
      <c r="Z123" t="s">
        <v>80</v>
      </c>
    </row>
    <row r="124" spans="1:26">
      <c r="A124" t="s">
        <v>692</v>
      </c>
      <c r="B124" t="s">
        <v>692</v>
      </c>
      <c r="C124" s="4">
        <v>45859</v>
      </c>
      <c r="D124">
        <v>2025</v>
      </c>
      <c r="E124">
        <v>7</v>
      </c>
      <c r="F124" t="s">
        <v>23</v>
      </c>
      <c r="G124" t="s">
        <v>89</v>
      </c>
      <c r="H124" t="s">
        <v>693</v>
      </c>
      <c r="I124" t="s">
        <v>694</v>
      </c>
      <c r="J124" t="s">
        <v>695</v>
      </c>
      <c r="K124" t="s">
        <v>696</v>
      </c>
      <c r="L124">
        <v>3</v>
      </c>
      <c r="M124" s="5">
        <v>331.35</v>
      </c>
      <c r="N124" s="6">
        <v>0</v>
      </c>
      <c r="O124" s="5">
        <v>0</v>
      </c>
      <c r="P124" s="5">
        <v>149.11</v>
      </c>
      <c r="Q124" s="5">
        <v>994.05</v>
      </c>
      <c r="R124" s="5">
        <v>870.99</v>
      </c>
      <c r="S124" s="5">
        <v>123.06</v>
      </c>
      <c r="T124" s="7">
        <v>0.123796589708767</v>
      </c>
      <c r="U124" t="s">
        <v>13</v>
      </c>
      <c r="V124" t="s">
        <v>50</v>
      </c>
      <c r="W124" t="s">
        <v>50</v>
      </c>
      <c r="X124" t="s">
        <v>33</v>
      </c>
      <c r="Y124" t="s">
        <v>697</v>
      </c>
      <c r="Z124" t="s">
        <v>101</v>
      </c>
    </row>
    <row r="125" spans="1:26">
      <c r="A125" t="s">
        <v>698</v>
      </c>
      <c r="B125" t="s">
        <v>698</v>
      </c>
      <c r="C125" s="4">
        <v>45990</v>
      </c>
      <c r="D125">
        <v>2025</v>
      </c>
      <c r="E125">
        <v>11</v>
      </c>
      <c r="F125" t="s">
        <v>27</v>
      </c>
      <c r="G125" t="s">
        <v>137</v>
      </c>
      <c r="H125" t="s">
        <v>699</v>
      </c>
      <c r="I125" t="s">
        <v>151</v>
      </c>
      <c r="J125" t="s">
        <v>676</v>
      </c>
      <c r="K125" t="s">
        <v>677</v>
      </c>
      <c r="L125">
        <v>1</v>
      </c>
      <c r="M125" s="5">
        <v>434.65</v>
      </c>
      <c r="N125" s="6">
        <v>5</v>
      </c>
      <c r="O125" s="5">
        <v>21.73</v>
      </c>
      <c r="P125" s="5">
        <v>61.94</v>
      </c>
      <c r="Q125" s="5">
        <v>474.86</v>
      </c>
      <c r="R125" s="5">
        <v>351.63</v>
      </c>
      <c r="S125" s="5">
        <v>123.23</v>
      </c>
      <c r="T125" s="7">
        <v>0.259508065535105</v>
      </c>
      <c r="U125" t="s">
        <v>12</v>
      </c>
      <c r="V125" t="s">
        <v>50</v>
      </c>
      <c r="W125" t="s">
        <v>50</v>
      </c>
      <c r="X125" t="s">
        <v>33</v>
      </c>
      <c r="Y125" t="s">
        <v>700</v>
      </c>
      <c r="Z125" t="s">
        <v>80</v>
      </c>
    </row>
    <row r="126" spans="1:26">
      <c r="A126" t="s">
        <v>701</v>
      </c>
      <c r="B126" t="s">
        <v>701</v>
      </c>
      <c r="C126" s="4">
        <v>45753</v>
      </c>
      <c r="D126">
        <v>2025</v>
      </c>
      <c r="E126">
        <v>4</v>
      </c>
      <c r="F126" t="s">
        <v>20</v>
      </c>
      <c r="G126" t="s">
        <v>74</v>
      </c>
      <c r="H126" t="s">
        <v>702</v>
      </c>
      <c r="I126" t="s">
        <v>703</v>
      </c>
      <c r="J126" t="s">
        <v>482</v>
      </c>
      <c r="K126" t="s">
        <v>704</v>
      </c>
      <c r="L126">
        <v>3</v>
      </c>
      <c r="M126" s="5">
        <v>224.28</v>
      </c>
      <c r="N126" s="6">
        <v>15</v>
      </c>
      <c r="O126" s="5">
        <v>100.93</v>
      </c>
      <c r="P126" s="5">
        <v>85.79</v>
      </c>
      <c r="Q126" s="5">
        <v>657.7</v>
      </c>
      <c r="R126" s="5">
        <v>577.17</v>
      </c>
      <c r="S126" s="5">
        <v>80.53</v>
      </c>
      <c r="T126" s="7">
        <v>0.122441842785464</v>
      </c>
      <c r="U126" t="s">
        <v>14</v>
      </c>
      <c r="V126" t="s">
        <v>50</v>
      </c>
      <c r="W126" t="s">
        <v>50</v>
      </c>
      <c r="X126" t="s">
        <v>33</v>
      </c>
      <c r="Y126" t="s">
        <v>705</v>
      </c>
      <c r="Z126" t="s">
        <v>80</v>
      </c>
    </row>
    <row r="127" spans="1:26">
      <c r="A127" t="s">
        <v>706</v>
      </c>
      <c r="B127" t="s">
        <v>706</v>
      </c>
      <c r="C127" s="4">
        <v>45950</v>
      </c>
      <c r="D127">
        <v>2025</v>
      </c>
      <c r="E127">
        <v>10</v>
      </c>
      <c r="F127" t="s">
        <v>26</v>
      </c>
      <c r="G127" t="s">
        <v>137</v>
      </c>
      <c r="H127" t="s">
        <v>707</v>
      </c>
      <c r="I127" t="s">
        <v>708</v>
      </c>
      <c r="J127" t="s">
        <v>333</v>
      </c>
      <c r="K127" t="s">
        <v>709</v>
      </c>
      <c r="L127">
        <v>2</v>
      </c>
      <c r="M127" s="5">
        <v>372.61</v>
      </c>
      <c r="N127" s="6">
        <v>15</v>
      </c>
      <c r="O127" s="5">
        <v>111.78</v>
      </c>
      <c r="P127" s="5">
        <v>95.02</v>
      </c>
      <c r="Q127" s="5">
        <v>633.44</v>
      </c>
      <c r="R127" s="5">
        <v>639.82</v>
      </c>
      <c r="S127" s="5">
        <v>-6.38</v>
      </c>
      <c r="T127" s="7">
        <v>-0.0100719878757262</v>
      </c>
      <c r="U127" t="s">
        <v>9</v>
      </c>
      <c r="V127" t="s">
        <v>50</v>
      </c>
      <c r="W127" t="s">
        <v>50</v>
      </c>
      <c r="X127" t="s">
        <v>33</v>
      </c>
      <c r="Y127" t="s">
        <v>710</v>
      </c>
      <c r="Z127" t="s">
        <v>101</v>
      </c>
    </row>
    <row r="128" spans="1:26">
      <c r="A128" t="s">
        <v>711</v>
      </c>
      <c r="B128" t="s">
        <v>711</v>
      </c>
      <c r="C128" s="4">
        <v>45797</v>
      </c>
      <c r="D128">
        <v>2025</v>
      </c>
      <c r="E128">
        <v>5</v>
      </c>
      <c r="F128" t="s">
        <v>21</v>
      </c>
      <c r="G128" t="s">
        <v>74</v>
      </c>
      <c r="H128" t="s">
        <v>712</v>
      </c>
      <c r="I128" t="s">
        <v>196</v>
      </c>
      <c r="J128" t="s">
        <v>713</v>
      </c>
      <c r="K128" t="s">
        <v>704</v>
      </c>
      <c r="L128">
        <v>2</v>
      </c>
      <c r="M128" s="5">
        <v>332.73</v>
      </c>
      <c r="N128" s="6">
        <v>15</v>
      </c>
      <c r="O128" s="5">
        <v>99.82</v>
      </c>
      <c r="P128" s="5">
        <v>84.85</v>
      </c>
      <c r="Q128" s="5">
        <v>565.64</v>
      </c>
      <c r="R128" s="5">
        <v>522.44</v>
      </c>
      <c r="S128" s="5">
        <v>43.2</v>
      </c>
      <c r="T128" s="7">
        <v>0.0763736652287674</v>
      </c>
      <c r="U128" t="s">
        <v>11</v>
      </c>
      <c r="V128" t="s">
        <v>50</v>
      </c>
      <c r="W128" t="s">
        <v>50</v>
      </c>
      <c r="X128" t="s">
        <v>33</v>
      </c>
      <c r="Y128" t="s">
        <v>714</v>
      </c>
      <c r="Z128" t="s">
        <v>101</v>
      </c>
    </row>
    <row r="129" spans="1:26">
      <c r="A129" t="s">
        <v>715</v>
      </c>
      <c r="B129" t="s">
        <v>715</v>
      </c>
      <c r="C129" s="4">
        <v>46073</v>
      </c>
      <c r="D129">
        <v>2026</v>
      </c>
      <c r="E129">
        <v>2</v>
      </c>
      <c r="F129" t="s">
        <v>31</v>
      </c>
      <c r="G129" t="s">
        <v>82</v>
      </c>
      <c r="H129" t="s">
        <v>716</v>
      </c>
      <c r="I129" t="s">
        <v>429</v>
      </c>
      <c r="J129" t="s">
        <v>717</v>
      </c>
      <c r="K129" t="s">
        <v>718</v>
      </c>
      <c r="L129">
        <v>3</v>
      </c>
      <c r="M129" s="5">
        <v>389.61</v>
      </c>
      <c r="N129" s="6">
        <v>0</v>
      </c>
      <c r="O129" s="5">
        <v>0</v>
      </c>
      <c r="P129" s="5">
        <v>175.32</v>
      </c>
      <c r="Q129" s="5">
        <v>1168.83</v>
      </c>
      <c r="R129" s="5">
        <v>1008.21</v>
      </c>
      <c r="S129" s="5">
        <v>160.62</v>
      </c>
      <c r="T129" s="7">
        <v>0.137419470752804</v>
      </c>
      <c r="U129" t="s">
        <v>10</v>
      </c>
      <c r="V129" t="s">
        <v>50</v>
      </c>
      <c r="W129" t="s">
        <v>50</v>
      </c>
      <c r="X129" t="s">
        <v>35</v>
      </c>
      <c r="Y129" t="s">
        <v>719</v>
      </c>
      <c r="Z129" t="s">
        <v>101</v>
      </c>
    </row>
    <row r="130" spans="1:26">
      <c r="A130" t="s">
        <v>720</v>
      </c>
      <c r="B130" t="s">
        <v>720</v>
      </c>
      <c r="C130" s="4">
        <v>46072</v>
      </c>
      <c r="D130">
        <v>2026</v>
      </c>
      <c r="E130">
        <v>2</v>
      </c>
      <c r="F130" t="s">
        <v>31</v>
      </c>
      <c r="G130" t="s">
        <v>82</v>
      </c>
      <c r="H130" t="s">
        <v>721</v>
      </c>
      <c r="I130" t="s">
        <v>722</v>
      </c>
      <c r="J130" t="s">
        <v>723</v>
      </c>
      <c r="K130" t="s">
        <v>724</v>
      </c>
      <c r="L130">
        <v>3</v>
      </c>
      <c r="M130" s="5">
        <v>157.98</v>
      </c>
      <c r="N130" s="6">
        <v>10</v>
      </c>
      <c r="O130" s="5">
        <v>47.39</v>
      </c>
      <c r="P130" s="5">
        <v>63.98</v>
      </c>
      <c r="Q130" s="5">
        <v>426.55</v>
      </c>
      <c r="R130" s="5">
        <v>413.85</v>
      </c>
      <c r="S130" s="5">
        <v>12.7</v>
      </c>
      <c r="T130" s="7">
        <v>0.0297737662642129</v>
      </c>
      <c r="U130" t="s">
        <v>13</v>
      </c>
      <c r="V130" t="s">
        <v>50</v>
      </c>
      <c r="W130" t="s">
        <v>50</v>
      </c>
      <c r="X130" t="s">
        <v>33</v>
      </c>
      <c r="Y130" t="s">
        <v>725</v>
      </c>
      <c r="Z130" t="s">
        <v>101</v>
      </c>
    </row>
    <row r="131" spans="1:26">
      <c r="A131" t="s">
        <v>726</v>
      </c>
      <c r="B131" t="s">
        <v>726</v>
      </c>
      <c r="C131" s="4">
        <v>46088</v>
      </c>
      <c r="D131">
        <v>2026</v>
      </c>
      <c r="E131">
        <v>3</v>
      </c>
      <c r="F131" t="s">
        <v>19</v>
      </c>
      <c r="G131" t="s">
        <v>82</v>
      </c>
      <c r="H131" t="s">
        <v>727</v>
      </c>
      <c r="I131" t="s">
        <v>728</v>
      </c>
      <c r="J131" t="s">
        <v>111</v>
      </c>
      <c r="K131" t="s">
        <v>729</v>
      </c>
      <c r="L131">
        <v>7</v>
      </c>
      <c r="M131" s="5">
        <v>499.18</v>
      </c>
      <c r="N131" s="6">
        <v>15</v>
      </c>
      <c r="O131" s="5">
        <v>524.14</v>
      </c>
      <c r="P131" s="5">
        <v>445.52</v>
      </c>
      <c r="Q131" s="5">
        <v>3415.64</v>
      </c>
      <c r="R131" s="5">
        <v>2710.12</v>
      </c>
      <c r="S131" s="5">
        <v>705.52</v>
      </c>
      <c r="T131" s="7">
        <v>0.20655572601328</v>
      </c>
      <c r="U131" t="s">
        <v>13</v>
      </c>
      <c r="V131" t="s">
        <v>50</v>
      </c>
      <c r="W131" t="s">
        <v>50</v>
      </c>
      <c r="X131" t="s">
        <v>33</v>
      </c>
      <c r="Y131" t="s">
        <v>730</v>
      </c>
      <c r="Z131" t="s">
        <v>80</v>
      </c>
    </row>
    <row r="132" spans="1:26">
      <c r="A132" t="s">
        <v>731</v>
      </c>
      <c r="B132" t="s">
        <v>731</v>
      </c>
      <c r="C132" s="4">
        <v>46001</v>
      </c>
      <c r="D132">
        <v>2025</v>
      </c>
      <c r="E132">
        <v>12</v>
      </c>
      <c r="F132" t="s">
        <v>28</v>
      </c>
      <c r="G132" t="s">
        <v>137</v>
      </c>
      <c r="H132" t="s">
        <v>732</v>
      </c>
      <c r="I132" t="s">
        <v>279</v>
      </c>
      <c r="J132" t="s">
        <v>538</v>
      </c>
      <c r="K132" t="s">
        <v>539</v>
      </c>
      <c r="L132">
        <v>2</v>
      </c>
      <c r="M132" s="5">
        <v>418.79</v>
      </c>
      <c r="N132" s="6">
        <v>10</v>
      </c>
      <c r="O132" s="5">
        <v>83.76</v>
      </c>
      <c r="P132" s="5">
        <v>113.07</v>
      </c>
      <c r="Q132" s="5">
        <v>753.82</v>
      </c>
      <c r="R132" s="5">
        <v>617.88</v>
      </c>
      <c r="S132" s="5">
        <v>135.94</v>
      </c>
      <c r="T132" s="7">
        <v>0.18033482794301</v>
      </c>
      <c r="U132" t="s">
        <v>12</v>
      </c>
      <c r="V132" t="s">
        <v>50</v>
      </c>
      <c r="W132" t="s">
        <v>50</v>
      </c>
      <c r="X132" t="s">
        <v>33</v>
      </c>
      <c r="Y132" t="s">
        <v>733</v>
      </c>
      <c r="Z132" t="s">
        <v>101</v>
      </c>
    </row>
    <row r="133" spans="1:26">
      <c r="A133" t="s">
        <v>734</v>
      </c>
      <c r="B133" t="s">
        <v>734</v>
      </c>
      <c r="C133" s="4">
        <v>45948</v>
      </c>
      <c r="D133">
        <v>2025</v>
      </c>
      <c r="E133">
        <v>10</v>
      </c>
      <c r="F133" t="s">
        <v>26</v>
      </c>
      <c r="G133" t="s">
        <v>137</v>
      </c>
      <c r="H133" t="s">
        <v>735</v>
      </c>
      <c r="I133" t="s">
        <v>328</v>
      </c>
      <c r="J133" t="s">
        <v>181</v>
      </c>
      <c r="K133" t="s">
        <v>736</v>
      </c>
      <c r="L133">
        <v>4</v>
      </c>
      <c r="M133" s="5">
        <v>124.84</v>
      </c>
      <c r="N133" s="6">
        <v>0</v>
      </c>
      <c r="O133" s="5">
        <v>0</v>
      </c>
      <c r="P133" s="5">
        <v>74.9</v>
      </c>
      <c r="Q133" s="5">
        <v>574.26</v>
      </c>
      <c r="R133" s="5">
        <v>389.4</v>
      </c>
      <c r="S133" s="5">
        <v>184.86</v>
      </c>
      <c r="T133" s="7">
        <v>0.321909936265803</v>
      </c>
      <c r="U133" t="s">
        <v>13</v>
      </c>
      <c r="V133" t="s">
        <v>50</v>
      </c>
      <c r="W133" t="s">
        <v>50</v>
      </c>
      <c r="X133" t="s">
        <v>33</v>
      </c>
      <c r="Y133" t="s">
        <v>473</v>
      </c>
      <c r="Z133" t="s">
        <v>80</v>
      </c>
    </row>
    <row r="134" spans="1:26">
      <c r="A134" t="s">
        <v>737</v>
      </c>
      <c r="B134" t="s">
        <v>737</v>
      </c>
      <c r="C134" s="4">
        <v>45836</v>
      </c>
      <c r="D134">
        <v>2025</v>
      </c>
      <c r="E134">
        <v>6</v>
      </c>
      <c r="F134" t="s">
        <v>22</v>
      </c>
      <c r="G134" t="s">
        <v>74</v>
      </c>
      <c r="H134" t="s">
        <v>738</v>
      </c>
      <c r="I134" t="s">
        <v>262</v>
      </c>
      <c r="J134" t="s">
        <v>648</v>
      </c>
      <c r="K134" t="s">
        <v>649</v>
      </c>
      <c r="L134">
        <v>4</v>
      </c>
      <c r="M134" s="5">
        <v>164.99</v>
      </c>
      <c r="N134" s="6">
        <v>15</v>
      </c>
      <c r="O134" s="5">
        <v>98.99</v>
      </c>
      <c r="P134" s="5">
        <v>84.15</v>
      </c>
      <c r="Q134" s="5">
        <v>645.12</v>
      </c>
      <c r="R134" s="5">
        <v>451.2</v>
      </c>
      <c r="S134" s="5">
        <v>193.92</v>
      </c>
      <c r="T134" s="7">
        <v>0.300595238095238</v>
      </c>
      <c r="U134" t="s">
        <v>13</v>
      </c>
      <c r="V134" t="s">
        <v>50</v>
      </c>
      <c r="W134" t="s">
        <v>50</v>
      </c>
      <c r="X134" t="s">
        <v>33</v>
      </c>
      <c r="Y134" t="s">
        <v>739</v>
      </c>
      <c r="Z134" t="s">
        <v>80</v>
      </c>
    </row>
    <row r="135" spans="1:26">
      <c r="A135" t="s">
        <v>740</v>
      </c>
      <c r="B135" t="s">
        <v>740</v>
      </c>
      <c r="C135" s="4">
        <v>46012</v>
      </c>
      <c r="D135">
        <v>2025</v>
      </c>
      <c r="E135">
        <v>12</v>
      </c>
      <c r="F135" t="s">
        <v>28</v>
      </c>
      <c r="G135" t="s">
        <v>137</v>
      </c>
      <c r="H135" t="s">
        <v>741</v>
      </c>
      <c r="I135" t="s">
        <v>151</v>
      </c>
      <c r="J135" t="s">
        <v>742</v>
      </c>
      <c r="K135" t="s">
        <v>743</v>
      </c>
      <c r="L135">
        <v>3</v>
      </c>
      <c r="M135" s="5">
        <v>477.96</v>
      </c>
      <c r="N135" s="6">
        <v>15</v>
      </c>
      <c r="O135" s="5">
        <v>215.08</v>
      </c>
      <c r="P135" s="5">
        <v>182.82</v>
      </c>
      <c r="Q135" s="5">
        <v>1401.62</v>
      </c>
      <c r="R135" s="5">
        <v>1054.89</v>
      </c>
      <c r="S135" s="5">
        <v>346.73</v>
      </c>
      <c r="T135" s="7">
        <v>0.247378033989241</v>
      </c>
      <c r="U135" t="s">
        <v>14</v>
      </c>
      <c r="V135" t="s">
        <v>50</v>
      </c>
      <c r="W135" t="s">
        <v>50</v>
      </c>
      <c r="X135" t="s">
        <v>33</v>
      </c>
      <c r="Y135" t="s">
        <v>392</v>
      </c>
      <c r="Z135" t="s">
        <v>80</v>
      </c>
    </row>
    <row r="136" spans="1:26">
      <c r="A136" t="s">
        <v>744</v>
      </c>
      <c r="B136" t="s">
        <v>744</v>
      </c>
      <c r="C136" s="4">
        <v>46007</v>
      </c>
      <c r="D136">
        <v>2025</v>
      </c>
      <c r="E136">
        <v>12</v>
      </c>
      <c r="F136" t="s">
        <v>28</v>
      </c>
      <c r="G136" t="s">
        <v>137</v>
      </c>
      <c r="H136" t="s">
        <v>745</v>
      </c>
      <c r="I136" t="s">
        <v>583</v>
      </c>
      <c r="J136" t="s">
        <v>746</v>
      </c>
      <c r="K136" t="s">
        <v>747</v>
      </c>
      <c r="L136">
        <v>3</v>
      </c>
      <c r="M136" s="5">
        <v>251.73</v>
      </c>
      <c r="N136" s="6">
        <v>20</v>
      </c>
      <c r="O136" s="5">
        <v>151.04</v>
      </c>
      <c r="P136" s="5">
        <v>90.62</v>
      </c>
      <c r="Q136" s="5">
        <v>604.15</v>
      </c>
      <c r="R136" s="5">
        <v>631.56</v>
      </c>
      <c r="S136" s="5">
        <v>-27.41</v>
      </c>
      <c r="T136" s="7">
        <v>-0.0453695274352396</v>
      </c>
      <c r="U136" t="s">
        <v>13</v>
      </c>
      <c r="V136" t="s">
        <v>50</v>
      </c>
      <c r="W136" t="s">
        <v>50</v>
      </c>
      <c r="X136" t="s">
        <v>35</v>
      </c>
      <c r="Y136" t="s">
        <v>371</v>
      </c>
      <c r="Z136" t="s">
        <v>101</v>
      </c>
    </row>
    <row r="137" spans="1:26">
      <c r="A137" t="s">
        <v>748</v>
      </c>
      <c r="B137" t="s">
        <v>748</v>
      </c>
      <c r="C137" s="4">
        <v>45891</v>
      </c>
      <c r="D137">
        <v>2025</v>
      </c>
      <c r="E137">
        <v>8</v>
      </c>
      <c r="F137" t="s">
        <v>24</v>
      </c>
      <c r="G137" t="s">
        <v>89</v>
      </c>
      <c r="H137" t="s">
        <v>749</v>
      </c>
      <c r="I137" t="s">
        <v>750</v>
      </c>
      <c r="J137" t="s">
        <v>751</v>
      </c>
      <c r="K137" t="s">
        <v>752</v>
      </c>
      <c r="L137">
        <v>4</v>
      </c>
      <c r="M137" s="5">
        <v>474.19</v>
      </c>
      <c r="N137" s="6">
        <v>10</v>
      </c>
      <c r="O137" s="5">
        <v>189.68</v>
      </c>
      <c r="P137" s="5">
        <v>256.06</v>
      </c>
      <c r="Q137" s="5">
        <v>1707.08</v>
      </c>
      <c r="R137" s="5">
        <v>1375.56</v>
      </c>
      <c r="S137" s="5">
        <v>331.52</v>
      </c>
      <c r="T137" s="7">
        <v>0.194202966469058</v>
      </c>
      <c r="U137" t="s">
        <v>14</v>
      </c>
      <c r="V137" t="s">
        <v>50</v>
      </c>
      <c r="W137" t="s">
        <v>50</v>
      </c>
      <c r="X137" t="s">
        <v>33</v>
      </c>
      <c r="Y137" t="s">
        <v>753</v>
      </c>
      <c r="Z137" t="s">
        <v>101</v>
      </c>
    </row>
    <row r="138" spans="1:26">
      <c r="A138" t="s">
        <v>754</v>
      </c>
      <c r="B138" t="s">
        <v>754</v>
      </c>
      <c r="C138" s="4">
        <v>46084</v>
      </c>
      <c r="D138">
        <v>2026</v>
      </c>
      <c r="E138">
        <v>3</v>
      </c>
      <c r="F138" t="s">
        <v>19</v>
      </c>
      <c r="G138" t="s">
        <v>82</v>
      </c>
      <c r="H138" t="s">
        <v>755</v>
      </c>
      <c r="I138" t="s">
        <v>756</v>
      </c>
      <c r="J138" t="s">
        <v>757</v>
      </c>
      <c r="K138" t="s">
        <v>758</v>
      </c>
      <c r="L138">
        <v>4</v>
      </c>
      <c r="M138" s="5">
        <v>161.03</v>
      </c>
      <c r="N138" s="6">
        <v>0</v>
      </c>
      <c r="O138" s="5">
        <v>0</v>
      </c>
      <c r="P138" s="5">
        <v>96.62</v>
      </c>
      <c r="Q138" s="5">
        <v>644.12</v>
      </c>
      <c r="R138" s="5">
        <v>496.96</v>
      </c>
      <c r="S138" s="5">
        <v>147.16</v>
      </c>
      <c r="T138" s="7">
        <v>0.228466745326958</v>
      </c>
      <c r="U138" t="s">
        <v>11</v>
      </c>
      <c r="V138" t="s">
        <v>50</v>
      </c>
      <c r="W138" t="s">
        <v>50</v>
      </c>
      <c r="X138" t="s">
        <v>33</v>
      </c>
      <c r="Y138" t="s">
        <v>534</v>
      </c>
      <c r="Z138" t="s">
        <v>101</v>
      </c>
    </row>
    <row r="139" spans="1:26">
      <c r="A139" t="s">
        <v>759</v>
      </c>
      <c r="B139" t="s">
        <v>759</v>
      </c>
      <c r="C139" s="4">
        <v>46009</v>
      </c>
      <c r="D139">
        <v>2025</v>
      </c>
      <c r="E139">
        <v>12</v>
      </c>
      <c r="F139" t="s">
        <v>28</v>
      </c>
      <c r="G139" t="s">
        <v>137</v>
      </c>
      <c r="H139" t="s">
        <v>760</v>
      </c>
      <c r="I139" t="s">
        <v>76</v>
      </c>
      <c r="J139" t="s">
        <v>146</v>
      </c>
      <c r="K139" t="s">
        <v>147</v>
      </c>
      <c r="L139">
        <v>2</v>
      </c>
      <c r="M139" s="5">
        <v>416.08</v>
      </c>
      <c r="N139" s="6">
        <v>20</v>
      </c>
      <c r="O139" s="5">
        <v>166.43</v>
      </c>
      <c r="P139" s="5">
        <v>99.86</v>
      </c>
      <c r="Q139" s="5">
        <v>665.73</v>
      </c>
      <c r="R139" s="5">
        <v>639.28</v>
      </c>
      <c r="S139" s="5">
        <v>26.45</v>
      </c>
      <c r="T139" s="7">
        <v>0.0397308218046355</v>
      </c>
      <c r="U139" t="s">
        <v>10</v>
      </c>
      <c r="V139" t="s">
        <v>50</v>
      </c>
      <c r="W139" t="s">
        <v>50</v>
      </c>
      <c r="X139" t="s">
        <v>35</v>
      </c>
      <c r="Y139" t="s">
        <v>691</v>
      </c>
      <c r="Z139" t="s">
        <v>101</v>
      </c>
    </row>
    <row r="140" spans="1:26">
      <c r="A140" t="s">
        <v>761</v>
      </c>
      <c r="B140" t="s">
        <v>761</v>
      </c>
      <c r="C140" s="4">
        <v>45933</v>
      </c>
      <c r="D140">
        <v>2025</v>
      </c>
      <c r="E140">
        <v>10</v>
      </c>
      <c r="F140" t="s">
        <v>26</v>
      </c>
      <c r="G140" t="s">
        <v>137</v>
      </c>
      <c r="H140" t="s">
        <v>546</v>
      </c>
      <c r="I140" t="s">
        <v>138</v>
      </c>
      <c r="J140" t="s">
        <v>296</v>
      </c>
      <c r="K140" t="s">
        <v>297</v>
      </c>
      <c r="L140">
        <v>2</v>
      </c>
      <c r="M140" s="5">
        <v>262.77</v>
      </c>
      <c r="N140" s="6">
        <v>10</v>
      </c>
      <c r="O140" s="5">
        <v>52.55</v>
      </c>
      <c r="P140" s="5">
        <v>70.95</v>
      </c>
      <c r="Q140" s="5">
        <v>472.99</v>
      </c>
      <c r="R140" s="5">
        <v>389.28</v>
      </c>
      <c r="S140" s="5">
        <v>83.71</v>
      </c>
      <c r="T140" s="7">
        <v>0.176980485845367</v>
      </c>
      <c r="U140" t="s">
        <v>13</v>
      </c>
      <c r="V140" t="s">
        <v>50</v>
      </c>
      <c r="W140" t="s">
        <v>50</v>
      </c>
      <c r="X140" t="s">
        <v>33</v>
      </c>
      <c r="Y140" t="s">
        <v>762</v>
      </c>
      <c r="Z140" t="s">
        <v>101</v>
      </c>
    </row>
    <row r="141" spans="1:26">
      <c r="A141" t="s">
        <v>763</v>
      </c>
      <c r="B141" t="s">
        <v>763</v>
      </c>
      <c r="C141" s="4">
        <v>45834</v>
      </c>
      <c r="D141">
        <v>2025</v>
      </c>
      <c r="E141">
        <v>6</v>
      </c>
      <c r="F141" t="s">
        <v>22</v>
      </c>
      <c r="G141" t="s">
        <v>74</v>
      </c>
      <c r="H141" t="s">
        <v>764</v>
      </c>
      <c r="I141" t="s">
        <v>765</v>
      </c>
      <c r="J141" t="s">
        <v>471</v>
      </c>
      <c r="K141" t="s">
        <v>766</v>
      </c>
      <c r="L141">
        <v>5</v>
      </c>
      <c r="M141" s="5">
        <v>425.31</v>
      </c>
      <c r="N141" s="6">
        <v>0</v>
      </c>
      <c r="O141" s="5">
        <v>0</v>
      </c>
      <c r="P141" s="5">
        <v>318.98</v>
      </c>
      <c r="Q141" s="5">
        <v>2126.55</v>
      </c>
      <c r="R141" s="5">
        <v>1507.85</v>
      </c>
      <c r="S141" s="5">
        <v>618.7</v>
      </c>
      <c r="T141" s="7">
        <v>0.290940725588394</v>
      </c>
      <c r="U141" t="s">
        <v>10</v>
      </c>
      <c r="V141" t="s">
        <v>50</v>
      </c>
      <c r="W141" t="s">
        <v>50</v>
      </c>
      <c r="X141" t="s">
        <v>34</v>
      </c>
      <c r="Y141" t="s">
        <v>767</v>
      </c>
      <c r="Z141" t="s">
        <v>101</v>
      </c>
    </row>
    <row r="142" spans="1:26">
      <c r="A142" t="s">
        <v>768</v>
      </c>
      <c r="B142" t="s">
        <v>768</v>
      </c>
      <c r="C142" s="4">
        <v>46109</v>
      </c>
      <c r="D142">
        <v>2026</v>
      </c>
      <c r="E142">
        <v>3</v>
      </c>
      <c r="F142" t="s">
        <v>19</v>
      </c>
      <c r="G142" t="s">
        <v>82</v>
      </c>
      <c r="H142" t="s">
        <v>383</v>
      </c>
      <c r="I142" t="s">
        <v>769</v>
      </c>
      <c r="J142" t="s">
        <v>770</v>
      </c>
      <c r="K142" t="s">
        <v>771</v>
      </c>
      <c r="L142">
        <v>4</v>
      </c>
      <c r="M142" s="5">
        <v>227</v>
      </c>
      <c r="N142" s="6">
        <v>0</v>
      </c>
      <c r="O142" s="5">
        <v>0</v>
      </c>
      <c r="P142" s="5">
        <v>136.2</v>
      </c>
      <c r="Q142" s="5">
        <v>1044.2</v>
      </c>
      <c r="R142" s="5">
        <v>785.2</v>
      </c>
      <c r="S142" s="5">
        <v>259</v>
      </c>
      <c r="T142" s="7">
        <v>0.24803677456426</v>
      </c>
      <c r="U142" t="s">
        <v>13</v>
      </c>
      <c r="V142" t="s">
        <v>50</v>
      </c>
      <c r="W142" t="s">
        <v>50</v>
      </c>
      <c r="X142" t="s">
        <v>35</v>
      </c>
      <c r="Y142" t="s">
        <v>772</v>
      </c>
      <c r="Z142" t="s">
        <v>80</v>
      </c>
    </row>
    <row r="143" spans="1:26">
      <c r="A143" t="s">
        <v>773</v>
      </c>
      <c r="B143" t="s">
        <v>773</v>
      </c>
      <c r="C143" s="4">
        <v>45787</v>
      </c>
      <c r="D143">
        <v>2025</v>
      </c>
      <c r="E143">
        <v>5</v>
      </c>
      <c r="F143" t="s">
        <v>21</v>
      </c>
      <c r="G143" t="s">
        <v>74</v>
      </c>
      <c r="H143" t="s">
        <v>622</v>
      </c>
      <c r="I143" t="s">
        <v>774</v>
      </c>
      <c r="J143" t="s">
        <v>369</v>
      </c>
      <c r="K143" t="s">
        <v>370</v>
      </c>
      <c r="L143">
        <v>6</v>
      </c>
      <c r="M143" s="5">
        <v>744.15</v>
      </c>
      <c r="N143" s="6">
        <v>15</v>
      </c>
      <c r="O143" s="5">
        <v>669.74</v>
      </c>
      <c r="P143" s="5">
        <v>569.27</v>
      </c>
      <c r="Q143" s="5">
        <v>4364.43</v>
      </c>
      <c r="R143" s="5">
        <v>2392.32</v>
      </c>
      <c r="S143" s="5">
        <v>1972.11</v>
      </c>
      <c r="T143" s="7">
        <v>0.451859693018332</v>
      </c>
      <c r="U143" t="s">
        <v>9</v>
      </c>
      <c r="V143" t="s">
        <v>50</v>
      </c>
      <c r="W143" t="s">
        <v>50</v>
      </c>
      <c r="X143" t="s">
        <v>35</v>
      </c>
      <c r="Y143" t="s">
        <v>775</v>
      </c>
      <c r="Z143" t="s">
        <v>80</v>
      </c>
    </row>
    <row r="144" spans="1:26">
      <c r="A144" t="s">
        <v>776</v>
      </c>
      <c r="B144" t="s">
        <v>776</v>
      </c>
      <c r="C144" s="4">
        <v>45813</v>
      </c>
      <c r="D144">
        <v>2025</v>
      </c>
      <c r="E144">
        <v>6</v>
      </c>
      <c r="F144" t="s">
        <v>22</v>
      </c>
      <c r="G144" t="s">
        <v>74</v>
      </c>
      <c r="H144" t="s">
        <v>777</v>
      </c>
      <c r="I144" t="s">
        <v>245</v>
      </c>
      <c r="J144" t="s">
        <v>158</v>
      </c>
      <c r="K144" t="s">
        <v>778</v>
      </c>
      <c r="L144">
        <v>5</v>
      </c>
      <c r="M144" s="5">
        <v>121.9</v>
      </c>
      <c r="N144" s="6">
        <v>20</v>
      </c>
      <c r="O144" s="5">
        <v>121.9</v>
      </c>
      <c r="P144" s="5">
        <v>73.14</v>
      </c>
      <c r="Q144" s="5">
        <v>487.6</v>
      </c>
      <c r="R144" s="5">
        <v>544.6</v>
      </c>
      <c r="S144" s="5">
        <v>-57</v>
      </c>
      <c r="T144" s="7">
        <v>-0.116899097621001</v>
      </c>
      <c r="U144" t="s">
        <v>9</v>
      </c>
      <c r="V144" t="s">
        <v>50</v>
      </c>
      <c r="W144" t="s">
        <v>50</v>
      </c>
      <c r="X144" t="s">
        <v>33</v>
      </c>
      <c r="Y144" t="s">
        <v>779</v>
      </c>
      <c r="Z144" t="s">
        <v>101</v>
      </c>
    </row>
    <row r="145" spans="1:26">
      <c r="A145" t="s">
        <v>780</v>
      </c>
      <c r="B145" t="s">
        <v>780</v>
      </c>
      <c r="C145" s="4">
        <v>46088</v>
      </c>
      <c r="D145">
        <v>2026</v>
      </c>
      <c r="E145">
        <v>3</v>
      </c>
      <c r="F145" t="s">
        <v>19</v>
      </c>
      <c r="G145" t="s">
        <v>82</v>
      </c>
      <c r="H145" t="s">
        <v>781</v>
      </c>
      <c r="I145" t="s">
        <v>537</v>
      </c>
      <c r="J145" t="s">
        <v>642</v>
      </c>
      <c r="K145" t="s">
        <v>632</v>
      </c>
      <c r="L145">
        <v>3</v>
      </c>
      <c r="M145" s="5">
        <v>232.58</v>
      </c>
      <c r="N145" s="6">
        <v>0</v>
      </c>
      <c r="O145" s="5">
        <v>0</v>
      </c>
      <c r="P145" s="5">
        <v>104.66</v>
      </c>
      <c r="Q145" s="5">
        <v>802.4</v>
      </c>
      <c r="R145" s="5">
        <v>573.6</v>
      </c>
      <c r="S145" s="5">
        <v>228.8</v>
      </c>
      <c r="T145" s="7">
        <v>0.285144566301097</v>
      </c>
      <c r="U145" t="s">
        <v>11</v>
      </c>
      <c r="V145" t="s">
        <v>50</v>
      </c>
      <c r="W145" t="s">
        <v>50</v>
      </c>
      <c r="X145" t="s">
        <v>33</v>
      </c>
      <c r="Y145" t="s">
        <v>414</v>
      </c>
      <c r="Z145" t="s">
        <v>80</v>
      </c>
    </row>
    <row r="146" spans="1:26">
      <c r="A146" t="s">
        <v>782</v>
      </c>
      <c r="B146" t="s">
        <v>782</v>
      </c>
      <c r="C146" s="4">
        <v>46064</v>
      </c>
      <c r="D146">
        <v>2026</v>
      </c>
      <c r="E146">
        <v>2</v>
      </c>
      <c r="F146" t="s">
        <v>31</v>
      </c>
      <c r="G146" t="s">
        <v>82</v>
      </c>
      <c r="H146" t="s">
        <v>783</v>
      </c>
      <c r="I146" t="s">
        <v>151</v>
      </c>
      <c r="J146" t="s">
        <v>665</v>
      </c>
      <c r="K146" t="s">
        <v>784</v>
      </c>
      <c r="L146">
        <v>3</v>
      </c>
      <c r="M146" s="5">
        <v>434.65</v>
      </c>
      <c r="N146" s="6">
        <v>10</v>
      </c>
      <c r="O146" s="5">
        <v>130.39</v>
      </c>
      <c r="P146" s="5">
        <v>176.03</v>
      </c>
      <c r="Q146" s="5">
        <v>1173.56</v>
      </c>
      <c r="R146" s="5">
        <v>1054.89</v>
      </c>
      <c r="S146" s="5">
        <v>118.67</v>
      </c>
      <c r="T146" s="7">
        <v>0.101119670063738</v>
      </c>
      <c r="U146" t="s">
        <v>11</v>
      </c>
      <c r="V146" t="s">
        <v>50</v>
      </c>
      <c r="W146" t="s">
        <v>50</v>
      </c>
      <c r="X146" t="s">
        <v>35</v>
      </c>
      <c r="Y146" t="s">
        <v>785</v>
      </c>
      <c r="Z146" t="s">
        <v>101</v>
      </c>
    </row>
    <row r="147" spans="1:26">
      <c r="A147" t="s">
        <v>786</v>
      </c>
      <c r="B147" t="s">
        <v>786</v>
      </c>
      <c r="C147" s="4">
        <v>45997</v>
      </c>
      <c r="D147">
        <v>2025</v>
      </c>
      <c r="E147">
        <v>12</v>
      </c>
      <c r="F147" t="s">
        <v>28</v>
      </c>
      <c r="G147" t="s">
        <v>137</v>
      </c>
      <c r="H147" t="s">
        <v>138</v>
      </c>
      <c r="I147" t="s">
        <v>787</v>
      </c>
      <c r="J147" t="s">
        <v>717</v>
      </c>
      <c r="K147" t="s">
        <v>718</v>
      </c>
      <c r="L147">
        <v>7</v>
      </c>
      <c r="M147" s="5">
        <v>184.37</v>
      </c>
      <c r="N147" s="6">
        <v>5</v>
      </c>
      <c r="O147" s="5">
        <v>64.53</v>
      </c>
      <c r="P147" s="5">
        <v>183.91</v>
      </c>
      <c r="Q147" s="5">
        <v>1409.97</v>
      </c>
      <c r="R147" s="5">
        <v>715.61</v>
      </c>
      <c r="S147" s="5">
        <v>694.36</v>
      </c>
      <c r="T147" s="7">
        <v>0.492464378674724</v>
      </c>
      <c r="U147" t="s">
        <v>14</v>
      </c>
      <c r="V147" t="s">
        <v>50</v>
      </c>
      <c r="W147" t="s">
        <v>50</v>
      </c>
      <c r="X147" t="s">
        <v>33</v>
      </c>
      <c r="Y147" t="s">
        <v>788</v>
      </c>
      <c r="Z147" t="s">
        <v>80</v>
      </c>
    </row>
    <row r="148" spans="1:26">
      <c r="A148" t="s">
        <v>789</v>
      </c>
      <c r="B148" t="s">
        <v>789</v>
      </c>
      <c r="C148" s="4">
        <v>46000</v>
      </c>
      <c r="D148">
        <v>2025</v>
      </c>
      <c r="E148">
        <v>12</v>
      </c>
      <c r="F148" t="s">
        <v>28</v>
      </c>
      <c r="G148" t="s">
        <v>137</v>
      </c>
      <c r="H148" t="s">
        <v>591</v>
      </c>
      <c r="I148" t="s">
        <v>285</v>
      </c>
      <c r="J148" t="s">
        <v>98</v>
      </c>
      <c r="K148" t="s">
        <v>99</v>
      </c>
      <c r="L148">
        <v>3</v>
      </c>
      <c r="M148" s="5">
        <v>610.45</v>
      </c>
      <c r="N148" s="6">
        <v>10</v>
      </c>
      <c r="O148" s="5">
        <v>183.13</v>
      </c>
      <c r="P148" s="5">
        <v>247.23</v>
      </c>
      <c r="Q148" s="5">
        <v>1648.22</v>
      </c>
      <c r="R148" s="5">
        <v>1009.2</v>
      </c>
      <c r="S148" s="5">
        <v>639.02</v>
      </c>
      <c r="T148" s="7">
        <v>0.387703097887418</v>
      </c>
      <c r="U148" t="s">
        <v>11</v>
      </c>
      <c r="V148" t="s">
        <v>50</v>
      </c>
      <c r="W148" t="s">
        <v>50</v>
      </c>
      <c r="X148" t="s">
        <v>33</v>
      </c>
      <c r="Y148" t="s">
        <v>790</v>
      </c>
      <c r="Z148" t="s">
        <v>101</v>
      </c>
    </row>
    <row r="149" spans="1:26">
      <c r="A149" t="s">
        <v>791</v>
      </c>
      <c r="B149" t="s">
        <v>791</v>
      </c>
      <c r="C149" s="4">
        <v>45881</v>
      </c>
      <c r="D149">
        <v>2025</v>
      </c>
      <c r="E149">
        <v>8</v>
      </c>
      <c r="F149" t="s">
        <v>24</v>
      </c>
      <c r="G149" t="s">
        <v>89</v>
      </c>
      <c r="H149" t="s">
        <v>792</v>
      </c>
      <c r="I149" t="s">
        <v>793</v>
      </c>
      <c r="J149" t="s">
        <v>214</v>
      </c>
      <c r="K149" t="s">
        <v>215</v>
      </c>
      <c r="L149">
        <v>7</v>
      </c>
      <c r="M149" s="5">
        <v>162.45</v>
      </c>
      <c r="N149" s="6">
        <v>0</v>
      </c>
      <c r="O149" s="5">
        <v>0</v>
      </c>
      <c r="P149" s="5">
        <v>170.57</v>
      </c>
      <c r="Q149" s="5">
        <v>1137.15</v>
      </c>
      <c r="R149" s="5">
        <v>892.36</v>
      </c>
      <c r="S149" s="5">
        <v>244.79</v>
      </c>
      <c r="T149" s="7">
        <v>0.215266235764851</v>
      </c>
      <c r="U149" t="s">
        <v>12</v>
      </c>
      <c r="V149" t="s">
        <v>50</v>
      </c>
      <c r="W149" t="s">
        <v>50</v>
      </c>
      <c r="X149" t="s">
        <v>35</v>
      </c>
      <c r="Y149" t="s">
        <v>794</v>
      </c>
      <c r="Z149" t="s">
        <v>101</v>
      </c>
    </row>
    <row r="150" spans="1:26">
      <c r="A150" t="s">
        <v>795</v>
      </c>
      <c r="B150" t="s">
        <v>795</v>
      </c>
      <c r="C150" s="4">
        <v>45992</v>
      </c>
      <c r="D150">
        <v>2025</v>
      </c>
      <c r="E150">
        <v>12</v>
      </c>
      <c r="F150" t="s">
        <v>28</v>
      </c>
      <c r="G150" t="s">
        <v>137</v>
      </c>
      <c r="H150" t="s">
        <v>796</v>
      </c>
      <c r="I150" t="s">
        <v>797</v>
      </c>
      <c r="J150" t="s">
        <v>713</v>
      </c>
      <c r="K150" t="s">
        <v>798</v>
      </c>
      <c r="L150">
        <v>1</v>
      </c>
      <c r="M150" s="5">
        <v>442.14</v>
      </c>
      <c r="N150" s="6">
        <v>0</v>
      </c>
      <c r="O150" s="5">
        <v>0</v>
      </c>
      <c r="P150" s="5">
        <v>66.32</v>
      </c>
      <c r="Q150" s="5">
        <v>442.14</v>
      </c>
      <c r="R150" s="5">
        <v>351.87</v>
      </c>
      <c r="S150" s="5">
        <v>90.27</v>
      </c>
      <c r="T150" s="7">
        <v>0.204166101234903</v>
      </c>
      <c r="U150" t="s">
        <v>10</v>
      </c>
      <c r="V150" t="s">
        <v>50</v>
      </c>
      <c r="W150" t="s">
        <v>50</v>
      </c>
      <c r="X150" t="s">
        <v>33</v>
      </c>
      <c r="Y150" t="s">
        <v>799</v>
      </c>
      <c r="Z150" t="s">
        <v>101</v>
      </c>
    </row>
    <row r="151" spans="1:26">
      <c r="A151" t="s">
        <v>800</v>
      </c>
      <c r="B151" t="s">
        <v>800</v>
      </c>
      <c r="C151" s="4">
        <v>45977</v>
      </c>
      <c r="D151">
        <v>2025</v>
      </c>
      <c r="E151">
        <v>11</v>
      </c>
      <c r="F151" t="s">
        <v>27</v>
      </c>
      <c r="G151" t="s">
        <v>137</v>
      </c>
      <c r="H151" t="s">
        <v>783</v>
      </c>
      <c r="I151" t="s">
        <v>801</v>
      </c>
      <c r="J151" t="s">
        <v>802</v>
      </c>
      <c r="K151" t="s">
        <v>803</v>
      </c>
      <c r="L151">
        <v>4</v>
      </c>
      <c r="M151" s="5">
        <v>217.85</v>
      </c>
      <c r="N151" s="6">
        <v>10</v>
      </c>
      <c r="O151" s="5">
        <v>87.14</v>
      </c>
      <c r="P151" s="5">
        <v>117.64</v>
      </c>
      <c r="Q151" s="5">
        <v>901.9</v>
      </c>
      <c r="R151" s="5">
        <v>758.76</v>
      </c>
      <c r="S151" s="5">
        <v>143.14</v>
      </c>
      <c r="T151" s="7">
        <v>0.158709391285065</v>
      </c>
      <c r="U151" t="s">
        <v>14</v>
      </c>
      <c r="V151" t="s">
        <v>50</v>
      </c>
      <c r="W151" t="s">
        <v>50</v>
      </c>
      <c r="X151" t="s">
        <v>35</v>
      </c>
      <c r="Y151" t="s">
        <v>804</v>
      </c>
      <c r="Z151" t="s">
        <v>80</v>
      </c>
    </row>
    <row r="152" spans="1:26">
      <c r="A152" t="s">
        <v>805</v>
      </c>
      <c r="B152" t="s">
        <v>805</v>
      </c>
      <c r="C152" s="4">
        <v>46012</v>
      </c>
      <c r="D152">
        <v>2025</v>
      </c>
      <c r="E152">
        <v>12</v>
      </c>
      <c r="F152" t="s">
        <v>28</v>
      </c>
      <c r="G152" t="s">
        <v>137</v>
      </c>
      <c r="H152" t="s">
        <v>806</v>
      </c>
      <c r="I152" t="s">
        <v>807</v>
      </c>
      <c r="J152" t="s">
        <v>181</v>
      </c>
      <c r="K152" t="s">
        <v>808</v>
      </c>
      <c r="L152">
        <v>3</v>
      </c>
      <c r="M152" s="5">
        <v>388.84</v>
      </c>
      <c r="N152" s="6">
        <v>10</v>
      </c>
      <c r="O152" s="5">
        <v>116.65</v>
      </c>
      <c r="P152" s="5">
        <v>157.48</v>
      </c>
      <c r="Q152" s="5">
        <v>1207.35</v>
      </c>
      <c r="R152" s="5">
        <v>791.55</v>
      </c>
      <c r="S152" s="5">
        <v>415.8</v>
      </c>
      <c r="T152" s="7">
        <v>0.344390607528886</v>
      </c>
      <c r="U152" t="s">
        <v>9</v>
      </c>
      <c r="V152" t="s">
        <v>50</v>
      </c>
      <c r="W152" t="s">
        <v>50</v>
      </c>
      <c r="X152" t="s">
        <v>34</v>
      </c>
      <c r="Y152" t="s">
        <v>809</v>
      </c>
      <c r="Z152" t="s">
        <v>80</v>
      </c>
    </row>
    <row r="153" spans="1:26">
      <c r="A153" t="s">
        <v>810</v>
      </c>
      <c r="B153" t="s">
        <v>810</v>
      </c>
      <c r="C153" s="4">
        <v>45938</v>
      </c>
      <c r="D153">
        <v>2025</v>
      </c>
      <c r="E153">
        <v>10</v>
      </c>
      <c r="F153" t="s">
        <v>26</v>
      </c>
      <c r="G153" t="s">
        <v>137</v>
      </c>
      <c r="H153" t="s">
        <v>256</v>
      </c>
      <c r="I153" t="s">
        <v>411</v>
      </c>
      <c r="J153" t="s">
        <v>757</v>
      </c>
      <c r="K153" t="s">
        <v>758</v>
      </c>
      <c r="L153">
        <v>4</v>
      </c>
      <c r="M153" s="5">
        <v>475.32</v>
      </c>
      <c r="N153" s="6">
        <v>15</v>
      </c>
      <c r="O153" s="5">
        <v>285.19</v>
      </c>
      <c r="P153" s="5">
        <v>242.41</v>
      </c>
      <c r="Q153" s="5">
        <v>1616.09</v>
      </c>
      <c r="R153" s="5">
        <v>1547.56</v>
      </c>
      <c r="S153" s="5">
        <v>68.53</v>
      </c>
      <c r="T153" s="7">
        <v>0.042404816563434</v>
      </c>
      <c r="U153" t="s">
        <v>13</v>
      </c>
      <c r="V153" t="s">
        <v>50</v>
      </c>
      <c r="W153" t="s">
        <v>50</v>
      </c>
      <c r="X153" t="s">
        <v>34</v>
      </c>
      <c r="Y153" t="s">
        <v>524</v>
      </c>
      <c r="Z153" t="s">
        <v>101</v>
      </c>
    </row>
    <row r="154" spans="1:26">
      <c r="A154" t="s">
        <v>811</v>
      </c>
      <c r="B154" t="s">
        <v>811</v>
      </c>
      <c r="C154" s="4">
        <v>45806</v>
      </c>
      <c r="D154">
        <v>2025</v>
      </c>
      <c r="E154">
        <v>5</v>
      </c>
      <c r="F154" t="s">
        <v>21</v>
      </c>
      <c r="G154" t="s">
        <v>74</v>
      </c>
      <c r="H154" t="s">
        <v>812</v>
      </c>
      <c r="I154" t="s">
        <v>574</v>
      </c>
      <c r="J154" t="s">
        <v>813</v>
      </c>
      <c r="K154" t="s">
        <v>814</v>
      </c>
      <c r="L154">
        <v>3</v>
      </c>
      <c r="M154" s="5">
        <v>125.15</v>
      </c>
      <c r="N154" s="6">
        <v>0</v>
      </c>
      <c r="O154" s="5">
        <v>0</v>
      </c>
      <c r="P154" s="5">
        <v>56.32</v>
      </c>
      <c r="Q154" s="5">
        <v>375.45</v>
      </c>
      <c r="R154" s="5">
        <v>287.1</v>
      </c>
      <c r="S154" s="5">
        <v>88.35</v>
      </c>
      <c r="T154" s="7">
        <v>0.235317618857371</v>
      </c>
      <c r="U154" t="s">
        <v>10</v>
      </c>
      <c r="V154" t="s">
        <v>50</v>
      </c>
      <c r="W154" t="s">
        <v>50</v>
      </c>
      <c r="X154" t="s">
        <v>33</v>
      </c>
      <c r="Y154" t="s">
        <v>815</v>
      </c>
      <c r="Z154" t="s">
        <v>101</v>
      </c>
    </row>
    <row r="155" spans="1:26">
      <c r="A155" t="s">
        <v>816</v>
      </c>
      <c r="B155" t="s">
        <v>816</v>
      </c>
      <c r="C155" s="4">
        <v>45784</v>
      </c>
      <c r="D155">
        <v>2025</v>
      </c>
      <c r="E155">
        <v>5</v>
      </c>
      <c r="F155" t="s">
        <v>21</v>
      </c>
      <c r="G155" t="s">
        <v>74</v>
      </c>
      <c r="H155" t="s">
        <v>469</v>
      </c>
      <c r="I155" t="s">
        <v>157</v>
      </c>
      <c r="J155" t="s">
        <v>252</v>
      </c>
      <c r="K155" t="s">
        <v>253</v>
      </c>
      <c r="L155">
        <v>4</v>
      </c>
      <c r="M155" s="5">
        <v>59.92</v>
      </c>
      <c r="N155" s="6">
        <v>0</v>
      </c>
      <c r="O155" s="5">
        <v>0</v>
      </c>
      <c r="P155" s="5">
        <v>35.95</v>
      </c>
      <c r="Q155" s="5">
        <v>239.68</v>
      </c>
      <c r="R155" s="5">
        <v>192.6</v>
      </c>
      <c r="S155" s="5">
        <v>47.08</v>
      </c>
      <c r="T155" s="7">
        <v>0.196428571428571</v>
      </c>
      <c r="U155" t="s">
        <v>13</v>
      </c>
      <c r="V155" t="s">
        <v>50</v>
      </c>
      <c r="W155" t="s">
        <v>50</v>
      </c>
      <c r="X155" t="s">
        <v>33</v>
      </c>
      <c r="Y155" t="s">
        <v>817</v>
      </c>
      <c r="Z155" t="s">
        <v>101</v>
      </c>
    </row>
    <row r="156" spans="1:26">
      <c r="A156" t="s">
        <v>818</v>
      </c>
      <c r="B156" t="s">
        <v>818</v>
      </c>
      <c r="C156" s="4">
        <v>45832</v>
      </c>
      <c r="D156">
        <v>2025</v>
      </c>
      <c r="E156">
        <v>6</v>
      </c>
      <c r="F156" t="s">
        <v>22</v>
      </c>
      <c r="G156" t="s">
        <v>74</v>
      </c>
      <c r="H156" t="s">
        <v>337</v>
      </c>
      <c r="I156" t="s">
        <v>819</v>
      </c>
      <c r="J156" t="s">
        <v>820</v>
      </c>
      <c r="K156" t="s">
        <v>821</v>
      </c>
      <c r="L156">
        <v>8</v>
      </c>
      <c r="M156" s="5">
        <v>88.63</v>
      </c>
      <c r="N156" s="6">
        <v>20</v>
      </c>
      <c r="O156" s="5">
        <v>141.81</v>
      </c>
      <c r="P156" s="5">
        <v>85.08</v>
      </c>
      <c r="Q156" s="5">
        <v>567.23</v>
      </c>
      <c r="R156" s="5">
        <v>545.36</v>
      </c>
      <c r="S156" s="5">
        <v>21.87</v>
      </c>
      <c r="T156" s="7">
        <v>0.0385557886571585</v>
      </c>
      <c r="U156" t="s">
        <v>14</v>
      </c>
      <c r="V156" t="s">
        <v>50</v>
      </c>
      <c r="W156" t="s">
        <v>50</v>
      </c>
      <c r="X156" t="s">
        <v>33</v>
      </c>
      <c r="Y156" t="s">
        <v>822</v>
      </c>
      <c r="Z156" t="s">
        <v>101</v>
      </c>
    </row>
    <row r="157" spans="1:26">
      <c r="A157" t="s">
        <v>823</v>
      </c>
      <c r="B157" t="s">
        <v>823</v>
      </c>
      <c r="C157" s="4">
        <v>46102</v>
      </c>
      <c r="D157">
        <v>2026</v>
      </c>
      <c r="E157">
        <v>3</v>
      </c>
      <c r="F157" t="s">
        <v>19</v>
      </c>
      <c r="G157" t="s">
        <v>82</v>
      </c>
      <c r="H157" t="s">
        <v>824</v>
      </c>
      <c r="I157" t="s">
        <v>116</v>
      </c>
      <c r="J157" t="s">
        <v>77</v>
      </c>
      <c r="K157" t="s">
        <v>825</v>
      </c>
      <c r="L157">
        <v>2</v>
      </c>
      <c r="M157" s="5">
        <v>172.63</v>
      </c>
      <c r="N157" s="6">
        <v>0</v>
      </c>
      <c r="O157" s="5">
        <v>0</v>
      </c>
      <c r="P157" s="5">
        <v>51.79</v>
      </c>
      <c r="Q157" s="5">
        <v>397.05</v>
      </c>
      <c r="R157" s="5">
        <v>284</v>
      </c>
      <c r="S157" s="5">
        <v>113.05</v>
      </c>
      <c r="T157" s="7">
        <v>0.284724845737313</v>
      </c>
      <c r="U157" t="s">
        <v>12</v>
      </c>
      <c r="V157" t="s">
        <v>50</v>
      </c>
      <c r="W157" t="s">
        <v>50</v>
      </c>
      <c r="X157" t="s">
        <v>33</v>
      </c>
      <c r="Y157" t="s">
        <v>826</v>
      </c>
      <c r="Z157" t="s">
        <v>80</v>
      </c>
    </row>
    <row r="158" spans="1:26">
      <c r="A158" t="s">
        <v>827</v>
      </c>
      <c r="B158" t="s">
        <v>827</v>
      </c>
      <c r="C158" s="4">
        <v>46091</v>
      </c>
      <c r="D158">
        <v>2026</v>
      </c>
      <c r="E158">
        <v>3</v>
      </c>
      <c r="F158" t="s">
        <v>19</v>
      </c>
      <c r="G158" t="s">
        <v>82</v>
      </c>
      <c r="H158" t="s">
        <v>828</v>
      </c>
      <c r="I158" t="s">
        <v>615</v>
      </c>
      <c r="J158" t="s">
        <v>465</v>
      </c>
      <c r="K158" t="s">
        <v>829</v>
      </c>
      <c r="L158">
        <v>1</v>
      </c>
      <c r="M158" s="5">
        <v>46.76</v>
      </c>
      <c r="N158" s="6">
        <v>20</v>
      </c>
      <c r="O158" s="5">
        <v>9.35</v>
      </c>
      <c r="P158" s="5">
        <v>5.61</v>
      </c>
      <c r="Q158" s="5">
        <v>37.41</v>
      </c>
      <c r="R158" s="5">
        <v>36.65</v>
      </c>
      <c r="S158" s="5">
        <v>0.76</v>
      </c>
      <c r="T158" s="7">
        <v>0.0203154236835071</v>
      </c>
      <c r="U158" t="s">
        <v>10</v>
      </c>
      <c r="V158" t="s">
        <v>50</v>
      </c>
      <c r="W158" t="s">
        <v>50</v>
      </c>
      <c r="X158" t="s">
        <v>33</v>
      </c>
      <c r="Y158" t="s">
        <v>830</v>
      </c>
      <c r="Z158" t="s">
        <v>101</v>
      </c>
    </row>
    <row r="159" spans="1:26">
      <c r="A159" t="s">
        <v>831</v>
      </c>
      <c r="B159" t="s">
        <v>831</v>
      </c>
      <c r="C159" s="4">
        <v>45802</v>
      </c>
      <c r="D159">
        <v>2025</v>
      </c>
      <c r="E159">
        <v>5</v>
      </c>
      <c r="F159" t="s">
        <v>21</v>
      </c>
      <c r="G159" t="s">
        <v>74</v>
      </c>
      <c r="H159" t="s">
        <v>832</v>
      </c>
      <c r="I159" t="s">
        <v>190</v>
      </c>
      <c r="J159" t="s">
        <v>833</v>
      </c>
      <c r="K159" t="s">
        <v>758</v>
      </c>
      <c r="L159">
        <v>4</v>
      </c>
      <c r="M159" s="5">
        <v>437.49</v>
      </c>
      <c r="N159" s="6">
        <v>15</v>
      </c>
      <c r="O159" s="5">
        <v>262.49</v>
      </c>
      <c r="P159" s="5">
        <v>223.12</v>
      </c>
      <c r="Q159" s="5">
        <v>1710.59</v>
      </c>
      <c r="R159" s="5">
        <v>1061.76</v>
      </c>
      <c r="S159" s="5">
        <v>648.83</v>
      </c>
      <c r="T159" s="7">
        <v>0.3793018782993</v>
      </c>
      <c r="U159" t="s">
        <v>11</v>
      </c>
      <c r="V159" t="s">
        <v>50</v>
      </c>
      <c r="W159" t="s">
        <v>50</v>
      </c>
      <c r="X159" t="s">
        <v>35</v>
      </c>
      <c r="Y159" t="s">
        <v>834</v>
      </c>
      <c r="Z159" t="s">
        <v>80</v>
      </c>
    </row>
    <row r="160" spans="1:26">
      <c r="A160" t="s">
        <v>835</v>
      </c>
      <c r="B160" t="s">
        <v>835</v>
      </c>
      <c r="C160" s="4">
        <v>45833</v>
      </c>
      <c r="D160">
        <v>2025</v>
      </c>
      <c r="E160">
        <v>6</v>
      </c>
      <c r="F160" t="s">
        <v>22</v>
      </c>
      <c r="G160" t="s">
        <v>74</v>
      </c>
      <c r="H160" t="s">
        <v>224</v>
      </c>
      <c r="I160" t="s">
        <v>836</v>
      </c>
      <c r="J160" t="s">
        <v>837</v>
      </c>
      <c r="K160" t="s">
        <v>838</v>
      </c>
      <c r="L160">
        <v>5</v>
      </c>
      <c r="M160" s="5">
        <v>171.25</v>
      </c>
      <c r="N160" s="6">
        <v>5</v>
      </c>
      <c r="O160" s="5">
        <v>42.81</v>
      </c>
      <c r="P160" s="5">
        <v>122.02</v>
      </c>
      <c r="Q160" s="5">
        <v>813.44</v>
      </c>
      <c r="R160" s="5">
        <v>621.65</v>
      </c>
      <c r="S160" s="5">
        <v>191.79</v>
      </c>
      <c r="T160" s="7">
        <v>0.235776455546814</v>
      </c>
      <c r="U160" t="s">
        <v>9</v>
      </c>
      <c r="V160" t="s">
        <v>50</v>
      </c>
      <c r="W160" t="s">
        <v>50</v>
      </c>
      <c r="X160" t="s">
        <v>34</v>
      </c>
      <c r="Y160" t="s">
        <v>839</v>
      </c>
      <c r="Z160" t="s">
        <v>101</v>
      </c>
    </row>
    <row r="161" spans="1:26">
      <c r="A161" t="s">
        <v>840</v>
      </c>
      <c r="B161" t="s">
        <v>840</v>
      </c>
      <c r="C161" s="4">
        <v>45997</v>
      </c>
      <c r="D161">
        <v>2025</v>
      </c>
      <c r="E161">
        <v>12</v>
      </c>
      <c r="F161" t="s">
        <v>28</v>
      </c>
      <c r="G161" t="s">
        <v>137</v>
      </c>
      <c r="H161" t="s">
        <v>109</v>
      </c>
      <c r="I161" t="s">
        <v>145</v>
      </c>
      <c r="J161" t="s">
        <v>460</v>
      </c>
      <c r="K161" t="s">
        <v>461</v>
      </c>
      <c r="L161">
        <v>7</v>
      </c>
      <c r="M161" s="5">
        <v>574.74</v>
      </c>
      <c r="N161" s="6">
        <v>0</v>
      </c>
      <c r="O161" s="5">
        <v>0</v>
      </c>
      <c r="P161" s="5">
        <v>603.48</v>
      </c>
      <c r="Q161" s="5">
        <v>4626.66</v>
      </c>
      <c r="R161" s="5">
        <v>2771.09</v>
      </c>
      <c r="S161" s="5">
        <v>1855.57</v>
      </c>
      <c r="T161" s="7">
        <v>0.401060376167689</v>
      </c>
      <c r="U161" t="s">
        <v>12</v>
      </c>
      <c r="V161" t="s">
        <v>50</v>
      </c>
      <c r="W161" t="s">
        <v>50</v>
      </c>
      <c r="X161" t="s">
        <v>33</v>
      </c>
      <c r="Y161" t="s">
        <v>841</v>
      </c>
      <c r="Z161" t="s">
        <v>80</v>
      </c>
    </row>
    <row r="162" spans="1:26">
      <c r="A162" t="s">
        <v>842</v>
      </c>
      <c r="B162" t="s">
        <v>842</v>
      </c>
      <c r="C162" s="4">
        <v>45946</v>
      </c>
      <c r="D162">
        <v>2025</v>
      </c>
      <c r="E162">
        <v>10</v>
      </c>
      <c r="F162" t="s">
        <v>26</v>
      </c>
      <c r="G162" t="s">
        <v>137</v>
      </c>
      <c r="H162" t="s">
        <v>843</v>
      </c>
      <c r="I162" t="s">
        <v>844</v>
      </c>
      <c r="J162" t="s">
        <v>296</v>
      </c>
      <c r="K162" t="s">
        <v>297</v>
      </c>
      <c r="L162">
        <v>3</v>
      </c>
      <c r="M162" s="5">
        <v>298.68</v>
      </c>
      <c r="N162" s="6">
        <v>0</v>
      </c>
      <c r="O162" s="5">
        <v>0</v>
      </c>
      <c r="P162" s="5">
        <v>134.41</v>
      </c>
      <c r="Q162" s="5">
        <v>896.04</v>
      </c>
      <c r="R162" s="5">
        <v>752.07</v>
      </c>
      <c r="S162" s="5">
        <v>143.97</v>
      </c>
      <c r="T162" s="7">
        <v>0.160673630641489</v>
      </c>
      <c r="U162" t="s">
        <v>10</v>
      </c>
      <c r="V162" t="s">
        <v>50</v>
      </c>
      <c r="W162" t="s">
        <v>50</v>
      </c>
      <c r="X162" t="s">
        <v>35</v>
      </c>
      <c r="Y162" t="s">
        <v>845</v>
      </c>
      <c r="Z162" t="s">
        <v>101</v>
      </c>
    </row>
    <row r="163" spans="1:26">
      <c r="A163" t="s">
        <v>846</v>
      </c>
      <c r="B163" t="s">
        <v>846</v>
      </c>
      <c r="C163" s="4">
        <v>46023</v>
      </c>
      <c r="D163">
        <v>2026</v>
      </c>
      <c r="E163">
        <v>1</v>
      </c>
      <c r="F163" t="s">
        <v>30</v>
      </c>
      <c r="G163" t="s">
        <v>82</v>
      </c>
      <c r="H163" t="s">
        <v>741</v>
      </c>
      <c r="I163" t="s">
        <v>819</v>
      </c>
      <c r="J163" t="s">
        <v>38</v>
      </c>
      <c r="K163" t="s">
        <v>236</v>
      </c>
      <c r="L163">
        <v>6</v>
      </c>
      <c r="M163" s="5">
        <v>86.82</v>
      </c>
      <c r="N163" s="6">
        <v>5</v>
      </c>
      <c r="O163" s="5">
        <v>26.05</v>
      </c>
      <c r="P163" s="5">
        <v>74.23</v>
      </c>
      <c r="Q163" s="5">
        <v>494.87</v>
      </c>
      <c r="R163" s="5">
        <v>409.02</v>
      </c>
      <c r="S163" s="5">
        <v>85.85</v>
      </c>
      <c r="T163" s="7">
        <v>0.173479903813123</v>
      </c>
      <c r="U163" t="s">
        <v>11</v>
      </c>
      <c r="V163" t="s">
        <v>50</v>
      </c>
      <c r="W163" t="s">
        <v>50</v>
      </c>
      <c r="X163" t="s">
        <v>33</v>
      </c>
      <c r="Y163" t="s">
        <v>847</v>
      </c>
      <c r="Z163" t="s">
        <v>101</v>
      </c>
    </row>
    <row r="164" spans="1:26">
      <c r="A164" t="s">
        <v>848</v>
      </c>
      <c r="B164" t="s">
        <v>848</v>
      </c>
      <c r="C164" s="4">
        <v>45907</v>
      </c>
      <c r="D164">
        <v>2025</v>
      </c>
      <c r="E164">
        <v>9</v>
      </c>
      <c r="F164" t="s">
        <v>25</v>
      </c>
      <c r="G164" t="s">
        <v>89</v>
      </c>
      <c r="H164" t="s">
        <v>849</v>
      </c>
      <c r="I164" t="s">
        <v>196</v>
      </c>
      <c r="J164" t="s">
        <v>850</v>
      </c>
      <c r="K164" t="s">
        <v>287</v>
      </c>
      <c r="L164">
        <v>3</v>
      </c>
      <c r="M164" s="5">
        <v>332.73</v>
      </c>
      <c r="N164" s="6">
        <v>0</v>
      </c>
      <c r="O164" s="5">
        <v>0</v>
      </c>
      <c r="P164" s="5">
        <v>149.73</v>
      </c>
      <c r="Q164" s="5">
        <v>1147.92</v>
      </c>
      <c r="R164" s="5">
        <v>783.66</v>
      </c>
      <c r="S164" s="5">
        <v>364.26</v>
      </c>
      <c r="T164" s="7">
        <v>0.317321764582898</v>
      </c>
      <c r="U164" t="s">
        <v>11</v>
      </c>
      <c r="V164" t="s">
        <v>51</v>
      </c>
      <c r="W164" t="s">
        <v>51</v>
      </c>
      <c r="X164" t="s">
        <v>33</v>
      </c>
      <c r="Y164" t="s">
        <v>851</v>
      </c>
      <c r="Z164" t="s">
        <v>80</v>
      </c>
    </row>
    <row r="165" spans="1:26">
      <c r="A165" t="s">
        <v>852</v>
      </c>
      <c r="B165" t="s">
        <v>852</v>
      </c>
      <c r="C165" s="4">
        <v>45920</v>
      </c>
      <c r="D165">
        <v>2025</v>
      </c>
      <c r="E165">
        <v>9</v>
      </c>
      <c r="F165" t="s">
        <v>25</v>
      </c>
      <c r="G165" t="s">
        <v>89</v>
      </c>
      <c r="H165" t="s">
        <v>853</v>
      </c>
      <c r="I165" t="s">
        <v>854</v>
      </c>
      <c r="J165" t="s">
        <v>489</v>
      </c>
      <c r="K165" t="s">
        <v>855</v>
      </c>
      <c r="L165">
        <v>4</v>
      </c>
      <c r="M165" s="5">
        <v>530.16</v>
      </c>
      <c r="N165" s="6">
        <v>20</v>
      </c>
      <c r="O165" s="5">
        <v>424.13</v>
      </c>
      <c r="P165" s="5">
        <v>254.48</v>
      </c>
      <c r="Q165" s="5">
        <v>1950.99</v>
      </c>
      <c r="R165" s="5">
        <v>1516.76</v>
      </c>
      <c r="S165" s="5">
        <v>434.23</v>
      </c>
      <c r="T165" s="7">
        <v>0.222569054685057</v>
      </c>
      <c r="U165" t="s">
        <v>11</v>
      </c>
      <c r="V165" t="s">
        <v>50</v>
      </c>
      <c r="W165" t="s">
        <v>50</v>
      </c>
      <c r="X165" t="s">
        <v>33</v>
      </c>
      <c r="Y165" t="s">
        <v>790</v>
      </c>
      <c r="Z165" t="s">
        <v>80</v>
      </c>
    </row>
    <row r="166" spans="1:26">
      <c r="A166" t="s">
        <v>856</v>
      </c>
      <c r="B166" t="s">
        <v>856</v>
      </c>
      <c r="C166" s="4">
        <v>45802</v>
      </c>
      <c r="D166">
        <v>2025</v>
      </c>
      <c r="E166">
        <v>5</v>
      </c>
      <c r="F166" t="s">
        <v>21</v>
      </c>
      <c r="G166" t="s">
        <v>74</v>
      </c>
      <c r="H166" t="s">
        <v>857</v>
      </c>
      <c r="I166" t="s">
        <v>174</v>
      </c>
      <c r="J166" t="s">
        <v>858</v>
      </c>
      <c r="K166" t="s">
        <v>859</v>
      </c>
      <c r="L166">
        <v>4</v>
      </c>
      <c r="M166" s="5">
        <v>397.22</v>
      </c>
      <c r="N166" s="6">
        <v>15</v>
      </c>
      <c r="O166" s="5">
        <v>238.33</v>
      </c>
      <c r="P166" s="5">
        <v>202.58</v>
      </c>
      <c r="Q166" s="5">
        <v>1553.13</v>
      </c>
      <c r="R166" s="5">
        <v>1277.48</v>
      </c>
      <c r="S166" s="5">
        <v>275.65</v>
      </c>
      <c r="T166" s="7">
        <v>0.177480313946675</v>
      </c>
      <c r="U166" t="s">
        <v>14</v>
      </c>
      <c r="V166" t="s">
        <v>50</v>
      </c>
      <c r="W166" t="s">
        <v>50</v>
      </c>
      <c r="X166" t="s">
        <v>33</v>
      </c>
      <c r="Y166" t="s">
        <v>860</v>
      </c>
      <c r="Z166" t="s">
        <v>80</v>
      </c>
    </row>
    <row r="167" spans="1:26">
      <c r="A167" t="s">
        <v>861</v>
      </c>
      <c r="B167" t="s">
        <v>861</v>
      </c>
      <c r="C167" s="4">
        <v>45970</v>
      </c>
      <c r="D167">
        <v>2025</v>
      </c>
      <c r="E167">
        <v>11</v>
      </c>
      <c r="F167" t="s">
        <v>27</v>
      </c>
      <c r="G167" t="s">
        <v>137</v>
      </c>
      <c r="H167" t="s">
        <v>862</v>
      </c>
      <c r="I167" t="s">
        <v>819</v>
      </c>
      <c r="J167" t="s">
        <v>435</v>
      </c>
      <c r="K167" t="s">
        <v>863</v>
      </c>
      <c r="L167">
        <v>3</v>
      </c>
      <c r="M167" s="5">
        <v>86.11</v>
      </c>
      <c r="N167" s="6">
        <v>5</v>
      </c>
      <c r="O167" s="5">
        <v>12.92</v>
      </c>
      <c r="P167" s="5">
        <v>36.81</v>
      </c>
      <c r="Q167" s="5">
        <v>282.22</v>
      </c>
      <c r="R167" s="5">
        <v>204.51</v>
      </c>
      <c r="S167" s="5">
        <v>77.71</v>
      </c>
      <c r="T167" s="7">
        <v>0.275352561831195</v>
      </c>
      <c r="U167" t="s">
        <v>11</v>
      </c>
      <c r="V167" t="s">
        <v>50</v>
      </c>
      <c r="W167" t="s">
        <v>50</v>
      </c>
      <c r="X167" t="s">
        <v>33</v>
      </c>
      <c r="Y167" t="s">
        <v>864</v>
      </c>
      <c r="Z167" t="s">
        <v>80</v>
      </c>
    </row>
    <row r="168" spans="1:26">
      <c r="A168" t="s">
        <v>865</v>
      </c>
      <c r="B168" t="s">
        <v>865</v>
      </c>
      <c r="C168" s="4">
        <v>45857</v>
      </c>
      <c r="D168">
        <v>2025</v>
      </c>
      <c r="E168">
        <v>7</v>
      </c>
      <c r="F168" t="s">
        <v>23</v>
      </c>
      <c r="G168" t="s">
        <v>89</v>
      </c>
      <c r="H168" t="s">
        <v>866</v>
      </c>
      <c r="I168" t="s">
        <v>368</v>
      </c>
      <c r="J168" t="s">
        <v>867</v>
      </c>
      <c r="K168" t="s">
        <v>868</v>
      </c>
      <c r="L168">
        <v>3</v>
      </c>
      <c r="M168" s="5">
        <v>67.37</v>
      </c>
      <c r="N168" s="6">
        <v>10</v>
      </c>
      <c r="O168" s="5">
        <v>20.21</v>
      </c>
      <c r="P168" s="5">
        <v>27.28</v>
      </c>
      <c r="Q168" s="5">
        <v>209.19</v>
      </c>
      <c r="R168" s="5">
        <v>151.29</v>
      </c>
      <c r="S168" s="5">
        <v>57.9</v>
      </c>
      <c r="T168" s="7">
        <v>0.276781872938477</v>
      </c>
      <c r="U168" t="s">
        <v>10</v>
      </c>
      <c r="V168" t="s">
        <v>50</v>
      </c>
      <c r="W168" t="s">
        <v>50</v>
      </c>
      <c r="X168" t="s">
        <v>33</v>
      </c>
      <c r="Y168" t="s">
        <v>869</v>
      </c>
      <c r="Z168" t="s">
        <v>80</v>
      </c>
    </row>
    <row r="169" spans="1:26">
      <c r="A169" t="s">
        <v>870</v>
      </c>
      <c r="B169" t="s">
        <v>870</v>
      </c>
      <c r="C169" s="4">
        <v>45955</v>
      </c>
      <c r="D169">
        <v>2025</v>
      </c>
      <c r="E169">
        <v>10</v>
      </c>
      <c r="F169" t="s">
        <v>26</v>
      </c>
      <c r="G169" t="s">
        <v>137</v>
      </c>
      <c r="H169" t="s">
        <v>871</v>
      </c>
      <c r="I169" t="s">
        <v>110</v>
      </c>
      <c r="J169" t="s">
        <v>872</v>
      </c>
      <c r="K169" t="s">
        <v>873</v>
      </c>
      <c r="L169">
        <v>1</v>
      </c>
      <c r="M169" s="5">
        <v>342.46</v>
      </c>
      <c r="N169" s="6">
        <v>20</v>
      </c>
      <c r="O169" s="5">
        <v>68.49</v>
      </c>
      <c r="P169" s="5">
        <v>41.1</v>
      </c>
      <c r="Q169" s="5">
        <v>315.07</v>
      </c>
      <c r="R169" s="5">
        <v>271.78</v>
      </c>
      <c r="S169" s="5">
        <v>43.29</v>
      </c>
      <c r="T169" s="7">
        <v>0.13739803853112</v>
      </c>
      <c r="U169" t="s">
        <v>14</v>
      </c>
      <c r="V169" t="s">
        <v>50</v>
      </c>
      <c r="W169" t="s">
        <v>50</v>
      </c>
      <c r="X169" t="s">
        <v>33</v>
      </c>
      <c r="Y169" t="s">
        <v>874</v>
      </c>
      <c r="Z169" t="s">
        <v>80</v>
      </c>
    </row>
    <row r="170" spans="1:26">
      <c r="A170" t="s">
        <v>875</v>
      </c>
      <c r="B170" t="s">
        <v>875</v>
      </c>
      <c r="C170" s="4">
        <v>46089</v>
      </c>
      <c r="D170">
        <v>2026</v>
      </c>
      <c r="E170">
        <v>3</v>
      </c>
      <c r="F170" t="s">
        <v>19</v>
      </c>
      <c r="G170" t="s">
        <v>82</v>
      </c>
      <c r="H170" t="s">
        <v>876</v>
      </c>
      <c r="I170" t="s">
        <v>444</v>
      </c>
      <c r="J170" t="s">
        <v>877</v>
      </c>
      <c r="K170" t="s">
        <v>878</v>
      </c>
      <c r="L170">
        <v>6</v>
      </c>
      <c r="M170" s="5">
        <v>105.36</v>
      </c>
      <c r="N170" s="6">
        <v>0</v>
      </c>
      <c r="O170" s="5">
        <v>0</v>
      </c>
      <c r="P170" s="5">
        <v>94.82</v>
      </c>
      <c r="Q170" s="5">
        <v>726.98</v>
      </c>
      <c r="R170" s="5">
        <v>516.3</v>
      </c>
      <c r="S170" s="5">
        <v>210.68</v>
      </c>
      <c r="T170" s="7">
        <v>0.289801645162178</v>
      </c>
      <c r="U170" t="s">
        <v>14</v>
      </c>
      <c r="V170" t="s">
        <v>50</v>
      </c>
      <c r="W170" t="s">
        <v>50</v>
      </c>
      <c r="X170" t="s">
        <v>33</v>
      </c>
      <c r="Y170" t="s">
        <v>879</v>
      </c>
      <c r="Z170" t="s">
        <v>80</v>
      </c>
    </row>
    <row r="171" spans="1:26">
      <c r="A171" t="s">
        <v>880</v>
      </c>
      <c r="B171" t="s">
        <v>880</v>
      </c>
      <c r="C171" s="4">
        <v>46005</v>
      </c>
      <c r="D171">
        <v>2025</v>
      </c>
      <c r="E171">
        <v>12</v>
      </c>
      <c r="F171" t="s">
        <v>28</v>
      </c>
      <c r="G171" t="s">
        <v>137</v>
      </c>
      <c r="H171" t="s">
        <v>881</v>
      </c>
      <c r="I171" t="s">
        <v>76</v>
      </c>
      <c r="J171" t="s">
        <v>882</v>
      </c>
      <c r="K171" t="s">
        <v>883</v>
      </c>
      <c r="L171">
        <v>4</v>
      </c>
      <c r="M171" s="5">
        <v>416.08</v>
      </c>
      <c r="N171" s="6">
        <v>20</v>
      </c>
      <c r="O171" s="5">
        <v>332.86</v>
      </c>
      <c r="P171" s="5">
        <v>199.72</v>
      </c>
      <c r="Q171" s="5">
        <v>1531.18</v>
      </c>
      <c r="R171" s="5">
        <v>1278.56</v>
      </c>
      <c r="S171" s="5">
        <v>252.62</v>
      </c>
      <c r="T171" s="7">
        <v>0.164983868650322</v>
      </c>
      <c r="U171" t="s">
        <v>13</v>
      </c>
      <c r="V171" t="s">
        <v>50</v>
      </c>
      <c r="W171" t="s">
        <v>50</v>
      </c>
      <c r="X171" t="s">
        <v>35</v>
      </c>
      <c r="Y171" t="s">
        <v>884</v>
      </c>
      <c r="Z171" t="s">
        <v>80</v>
      </c>
    </row>
    <row r="172" spans="1:26">
      <c r="A172" t="s">
        <v>885</v>
      </c>
      <c r="B172" t="s">
        <v>885</v>
      </c>
      <c r="C172" s="4">
        <v>46055</v>
      </c>
      <c r="D172">
        <v>2026</v>
      </c>
      <c r="E172">
        <v>2</v>
      </c>
      <c r="F172" t="s">
        <v>31</v>
      </c>
      <c r="G172" t="s">
        <v>82</v>
      </c>
      <c r="H172" t="s">
        <v>886</v>
      </c>
      <c r="I172" t="s">
        <v>323</v>
      </c>
      <c r="J172" t="s">
        <v>140</v>
      </c>
      <c r="K172" t="s">
        <v>287</v>
      </c>
      <c r="L172">
        <v>3</v>
      </c>
      <c r="M172" s="5">
        <v>51.33</v>
      </c>
      <c r="N172" s="6">
        <v>20</v>
      </c>
      <c r="O172" s="5">
        <v>30.8</v>
      </c>
      <c r="P172" s="5">
        <v>18.48</v>
      </c>
      <c r="Q172" s="5">
        <v>123.19</v>
      </c>
      <c r="R172" s="5">
        <v>112.44</v>
      </c>
      <c r="S172" s="5">
        <v>10.75</v>
      </c>
      <c r="T172" s="7">
        <v>0.0872635765890089</v>
      </c>
      <c r="U172" t="s">
        <v>12</v>
      </c>
      <c r="V172" t="s">
        <v>50</v>
      </c>
      <c r="W172" t="s">
        <v>50</v>
      </c>
      <c r="X172" t="s">
        <v>33</v>
      </c>
      <c r="Y172" t="s">
        <v>887</v>
      </c>
      <c r="Z172" t="s">
        <v>101</v>
      </c>
    </row>
    <row r="173" spans="1:26">
      <c r="A173" t="s">
        <v>888</v>
      </c>
      <c r="B173" t="s">
        <v>888</v>
      </c>
      <c r="C173" s="4">
        <v>45836</v>
      </c>
      <c r="D173">
        <v>2025</v>
      </c>
      <c r="E173">
        <v>6</v>
      </c>
      <c r="F173" t="s">
        <v>22</v>
      </c>
      <c r="G173" t="s">
        <v>74</v>
      </c>
      <c r="H173" t="s">
        <v>675</v>
      </c>
      <c r="I173" t="s">
        <v>190</v>
      </c>
      <c r="J173" t="s">
        <v>889</v>
      </c>
      <c r="K173" t="s">
        <v>890</v>
      </c>
      <c r="L173">
        <v>1</v>
      </c>
      <c r="M173" s="5">
        <v>437.49</v>
      </c>
      <c r="N173" s="6">
        <v>10</v>
      </c>
      <c r="O173" s="5">
        <v>43.75</v>
      </c>
      <c r="P173" s="5">
        <v>59.06</v>
      </c>
      <c r="Q173" s="5">
        <v>452.8</v>
      </c>
      <c r="R173" s="5">
        <v>265.44</v>
      </c>
      <c r="S173" s="5">
        <v>187.36</v>
      </c>
      <c r="T173" s="7">
        <v>0.413780918727915</v>
      </c>
      <c r="U173" t="s">
        <v>13</v>
      </c>
      <c r="V173" t="s">
        <v>50</v>
      </c>
      <c r="W173" t="s">
        <v>50</v>
      </c>
      <c r="X173" t="s">
        <v>34</v>
      </c>
      <c r="Y173" t="s">
        <v>891</v>
      </c>
      <c r="Z173" t="s">
        <v>80</v>
      </c>
    </row>
    <row r="174" spans="1:26">
      <c r="A174" t="s">
        <v>892</v>
      </c>
      <c r="B174" t="s">
        <v>892</v>
      </c>
      <c r="C174" s="4">
        <v>46068</v>
      </c>
      <c r="D174">
        <v>2026</v>
      </c>
      <c r="E174">
        <v>2</v>
      </c>
      <c r="F174" t="s">
        <v>31</v>
      </c>
      <c r="G174" t="s">
        <v>82</v>
      </c>
      <c r="H174" t="s">
        <v>893</v>
      </c>
      <c r="I174" t="s">
        <v>553</v>
      </c>
      <c r="J174" t="s">
        <v>894</v>
      </c>
      <c r="K174" t="s">
        <v>895</v>
      </c>
      <c r="L174">
        <v>2</v>
      </c>
      <c r="M174" s="5">
        <v>291.93</v>
      </c>
      <c r="N174" s="6">
        <v>15</v>
      </c>
      <c r="O174" s="5">
        <v>87.58</v>
      </c>
      <c r="P174" s="5">
        <v>74.44</v>
      </c>
      <c r="Q174" s="5">
        <v>570.72</v>
      </c>
      <c r="R174" s="5">
        <v>507.4</v>
      </c>
      <c r="S174" s="5">
        <v>63.32</v>
      </c>
      <c r="T174" s="7">
        <v>0.110947574992991</v>
      </c>
      <c r="U174" t="s">
        <v>11</v>
      </c>
      <c r="V174" t="s">
        <v>50</v>
      </c>
      <c r="W174" t="s">
        <v>50</v>
      </c>
      <c r="X174" t="s">
        <v>33</v>
      </c>
      <c r="Y174" t="s">
        <v>589</v>
      </c>
      <c r="Z174" t="s">
        <v>80</v>
      </c>
    </row>
    <row r="175" spans="1:26">
      <c r="A175" t="s">
        <v>896</v>
      </c>
      <c r="B175" t="s">
        <v>896</v>
      </c>
      <c r="C175" s="4">
        <v>46011</v>
      </c>
      <c r="D175">
        <v>2025</v>
      </c>
      <c r="E175">
        <v>12</v>
      </c>
      <c r="F175" t="s">
        <v>28</v>
      </c>
      <c r="G175" t="s">
        <v>137</v>
      </c>
      <c r="H175" t="s">
        <v>897</v>
      </c>
      <c r="I175" t="s">
        <v>898</v>
      </c>
      <c r="J175" t="s">
        <v>899</v>
      </c>
      <c r="K175" t="s">
        <v>171</v>
      </c>
      <c r="L175">
        <v>6</v>
      </c>
      <c r="M175" s="5">
        <v>276.49</v>
      </c>
      <c r="N175" s="6">
        <v>0</v>
      </c>
      <c r="O175" s="5">
        <v>0</v>
      </c>
      <c r="P175" s="5">
        <v>248.84</v>
      </c>
      <c r="Q175" s="5">
        <v>1907.78</v>
      </c>
      <c r="R175" s="5">
        <v>1237.8</v>
      </c>
      <c r="S175" s="5">
        <v>669.98</v>
      </c>
      <c r="T175" s="7">
        <v>0.351183050456552</v>
      </c>
      <c r="U175" t="s">
        <v>11</v>
      </c>
      <c r="V175" t="s">
        <v>50</v>
      </c>
      <c r="W175" t="s">
        <v>50</v>
      </c>
      <c r="X175" t="s">
        <v>33</v>
      </c>
      <c r="Y175" t="s">
        <v>900</v>
      </c>
      <c r="Z175" t="s">
        <v>80</v>
      </c>
    </row>
    <row r="176" spans="1:26">
      <c r="A176" t="s">
        <v>901</v>
      </c>
      <c r="B176" t="s">
        <v>901</v>
      </c>
      <c r="C176" s="4">
        <v>46074</v>
      </c>
      <c r="D176">
        <v>2026</v>
      </c>
      <c r="E176">
        <v>2</v>
      </c>
      <c r="F176" t="s">
        <v>31</v>
      </c>
      <c r="G176" t="s">
        <v>82</v>
      </c>
      <c r="H176" t="s">
        <v>902</v>
      </c>
      <c r="I176" t="s">
        <v>708</v>
      </c>
      <c r="J176" t="s">
        <v>833</v>
      </c>
      <c r="K176" t="s">
        <v>903</v>
      </c>
      <c r="L176">
        <v>2</v>
      </c>
      <c r="M176" s="5">
        <v>372.61</v>
      </c>
      <c r="N176" s="6">
        <v>20</v>
      </c>
      <c r="O176" s="5">
        <v>149.04</v>
      </c>
      <c r="P176" s="5">
        <v>89.43</v>
      </c>
      <c r="Q176" s="5">
        <v>685.61</v>
      </c>
      <c r="R176" s="5">
        <v>639.82</v>
      </c>
      <c r="S176" s="5">
        <v>45.79</v>
      </c>
      <c r="T176" s="7">
        <v>0.0667872405595017</v>
      </c>
      <c r="U176" t="s">
        <v>12</v>
      </c>
      <c r="V176" t="s">
        <v>50</v>
      </c>
      <c r="W176" t="s">
        <v>50</v>
      </c>
      <c r="X176" t="s">
        <v>35</v>
      </c>
      <c r="Y176" t="s">
        <v>644</v>
      </c>
      <c r="Z176" t="s">
        <v>80</v>
      </c>
    </row>
    <row r="177" spans="1:26">
      <c r="A177" t="s">
        <v>904</v>
      </c>
      <c r="B177" t="s">
        <v>904</v>
      </c>
      <c r="C177" s="4">
        <v>45920</v>
      </c>
      <c r="D177">
        <v>2025</v>
      </c>
      <c r="E177">
        <v>9</v>
      </c>
      <c r="F177" t="s">
        <v>25</v>
      </c>
      <c r="G177" t="s">
        <v>89</v>
      </c>
      <c r="H177" t="s">
        <v>905</v>
      </c>
      <c r="I177" t="s">
        <v>279</v>
      </c>
      <c r="J177" t="s">
        <v>906</v>
      </c>
      <c r="K177" t="s">
        <v>907</v>
      </c>
      <c r="L177">
        <v>1</v>
      </c>
      <c r="M177" s="5">
        <v>418.79</v>
      </c>
      <c r="N177" s="6">
        <v>20</v>
      </c>
      <c r="O177" s="5">
        <v>83.76</v>
      </c>
      <c r="P177" s="5">
        <v>50.25</v>
      </c>
      <c r="Q177" s="5">
        <v>385.28</v>
      </c>
      <c r="R177" s="5">
        <v>308.94</v>
      </c>
      <c r="S177" s="5">
        <v>76.34</v>
      </c>
      <c r="T177" s="7">
        <v>0.198141611295681</v>
      </c>
      <c r="U177" t="s">
        <v>10</v>
      </c>
      <c r="V177" t="s">
        <v>50</v>
      </c>
      <c r="W177" t="s">
        <v>50</v>
      </c>
      <c r="X177" t="s">
        <v>34</v>
      </c>
      <c r="Y177" t="s">
        <v>908</v>
      </c>
      <c r="Z177" t="s">
        <v>80</v>
      </c>
    </row>
    <row r="178" spans="1:26">
      <c r="A178" t="s">
        <v>909</v>
      </c>
      <c r="B178" t="s">
        <v>909</v>
      </c>
      <c r="C178" s="4">
        <v>45907</v>
      </c>
      <c r="D178">
        <v>2025</v>
      </c>
      <c r="E178">
        <v>9</v>
      </c>
      <c r="F178" t="s">
        <v>25</v>
      </c>
      <c r="G178" t="s">
        <v>89</v>
      </c>
      <c r="H178" t="s">
        <v>910</v>
      </c>
      <c r="I178" t="s">
        <v>91</v>
      </c>
      <c r="J178" t="s">
        <v>92</v>
      </c>
      <c r="K178" t="s">
        <v>599</v>
      </c>
      <c r="L178">
        <v>3</v>
      </c>
      <c r="M178" s="5">
        <v>234.86</v>
      </c>
      <c r="N178" s="6">
        <v>0</v>
      </c>
      <c r="O178" s="5">
        <v>0</v>
      </c>
      <c r="P178" s="5">
        <v>105.69</v>
      </c>
      <c r="Q178" s="5">
        <v>810.27</v>
      </c>
      <c r="R178" s="5">
        <v>639.69</v>
      </c>
      <c r="S178" s="5">
        <v>170.58</v>
      </c>
      <c r="T178" s="7">
        <v>0.210522418453108</v>
      </c>
      <c r="U178" t="s">
        <v>13</v>
      </c>
      <c r="V178" t="s">
        <v>50</v>
      </c>
      <c r="W178" t="s">
        <v>50</v>
      </c>
      <c r="X178" t="s">
        <v>33</v>
      </c>
      <c r="Y178" t="s">
        <v>276</v>
      </c>
      <c r="Z178" t="s">
        <v>80</v>
      </c>
    </row>
    <row r="179" spans="1:26">
      <c r="A179" t="s">
        <v>911</v>
      </c>
      <c r="B179" t="s">
        <v>911</v>
      </c>
      <c r="C179" s="4">
        <v>46057</v>
      </c>
      <c r="D179">
        <v>2026</v>
      </c>
      <c r="E179">
        <v>2</v>
      </c>
      <c r="F179" t="s">
        <v>31</v>
      </c>
      <c r="G179" t="s">
        <v>82</v>
      </c>
      <c r="H179" t="s">
        <v>912</v>
      </c>
      <c r="I179" t="s">
        <v>913</v>
      </c>
      <c r="J179" t="s">
        <v>914</v>
      </c>
      <c r="K179" t="s">
        <v>915</v>
      </c>
      <c r="L179">
        <v>6</v>
      </c>
      <c r="M179" s="5">
        <v>214.86</v>
      </c>
      <c r="N179" s="6">
        <v>20</v>
      </c>
      <c r="O179" s="5">
        <v>257.83</v>
      </c>
      <c r="P179" s="5">
        <v>154.7</v>
      </c>
      <c r="Q179" s="5">
        <v>1031.33</v>
      </c>
      <c r="R179" s="5">
        <v>948.36</v>
      </c>
      <c r="S179" s="5">
        <v>82.97</v>
      </c>
      <c r="T179" s="7">
        <v>0.0804495166435574</v>
      </c>
      <c r="U179" t="s">
        <v>14</v>
      </c>
      <c r="V179" t="s">
        <v>50</v>
      </c>
      <c r="W179" t="s">
        <v>50</v>
      </c>
      <c r="X179" t="s">
        <v>33</v>
      </c>
      <c r="Y179" t="s">
        <v>916</v>
      </c>
      <c r="Z179" t="s">
        <v>101</v>
      </c>
    </row>
    <row r="180" spans="1:26">
      <c r="A180" t="s">
        <v>917</v>
      </c>
      <c r="B180" t="s">
        <v>917</v>
      </c>
      <c r="C180" s="4">
        <v>46010</v>
      </c>
      <c r="D180">
        <v>2025</v>
      </c>
      <c r="E180">
        <v>12</v>
      </c>
      <c r="F180" t="s">
        <v>28</v>
      </c>
      <c r="G180" t="s">
        <v>137</v>
      </c>
      <c r="H180" t="s">
        <v>918</v>
      </c>
      <c r="I180" t="s">
        <v>689</v>
      </c>
      <c r="J180" t="s">
        <v>919</v>
      </c>
      <c r="K180" t="s">
        <v>920</v>
      </c>
      <c r="L180">
        <v>3</v>
      </c>
      <c r="M180" s="5">
        <v>141.01</v>
      </c>
      <c r="N180" s="6">
        <v>10</v>
      </c>
      <c r="O180" s="5">
        <v>42.3</v>
      </c>
      <c r="P180" s="5">
        <v>57.11</v>
      </c>
      <c r="Q180" s="5">
        <v>380.73</v>
      </c>
      <c r="R180" s="5">
        <v>273.54</v>
      </c>
      <c r="S180" s="5">
        <v>107.19</v>
      </c>
      <c r="T180" s="7">
        <v>0.281538097864629</v>
      </c>
      <c r="U180" t="s">
        <v>12</v>
      </c>
      <c r="V180" t="s">
        <v>50</v>
      </c>
      <c r="W180" t="s">
        <v>50</v>
      </c>
      <c r="X180" t="s">
        <v>33</v>
      </c>
      <c r="Y180" t="s">
        <v>921</v>
      </c>
      <c r="Z180" t="s">
        <v>101</v>
      </c>
    </row>
    <row r="181" spans="1:26">
      <c r="A181" t="s">
        <v>922</v>
      </c>
      <c r="B181" t="s">
        <v>922</v>
      </c>
      <c r="C181" s="4">
        <v>46015</v>
      </c>
      <c r="D181">
        <v>2025</v>
      </c>
      <c r="E181">
        <v>12</v>
      </c>
      <c r="F181" t="s">
        <v>28</v>
      </c>
      <c r="G181" t="s">
        <v>137</v>
      </c>
      <c r="H181" t="s">
        <v>923</v>
      </c>
      <c r="I181" t="s">
        <v>924</v>
      </c>
      <c r="J181" t="s">
        <v>280</v>
      </c>
      <c r="K181" t="s">
        <v>281</v>
      </c>
      <c r="L181">
        <v>4</v>
      </c>
      <c r="M181" s="5">
        <v>262.77</v>
      </c>
      <c r="N181" s="6">
        <v>0</v>
      </c>
      <c r="O181" s="5">
        <v>0</v>
      </c>
      <c r="P181" s="5">
        <v>157.66</v>
      </c>
      <c r="Q181" s="5">
        <v>1051.08</v>
      </c>
      <c r="R181" s="5">
        <v>778.56</v>
      </c>
      <c r="S181" s="5">
        <v>272.52</v>
      </c>
      <c r="T181" s="7">
        <v>0.259276173079119</v>
      </c>
      <c r="U181" t="s">
        <v>10</v>
      </c>
      <c r="V181" t="s">
        <v>50</v>
      </c>
      <c r="W181" t="s">
        <v>50</v>
      </c>
      <c r="X181" t="s">
        <v>35</v>
      </c>
      <c r="Y181" t="s">
        <v>925</v>
      </c>
      <c r="Z181" t="s">
        <v>101</v>
      </c>
    </row>
    <row r="182" spans="1:26">
      <c r="A182" t="s">
        <v>926</v>
      </c>
      <c r="B182" t="s">
        <v>926</v>
      </c>
      <c r="C182" s="4">
        <v>45748</v>
      </c>
      <c r="D182">
        <v>2025</v>
      </c>
      <c r="E182">
        <v>4</v>
      </c>
      <c r="F182" t="s">
        <v>20</v>
      </c>
      <c r="G182" t="s">
        <v>74</v>
      </c>
      <c r="H182" t="s">
        <v>927</v>
      </c>
      <c r="I182" t="s">
        <v>928</v>
      </c>
      <c r="J182" t="s">
        <v>929</v>
      </c>
      <c r="K182" t="s">
        <v>930</v>
      </c>
      <c r="L182">
        <v>4</v>
      </c>
      <c r="M182" s="5">
        <v>232.92</v>
      </c>
      <c r="N182" s="6">
        <v>5</v>
      </c>
      <c r="O182" s="5">
        <v>46.58</v>
      </c>
      <c r="P182" s="5">
        <v>132.76</v>
      </c>
      <c r="Q182" s="5">
        <v>885.1</v>
      </c>
      <c r="R182" s="5">
        <v>769.64</v>
      </c>
      <c r="S182" s="5">
        <v>115.46</v>
      </c>
      <c r="T182" s="7">
        <v>0.130448536888487</v>
      </c>
      <c r="U182" t="s">
        <v>9</v>
      </c>
      <c r="V182" t="s">
        <v>50</v>
      </c>
      <c r="W182" t="s">
        <v>50</v>
      </c>
      <c r="X182" t="s">
        <v>34</v>
      </c>
      <c r="Y182" t="s">
        <v>931</v>
      </c>
      <c r="Z182" t="s">
        <v>101</v>
      </c>
    </row>
    <row r="183" spans="1:26">
      <c r="A183" t="s">
        <v>932</v>
      </c>
      <c r="B183" t="s">
        <v>932</v>
      </c>
      <c r="C183" s="4">
        <v>45829</v>
      </c>
      <c r="D183">
        <v>2025</v>
      </c>
      <c r="E183">
        <v>6</v>
      </c>
      <c r="F183" t="s">
        <v>22</v>
      </c>
      <c r="G183" t="s">
        <v>74</v>
      </c>
      <c r="H183" t="s">
        <v>582</v>
      </c>
      <c r="I183" t="s">
        <v>933</v>
      </c>
      <c r="J183" t="s">
        <v>43</v>
      </c>
      <c r="K183" t="s">
        <v>934</v>
      </c>
      <c r="L183">
        <v>8</v>
      </c>
      <c r="M183" s="5">
        <v>477.64</v>
      </c>
      <c r="N183" s="6">
        <v>5</v>
      </c>
      <c r="O183" s="5">
        <v>191.06</v>
      </c>
      <c r="P183" s="5">
        <v>544.51</v>
      </c>
      <c r="Q183" s="5">
        <v>4174.57</v>
      </c>
      <c r="R183" s="5">
        <v>2859.76</v>
      </c>
      <c r="S183" s="5">
        <v>1314.81</v>
      </c>
      <c r="T183" s="7">
        <v>0.314956989582161</v>
      </c>
      <c r="U183" t="s">
        <v>9</v>
      </c>
      <c r="V183" t="s">
        <v>50</v>
      </c>
      <c r="W183" t="s">
        <v>50</v>
      </c>
      <c r="X183" t="s">
        <v>33</v>
      </c>
      <c r="Y183" t="s">
        <v>935</v>
      </c>
      <c r="Z183" t="s">
        <v>80</v>
      </c>
    </row>
    <row r="184" spans="1:26">
      <c r="A184" t="s">
        <v>936</v>
      </c>
      <c r="B184" t="s">
        <v>936</v>
      </c>
      <c r="C184" s="4">
        <v>45936</v>
      </c>
      <c r="D184">
        <v>2025</v>
      </c>
      <c r="E184">
        <v>10</v>
      </c>
      <c r="F184" t="s">
        <v>26</v>
      </c>
      <c r="G184" t="s">
        <v>137</v>
      </c>
      <c r="H184" t="s">
        <v>168</v>
      </c>
      <c r="I184" t="s">
        <v>937</v>
      </c>
      <c r="J184" t="s">
        <v>642</v>
      </c>
      <c r="K184" t="s">
        <v>938</v>
      </c>
      <c r="L184">
        <v>2</v>
      </c>
      <c r="M184" s="5">
        <v>438.7</v>
      </c>
      <c r="N184" s="6">
        <v>10</v>
      </c>
      <c r="O184" s="5">
        <v>87.74</v>
      </c>
      <c r="P184" s="5">
        <v>118.45</v>
      </c>
      <c r="Q184" s="5">
        <v>789.66</v>
      </c>
      <c r="R184" s="5">
        <v>740.36</v>
      </c>
      <c r="S184" s="5">
        <v>49.3</v>
      </c>
      <c r="T184" s="7">
        <v>0.0624319327305422</v>
      </c>
      <c r="U184" t="s">
        <v>10</v>
      </c>
      <c r="V184" t="s">
        <v>50</v>
      </c>
      <c r="W184" t="s">
        <v>50</v>
      </c>
      <c r="X184" t="s">
        <v>33</v>
      </c>
      <c r="Y184" t="s">
        <v>939</v>
      </c>
      <c r="Z184" t="s">
        <v>101</v>
      </c>
    </row>
    <row r="185" spans="1:26">
      <c r="A185" t="s">
        <v>940</v>
      </c>
      <c r="B185" t="s">
        <v>940</v>
      </c>
      <c r="C185" s="4">
        <v>45942</v>
      </c>
      <c r="D185">
        <v>2025</v>
      </c>
      <c r="E185">
        <v>10</v>
      </c>
      <c r="F185" t="s">
        <v>26</v>
      </c>
      <c r="G185" t="s">
        <v>137</v>
      </c>
      <c r="H185" t="s">
        <v>918</v>
      </c>
      <c r="I185" t="s">
        <v>587</v>
      </c>
      <c r="J185" t="s">
        <v>919</v>
      </c>
      <c r="K185" t="s">
        <v>920</v>
      </c>
      <c r="L185">
        <v>7</v>
      </c>
      <c r="M185" s="5">
        <v>410.2</v>
      </c>
      <c r="N185" s="6">
        <v>0</v>
      </c>
      <c r="O185" s="5">
        <v>0</v>
      </c>
      <c r="P185" s="5">
        <v>430.71</v>
      </c>
      <c r="Q185" s="5">
        <v>3302.11</v>
      </c>
      <c r="R185" s="5">
        <v>1929.69</v>
      </c>
      <c r="S185" s="5">
        <v>1372.42</v>
      </c>
      <c r="T185" s="7">
        <v>0.41561910414856</v>
      </c>
      <c r="U185" t="s">
        <v>13</v>
      </c>
      <c r="V185" t="s">
        <v>50</v>
      </c>
      <c r="W185" t="s">
        <v>50</v>
      </c>
      <c r="X185" t="s">
        <v>34</v>
      </c>
      <c r="Y185" t="s">
        <v>941</v>
      </c>
      <c r="Z185" t="s">
        <v>80</v>
      </c>
    </row>
    <row r="186" spans="1:26">
      <c r="A186" t="s">
        <v>942</v>
      </c>
      <c r="B186" t="s">
        <v>942</v>
      </c>
      <c r="C186" s="4">
        <v>45815</v>
      </c>
      <c r="D186">
        <v>2025</v>
      </c>
      <c r="E186">
        <v>6</v>
      </c>
      <c r="F186" t="s">
        <v>22</v>
      </c>
      <c r="G186" t="s">
        <v>74</v>
      </c>
      <c r="H186" t="s">
        <v>716</v>
      </c>
      <c r="I186" t="s">
        <v>807</v>
      </c>
      <c r="J186" t="s">
        <v>460</v>
      </c>
      <c r="K186" t="s">
        <v>943</v>
      </c>
      <c r="L186">
        <v>3</v>
      </c>
      <c r="M186" s="5">
        <v>340.25</v>
      </c>
      <c r="N186" s="6">
        <v>5</v>
      </c>
      <c r="O186" s="5">
        <v>51.04</v>
      </c>
      <c r="P186" s="5">
        <v>145.46</v>
      </c>
      <c r="Q186" s="5">
        <v>1115.17</v>
      </c>
      <c r="R186" s="5">
        <v>791.55</v>
      </c>
      <c r="S186" s="5">
        <v>323.62</v>
      </c>
      <c r="T186" s="7">
        <v>0.290197907045562</v>
      </c>
      <c r="U186" t="s">
        <v>14</v>
      </c>
      <c r="V186" t="s">
        <v>50</v>
      </c>
      <c r="W186" t="s">
        <v>50</v>
      </c>
      <c r="X186" t="s">
        <v>35</v>
      </c>
      <c r="Y186" t="s">
        <v>944</v>
      </c>
      <c r="Z186" t="s">
        <v>80</v>
      </c>
    </row>
    <row r="187" spans="1:26">
      <c r="A187" t="s">
        <v>945</v>
      </c>
      <c r="B187" t="s">
        <v>945</v>
      </c>
      <c r="C187" s="4">
        <v>46083</v>
      </c>
      <c r="D187">
        <v>2026</v>
      </c>
      <c r="E187">
        <v>3</v>
      </c>
      <c r="F187" t="s">
        <v>19</v>
      </c>
      <c r="G187" t="s">
        <v>82</v>
      </c>
      <c r="H187" t="s">
        <v>946</v>
      </c>
      <c r="I187" t="s">
        <v>947</v>
      </c>
      <c r="J187" t="s">
        <v>948</v>
      </c>
      <c r="K187" t="s">
        <v>949</v>
      </c>
      <c r="L187">
        <v>2</v>
      </c>
      <c r="M187" s="5">
        <v>464.41</v>
      </c>
      <c r="N187" s="6">
        <v>5</v>
      </c>
      <c r="O187" s="5">
        <v>46.44</v>
      </c>
      <c r="P187" s="5">
        <v>132.36</v>
      </c>
      <c r="Q187" s="5">
        <v>882.38</v>
      </c>
      <c r="R187" s="5">
        <v>795.38</v>
      </c>
      <c r="S187" s="5">
        <v>87</v>
      </c>
      <c r="T187" s="7">
        <v>0.0985969763593916</v>
      </c>
      <c r="U187" t="s">
        <v>9</v>
      </c>
      <c r="V187" t="s">
        <v>50</v>
      </c>
      <c r="W187" t="s">
        <v>50</v>
      </c>
      <c r="X187" t="s">
        <v>35</v>
      </c>
      <c r="Y187" t="s">
        <v>950</v>
      </c>
      <c r="Z187" t="s">
        <v>101</v>
      </c>
    </row>
    <row r="188" spans="1:26">
      <c r="A188" t="s">
        <v>951</v>
      </c>
      <c r="B188" t="s">
        <v>951</v>
      </c>
      <c r="C188" s="4">
        <v>45903</v>
      </c>
      <c r="D188">
        <v>2025</v>
      </c>
      <c r="E188">
        <v>9</v>
      </c>
      <c r="F188" t="s">
        <v>25</v>
      </c>
      <c r="G188" t="s">
        <v>89</v>
      </c>
      <c r="H188" t="s">
        <v>952</v>
      </c>
      <c r="I188" t="s">
        <v>592</v>
      </c>
      <c r="J188" t="s">
        <v>742</v>
      </c>
      <c r="K188" t="s">
        <v>287</v>
      </c>
      <c r="L188">
        <v>3</v>
      </c>
      <c r="M188" s="5">
        <v>225.35</v>
      </c>
      <c r="N188" s="6">
        <v>5</v>
      </c>
      <c r="O188" s="5">
        <v>33.8</v>
      </c>
      <c r="P188" s="5">
        <v>96.34</v>
      </c>
      <c r="Q188" s="5">
        <v>642.25</v>
      </c>
      <c r="R188" s="5">
        <v>546.51</v>
      </c>
      <c r="S188" s="5">
        <v>95.74</v>
      </c>
      <c r="T188" s="7">
        <v>0.149069676917088</v>
      </c>
      <c r="U188" t="s">
        <v>13</v>
      </c>
      <c r="V188" t="s">
        <v>50</v>
      </c>
      <c r="W188" t="s">
        <v>50</v>
      </c>
      <c r="X188" t="s">
        <v>35</v>
      </c>
      <c r="Y188" t="s">
        <v>953</v>
      </c>
      <c r="Z188" t="s">
        <v>101</v>
      </c>
    </row>
    <row r="189" spans="1:26">
      <c r="A189" t="s">
        <v>954</v>
      </c>
      <c r="B189" t="s">
        <v>954</v>
      </c>
      <c r="C189" s="4">
        <v>45757</v>
      </c>
      <c r="D189">
        <v>2025</v>
      </c>
      <c r="E189">
        <v>4</v>
      </c>
      <c r="F189" t="s">
        <v>20</v>
      </c>
      <c r="G189" t="s">
        <v>74</v>
      </c>
      <c r="H189" t="s">
        <v>638</v>
      </c>
      <c r="I189" t="s">
        <v>947</v>
      </c>
      <c r="J189" t="s">
        <v>955</v>
      </c>
      <c r="K189" t="s">
        <v>943</v>
      </c>
      <c r="L189">
        <v>3</v>
      </c>
      <c r="M189" s="5">
        <v>464.41</v>
      </c>
      <c r="N189" s="6">
        <v>0</v>
      </c>
      <c r="O189" s="5">
        <v>0</v>
      </c>
      <c r="P189" s="5">
        <v>208.98</v>
      </c>
      <c r="Q189" s="5">
        <v>1393.23</v>
      </c>
      <c r="R189" s="5">
        <v>1193.07</v>
      </c>
      <c r="S189" s="5">
        <v>200.16</v>
      </c>
      <c r="T189" s="7">
        <v>0.143666157059495</v>
      </c>
      <c r="U189" t="s">
        <v>11</v>
      </c>
      <c r="V189" t="s">
        <v>50</v>
      </c>
      <c r="W189" t="s">
        <v>50</v>
      </c>
      <c r="X189" t="s">
        <v>33</v>
      </c>
      <c r="Y189" t="s">
        <v>956</v>
      </c>
      <c r="Z189" t="s">
        <v>101</v>
      </c>
    </row>
    <row r="190" spans="1:26">
      <c r="A190" t="s">
        <v>957</v>
      </c>
      <c r="B190" t="s">
        <v>957</v>
      </c>
      <c r="C190" s="4">
        <v>45905</v>
      </c>
      <c r="D190">
        <v>2025</v>
      </c>
      <c r="E190">
        <v>9</v>
      </c>
      <c r="F190" t="s">
        <v>25</v>
      </c>
      <c r="G190" t="s">
        <v>89</v>
      </c>
      <c r="H190" t="s">
        <v>958</v>
      </c>
      <c r="I190" t="s">
        <v>132</v>
      </c>
      <c r="J190" t="s">
        <v>435</v>
      </c>
      <c r="K190" t="s">
        <v>436</v>
      </c>
      <c r="L190">
        <v>1</v>
      </c>
      <c r="M190" s="5">
        <v>260.93</v>
      </c>
      <c r="N190" s="6">
        <v>15</v>
      </c>
      <c r="O190" s="5">
        <v>39.14</v>
      </c>
      <c r="P190" s="5">
        <v>33.27</v>
      </c>
      <c r="Q190" s="5">
        <v>221.79</v>
      </c>
      <c r="R190" s="5">
        <v>194.06</v>
      </c>
      <c r="S190" s="5">
        <v>27.73</v>
      </c>
      <c r="T190" s="7">
        <v>0.12502817980973</v>
      </c>
      <c r="U190" t="s">
        <v>9</v>
      </c>
      <c r="V190" t="s">
        <v>50</v>
      </c>
      <c r="W190" t="s">
        <v>50</v>
      </c>
      <c r="X190" t="s">
        <v>33</v>
      </c>
      <c r="Y190" t="s">
        <v>959</v>
      </c>
      <c r="Z190" t="s">
        <v>101</v>
      </c>
    </row>
    <row r="191" spans="1:26">
      <c r="A191" t="s">
        <v>960</v>
      </c>
      <c r="B191" t="s">
        <v>960</v>
      </c>
      <c r="C191" s="4">
        <v>45941</v>
      </c>
      <c r="D191">
        <v>2025</v>
      </c>
      <c r="E191">
        <v>10</v>
      </c>
      <c r="F191" t="s">
        <v>26</v>
      </c>
      <c r="G191" t="s">
        <v>137</v>
      </c>
      <c r="H191" t="s">
        <v>961</v>
      </c>
      <c r="I191" t="s">
        <v>694</v>
      </c>
      <c r="J191" t="s">
        <v>158</v>
      </c>
      <c r="K191" t="s">
        <v>778</v>
      </c>
      <c r="L191">
        <v>4</v>
      </c>
      <c r="M191" s="5">
        <v>331.35</v>
      </c>
      <c r="N191" s="6">
        <v>15</v>
      </c>
      <c r="O191" s="5">
        <v>198.81</v>
      </c>
      <c r="P191" s="5">
        <v>168.99</v>
      </c>
      <c r="Q191" s="5">
        <v>1295.58</v>
      </c>
      <c r="R191" s="5">
        <v>1161.32</v>
      </c>
      <c r="S191" s="5">
        <v>134.26</v>
      </c>
      <c r="T191" s="7">
        <v>0.10362926256966</v>
      </c>
      <c r="U191" t="s">
        <v>12</v>
      </c>
      <c r="V191" t="s">
        <v>50</v>
      </c>
      <c r="W191" t="s">
        <v>50</v>
      </c>
      <c r="X191" t="s">
        <v>33</v>
      </c>
      <c r="Y191" t="s">
        <v>962</v>
      </c>
      <c r="Z191" t="s">
        <v>80</v>
      </c>
    </row>
    <row r="192" spans="1:26">
      <c r="A192" t="s">
        <v>963</v>
      </c>
      <c r="B192" t="s">
        <v>963</v>
      </c>
      <c r="C192" s="4">
        <v>45857</v>
      </c>
      <c r="D192">
        <v>2025</v>
      </c>
      <c r="E192">
        <v>7</v>
      </c>
      <c r="F192" t="s">
        <v>23</v>
      </c>
      <c r="G192" t="s">
        <v>89</v>
      </c>
      <c r="H192" t="s">
        <v>964</v>
      </c>
      <c r="I192" t="s">
        <v>126</v>
      </c>
      <c r="J192" t="s">
        <v>133</v>
      </c>
      <c r="K192" t="s">
        <v>134</v>
      </c>
      <c r="L192">
        <v>1</v>
      </c>
      <c r="M192" s="5">
        <v>131.03</v>
      </c>
      <c r="N192" s="6">
        <v>15</v>
      </c>
      <c r="O192" s="5">
        <v>19.65</v>
      </c>
      <c r="P192" s="5">
        <v>16.71</v>
      </c>
      <c r="Q192" s="5">
        <v>128.09</v>
      </c>
      <c r="R192" s="5">
        <v>117.27</v>
      </c>
      <c r="S192" s="5">
        <v>10.82</v>
      </c>
      <c r="T192" s="7">
        <v>0.0844718557264423</v>
      </c>
      <c r="U192" t="s">
        <v>13</v>
      </c>
      <c r="V192" t="s">
        <v>50</v>
      </c>
      <c r="W192" t="s">
        <v>50</v>
      </c>
      <c r="X192" t="s">
        <v>35</v>
      </c>
      <c r="Y192" t="s">
        <v>965</v>
      </c>
      <c r="Z192" t="s">
        <v>80</v>
      </c>
    </row>
    <row r="193" spans="1:26">
      <c r="A193" t="s">
        <v>966</v>
      </c>
      <c r="B193" t="s">
        <v>966</v>
      </c>
      <c r="C193" s="4">
        <v>45936</v>
      </c>
      <c r="D193">
        <v>2025</v>
      </c>
      <c r="E193">
        <v>10</v>
      </c>
      <c r="F193" t="s">
        <v>26</v>
      </c>
      <c r="G193" t="s">
        <v>137</v>
      </c>
      <c r="H193" t="s">
        <v>849</v>
      </c>
      <c r="I193" t="s">
        <v>91</v>
      </c>
      <c r="J193" t="s">
        <v>38</v>
      </c>
      <c r="K193" t="s">
        <v>236</v>
      </c>
      <c r="L193">
        <v>1</v>
      </c>
      <c r="M193" s="5">
        <v>234.86</v>
      </c>
      <c r="N193" s="6">
        <v>10</v>
      </c>
      <c r="O193" s="5">
        <v>23.49</v>
      </c>
      <c r="P193" s="5">
        <v>31.71</v>
      </c>
      <c r="Q193" s="5">
        <v>211.37</v>
      </c>
      <c r="R193" s="5">
        <v>213.23</v>
      </c>
      <c r="S193" s="5">
        <v>-1.86</v>
      </c>
      <c r="T193" s="7">
        <v>-0.00879973506174008</v>
      </c>
      <c r="U193" t="s">
        <v>13</v>
      </c>
      <c r="V193" t="s">
        <v>50</v>
      </c>
      <c r="W193" t="s">
        <v>50</v>
      </c>
      <c r="X193" t="s">
        <v>33</v>
      </c>
      <c r="Y193" t="s">
        <v>967</v>
      </c>
      <c r="Z193" t="s">
        <v>101</v>
      </c>
    </row>
    <row r="194" spans="1:26">
      <c r="A194" t="s">
        <v>968</v>
      </c>
      <c r="B194" t="s">
        <v>968</v>
      </c>
      <c r="C194" s="4">
        <v>45915</v>
      </c>
      <c r="D194">
        <v>2025</v>
      </c>
      <c r="E194">
        <v>9</v>
      </c>
      <c r="F194" t="s">
        <v>25</v>
      </c>
      <c r="G194" t="s">
        <v>89</v>
      </c>
      <c r="H194" t="s">
        <v>969</v>
      </c>
      <c r="I194" t="s">
        <v>970</v>
      </c>
      <c r="J194" t="s">
        <v>208</v>
      </c>
      <c r="K194" t="s">
        <v>971</v>
      </c>
      <c r="L194">
        <v>4</v>
      </c>
      <c r="M194" s="5">
        <v>351.78</v>
      </c>
      <c r="N194" s="6">
        <v>0</v>
      </c>
      <c r="O194" s="5">
        <v>0</v>
      </c>
      <c r="P194" s="5">
        <v>211.07</v>
      </c>
      <c r="Q194" s="5"/>
      <c r="R194" s="5">
        <v>1015.32</v>
      </c>
      <c r="S194" s="5">
        <v>391.8</v>
      </c>
      <c r="T194" s="7"/>
      <c r="U194" t="s">
        <v>14</v>
      </c>
      <c r="V194" t="s">
        <v>50</v>
      </c>
      <c r="W194" t="s">
        <v>50</v>
      </c>
      <c r="X194" t="s">
        <v>35</v>
      </c>
      <c r="Y194" t="s">
        <v>725</v>
      </c>
      <c r="Z194" t="s">
        <v>101</v>
      </c>
    </row>
    <row r="195" spans="1:26">
      <c r="A195" t="s">
        <v>972</v>
      </c>
      <c r="B195" t="s">
        <v>972</v>
      </c>
      <c r="C195" s="4">
        <v>46106</v>
      </c>
      <c r="D195">
        <v>2026</v>
      </c>
      <c r="E195">
        <v>3</v>
      </c>
      <c r="F195" t="s">
        <v>19</v>
      </c>
      <c r="G195" t="s">
        <v>82</v>
      </c>
      <c r="H195" t="s">
        <v>973</v>
      </c>
      <c r="I195" t="s">
        <v>854</v>
      </c>
      <c r="J195" t="s">
        <v>345</v>
      </c>
      <c r="K195" t="s">
        <v>718</v>
      </c>
      <c r="L195">
        <v>8</v>
      </c>
      <c r="M195" s="5">
        <v>537.83</v>
      </c>
      <c r="N195" s="6">
        <v>20</v>
      </c>
      <c r="O195" s="5">
        <v>860.53</v>
      </c>
      <c r="P195" s="5">
        <v>516.32</v>
      </c>
      <c r="Q195" s="5">
        <v>3442.11</v>
      </c>
      <c r="R195" s="5">
        <v>3033.52</v>
      </c>
      <c r="S195" s="5">
        <v>408.59</v>
      </c>
      <c r="T195" s="7">
        <v>0.118703353466333</v>
      </c>
      <c r="U195" t="s">
        <v>11</v>
      </c>
      <c r="V195" t="s">
        <v>50</v>
      </c>
      <c r="W195" t="s">
        <v>50</v>
      </c>
      <c r="X195" t="s">
        <v>33</v>
      </c>
      <c r="Y195" t="s">
        <v>636</v>
      </c>
      <c r="Z195" t="s">
        <v>101</v>
      </c>
    </row>
    <row r="196" spans="1:26">
      <c r="A196" t="s">
        <v>974</v>
      </c>
      <c r="B196" t="s">
        <v>974</v>
      </c>
      <c r="C196" s="4">
        <v>45865</v>
      </c>
      <c r="D196">
        <v>2025</v>
      </c>
      <c r="E196">
        <v>7</v>
      </c>
      <c r="F196" t="s">
        <v>23</v>
      </c>
      <c r="G196" t="s">
        <v>89</v>
      </c>
      <c r="H196" t="s">
        <v>378</v>
      </c>
      <c r="I196" t="s">
        <v>235</v>
      </c>
      <c r="J196" t="s">
        <v>369</v>
      </c>
      <c r="K196" t="s">
        <v>370</v>
      </c>
      <c r="L196">
        <v>1</v>
      </c>
      <c r="M196" s="5">
        <v>217.42</v>
      </c>
      <c r="N196" s="6">
        <v>0</v>
      </c>
      <c r="O196" s="5">
        <v>0</v>
      </c>
      <c r="P196" s="5">
        <v>32.61</v>
      </c>
      <c r="Q196" s="5">
        <v>250.03</v>
      </c>
      <c r="R196" s="5">
        <v>177.03</v>
      </c>
      <c r="S196" s="5">
        <v>73</v>
      </c>
      <c r="T196" s="7">
        <v>0.291964964204296</v>
      </c>
      <c r="U196" t="s">
        <v>12</v>
      </c>
      <c r="V196" t="s">
        <v>50</v>
      </c>
      <c r="W196" t="s">
        <v>50</v>
      </c>
      <c r="X196" t="s">
        <v>33</v>
      </c>
      <c r="Y196" t="s">
        <v>975</v>
      </c>
      <c r="Z196" t="s">
        <v>80</v>
      </c>
    </row>
    <row r="197" spans="1:26">
      <c r="A197" t="s">
        <v>976</v>
      </c>
      <c r="B197" t="s">
        <v>976</v>
      </c>
      <c r="C197" s="4">
        <v>45836</v>
      </c>
      <c r="D197">
        <v>2025</v>
      </c>
      <c r="E197">
        <v>6</v>
      </c>
      <c r="F197" t="s">
        <v>22</v>
      </c>
      <c r="G197" t="s">
        <v>74</v>
      </c>
      <c r="H197" t="s">
        <v>977</v>
      </c>
      <c r="I197" t="s">
        <v>285</v>
      </c>
      <c r="J197" t="s">
        <v>40</v>
      </c>
      <c r="K197" t="s">
        <v>978</v>
      </c>
      <c r="L197">
        <v>5</v>
      </c>
      <c r="M197" s="5">
        <v>541.35</v>
      </c>
      <c r="N197" s="6">
        <v>0</v>
      </c>
      <c r="O197" s="5">
        <v>0</v>
      </c>
      <c r="P197" s="5">
        <v>406.01</v>
      </c>
      <c r="Q197" s="5">
        <v>3112.76</v>
      </c>
      <c r="R197" s="5">
        <v>1682</v>
      </c>
      <c r="S197" s="5">
        <v>1430.76</v>
      </c>
      <c r="T197" s="7">
        <v>0.459643531785297</v>
      </c>
      <c r="U197" t="s">
        <v>13</v>
      </c>
      <c r="V197" t="s">
        <v>50</v>
      </c>
      <c r="W197" t="s">
        <v>50</v>
      </c>
      <c r="X197" t="s">
        <v>35</v>
      </c>
      <c r="Y197" t="s">
        <v>107</v>
      </c>
      <c r="Z197" t="s">
        <v>80</v>
      </c>
    </row>
    <row r="198" spans="1:26">
      <c r="A198" t="s">
        <v>979</v>
      </c>
      <c r="B198" t="s">
        <v>979</v>
      </c>
      <c r="C198" s="4">
        <v>45924</v>
      </c>
      <c r="D198">
        <v>2025</v>
      </c>
      <c r="E198">
        <v>9</v>
      </c>
      <c r="F198" t="s">
        <v>25</v>
      </c>
      <c r="G198" t="s">
        <v>89</v>
      </c>
      <c r="H198" t="s">
        <v>980</v>
      </c>
      <c r="I198" t="s">
        <v>84</v>
      </c>
      <c r="J198" t="s">
        <v>41</v>
      </c>
      <c r="K198" t="s">
        <v>588</v>
      </c>
      <c r="L198">
        <v>5</v>
      </c>
      <c r="M198" s="5">
        <v>448.94</v>
      </c>
      <c r="N198" s="6">
        <v>10</v>
      </c>
      <c r="O198" s="5">
        <v>224.47</v>
      </c>
      <c r="P198" s="5">
        <v>303.03</v>
      </c>
      <c r="Q198" s="5">
        <v>2020.23</v>
      </c>
      <c r="R198" s="5">
        <v>1900.4</v>
      </c>
      <c r="S198" s="5">
        <v>119.83</v>
      </c>
      <c r="T198" s="7">
        <v>0.0593150284868555</v>
      </c>
      <c r="U198" t="s">
        <v>10</v>
      </c>
      <c r="V198" t="s">
        <v>50</v>
      </c>
      <c r="W198" t="s">
        <v>50</v>
      </c>
      <c r="X198" t="s">
        <v>33</v>
      </c>
      <c r="Y198" t="s">
        <v>87</v>
      </c>
      <c r="Z198" t="s">
        <v>101</v>
      </c>
    </row>
    <row r="199" spans="1:26">
      <c r="A199" t="s">
        <v>981</v>
      </c>
      <c r="B199" t="s">
        <v>981</v>
      </c>
      <c r="C199" s="4">
        <v>45881</v>
      </c>
      <c r="D199">
        <v>2025</v>
      </c>
      <c r="E199">
        <v>8</v>
      </c>
      <c r="F199" t="s">
        <v>24</v>
      </c>
      <c r="G199" t="s">
        <v>89</v>
      </c>
      <c r="H199" t="s">
        <v>982</v>
      </c>
      <c r="I199" t="s">
        <v>174</v>
      </c>
      <c r="J199" t="s">
        <v>246</v>
      </c>
      <c r="K199" t="s">
        <v>736</v>
      </c>
      <c r="L199">
        <v>0</v>
      </c>
      <c r="M199" s="5">
        <v>397.22</v>
      </c>
      <c r="N199" s="6">
        <v>0</v>
      </c>
      <c r="O199" s="5">
        <v>0</v>
      </c>
      <c r="P199" s="5">
        <v>0</v>
      </c>
      <c r="Q199" s="5">
        <v>1986.1</v>
      </c>
      <c r="R199" s="5">
        <v>1596.85</v>
      </c>
      <c r="S199" s="5">
        <v>389.25</v>
      </c>
      <c r="T199" s="7">
        <v>0.195987110417401</v>
      </c>
      <c r="U199" t="s">
        <v>14</v>
      </c>
      <c r="V199" t="s">
        <v>50</v>
      </c>
      <c r="W199" t="s">
        <v>50</v>
      </c>
      <c r="X199" t="s">
        <v>34</v>
      </c>
      <c r="Y199" t="s">
        <v>983</v>
      </c>
      <c r="Z199" t="s">
        <v>101</v>
      </c>
    </row>
    <row r="200" spans="1:26">
      <c r="A200" t="s">
        <v>984</v>
      </c>
      <c r="B200" t="s">
        <v>984</v>
      </c>
      <c r="C200" s="4">
        <v>46001</v>
      </c>
      <c r="D200">
        <v>2025</v>
      </c>
      <c r="E200">
        <v>12</v>
      </c>
      <c r="F200" t="s">
        <v>28</v>
      </c>
      <c r="G200" t="s">
        <v>137</v>
      </c>
      <c r="H200" t="s">
        <v>985</v>
      </c>
      <c r="I200" t="s">
        <v>986</v>
      </c>
      <c r="J200" t="s">
        <v>751</v>
      </c>
      <c r="K200" t="s">
        <v>752</v>
      </c>
      <c r="L200">
        <v>7</v>
      </c>
      <c r="M200" s="5">
        <v>382.17</v>
      </c>
      <c r="N200" s="6">
        <v>5</v>
      </c>
      <c r="O200" s="5">
        <v>133.76</v>
      </c>
      <c r="P200" s="5">
        <v>381.21</v>
      </c>
      <c r="Q200" s="5">
        <v>2541.43</v>
      </c>
      <c r="R200" s="5">
        <v>1669.01</v>
      </c>
      <c r="S200" s="5">
        <v>872.42</v>
      </c>
      <c r="T200" s="7">
        <v>0.343279177470951</v>
      </c>
      <c r="U200" t="s">
        <v>13</v>
      </c>
      <c r="V200" t="s">
        <v>50</v>
      </c>
      <c r="W200" t="s">
        <v>50</v>
      </c>
      <c r="X200" t="s">
        <v>35</v>
      </c>
      <c r="Y200" t="s">
        <v>987</v>
      </c>
      <c r="Z200" t="s">
        <v>101</v>
      </c>
    </row>
    <row r="201" spans="1:26">
      <c r="A201" t="s">
        <v>988</v>
      </c>
      <c r="B201" t="s">
        <v>988</v>
      </c>
      <c r="C201" s="4">
        <v>45968</v>
      </c>
      <c r="D201">
        <v>2025</v>
      </c>
      <c r="E201">
        <v>11</v>
      </c>
      <c r="F201" t="s">
        <v>27</v>
      </c>
      <c r="G201" t="s">
        <v>137</v>
      </c>
      <c r="H201" t="s">
        <v>641</v>
      </c>
      <c r="I201" t="s">
        <v>174</v>
      </c>
      <c r="J201" t="s">
        <v>659</v>
      </c>
      <c r="K201" t="s">
        <v>989</v>
      </c>
      <c r="L201">
        <v>5</v>
      </c>
      <c r="M201" s="5">
        <v>397.22</v>
      </c>
      <c r="N201" s="6">
        <v>10</v>
      </c>
      <c r="O201" s="5">
        <v>198.61</v>
      </c>
      <c r="P201" s="5">
        <v>268.12</v>
      </c>
      <c r="Q201" s="5">
        <v>1787.49</v>
      </c>
      <c r="R201" s="5">
        <v>1596.85</v>
      </c>
      <c r="S201" s="5">
        <v>190.64</v>
      </c>
      <c r="T201" s="7">
        <v>0.106652344908223</v>
      </c>
      <c r="U201" t="s">
        <v>9</v>
      </c>
      <c r="V201" t="s">
        <v>50</v>
      </c>
      <c r="W201" t="s">
        <v>50</v>
      </c>
      <c r="X201" t="s">
        <v>33</v>
      </c>
      <c r="Y201" t="s">
        <v>990</v>
      </c>
      <c r="Z201" t="s">
        <v>101</v>
      </c>
    </row>
    <row r="202" spans="1:26">
      <c r="A202" t="s">
        <v>991</v>
      </c>
      <c r="B202" t="s">
        <v>991</v>
      </c>
      <c r="C202" s="4">
        <v>45943</v>
      </c>
      <c r="D202">
        <v>2025</v>
      </c>
      <c r="E202">
        <v>10</v>
      </c>
      <c r="F202" t="s">
        <v>26</v>
      </c>
      <c r="G202" t="s">
        <v>137</v>
      </c>
      <c r="H202" t="s">
        <v>502</v>
      </c>
      <c r="I202" t="s">
        <v>196</v>
      </c>
      <c r="J202" t="s">
        <v>46</v>
      </c>
      <c r="K202" t="s">
        <v>992</v>
      </c>
      <c r="L202">
        <v>4</v>
      </c>
      <c r="M202" s="5">
        <v>332.73</v>
      </c>
      <c r="N202" s="6">
        <v>5</v>
      </c>
      <c r="O202" s="5">
        <v>66.55</v>
      </c>
      <c r="P202" s="5">
        <v>189.66</v>
      </c>
      <c r="Q202" s="5">
        <v>1264.37</v>
      </c>
      <c r="R202" s="5">
        <v>1044.88</v>
      </c>
      <c r="S202" s="5">
        <v>219.49</v>
      </c>
      <c r="T202" s="7">
        <v>0.173596336515419</v>
      </c>
      <c r="U202" t="s">
        <v>12</v>
      </c>
      <c r="V202" t="s">
        <v>50</v>
      </c>
      <c r="W202" t="s">
        <v>50</v>
      </c>
      <c r="X202" t="s">
        <v>35</v>
      </c>
      <c r="Y202" t="s">
        <v>993</v>
      </c>
      <c r="Z202" t="s">
        <v>101</v>
      </c>
    </row>
    <row r="203" spans="1:26">
      <c r="A203" t="s">
        <v>994</v>
      </c>
      <c r="B203" t="s">
        <v>994</v>
      </c>
      <c r="C203" s="4">
        <v>45995</v>
      </c>
      <c r="D203">
        <v>2025</v>
      </c>
      <c r="E203">
        <v>12</v>
      </c>
      <c r="F203" t="s">
        <v>28</v>
      </c>
      <c r="G203" t="s">
        <v>137</v>
      </c>
      <c r="H203" t="s">
        <v>995</v>
      </c>
      <c r="I203" t="s">
        <v>157</v>
      </c>
      <c r="J203" t="s">
        <v>482</v>
      </c>
      <c r="K203" t="s">
        <v>446</v>
      </c>
      <c r="L203">
        <v>2</v>
      </c>
      <c r="M203" s="5">
        <v>59.92</v>
      </c>
      <c r="N203" s="6">
        <v>0</v>
      </c>
      <c r="O203" s="5">
        <v>0</v>
      </c>
      <c r="P203" s="5">
        <v>17.98</v>
      </c>
      <c r="Q203" s="5">
        <v>119.84</v>
      </c>
      <c r="R203" s="5">
        <v>96.3</v>
      </c>
      <c r="S203" s="5">
        <v>23.54</v>
      </c>
      <c r="T203" s="7">
        <v>0.196428571428571</v>
      </c>
      <c r="U203" t="s">
        <v>13</v>
      </c>
      <c r="V203" t="s">
        <v>50</v>
      </c>
      <c r="W203" t="s">
        <v>50</v>
      </c>
      <c r="X203" t="s">
        <v>33</v>
      </c>
      <c r="Y203" t="s">
        <v>996</v>
      </c>
      <c r="Z203" t="s">
        <v>101</v>
      </c>
    </row>
    <row r="204" spans="1:26">
      <c r="A204" t="s">
        <v>997</v>
      </c>
      <c r="B204" t="s">
        <v>997</v>
      </c>
      <c r="C204" s="4">
        <v>46089</v>
      </c>
      <c r="D204">
        <v>2026</v>
      </c>
      <c r="E204">
        <v>3</v>
      </c>
      <c r="F204" t="s">
        <v>19</v>
      </c>
      <c r="G204" t="s">
        <v>82</v>
      </c>
      <c r="H204" t="s">
        <v>669</v>
      </c>
      <c r="I204" t="s">
        <v>547</v>
      </c>
      <c r="J204" t="s">
        <v>998</v>
      </c>
      <c r="K204" t="s">
        <v>999</v>
      </c>
      <c r="L204">
        <v>4</v>
      </c>
      <c r="M204" s="5">
        <v>503.36</v>
      </c>
      <c r="N204" s="6">
        <v>0</v>
      </c>
      <c r="O204" s="5">
        <v>0</v>
      </c>
      <c r="P204" s="5">
        <v>302.02</v>
      </c>
      <c r="Q204" s="5">
        <v>2315.46</v>
      </c>
      <c r="R204" s="5">
        <v>1559.2</v>
      </c>
      <c r="S204" s="5">
        <v>756.26</v>
      </c>
      <c r="T204" s="7">
        <v>0.32661328634483</v>
      </c>
      <c r="U204" t="s">
        <v>9</v>
      </c>
      <c r="V204" t="s">
        <v>50</v>
      </c>
      <c r="W204" t="s">
        <v>50</v>
      </c>
      <c r="X204" t="s">
        <v>33</v>
      </c>
      <c r="Y204" t="s">
        <v>1000</v>
      </c>
      <c r="Z204" t="s">
        <v>80</v>
      </c>
    </row>
    <row r="205" spans="1:26">
      <c r="A205" t="s">
        <v>1001</v>
      </c>
      <c r="B205" t="s">
        <v>1001</v>
      </c>
      <c r="C205" s="4">
        <v>45790</v>
      </c>
      <c r="D205">
        <v>2025</v>
      </c>
      <c r="E205">
        <v>5</v>
      </c>
      <c r="F205" t="s">
        <v>21</v>
      </c>
      <c r="G205" t="s">
        <v>74</v>
      </c>
      <c r="H205" t="s">
        <v>1002</v>
      </c>
      <c r="I205" t="s">
        <v>350</v>
      </c>
      <c r="J205" t="s">
        <v>1003</v>
      </c>
      <c r="K205" t="s">
        <v>1004</v>
      </c>
      <c r="L205">
        <v>3</v>
      </c>
      <c r="M205" s="5">
        <v>343.56</v>
      </c>
      <c r="N205" s="6">
        <v>0</v>
      </c>
      <c r="O205" s="5">
        <v>0</v>
      </c>
      <c r="P205" s="5">
        <v>154.6</v>
      </c>
      <c r="Q205" s="5">
        <v>1030.68</v>
      </c>
      <c r="R205" s="5">
        <v>648.96</v>
      </c>
      <c r="S205" s="5">
        <v>381.72</v>
      </c>
      <c r="T205" s="7">
        <v>0.370357433927116</v>
      </c>
      <c r="U205" t="s">
        <v>14</v>
      </c>
      <c r="V205" t="s">
        <v>50</v>
      </c>
      <c r="W205" t="s">
        <v>50</v>
      </c>
      <c r="X205" t="s">
        <v>33</v>
      </c>
      <c r="Y205" t="s">
        <v>1005</v>
      </c>
      <c r="Z205" t="s">
        <v>101</v>
      </c>
    </row>
    <row r="206" spans="1:26">
      <c r="A206" t="s">
        <v>1006</v>
      </c>
      <c r="B206" t="s">
        <v>1006</v>
      </c>
      <c r="C206" s="4">
        <v>45920</v>
      </c>
      <c r="D206">
        <v>2025</v>
      </c>
      <c r="E206">
        <v>9</v>
      </c>
      <c r="F206" t="s">
        <v>25</v>
      </c>
      <c r="G206" t="s">
        <v>89</v>
      </c>
      <c r="H206" t="s">
        <v>1007</v>
      </c>
      <c r="I206" t="s">
        <v>756</v>
      </c>
      <c r="J206" t="s">
        <v>38</v>
      </c>
      <c r="K206" t="s">
        <v>236</v>
      </c>
      <c r="L206">
        <v>7</v>
      </c>
      <c r="M206" s="5">
        <v>181.93</v>
      </c>
      <c r="N206" s="6">
        <v>0</v>
      </c>
      <c r="O206" s="5">
        <v>0</v>
      </c>
      <c r="P206" s="5">
        <v>191.03</v>
      </c>
      <c r="Q206" s="5">
        <v>1464.54</v>
      </c>
      <c r="R206" s="5">
        <v>869.68</v>
      </c>
      <c r="S206" s="5">
        <v>594.86</v>
      </c>
      <c r="T206" s="7">
        <v>0.406175317847242</v>
      </c>
      <c r="U206" t="s">
        <v>14</v>
      </c>
      <c r="V206" t="s">
        <v>50</v>
      </c>
      <c r="W206" t="s">
        <v>50</v>
      </c>
      <c r="X206" t="s">
        <v>35</v>
      </c>
      <c r="Y206" t="s">
        <v>733</v>
      </c>
      <c r="Z206" t="s">
        <v>80</v>
      </c>
    </row>
    <row r="207" spans="1:26">
      <c r="A207" t="s">
        <v>1008</v>
      </c>
      <c r="B207" t="s">
        <v>1008</v>
      </c>
      <c r="C207" s="4">
        <v>45957</v>
      </c>
      <c r="D207">
        <v>2025</v>
      </c>
      <c r="E207">
        <v>10</v>
      </c>
      <c r="F207" t="s">
        <v>26</v>
      </c>
      <c r="G207" t="s">
        <v>137</v>
      </c>
      <c r="H207" t="s">
        <v>355</v>
      </c>
      <c r="I207" t="s">
        <v>774</v>
      </c>
      <c r="J207" t="s">
        <v>1009</v>
      </c>
      <c r="K207" t="s">
        <v>1010</v>
      </c>
      <c r="L207">
        <v>5</v>
      </c>
      <c r="M207" s="5">
        <v>751.74</v>
      </c>
      <c r="N207" s="6">
        <v>15</v>
      </c>
      <c r="O207" s="5">
        <v>563.8</v>
      </c>
      <c r="P207" s="5">
        <v>479.23</v>
      </c>
      <c r="Q207" s="5">
        <v>3194.9</v>
      </c>
      <c r="R207" s="5">
        <v>1993.6</v>
      </c>
      <c r="S207" s="5">
        <v>1201.3</v>
      </c>
      <c r="T207" s="7">
        <v>0.376005508779618</v>
      </c>
      <c r="U207" t="s">
        <v>12</v>
      </c>
      <c r="V207" t="s">
        <v>50</v>
      </c>
      <c r="W207" t="s">
        <v>50</v>
      </c>
      <c r="X207" t="s">
        <v>33</v>
      </c>
      <c r="Y207" t="s">
        <v>1011</v>
      </c>
      <c r="Z207" t="s">
        <v>101</v>
      </c>
    </row>
    <row r="208" spans="1:26">
      <c r="A208" t="s">
        <v>1012</v>
      </c>
      <c r="B208" t="s">
        <v>1012</v>
      </c>
      <c r="C208" s="4">
        <v>46089</v>
      </c>
      <c r="D208">
        <v>2026</v>
      </c>
      <c r="E208">
        <v>3</v>
      </c>
      <c r="F208" t="s">
        <v>19</v>
      </c>
      <c r="G208" t="s">
        <v>82</v>
      </c>
      <c r="H208" t="s">
        <v>1013</v>
      </c>
      <c r="I208" t="s">
        <v>470</v>
      </c>
      <c r="J208" t="s">
        <v>1014</v>
      </c>
      <c r="K208" t="s">
        <v>1015</v>
      </c>
      <c r="L208">
        <v>4</v>
      </c>
      <c r="M208" s="5">
        <v>290.45</v>
      </c>
      <c r="N208" s="6">
        <v>0</v>
      </c>
      <c r="O208" s="5">
        <v>0</v>
      </c>
      <c r="P208" s="5">
        <v>174.27</v>
      </c>
      <c r="Q208" s="5">
        <v>1336.07</v>
      </c>
      <c r="R208" s="5">
        <v>951.56</v>
      </c>
      <c r="S208" s="5">
        <v>384.51</v>
      </c>
      <c r="T208" s="7">
        <v>0.287791807315485</v>
      </c>
      <c r="U208" t="s">
        <v>12</v>
      </c>
      <c r="V208" t="s">
        <v>50</v>
      </c>
      <c r="W208" t="s">
        <v>50</v>
      </c>
      <c r="X208" t="s">
        <v>33</v>
      </c>
      <c r="Y208" t="s">
        <v>1016</v>
      </c>
      <c r="Z208" t="s">
        <v>80</v>
      </c>
    </row>
    <row r="209" spans="1:26">
      <c r="A209" t="s">
        <v>1017</v>
      </c>
      <c r="B209" t="s">
        <v>1017</v>
      </c>
      <c r="C209" s="4">
        <v>46011</v>
      </c>
      <c r="D209">
        <v>2025</v>
      </c>
      <c r="E209">
        <v>12</v>
      </c>
      <c r="F209" t="s">
        <v>28</v>
      </c>
      <c r="G209" t="s">
        <v>137</v>
      </c>
      <c r="H209" t="s">
        <v>1018</v>
      </c>
      <c r="I209" t="s">
        <v>1019</v>
      </c>
      <c r="J209" t="s">
        <v>955</v>
      </c>
      <c r="K209" t="s">
        <v>1020</v>
      </c>
      <c r="L209">
        <v>7</v>
      </c>
      <c r="M209" s="5">
        <v>147.07</v>
      </c>
      <c r="N209" s="6">
        <v>15</v>
      </c>
      <c r="O209" s="5">
        <v>154.42</v>
      </c>
      <c r="P209" s="5">
        <v>131.26</v>
      </c>
      <c r="Q209" s="5">
        <v>1006.33</v>
      </c>
      <c r="R209" s="5">
        <v>788.34</v>
      </c>
      <c r="S209" s="5">
        <v>217.99</v>
      </c>
      <c r="T209" s="7">
        <v>0.216618802977155</v>
      </c>
      <c r="U209" t="s">
        <v>13</v>
      </c>
      <c r="V209" t="s">
        <v>50</v>
      </c>
      <c r="W209" t="s">
        <v>50</v>
      </c>
      <c r="X209" t="s">
        <v>33</v>
      </c>
      <c r="Y209" t="s">
        <v>1021</v>
      </c>
      <c r="Z209" t="s">
        <v>80</v>
      </c>
    </row>
    <row r="210" spans="1:26">
      <c r="A210" t="s">
        <v>1022</v>
      </c>
      <c r="B210" t="s">
        <v>1022</v>
      </c>
      <c r="C210" s="4">
        <v>45942</v>
      </c>
      <c r="D210">
        <v>2025</v>
      </c>
      <c r="E210">
        <v>10</v>
      </c>
      <c r="F210" t="s">
        <v>26</v>
      </c>
      <c r="G210" t="s">
        <v>137</v>
      </c>
      <c r="H210" t="s">
        <v>1023</v>
      </c>
      <c r="I210" t="s">
        <v>1019</v>
      </c>
      <c r="J210" t="s">
        <v>665</v>
      </c>
      <c r="K210" t="s">
        <v>666</v>
      </c>
      <c r="L210">
        <v>5</v>
      </c>
      <c r="M210" s="5">
        <v>130.09</v>
      </c>
      <c r="N210" s="6">
        <v>15</v>
      </c>
      <c r="O210" s="5">
        <v>97.57</v>
      </c>
      <c r="P210" s="5">
        <v>82.93</v>
      </c>
      <c r="Q210" s="5">
        <v>635.81</v>
      </c>
      <c r="R210" s="5">
        <v>563.1</v>
      </c>
      <c r="S210" s="5">
        <v>72.71</v>
      </c>
      <c r="T210" s="7">
        <v>0.114358062943332</v>
      </c>
      <c r="U210" t="s">
        <v>14</v>
      </c>
      <c r="V210" t="s">
        <v>50</v>
      </c>
      <c r="W210" t="s">
        <v>50</v>
      </c>
      <c r="X210" t="s">
        <v>33</v>
      </c>
      <c r="Y210" t="s">
        <v>1024</v>
      </c>
      <c r="Z210" t="s">
        <v>80</v>
      </c>
    </row>
    <row r="211" spans="1:26">
      <c r="A211" t="s">
        <v>1025</v>
      </c>
      <c r="B211" t="s">
        <v>1025</v>
      </c>
      <c r="C211" s="4">
        <v>46081</v>
      </c>
      <c r="D211">
        <v>2026</v>
      </c>
      <c r="E211">
        <v>2</v>
      </c>
      <c r="F211" t="s">
        <v>31</v>
      </c>
      <c r="G211" t="s">
        <v>82</v>
      </c>
      <c r="H211" t="s">
        <v>1026</v>
      </c>
      <c r="I211" t="s">
        <v>350</v>
      </c>
      <c r="J211" t="s">
        <v>820</v>
      </c>
      <c r="K211" t="s">
        <v>1020</v>
      </c>
      <c r="L211">
        <v>6</v>
      </c>
      <c r="M211" s="5">
        <v>373.11</v>
      </c>
      <c r="N211" s="6">
        <v>10</v>
      </c>
      <c r="O211" s="5">
        <v>223.87</v>
      </c>
      <c r="P211" s="5">
        <v>302.22</v>
      </c>
      <c r="Q211" s="5">
        <v>2317.01</v>
      </c>
      <c r="R211" s="5">
        <v>1297.92</v>
      </c>
      <c r="S211" s="5">
        <v>1019.09</v>
      </c>
      <c r="T211" s="7">
        <v>0.43982978062244</v>
      </c>
      <c r="U211" t="s">
        <v>9</v>
      </c>
      <c r="V211" t="s">
        <v>50</v>
      </c>
      <c r="W211" t="s">
        <v>50</v>
      </c>
      <c r="X211" t="s">
        <v>35</v>
      </c>
      <c r="Y211" t="s">
        <v>700</v>
      </c>
      <c r="Z211" t="s">
        <v>80</v>
      </c>
    </row>
    <row r="212" spans="1:26">
      <c r="A212" t="s">
        <v>1027</v>
      </c>
      <c r="B212" t="s">
        <v>1027</v>
      </c>
      <c r="C212" s="4">
        <v>45921</v>
      </c>
      <c r="D212">
        <v>2025</v>
      </c>
      <c r="E212">
        <v>9</v>
      </c>
      <c r="F212" t="s">
        <v>25</v>
      </c>
      <c r="G212" t="s">
        <v>89</v>
      </c>
      <c r="H212" t="s">
        <v>1028</v>
      </c>
      <c r="I212" t="s">
        <v>301</v>
      </c>
      <c r="J212" t="s">
        <v>626</v>
      </c>
      <c r="K212" t="s">
        <v>1029</v>
      </c>
      <c r="L212">
        <v>5</v>
      </c>
      <c r="M212" s="5">
        <v>222.64</v>
      </c>
      <c r="N212" s="6">
        <v>5</v>
      </c>
      <c r="O212" s="5">
        <v>55.66</v>
      </c>
      <c r="P212" s="5">
        <v>158.63</v>
      </c>
      <c r="Q212" s="5">
        <v>1216.17</v>
      </c>
      <c r="R212" s="5">
        <v>977.2</v>
      </c>
      <c r="S212" s="5">
        <v>238.97</v>
      </c>
      <c r="T212" s="7">
        <v>0.19649391121307</v>
      </c>
      <c r="U212" t="s">
        <v>9</v>
      </c>
      <c r="V212" t="s">
        <v>50</v>
      </c>
      <c r="W212" t="s">
        <v>50</v>
      </c>
      <c r="X212" t="s">
        <v>35</v>
      </c>
      <c r="Y212" t="s">
        <v>1011</v>
      </c>
      <c r="Z212" t="s">
        <v>80</v>
      </c>
    </row>
    <row r="213" spans="1:26">
      <c r="A213" t="s">
        <v>1030</v>
      </c>
      <c r="B213" t="s">
        <v>1030</v>
      </c>
      <c r="C213" s="4">
        <v>45939</v>
      </c>
      <c r="D213">
        <v>2025</v>
      </c>
      <c r="E213">
        <v>10</v>
      </c>
      <c r="F213" t="s">
        <v>26</v>
      </c>
      <c r="G213" t="s">
        <v>137</v>
      </c>
      <c r="H213" t="s">
        <v>1031</v>
      </c>
      <c r="I213" t="s">
        <v>411</v>
      </c>
      <c r="J213" t="s">
        <v>837</v>
      </c>
      <c r="K213" t="s">
        <v>1032</v>
      </c>
      <c r="L213">
        <v>1</v>
      </c>
      <c r="M213" s="5">
        <v>459.58</v>
      </c>
      <c r="N213" s="6">
        <v>0</v>
      </c>
      <c r="O213" s="5">
        <v>0</v>
      </c>
      <c r="P213" s="5">
        <v>68.94</v>
      </c>
      <c r="Q213" s="5">
        <v>459.58</v>
      </c>
      <c r="R213" s="5">
        <v>386.89</v>
      </c>
      <c r="S213" s="5">
        <v>72.69</v>
      </c>
      <c r="T213" s="7">
        <v>0.158166151703729</v>
      </c>
      <c r="U213" t="s">
        <v>13</v>
      </c>
      <c r="V213" t="s">
        <v>50</v>
      </c>
      <c r="W213" t="s">
        <v>50</v>
      </c>
      <c r="X213" t="s">
        <v>33</v>
      </c>
      <c r="Y213" t="s">
        <v>804</v>
      </c>
      <c r="Z213" t="s">
        <v>101</v>
      </c>
    </row>
    <row r="214" spans="1:26">
      <c r="A214" t="s">
        <v>1033</v>
      </c>
      <c r="B214" t="s">
        <v>1033</v>
      </c>
      <c r="C214" s="4">
        <v>45986</v>
      </c>
      <c r="D214">
        <v>2025</v>
      </c>
      <c r="E214">
        <v>11</v>
      </c>
      <c r="F214" t="s">
        <v>27</v>
      </c>
      <c r="G214" t="s">
        <v>137</v>
      </c>
      <c r="H214" t="s">
        <v>1034</v>
      </c>
      <c r="I214" t="s">
        <v>623</v>
      </c>
      <c r="J214" t="s">
        <v>872</v>
      </c>
      <c r="K214" t="s">
        <v>873</v>
      </c>
      <c r="L214">
        <v>6</v>
      </c>
      <c r="M214" s="5">
        <v>157.1</v>
      </c>
      <c r="N214" s="6">
        <v>0</v>
      </c>
      <c r="O214" s="5">
        <v>0</v>
      </c>
      <c r="P214" s="5">
        <v>141.39</v>
      </c>
      <c r="Q214" s="5">
        <v>942.6</v>
      </c>
      <c r="R214" s="5">
        <v>641.94</v>
      </c>
      <c r="S214" s="5">
        <v>300.66</v>
      </c>
      <c r="T214" s="7">
        <v>0.318968809675366</v>
      </c>
      <c r="U214" t="s">
        <v>11</v>
      </c>
      <c r="V214" t="s">
        <v>50</v>
      </c>
      <c r="W214" t="s">
        <v>50</v>
      </c>
      <c r="X214" t="s">
        <v>35</v>
      </c>
      <c r="Y214" t="s">
        <v>1035</v>
      </c>
      <c r="Z214" t="s">
        <v>101</v>
      </c>
    </row>
    <row r="215" spans="1:26">
      <c r="A215" t="s">
        <v>1036</v>
      </c>
      <c r="B215" t="s">
        <v>1036</v>
      </c>
      <c r="C215" s="4">
        <v>45829</v>
      </c>
      <c r="D215">
        <v>2025</v>
      </c>
      <c r="E215">
        <v>6</v>
      </c>
      <c r="F215" t="s">
        <v>22</v>
      </c>
      <c r="G215" t="s">
        <v>74</v>
      </c>
      <c r="H215" t="s">
        <v>1037</v>
      </c>
      <c r="I215" t="s">
        <v>514</v>
      </c>
      <c r="J215" t="s">
        <v>894</v>
      </c>
      <c r="K215" t="s">
        <v>1038</v>
      </c>
      <c r="L215">
        <v>6</v>
      </c>
      <c r="M215" s="5">
        <v>617.43</v>
      </c>
      <c r="N215" s="6">
        <v>5</v>
      </c>
      <c r="O215" s="5">
        <v>185.23</v>
      </c>
      <c r="P215" s="5">
        <v>527.9</v>
      </c>
      <c r="Q215" s="5">
        <v>4047.25</v>
      </c>
      <c r="R215" s="5">
        <v>2061.9</v>
      </c>
      <c r="S215" s="5">
        <v>1985.35</v>
      </c>
      <c r="T215" s="7">
        <v>0.490542961269998</v>
      </c>
      <c r="U215" t="s">
        <v>14</v>
      </c>
      <c r="V215" t="s">
        <v>50</v>
      </c>
      <c r="W215" t="s">
        <v>50</v>
      </c>
      <c r="X215" t="s">
        <v>33</v>
      </c>
      <c r="Y215" t="s">
        <v>1039</v>
      </c>
      <c r="Z215" t="s">
        <v>80</v>
      </c>
    </row>
    <row r="216" spans="1:26">
      <c r="A216" t="s">
        <v>1040</v>
      </c>
      <c r="B216" t="s">
        <v>1040</v>
      </c>
      <c r="C216" s="4">
        <v>46065</v>
      </c>
      <c r="D216">
        <v>2026</v>
      </c>
      <c r="E216">
        <v>2</v>
      </c>
      <c r="F216" t="s">
        <v>31</v>
      </c>
      <c r="G216" t="s">
        <v>82</v>
      </c>
      <c r="H216" t="s">
        <v>1041</v>
      </c>
      <c r="I216" t="s">
        <v>235</v>
      </c>
      <c r="J216" t="s">
        <v>955</v>
      </c>
      <c r="K216" t="s">
        <v>93</v>
      </c>
      <c r="L216">
        <v>2</v>
      </c>
      <c r="M216" s="5">
        <v>217.42</v>
      </c>
      <c r="N216" s="6">
        <v>0</v>
      </c>
      <c r="O216" s="5">
        <v>0</v>
      </c>
      <c r="P216" s="5">
        <v>65.23</v>
      </c>
      <c r="Q216" s="5">
        <v>434.84</v>
      </c>
      <c r="R216" s="5">
        <v>354.06</v>
      </c>
      <c r="S216" s="5">
        <v>80.78</v>
      </c>
      <c r="T216" s="7">
        <v>0.185769478428847</v>
      </c>
      <c r="U216" t="s">
        <v>9</v>
      </c>
      <c r="V216" t="s">
        <v>50</v>
      </c>
      <c r="W216" t="s">
        <v>50</v>
      </c>
      <c r="X216" t="s">
        <v>33</v>
      </c>
      <c r="Y216" t="s">
        <v>1042</v>
      </c>
      <c r="Z216" t="s">
        <v>101</v>
      </c>
    </row>
    <row r="217" spans="1:26">
      <c r="A217" t="s">
        <v>1043</v>
      </c>
      <c r="B217" t="s">
        <v>1043</v>
      </c>
      <c r="C217" s="4">
        <v>45882</v>
      </c>
      <c r="D217">
        <v>2025</v>
      </c>
      <c r="E217">
        <v>8</v>
      </c>
      <c r="F217" t="s">
        <v>24</v>
      </c>
      <c r="G217" t="s">
        <v>89</v>
      </c>
      <c r="H217" t="s">
        <v>1044</v>
      </c>
      <c r="I217" t="s">
        <v>132</v>
      </c>
      <c r="J217" t="s">
        <v>489</v>
      </c>
      <c r="K217" t="s">
        <v>1045</v>
      </c>
      <c r="L217">
        <v>3</v>
      </c>
      <c r="M217" s="5">
        <v>268.7</v>
      </c>
      <c r="N217" s="6">
        <v>0</v>
      </c>
      <c r="O217" s="5">
        <v>0</v>
      </c>
      <c r="P217" s="5">
        <v>120.91</v>
      </c>
      <c r="Q217" s="5">
        <v>806.1</v>
      </c>
      <c r="R217" s="5">
        <v>582.18</v>
      </c>
      <c r="S217" s="5">
        <v>223.92</v>
      </c>
      <c r="T217" s="7">
        <v>0.27778191291403</v>
      </c>
      <c r="U217" t="s">
        <v>14</v>
      </c>
      <c r="V217" t="s">
        <v>50</v>
      </c>
      <c r="W217" t="s">
        <v>50</v>
      </c>
      <c r="X217" t="s">
        <v>35</v>
      </c>
      <c r="Y217" t="s">
        <v>1046</v>
      </c>
      <c r="Z217" t="s">
        <v>101</v>
      </c>
    </row>
    <row r="218" spans="1:26">
      <c r="A218" t="s">
        <v>1047</v>
      </c>
      <c r="B218" t="s">
        <v>1047</v>
      </c>
      <c r="C218" s="4">
        <v>45996</v>
      </c>
      <c r="D218">
        <v>2025</v>
      </c>
      <c r="E218">
        <v>12</v>
      </c>
      <c r="F218" t="s">
        <v>28</v>
      </c>
      <c r="G218" t="s">
        <v>137</v>
      </c>
      <c r="H218" t="s">
        <v>591</v>
      </c>
      <c r="I218" t="s">
        <v>344</v>
      </c>
      <c r="J218" t="s">
        <v>770</v>
      </c>
      <c r="K218" t="s">
        <v>771</v>
      </c>
      <c r="L218">
        <v>3</v>
      </c>
      <c r="M218" s="5">
        <v>571.83</v>
      </c>
      <c r="N218" s="6">
        <v>15</v>
      </c>
      <c r="O218" s="5">
        <v>257.32</v>
      </c>
      <c r="P218" s="5">
        <v>218.73</v>
      </c>
      <c r="Q218" s="5">
        <v>1458.17</v>
      </c>
      <c r="R218" s="5">
        <v>1089.87</v>
      </c>
      <c r="S218" s="5">
        <v>368.3</v>
      </c>
      <c r="T218" s="7">
        <v>0.252576860036896</v>
      </c>
      <c r="U218" t="s">
        <v>11</v>
      </c>
      <c r="V218" t="s">
        <v>50</v>
      </c>
      <c r="W218" t="s">
        <v>50</v>
      </c>
      <c r="X218" t="s">
        <v>34</v>
      </c>
      <c r="Y218" t="s">
        <v>1048</v>
      </c>
      <c r="Z218" t="s">
        <v>101</v>
      </c>
    </row>
    <row r="219" spans="1:26">
      <c r="A219" t="s">
        <v>1049</v>
      </c>
      <c r="B219" t="s">
        <v>1049</v>
      </c>
      <c r="C219" s="4">
        <v>45891</v>
      </c>
      <c r="D219">
        <v>2025</v>
      </c>
      <c r="E219">
        <v>8</v>
      </c>
      <c r="F219" t="s">
        <v>24</v>
      </c>
      <c r="G219" t="s">
        <v>89</v>
      </c>
      <c r="H219" t="s">
        <v>1050</v>
      </c>
      <c r="I219" t="s">
        <v>1051</v>
      </c>
      <c r="J219" t="s">
        <v>872</v>
      </c>
      <c r="K219" t="s">
        <v>873</v>
      </c>
      <c r="L219">
        <v>1</v>
      </c>
      <c r="M219" s="5">
        <v>261.55</v>
      </c>
      <c r="N219" s="6">
        <v>5</v>
      </c>
      <c r="O219" s="5">
        <v>13.08</v>
      </c>
      <c r="P219" s="5">
        <v>37.27</v>
      </c>
      <c r="Q219" s="5">
        <v>248.47</v>
      </c>
      <c r="R219" s="5">
        <v>215.03</v>
      </c>
      <c r="S219" s="5">
        <v>33.44</v>
      </c>
      <c r="T219" s="7">
        <v>0.134583651949934</v>
      </c>
      <c r="U219" t="s">
        <v>10</v>
      </c>
      <c r="V219" t="s">
        <v>50</v>
      </c>
      <c r="W219" t="s">
        <v>50</v>
      </c>
      <c r="X219" t="s">
        <v>34</v>
      </c>
      <c r="Y219" t="s">
        <v>1052</v>
      </c>
      <c r="Z219" t="s">
        <v>101</v>
      </c>
    </row>
    <row r="220" spans="1:26">
      <c r="A220" t="s">
        <v>1053</v>
      </c>
      <c r="B220" t="s">
        <v>1053</v>
      </c>
      <c r="C220" s="4">
        <v>45928</v>
      </c>
      <c r="D220">
        <v>2025</v>
      </c>
      <c r="E220">
        <v>9</v>
      </c>
      <c r="F220" t="s">
        <v>25</v>
      </c>
      <c r="G220" t="s">
        <v>89</v>
      </c>
      <c r="H220" t="s">
        <v>1054</v>
      </c>
      <c r="I220" t="s">
        <v>947</v>
      </c>
      <c r="J220" t="s">
        <v>39</v>
      </c>
      <c r="K220" t="s">
        <v>1055</v>
      </c>
      <c r="L220">
        <v>7</v>
      </c>
      <c r="M220" s="5">
        <v>498.08</v>
      </c>
      <c r="N220" s="6">
        <v>5</v>
      </c>
      <c r="O220" s="5">
        <v>174.33</v>
      </c>
      <c r="P220" s="5">
        <v>496.83</v>
      </c>
      <c r="Q220" s="5">
        <v>3809.06</v>
      </c>
      <c r="R220" s="5">
        <v>2783.83</v>
      </c>
      <c r="S220" s="5">
        <v>1025.23</v>
      </c>
      <c r="T220" s="7">
        <v>0.269155644699742</v>
      </c>
      <c r="U220" t="s">
        <v>13</v>
      </c>
      <c r="V220" t="s">
        <v>50</v>
      </c>
      <c r="W220" t="s">
        <v>50</v>
      </c>
      <c r="X220" t="s">
        <v>34</v>
      </c>
      <c r="Y220" t="s">
        <v>739</v>
      </c>
      <c r="Z220" t="s">
        <v>80</v>
      </c>
    </row>
    <row r="221" spans="1:26">
      <c r="A221" t="s">
        <v>1056</v>
      </c>
      <c r="B221" t="s">
        <v>1056</v>
      </c>
      <c r="C221" s="4">
        <v>46012</v>
      </c>
      <c r="D221">
        <v>2025</v>
      </c>
      <c r="E221">
        <v>12</v>
      </c>
      <c r="F221" t="s">
        <v>28</v>
      </c>
      <c r="G221" t="s">
        <v>137</v>
      </c>
      <c r="H221" t="s">
        <v>1057</v>
      </c>
      <c r="I221" t="s">
        <v>503</v>
      </c>
      <c r="J221" t="s">
        <v>339</v>
      </c>
      <c r="K221" t="s">
        <v>718</v>
      </c>
      <c r="L221">
        <v>7</v>
      </c>
      <c r="M221" s="5">
        <v>80.79</v>
      </c>
      <c r="N221" s="6">
        <v>5</v>
      </c>
      <c r="O221" s="5">
        <v>28.28</v>
      </c>
      <c r="P221" s="5">
        <v>80.59</v>
      </c>
      <c r="Q221" s="5">
        <v>617.84</v>
      </c>
      <c r="R221" s="5">
        <v>415.59</v>
      </c>
      <c r="S221" s="5">
        <v>202.25</v>
      </c>
      <c r="T221" s="7">
        <v>0.327350123009193</v>
      </c>
      <c r="U221" t="s">
        <v>14</v>
      </c>
      <c r="V221" t="s">
        <v>50</v>
      </c>
      <c r="W221" t="s">
        <v>50</v>
      </c>
      <c r="X221" t="s">
        <v>35</v>
      </c>
      <c r="Y221" t="s">
        <v>1058</v>
      </c>
      <c r="Z221" t="s">
        <v>80</v>
      </c>
    </row>
    <row r="222" spans="1:26">
      <c r="A222" t="s">
        <v>1059</v>
      </c>
      <c r="B222" t="s">
        <v>1059</v>
      </c>
      <c r="C222" s="4">
        <v>45941</v>
      </c>
      <c r="D222">
        <v>2025</v>
      </c>
      <c r="E222">
        <v>10</v>
      </c>
      <c r="F222" t="s">
        <v>26</v>
      </c>
      <c r="G222" t="s">
        <v>137</v>
      </c>
      <c r="H222" t="s">
        <v>1060</v>
      </c>
      <c r="I222" t="s">
        <v>368</v>
      </c>
      <c r="J222" t="s">
        <v>202</v>
      </c>
      <c r="K222" t="s">
        <v>231</v>
      </c>
      <c r="L222">
        <v>5</v>
      </c>
      <c r="M222" s="5">
        <v>67.37</v>
      </c>
      <c r="N222" s="6">
        <v>0</v>
      </c>
      <c r="O222" s="5">
        <v>0</v>
      </c>
      <c r="P222" s="5">
        <v>50.53</v>
      </c>
      <c r="Q222" s="5">
        <v>387.38</v>
      </c>
      <c r="R222" s="5">
        <v>252.15</v>
      </c>
      <c r="S222" s="5">
        <v>135.23</v>
      </c>
      <c r="T222" s="7">
        <v>0.349088750064536</v>
      </c>
      <c r="U222" t="s">
        <v>9</v>
      </c>
      <c r="V222" t="s">
        <v>50</v>
      </c>
      <c r="W222" t="s">
        <v>50</v>
      </c>
      <c r="X222" t="s">
        <v>33</v>
      </c>
      <c r="Y222" t="s">
        <v>222</v>
      </c>
      <c r="Z222" t="s">
        <v>80</v>
      </c>
    </row>
    <row r="223" spans="1:26">
      <c r="A223" t="s">
        <v>1061</v>
      </c>
      <c r="B223" t="s">
        <v>1061</v>
      </c>
      <c r="C223" s="4">
        <v>46099</v>
      </c>
      <c r="D223">
        <v>2026</v>
      </c>
      <c r="E223">
        <v>3</v>
      </c>
      <c r="F223" t="s">
        <v>19</v>
      </c>
      <c r="G223" t="s">
        <v>82</v>
      </c>
      <c r="H223" t="s">
        <v>1062</v>
      </c>
      <c r="I223" t="s">
        <v>151</v>
      </c>
      <c r="J223" t="s">
        <v>40</v>
      </c>
      <c r="K223" t="s">
        <v>978</v>
      </c>
      <c r="L223">
        <v>2</v>
      </c>
      <c r="M223" s="5">
        <v>434.65</v>
      </c>
      <c r="N223" s="6">
        <v>15</v>
      </c>
      <c r="O223" s="5">
        <v>130.4</v>
      </c>
      <c r="P223" s="5">
        <v>110.84</v>
      </c>
      <c r="Q223" s="5">
        <v>738.9</v>
      </c>
      <c r="R223" s="5">
        <v>703.26</v>
      </c>
      <c r="S223" s="5">
        <v>35.64</v>
      </c>
      <c r="T223" s="7">
        <v>0.0482338611449452</v>
      </c>
      <c r="U223" t="s">
        <v>11</v>
      </c>
      <c r="V223" t="s">
        <v>50</v>
      </c>
      <c r="W223" t="s">
        <v>50</v>
      </c>
      <c r="X223" t="s">
        <v>33</v>
      </c>
      <c r="Y223" t="s">
        <v>1063</v>
      </c>
      <c r="Z223" t="s">
        <v>101</v>
      </c>
    </row>
    <row r="224" spans="1:26">
      <c r="A224" t="s">
        <v>1064</v>
      </c>
      <c r="B224" t="s">
        <v>1064</v>
      </c>
      <c r="C224" s="4">
        <v>45792</v>
      </c>
      <c r="D224">
        <v>2025</v>
      </c>
      <c r="E224">
        <v>5</v>
      </c>
      <c r="F224" t="s">
        <v>21</v>
      </c>
      <c r="G224" t="s">
        <v>74</v>
      </c>
      <c r="H224" t="s">
        <v>387</v>
      </c>
      <c r="I224" t="s">
        <v>444</v>
      </c>
      <c r="J224" t="s">
        <v>280</v>
      </c>
      <c r="K224" t="s">
        <v>324</v>
      </c>
      <c r="L224">
        <v>4</v>
      </c>
      <c r="M224" s="5">
        <v>99.93</v>
      </c>
      <c r="N224" s="6">
        <v>10</v>
      </c>
      <c r="O224" s="5">
        <v>39.97</v>
      </c>
      <c r="P224" s="5">
        <v>53.96</v>
      </c>
      <c r="Q224" s="5">
        <v>359.75</v>
      </c>
      <c r="R224" s="5">
        <v>344.2</v>
      </c>
      <c r="S224" s="5">
        <v>15.55</v>
      </c>
      <c r="T224" s="7">
        <v>0.0432244614315497</v>
      </c>
      <c r="U224" t="s">
        <v>13</v>
      </c>
      <c r="V224" t="s">
        <v>50</v>
      </c>
      <c r="W224" t="s">
        <v>50</v>
      </c>
      <c r="X224" t="s">
        <v>34</v>
      </c>
      <c r="Y224" t="s">
        <v>1065</v>
      </c>
      <c r="Z224" t="s">
        <v>101</v>
      </c>
    </row>
    <row r="225" spans="1:26">
      <c r="A225" t="s">
        <v>1066</v>
      </c>
      <c r="B225" t="s">
        <v>1066</v>
      </c>
      <c r="C225" s="4">
        <v>45806</v>
      </c>
      <c r="D225">
        <v>2025</v>
      </c>
      <c r="E225">
        <v>5</v>
      </c>
      <c r="F225" t="s">
        <v>21</v>
      </c>
      <c r="G225" t="s">
        <v>74</v>
      </c>
      <c r="H225" t="s">
        <v>425</v>
      </c>
      <c r="I225" t="s">
        <v>139</v>
      </c>
      <c r="J225" t="s">
        <v>351</v>
      </c>
      <c r="K225" t="s">
        <v>1067</v>
      </c>
      <c r="L225">
        <v>8</v>
      </c>
      <c r="M225" s="5">
        <v>39.52</v>
      </c>
      <c r="N225" s="6">
        <v>15</v>
      </c>
      <c r="O225" s="5">
        <v>47.42</v>
      </c>
      <c r="P225" s="5">
        <v>40.31</v>
      </c>
      <c r="Q225" s="5">
        <v>268.74</v>
      </c>
      <c r="R225" s="5">
        <v>259.2</v>
      </c>
      <c r="S225" s="5">
        <v>9.54</v>
      </c>
      <c r="T225" s="7">
        <v>0.0354989953114534</v>
      </c>
      <c r="U225" t="s">
        <v>11</v>
      </c>
      <c r="V225" t="s">
        <v>50</v>
      </c>
      <c r="W225" t="s">
        <v>50</v>
      </c>
      <c r="X225" t="s">
        <v>35</v>
      </c>
      <c r="Y225" t="s">
        <v>1068</v>
      </c>
      <c r="Z225" t="s">
        <v>101</v>
      </c>
    </row>
    <row r="226" spans="1:26">
      <c r="A226" t="s">
        <v>1069</v>
      </c>
      <c r="B226" t="s">
        <v>1069</v>
      </c>
      <c r="C226" s="4">
        <v>46095</v>
      </c>
      <c r="D226">
        <v>2026</v>
      </c>
      <c r="E226">
        <v>3</v>
      </c>
      <c r="F226" t="s">
        <v>19</v>
      </c>
      <c r="G226" t="s">
        <v>82</v>
      </c>
      <c r="H226" t="s">
        <v>1070</v>
      </c>
      <c r="I226" t="s">
        <v>1071</v>
      </c>
      <c r="J226" t="s">
        <v>1072</v>
      </c>
      <c r="K226" t="s">
        <v>1073</v>
      </c>
      <c r="L226">
        <v>8</v>
      </c>
      <c r="M226" s="5">
        <v>309.23</v>
      </c>
      <c r="N226" s="6">
        <v>0</v>
      </c>
      <c r="O226" s="5">
        <v>0</v>
      </c>
      <c r="P226" s="5">
        <v>371.08</v>
      </c>
      <c r="Q226" s="5">
        <v>2844.92</v>
      </c>
      <c r="R226" s="5">
        <v>1593.28</v>
      </c>
      <c r="S226" s="5">
        <v>1251.64</v>
      </c>
      <c r="T226" s="7">
        <v>0.439956132334125</v>
      </c>
      <c r="U226" t="s">
        <v>13</v>
      </c>
      <c r="V226" t="s">
        <v>50</v>
      </c>
      <c r="W226" t="s">
        <v>50</v>
      </c>
      <c r="X226" t="s">
        <v>33</v>
      </c>
      <c r="Y226" t="s">
        <v>1042</v>
      </c>
      <c r="Z226" t="s">
        <v>80</v>
      </c>
    </row>
    <row r="227" spans="1:26">
      <c r="A227" t="s">
        <v>1074</v>
      </c>
      <c r="B227" t="s">
        <v>1074</v>
      </c>
      <c r="C227" s="4">
        <v>45949</v>
      </c>
      <c r="D227">
        <v>2025</v>
      </c>
      <c r="E227">
        <v>10</v>
      </c>
      <c r="F227" t="s">
        <v>26</v>
      </c>
      <c r="G227" t="s">
        <v>137</v>
      </c>
      <c r="H227" t="s">
        <v>1075</v>
      </c>
      <c r="I227" t="s">
        <v>411</v>
      </c>
      <c r="J227" t="s">
        <v>1076</v>
      </c>
      <c r="K227" t="s">
        <v>903</v>
      </c>
      <c r="L227">
        <v>4</v>
      </c>
      <c r="M227" s="5">
        <v>459.58</v>
      </c>
      <c r="N227" s="6">
        <v>0</v>
      </c>
      <c r="O227" s="5">
        <v>0</v>
      </c>
      <c r="P227" s="5">
        <v>275.75</v>
      </c>
      <c r="Q227" s="5">
        <v>2114.07</v>
      </c>
      <c r="R227" s="5">
        <v>1547.56</v>
      </c>
      <c r="S227" s="5">
        <v>566.51</v>
      </c>
      <c r="T227" s="7">
        <v>0.267971259229827</v>
      </c>
      <c r="U227" t="s">
        <v>12</v>
      </c>
      <c r="V227" t="s">
        <v>50</v>
      </c>
      <c r="W227" t="s">
        <v>50</v>
      </c>
      <c r="X227" t="s">
        <v>33</v>
      </c>
      <c r="Y227" t="s">
        <v>1077</v>
      </c>
      <c r="Z227" t="s">
        <v>80</v>
      </c>
    </row>
    <row r="228" spans="1:26">
      <c r="A228" t="s">
        <v>1078</v>
      </c>
      <c r="B228" t="s">
        <v>1078</v>
      </c>
      <c r="C228" s="4">
        <v>46011</v>
      </c>
      <c r="D228">
        <v>2025</v>
      </c>
      <c r="E228">
        <v>12</v>
      </c>
      <c r="F228" t="s">
        <v>28</v>
      </c>
      <c r="G228" t="s">
        <v>137</v>
      </c>
      <c r="H228" t="s">
        <v>1079</v>
      </c>
      <c r="I228" t="s">
        <v>91</v>
      </c>
      <c r="J228" t="s">
        <v>833</v>
      </c>
      <c r="K228" t="s">
        <v>1080</v>
      </c>
      <c r="L228">
        <v>1</v>
      </c>
      <c r="M228" s="5">
        <v>234.86</v>
      </c>
      <c r="N228" s="6">
        <v>10</v>
      </c>
      <c r="O228" s="5">
        <v>23.49</v>
      </c>
      <c r="P228" s="5">
        <v>31.71</v>
      </c>
      <c r="Q228" s="5">
        <v>243.08</v>
      </c>
      <c r="R228" s="5">
        <v>213.23</v>
      </c>
      <c r="S228" s="5">
        <v>29.85</v>
      </c>
      <c r="T228" s="7">
        <v>0.122799078492677</v>
      </c>
      <c r="U228" t="s">
        <v>13</v>
      </c>
      <c r="V228" t="s">
        <v>50</v>
      </c>
      <c r="W228" t="s">
        <v>50</v>
      </c>
      <c r="X228" t="s">
        <v>35</v>
      </c>
      <c r="Y228" t="s">
        <v>817</v>
      </c>
      <c r="Z228" t="s">
        <v>80</v>
      </c>
    </row>
    <row r="229" spans="1:26">
      <c r="A229" t="s">
        <v>1081</v>
      </c>
      <c r="B229" t="s">
        <v>1081</v>
      </c>
      <c r="C229" s="4">
        <v>45768</v>
      </c>
      <c r="D229">
        <v>2025</v>
      </c>
      <c r="E229">
        <v>4</v>
      </c>
      <c r="F229" t="s">
        <v>20</v>
      </c>
      <c r="G229" t="s">
        <v>74</v>
      </c>
      <c r="H229" t="s">
        <v>1082</v>
      </c>
      <c r="I229" t="s">
        <v>139</v>
      </c>
      <c r="J229" t="s">
        <v>345</v>
      </c>
      <c r="K229" t="s">
        <v>346</v>
      </c>
      <c r="L229">
        <v>1</v>
      </c>
      <c r="M229" s="5">
        <v>38.66</v>
      </c>
      <c r="N229" s="6">
        <v>0</v>
      </c>
      <c r="O229" s="5">
        <v>0</v>
      </c>
      <c r="P229" s="5">
        <v>5.8</v>
      </c>
      <c r="Q229" s="5">
        <v>38.66</v>
      </c>
      <c r="R229" s="5">
        <v>32.4</v>
      </c>
      <c r="S229" s="5">
        <v>6.26</v>
      </c>
      <c r="T229" s="7">
        <v>0.161924469736161</v>
      </c>
      <c r="U229" t="s">
        <v>9</v>
      </c>
      <c r="V229" t="s">
        <v>50</v>
      </c>
      <c r="W229" t="s">
        <v>50</v>
      </c>
      <c r="X229" t="s">
        <v>33</v>
      </c>
      <c r="Y229" t="s">
        <v>1083</v>
      </c>
      <c r="Z229" t="s">
        <v>101</v>
      </c>
    </row>
    <row r="230" spans="1:26">
      <c r="A230" t="s">
        <v>1084</v>
      </c>
      <c r="B230" t="s">
        <v>1084</v>
      </c>
      <c r="C230" s="4">
        <v>46086</v>
      </c>
      <c r="D230">
        <v>2026</v>
      </c>
      <c r="E230">
        <v>3</v>
      </c>
      <c r="F230" t="s">
        <v>19</v>
      </c>
      <c r="G230" t="s">
        <v>82</v>
      </c>
      <c r="H230" t="s">
        <v>1057</v>
      </c>
      <c r="I230" t="s">
        <v>807</v>
      </c>
      <c r="J230" t="s">
        <v>1085</v>
      </c>
      <c r="K230" t="s">
        <v>1086</v>
      </c>
      <c r="L230">
        <v>4</v>
      </c>
      <c r="M230" s="5">
        <v>345.14</v>
      </c>
      <c r="N230" s="6">
        <v>0</v>
      </c>
      <c r="O230" s="5">
        <v>0</v>
      </c>
      <c r="P230" s="5">
        <v>207.08</v>
      </c>
      <c r="Q230" s="5">
        <v>1380.56</v>
      </c>
      <c r="R230" s="5">
        <v>1055.4</v>
      </c>
      <c r="S230" s="5">
        <v>325.16</v>
      </c>
      <c r="T230" s="7">
        <v>0.235527611983543</v>
      </c>
      <c r="U230" t="s">
        <v>10</v>
      </c>
      <c r="V230" t="s">
        <v>50</v>
      </c>
      <c r="W230" t="s">
        <v>50</v>
      </c>
      <c r="X230" t="s">
        <v>35</v>
      </c>
      <c r="Y230" t="s">
        <v>1087</v>
      </c>
      <c r="Z230" t="s">
        <v>101</v>
      </c>
    </row>
    <row r="231" spans="1:26">
      <c r="A231" t="s">
        <v>1088</v>
      </c>
      <c r="B231" t="s">
        <v>1088</v>
      </c>
      <c r="C231" s="4">
        <v>45982</v>
      </c>
      <c r="D231">
        <v>2025</v>
      </c>
      <c r="E231">
        <v>11</v>
      </c>
      <c r="F231" t="s">
        <v>27</v>
      </c>
      <c r="G231" t="s">
        <v>137</v>
      </c>
      <c r="H231" t="s">
        <v>1089</v>
      </c>
      <c r="I231" t="s">
        <v>225</v>
      </c>
      <c r="J231" t="s">
        <v>858</v>
      </c>
      <c r="K231" t="s">
        <v>859</v>
      </c>
      <c r="L231">
        <v>3</v>
      </c>
      <c r="M231" s="5">
        <v>355.64</v>
      </c>
      <c r="N231" s="6">
        <v>5</v>
      </c>
      <c r="O231" s="5">
        <v>53.35</v>
      </c>
      <c r="P231" s="5">
        <v>152.04</v>
      </c>
      <c r="Q231" s="5">
        <v>1013.57</v>
      </c>
      <c r="R231" s="5">
        <v>910.23</v>
      </c>
      <c r="S231" s="5">
        <v>103.34</v>
      </c>
      <c r="T231" s="7">
        <v>0.101956450960467</v>
      </c>
      <c r="U231" t="s">
        <v>9</v>
      </c>
      <c r="V231" t="s">
        <v>50</v>
      </c>
      <c r="W231" t="s">
        <v>50</v>
      </c>
      <c r="X231" t="s">
        <v>33</v>
      </c>
      <c r="Y231" t="s">
        <v>1090</v>
      </c>
      <c r="Z231" t="s">
        <v>101</v>
      </c>
    </row>
    <row r="232" spans="1:26">
      <c r="A232" t="s">
        <v>1091</v>
      </c>
      <c r="B232" t="s">
        <v>1091</v>
      </c>
      <c r="C232" s="4">
        <v>45809</v>
      </c>
      <c r="D232">
        <v>2025</v>
      </c>
      <c r="E232">
        <v>6</v>
      </c>
      <c r="F232" t="s">
        <v>22</v>
      </c>
      <c r="G232" t="s">
        <v>74</v>
      </c>
      <c r="H232" t="s">
        <v>1092</v>
      </c>
      <c r="I232" t="s">
        <v>262</v>
      </c>
      <c r="J232" t="s">
        <v>333</v>
      </c>
      <c r="K232" t="s">
        <v>1093</v>
      </c>
      <c r="L232">
        <v>1</v>
      </c>
      <c r="M232" s="5">
        <v>147.97</v>
      </c>
      <c r="N232" s="6">
        <v>0</v>
      </c>
      <c r="O232" s="5">
        <v>0</v>
      </c>
      <c r="P232" s="5">
        <v>22.2</v>
      </c>
      <c r="Q232" s="5">
        <v>170.17</v>
      </c>
      <c r="R232" s="5">
        <v>112.8</v>
      </c>
      <c r="S232" s="5">
        <v>57.37</v>
      </c>
      <c r="T232" s="7">
        <v>0.337133454780514</v>
      </c>
      <c r="U232" t="s">
        <v>13</v>
      </c>
      <c r="V232" t="s">
        <v>50</v>
      </c>
      <c r="W232" t="s">
        <v>50</v>
      </c>
      <c r="X232" t="s">
        <v>35</v>
      </c>
      <c r="Y232" t="s">
        <v>1094</v>
      </c>
      <c r="Z232" t="s">
        <v>80</v>
      </c>
    </row>
    <row r="233" spans="1:26">
      <c r="A233" t="s">
        <v>1095</v>
      </c>
      <c r="B233" t="s">
        <v>1095</v>
      </c>
      <c r="C233" s="4">
        <v>45890</v>
      </c>
      <c r="D233">
        <v>2025</v>
      </c>
      <c r="E233">
        <v>8</v>
      </c>
      <c r="F233" t="s">
        <v>24</v>
      </c>
      <c r="G233" t="s">
        <v>89</v>
      </c>
      <c r="H233" t="s">
        <v>1096</v>
      </c>
      <c r="I233" t="s">
        <v>411</v>
      </c>
      <c r="J233" t="s">
        <v>40</v>
      </c>
      <c r="K233" t="s">
        <v>426</v>
      </c>
      <c r="L233">
        <v>2</v>
      </c>
      <c r="M233" s="5">
        <v>459.58</v>
      </c>
      <c r="N233" s="6">
        <v>10</v>
      </c>
      <c r="O233" s="5">
        <v>91.92</v>
      </c>
      <c r="P233" s="5">
        <v>124.09</v>
      </c>
      <c r="Q233" s="5">
        <v>827.24</v>
      </c>
      <c r="R233" s="5">
        <v>773.78</v>
      </c>
      <c r="S233" s="5">
        <v>53.46</v>
      </c>
      <c r="T233" s="7">
        <v>0.0646245345969731</v>
      </c>
      <c r="U233" t="s">
        <v>10</v>
      </c>
      <c r="V233" t="s">
        <v>50</v>
      </c>
      <c r="W233" t="s">
        <v>50</v>
      </c>
      <c r="X233" t="s">
        <v>33</v>
      </c>
      <c r="Y233" t="s">
        <v>1097</v>
      </c>
      <c r="Z233" t="s">
        <v>101</v>
      </c>
    </row>
    <row r="234" spans="1:26">
      <c r="A234" t="s">
        <v>1098</v>
      </c>
      <c r="B234" t="s">
        <v>1098</v>
      </c>
      <c r="C234" s="4">
        <v>46076</v>
      </c>
      <c r="D234">
        <v>2026</v>
      </c>
      <c r="E234">
        <v>2</v>
      </c>
      <c r="F234" t="s">
        <v>31</v>
      </c>
      <c r="G234" t="s">
        <v>82</v>
      </c>
      <c r="H234" t="s">
        <v>1099</v>
      </c>
      <c r="I234" t="s">
        <v>819</v>
      </c>
      <c r="J234" t="s">
        <v>1100</v>
      </c>
      <c r="K234" t="s">
        <v>352</v>
      </c>
      <c r="L234">
        <v>2</v>
      </c>
      <c r="M234" s="5">
        <v>86.11</v>
      </c>
      <c r="N234" s="6">
        <v>10</v>
      </c>
      <c r="O234" s="5">
        <v>17.22</v>
      </c>
      <c r="P234" s="5">
        <v>23.25</v>
      </c>
      <c r="Q234" s="5">
        <v>155</v>
      </c>
      <c r="R234" s="5">
        <v>136.34</v>
      </c>
      <c r="S234" s="5">
        <v>18.66</v>
      </c>
      <c r="T234" s="7">
        <v>0.120387096774194</v>
      </c>
      <c r="U234" t="s">
        <v>10</v>
      </c>
      <c r="V234" t="s">
        <v>50</v>
      </c>
      <c r="W234" t="s">
        <v>50</v>
      </c>
      <c r="X234" t="s">
        <v>33</v>
      </c>
      <c r="Y234" t="s">
        <v>1101</v>
      </c>
      <c r="Z234" t="s">
        <v>101</v>
      </c>
    </row>
    <row r="235" spans="1:26">
      <c r="A235" t="s">
        <v>1102</v>
      </c>
      <c r="B235" t="s">
        <v>1102</v>
      </c>
      <c r="C235" s="4">
        <v>45991</v>
      </c>
      <c r="D235">
        <v>2025</v>
      </c>
      <c r="E235">
        <v>11</v>
      </c>
      <c r="F235" t="s">
        <v>27</v>
      </c>
      <c r="G235" t="s">
        <v>137</v>
      </c>
      <c r="H235" t="s">
        <v>1103</v>
      </c>
      <c r="I235" t="s">
        <v>598</v>
      </c>
      <c r="J235" t="s">
        <v>1104</v>
      </c>
      <c r="K235" t="s">
        <v>1105</v>
      </c>
      <c r="L235">
        <v>5</v>
      </c>
      <c r="M235" s="5">
        <v>499.76</v>
      </c>
      <c r="N235" s="6">
        <v>15</v>
      </c>
      <c r="O235" s="5">
        <v>374.82</v>
      </c>
      <c r="P235" s="5">
        <v>318.6</v>
      </c>
      <c r="Q235" s="5">
        <v>2442.58</v>
      </c>
      <c r="R235" s="5">
        <v>1827.85</v>
      </c>
      <c r="S235" s="5">
        <v>614.73</v>
      </c>
      <c r="T235" s="7">
        <v>0.251672411957848</v>
      </c>
      <c r="U235" t="s">
        <v>10</v>
      </c>
      <c r="V235" t="s">
        <v>50</v>
      </c>
      <c r="W235" t="s">
        <v>50</v>
      </c>
      <c r="X235" t="s">
        <v>33</v>
      </c>
      <c r="Y235" t="s">
        <v>600</v>
      </c>
      <c r="Z235" t="s">
        <v>80</v>
      </c>
    </row>
    <row r="236" spans="1:26">
      <c r="A236" t="s">
        <v>1106</v>
      </c>
      <c r="B236" t="s">
        <v>1106</v>
      </c>
      <c r="C236" s="4">
        <v>45976</v>
      </c>
      <c r="D236">
        <v>2025</v>
      </c>
      <c r="E236">
        <v>11</v>
      </c>
      <c r="F236" t="s">
        <v>27</v>
      </c>
      <c r="G236" t="s">
        <v>137</v>
      </c>
      <c r="H236" t="s">
        <v>234</v>
      </c>
      <c r="I236" t="s">
        <v>947</v>
      </c>
      <c r="J236" t="s">
        <v>1107</v>
      </c>
      <c r="K236" t="s">
        <v>1108</v>
      </c>
      <c r="L236">
        <v>8</v>
      </c>
      <c r="M236" s="5">
        <v>502.58</v>
      </c>
      <c r="N236" s="6">
        <v>5</v>
      </c>
      <c r="O236" s="5">
        <v>201.03</v>
      </c>
      <c r="P236" s="5">
        <v>572.94</v>
      </c>
      <c r="Q236" s="5">
        <v>4392.55</v>
      </c>
      <c r="R236" s="5">
        <v>3181.52</v>
      </c>
      <c r="S236" s="5">
        <v>1211.03</v>
      </c>
      <c r="T236" s="7">
        <v>0.275700902664739</v>
      </c>
      <c r="U236" t="s">
        <v>13</v>
      </c>
      <c r="V236" t="s">
        <v>50</v>
      </c>
      <c r="W236" t="s">
        <v>50</v>
      </c>
      <c r="X236" t="s">
        <v>33</v>
      </c>
      <c r="Y236" t="s">
        <v>584</v>
      </c>
      <c r="Z236" t="s">
        <v>80</v>
      </c>
    </row>
    <row r="237" spans="1:26">
      <c r="A237" t="s">
        <v>1109</v>
      </c>
      <c r="B237" t="s">
        <v>1109</v>
      </c>
      <c r="C237" s="4">
        <v>46088</v>
      </c>
      <c r="D237">
        <v>2026</v>
      </c>
      <c r="E237">
        <v>3</v>
      </c>
      <c r="F237" t="s">
        <v>19</v>
      </c>
      <c r="G237" t="s">
        <v>82</v>
      </c>
      <c r="H237" t="s">
        <v>1110</v>
      </c>
      <c r="I237" t="s">
        <v>169</v>
      </c>
      <c r="J237" t="s">
        <v>538</v>
      </c>
      <c r="K237" t="s">
        <v>539</v>
      </c>
      <c r="L237">
        <v>6</v>
      </c>
      <c r="M237" s="5">
        <v>141.99</v>
      </c>
      <c r="N237" s="6">
        <v>0</v>
      </c>
      <c r="O237" s="5">
        <v>0</v>
      </c>
      <c r="P237" s="5">
        <v>127.79</v>
      </c>
      <c r="Q237" s="5">
        <v>979.73</v>
      </c>
      <c r="R237" s="5">
        <v>695.46</v>
      </c>
      <c r="S237" s="5">
        <v>284.27</v>
      </c>
      <c r="T237" s="7">
        <v>0.290151368234105</v>
      </c>
      <c r="U237" t="s">
        <v>13</v>
      </c>
      <c r="V237" t="s">
        <v>50</v>
      </c>
      <c r="W237" t="s">
        <v>50</v>
      </c>
      <c r="X237" t="s">
        <v>34</v>
      </c>
      <c r="Y237" t="s">
        <v>1111</v>
      </c>
      <c r="Z237" t="s">
        <v>80</v>
      </c>
    </row>
    <row r="238" spans="1:26">
      <c r="A238" t="s">
        <v>1112</v>
      </c>
      <c r="B238" t="s">
        <v>1112</v>
      </c>
      <c r="C238" s="4">
        <v>45830</v>
      </c>
      <c r="D238">
        <v>2025</v>
      </c>
      <c r="E238">
        <v>6</v>
      </c>
      <c r="F238" t="s">
        <v>22</v>
      </c>
      <c r="G238" t="s">
        <v>74</v>
      </c>
      <c r="H238" t="s">
        <v>250</v>
      </c>
      <c r="I238" t="s">
        <v>703</v>
      </c>
      <c r="J238" t="s">
        <v>345</v>
      </c>
      <c r="K238" t="s">
        <v>346</v>
      </c>
      <c r="L238">
        <v>3</v>
      </c>
      <c r="M238" s="5">
        <v>224.28</v>
      </c>
      <c r="N238" s="6">
        <v>10</v>
      </c>
      <c r="O238" s="5">
        <v>67.28</v>
      </c>
      <c r="P238" s="5">
        <v>90.83</v>
      </c>
      <c r="Q238" s="5">
        <v>696.39</v>
      </c>
      <c r="R238" s="5">
        <v>577.17</v>
      </c>
      <c r="S238" s="5">
        <v>119.22</v>
      </c>
      <c r="T238" s="7">
        <v>0.171197173997329</v>
      </c>
      <c r="U238" t="s">
        <v>12</v>
      </c>
      <c r="V238" t="s">
        <v>50</v>
      </c>
      <c r="W238" t="s">
        <v>50</v>
      </c>
      <c r="X238" t="s">
        <v>33</v>
      </c>
      <c r="Y238" t="s">
        <v>1113</v>
      </c>
      <c r="Z238" t="s">
        <v>80</v>
      </c>
    </row>
    <row r="239" spans="1:26">
      <c r="A239" t="s">
        <v>1114</v>
      </c>
      <c r="B239" t="s">
        <v>1114</v>
      </c>
      <c r="C239" s="4">
        <v>45853</v>
      </c>
      <c r="D239">
        <v>2025</v>
      </c>
      <c r="E239">
        <v>7</v>
      </c>
      <c r="F239" t="s">
        <v>23</v>
      </c>
      <c r="G239" t="s">
        <v>89</v>
      </c>
      <c r="H239" t="s">
        <v>1115</v>
      </c>
      <c r="I239" t="s">
        <v>574</v>
      </c>
      <c r="J239" t="s">
        <v>85</v>
      </c>
      <c r="K239" t="s">
        <v>86</v>
      </c>
      <c r="L239">
        <v>3</v>
      </c>
      <c r="M239" s="5">
        <v>125.15</v>
      </c>
      <c r="N239" s="6">
        <v>15</v>
      </c>
      <c r="O239" s="5">
        <v>56.32</v>
      </c>
      <c r="P239" s="5">
        <v>47.87</v>
      </c>
      <c r="Q239" s="5">
        <v>319.13</v>
      </c>
      <c r="R239" s="5">
        <v>287.1</v>
      </c>
      <c r="S239" s="5">
        <v>32.03</v>
      </c>
      <c r="T239" s="7">
        <v>0.100366621752891</v>
      </c>
      <c r="U239" t="s">
        <v>13</v>
      </c>
      <c r="V239" t="s">
        <v>50</v>
      </c>
      <c r="W239" t="s">
        <v>50</v>
      </c>
      <c r="X239" t="s">
        <v>33</v>
      </c>
      <c r="Y239" t="s">
        <v>1116</v>
      </c>
      <c r="Z239" t="s">
        <v>101</v>
      </c>
    </row>
    <row r="240" spans="1:26">
      <c r="A240" t="s">
        <v>1117</v>
      </c>
      <c r="B240" t="s">
        <v>1117</v>
      </c>
      <c r="C240" s="4">
        <v>46001</v>
      </c>
      <c r="D240">
        <v>2025</v>
      </c>
      <c r="E240">
        <v>12</v>
      </c>
      <c r="F240" t="s">
        <v>28</v>
      </c>
      <c r="G240" t="s">
        <v>137</v>
      </c>
      <c r="H240" t="s">
        <v>1118</v>
      </c>
      <c r="I240" t="s">
        <v>290</v>
      </c>
      <c r="J240" t="s">
        <v>435</v>
      </c>
      <c r="K240" t="s">
        <v>436</v>
      </c>
      <c r="L240">
        <v>3</v>
      </c>
      <c r="M240" s="5">
        <v>80.5</v>
      </c>
      <c r="N240" s="6">
        <v>20</v>
      </c>
      <c r="O240" s="5">
        <v>48.3</v>
      </c>
      <c r="P240" s="5">
        <v>28.98</v>
      </c>
      <c r="Q240" s="5">
        <v>193.2</v>
      </c>
      <c r="R240" s="5">
        <v>186.75</v>
      </c>
      <c r="S240" s="5">
        <v>6.45</v>
      </c>
      <c r="T240" s="7">
        <v>0.0333850931677019</v>
      </c>
      <c r="U240" t="s">
        <v>14</v>
      </c>
      <c r="V240" t="s">
        <v>50</v>
      </c>
      <c r="W240" t="s">
        <v>50</v>
      </c>
      <c r="X240" t="s">
        <v>33</v>
      </c>
      <c r="Y240" t="s">
        <v>1119</v>
      </c>
      <c r="Z240" t="s">
        <v>101</v>
      </c>
    </row>
    <row r="241" spans="1:26">
      <c r="A241" t="s">
        <v>1120</v>
      </c>
      <c r="B241" t="s">
        <v>1120</v>
      </c>
      <c r="C241" s="4">
        <v>45890</v>
      </c>
      <c r="D241">
        <v>2025</v>
      </c>
      <c r="E241">
        <v>8</v>
      </c>
      <c r="F241" t="s">
        <v>24</v>
      </c>
      <c r="G241" t="s">
        <v>89</v>
      </c>
      <c r="H241" t="s">
        <v>1121</v>
      </c>
      <c r="I241" t="s">
        <v>157</v>
      </c>
      <c r="J241" t="s">
        <v>1122</v>
      </c>
      <c r="K241" t="s">
        <v>1123</v>
      </c>
      <c r="L241">
        <v>1</v>
      </c>
      <c r="M241" s="5">
        <v>59.92</v>
      </c>
      <c r="N241" s="6">
        <v>10</v>
      </c>
      <c r="O241" s="5">
        <v>5.99</v>
      </c>
      <c r="P241" s="5">
        <v>8.09</v>
      </c>
      <c r="Q241" s="5">
        <v>53.93</v>
      </c>
      <c r="R241" s="5">
        <v>48.15</v>
      </c>
      <c r="S241" s="5">
        <v>5.78</v>
      </c>
      <c r="T241" s="7">
        <v>0.107175968848507</v>
      </c>
      <c r="U241" t="s">
        <v>9</v>
      </c>
      <c r="V241" t="s">
        <v>50</v>
      </c>
      <c r="W241" t="s">
        <v>50</v>
      </c>
      <c r="X241" t="s">
        <v>33</v>
      </c>
      <c r="Y241" t="s">
        <v>1124</v>
      </c>
      <c r="Z241" t="s">
        <v>101</v>
      </c>
    </row>
    <row r="242" spans="1:26">
      <c r="A242" t="s">
        <v>1125</v>
      </c>
      <c r="B242" t="s">
        <v>1125</v>
      </c>
      <c r="C242" s="4">
        <v>46077</v>
      </c>
      <c r="D242">
        <v>2026</v>
      </c>
      <c r="E242">
        <v>2</v>
      </c>
      <c r="F242" t="s">
        <v>31</v>
      </c>
      <c r="G242" t="s">
        <v>82</v>
      </c>
      <c r="H242" t="s">
        <v>1126</v>
      </c>
      <c r="I242" t="s">
        <v>139</v>
      </c>
      <c r="J242" t="s">
        <v>1127</v>
      </c>
      <c r="K242" t="s">
        <v>1128</v>
      </c>
      <c r="L242">
        <v>4</v>
      </c>
      <c r="M242" s="5">
        <v>41.61</v>
      </c>
      <c r="N242" s="6">
        <v>15</v>
      </c>
      <c r="O242" s="5">
        <v>24.97</v>
      </c>
      <c r="P242" s="5">
        <v>21.22</v>
      </c>
      <c r="Q242" s="5">
        <v>141.47</v>
      </c>
      <c r="R242" s="5">
        <v>129.6</v>
      </c>
      <c r="S242" s="5">
        <v>11.87</v>
      </c>
      <c r="T242" s="7">
        <v>0.0839047147805188</v>
      </c>
      <c r="U242" t="s">
        <v>14</v>
      </c>
      <c r="V242" t="s">
        <v>50</v>
      </c>
      <c r="W242" t="s">
        <v>50</v>
      </c>
      <c r="X242" t="s">
        <v>33</v>
      </c>
      <c r="Y242" t="s">
        <v>1129</v>
      </c>
      <c r="Z242" t="s">
        <v>101</v>
      </c>
    </row>
    <row r="243" spans="1:26">
      <c r="A243" t="s">
        <v>1130</v>
      </c>
      <c r="B243" t="s">
        <v>1130</v>
      </c>
      <c r="C243" s="4">
        <v>45921</v>
      </c>
      <c r="D243">
        <v>2025</v>
      </c>
      <c r="E243">
        <v>9</v>
      </c>
      <c r="F243" t="s">
        <v>25</v>
      </c>
      <c r="G243" t="s">
        <v>89</v>
      </c>
      <c r="H243" t="s">
        <v>1131</v>
      </c>
      <c r="I243" t="s">
        <v>1132</v>
      </c>
      <c r="J243" t="s">
        <v>1133</v>
      </c>
      <c r="K243" t="s">
        <v>1134</v>
      </c>
      <c r="L243">
        <v>7</v>
      </c>
      <c r="M243" s="5">
        <v>298.02</v>
      </c>
      <c r="N243" s="6">
        <v>5</v>
      </c>
      <c r="O243" s="5">
        <v>104.31</v>
      </c>
      <c r="P243" s="5">
        <v>297.27</v>
      </c>
      <c r="Q243" s="5">
        <v>2279.1</v>
      </c>
      <c r="R243" s="5">
        <v>1576.96</v>
      </c>
      <c r="S243" s="5">
        <v>702.14</v>
      </c>
      <c r="T243" s="7">
        <v>0.308077749989031</v>
      </c>
      <c r="U243" t="s">
        <v>10</v>
      </c>
      <c r="V243" t="s">
        <v>50</v>
      </c>
      <c r="W243" t="s">
        <v>50</v>
      </c>
      <c r="X243" t="s">
        <v>33</v>
      </c>
      <c r="Y243" t="s">
        <v>987</v>
      </c>
      <c r="Z243" t="s">
        <v>80</v>
      </c>
    </row>
    <row r="244" spans="1:26">
      <c r="A244" t="s">
        <v>1135</v>
      </c>
      <c r="B244" t="s">
        <v>1135</v>
      </c>
      <c r="C244" s="4">
        <v>46018</v>
      </c>
      <c r="D244">
        <v>2025</v>
      </c>
      <c r="E244">
        <v>12</v>
      </c>
      <c r="F244" t="s">
        <v>28</v>
      </c>
      <c r="G244" t="s">
        <v>137</v>
      </c>
      <c r="H244" t="s">
        <v>1136</v>
      </c>
      <c r="I244" t="s">
        <v>1137</v>
      </c>
      <c r="J244" t="s">
        <v>121</v>
      </c>
      <c r="K244" t="s">
        <v>122</v>
      </c>
      <c r="L244">
        <v>2</v>
      </c>
      <c r="M244" s="5">
        <v>405.1</v>
      </c>
      <c r="N244" s="6">
        <v>0</v>
      </c>
      <c r="O244" s="5">
        <v>0</v>
      </c>
      <c r="P244" s="5">
        <v>121.53</v>
      </c>
      <c r="Q244" s="5">
        <v>931.73</v>
      </c>
      <c r="R244" s="5">
        <v>696.82</v>
      </c>
      <c r="S244" s="5">
        <v>234.91</v>
      </c>
      <c r="T244" s="7">
        <v>0.252122395973082</v>
      </c>
      <c r="U244" t="s">
        <v>13</v>
      </c>
      <c r="V244" t="s">
        <v>50</v>
      </c>
      <c r="W244" t="s">
        <v>50</v>
      </c>
      <c r="X244" t="s">
        <v>33</v>
      </c>
      <c r="Y244" t="s">
        <v>1138</v>
      </c>
      <c r="Z244" t="s">
        <v>80</v>
      </c>
    </row>
    <row r="245" spans="1:26">
      <c r="A245" t="s">
        <v>1139</v>
      </c>
      <c r="B245" t="s">
        <v>1139</v>
      </c>
      <c r="C245" s="4">
        <v>46044</v>
      </c>
      <c r="D245">
        <v>2026</v>
      </c>
      <c r="E245">
        <v>1</v>
      </c>
      <c r="F245" t="s">
        <v>30</v>
      </c>
      <c r="G245" t="s">
        <v>82</v>
      </c>
      <c r="H245" t="s">
        <v>1140</v>
      </c>
      <c r="I245" t="s">
        <v>444</v>
      </c>
      <c r="J245" t="s">
        <v>46</v>
      </c>
      <c r="K245" t="s">
        <v>1141</v>
      </c>
      <c r="L245">
        <v>8</v>
      </c>
      <c r="M245" s="5">
        <v>104.57</v>
      </c>
      <c r="N245" s="6">
        <v>15</v>
      </c>
      <c r="O245" s="5">
        <v>125.48</v>
      </c>
      <c r="P245" s="5">
        <v>106.66</v>
      </c>
      <c r="Q245" s="5">
        <v>711.08</v>
      </c>
      <c r="R245" s="5">
        <v>688.4</v>
      </c>
      <c r="S245" s="5">
        <v>22.68</v>
      </c>
      <c r="T245" s="7">
        <v>0.0318951454126118</v>
      </c>
      <c r="U245" t="s">
        <v>14</v>
      </c>
      <c r="V245" t="s">
        <v>50</v>
      </c>
      <c r="W245" t="s">
        <v>50</v>
      </c>
      <c r="X245" t="s">
        <v>33</v>
      </c>
      <c r="Y245" t="s">
        <v>1142</v>
      </c>
      <c r="Z245" t="s">
        <v>101</v>
      </c>
    </row>
    <row r="246" spans="1:26">
      <c r="A246" t="s">
        <v>1143</v>
      </c>
      <c r="B246" t="s">
        <v>1143</v>
      </c>
      <c r="C246" s="4">
        <v>45896</v>
      </c>
      <c r="D246">
        <v>2025</v>
      </c>
      <c r="E246">
        <v>8</v>
      </c>
      <c r="F246" t="s">
        <v>24</v>
      </c>
      <c r="G246" t="s">
        <v>89</v>
      </c>
      <c r="H246" t="s">
        <v>582</v>
      </c>
      <c r="I246" t="s">
        <v>587</v>
      </c>
      <c r="J246" t="s">
        <v>43</v>
      </c>
      <c r="K246" t="s">
        <v>934</v>
      </c>
      <c r="L246">
        <v>5</v>
      </c>
      <c r="M246" s="5">
        <v>420.93</v>
      </c>
      <c r="N246" s="6">
        <v>15</v>
      </c>
      <c r="O246" s="5">
        <v>315.7</v>
      </c>
      <c r="P246" s="5">
        <v>268.34</v>
      </c>
      <c r="Q246" s="5">
        <v>1788.95</v>
      </c>
      <c r="R246" s="5">
        <v>1378.35</v>
      </c>
      <c r="S246" s="5">
        <v>410.6</v>
      </c>
      <c r="T246" s="7">
        <v>0.229520109561475</v>
      </c>
      <c r="U246" t="s">
        <v>14</v>
      </c>
      <c r="V246" t="s">
        <v>50</v>
      </c>
      <c r="W246" t="s">
        <v>50</v>
      </c>
      <c r="X246" t="s">
        <v>33</v>
      </c>
      <c r="Y246" t="s">
        <v>1144</v>
      </c>
      <c r="Z246" t="s">
        <v>101</v>
      </c>
    </row>
    <row r="247" spans="1:26">
      <c r="A247" t="s">
        <v>1145</v>
      </c>
      <c r="B247" t="s">
        <v>1145</v>
      </c>
      <c r="C247" s="4">
        <v>45812</v>
      </c>
      <c r="D247">
        <v>2025</v>
      </c>
      <c r="E247">
        <v>6</v>
      </c>
      <c r="F247" t="s">
        <v>22</v>
      </c>
      <c r="G247" t="s">
        <v>74</v>
      </c>
      <c r="H247" t="s">
        <v>1140</v>
      </c>
      <c r="I247" t="s">
        <v>750</v>
      </c>
      <c r="J247" t="s">
        <v>418</v>
      </c>
      <c r="K247" t="s">
        <v>419</v>
      </c>
      <c r="L247">
        <v>5</v>
      </c>
      <c r="M247" s="5">
        <v>486.09</v>
      </c>
      <c r="N247" s="6">
        <v>15</v>
      </c>
      <c r="O247" s="5">
        <v>364.57</v>
      </c>
      <c r="P247" s="5">
        <v>309.88</v>
      </c>
      <c r="Q247" s="5">
        <v>2065.88</v>
      </c>
      <c r="R247" s="5">
        <v>1719.45</v>
      </c>
      <c r="S247" s="5">
        <v>346.43</v>
      </c>
      <c r="T247" s="7">
        <v>0.167691250217825</v>
      </c>
      <c r="U247" t="s">
        <v>11</v>
      </c>
      <c r="V247" t="s">
        <v>50</v>
      </c>
      <c r="W247" t="s">
        <v>50</v>
      </c>
      <c r="X247" t="s">
        <v>35</v>
      </c>
      <c r="Y247" t="s">
        <v>1146</v>
      </c>
      <c r="Z247" t="s">
        <v>101</v>
      </c>
    </row>
    <row r="248" spans="1:26">
      <c r="A248" t="s">
        <v>1147</v>
      </c>
      <c r="B248" t="s">
        <v>1147</v>
      </c>
      <c r="C248" s="4">
        <v>45934</v>
      </c>
      <c r="D248">
        <v>2025</v>
      </c>
      <c r="E248">
        <v>10</v>
      </c>
      <c r="F248" t="s">
        <v>26</v>
      </c>
      <c r="G248" t="s">
        <v>137</v>
      </c>
      <c r="H248" t="s">
        <v>1023</v>
      </c>
      <c r="I248" t="s">
        <v>801</v>
      </c>
      <c r="J248" t="s">
        <v>158</v>
      </c>
      <c r="K248" t="s">
        <v>778</v>
      </c>
      <c r="L248">
        <v>1</v>
      </c>
      <c r="M248" s="5">
        <v>217.85</v>
      </c>
      <c r="N248" s="6">
        <v>5</v>
      </c>
      <c r="O248" s="5">
        <v>10.89</v>
      </c>
      <c r="P248" s="5">
        <v>31.04</v>
      </c>
      <c r="Q248" s="5">
        <v>238</v>
      </c>
      <c r="R248" s="5">
        <v>189.69</v>
      </c>
      <c r="S248" s="5">
        <v>48.31</v>
      </c>
      <c r="T248" s="7">
        <v>0.202983193277311</v>
      </c>
      <c r="U248" t="s">
        <v>10</v>
      </c>
      <c r="V248" t="s">
        <v>50</v>
      </c>
      <c r="W248" t="s">
        <v>50</v>
      </c>
      <c r="X248" t="s">
        <v>33</v>
      </c>
      <c r="Y248" t="s">
        <v>1148</v>
      </c>
      <c r="Z248" t="s">
        <v>80</v>
      </c>
    </row>
    <row r="249" spans="1:26">
      <c r="A249" t="s">
        <v>1149</v>
      </c>
      <c r="B249" t="s">
        <v>1149</v>
      </c>
      <c r="C249" s="4">
        <v>45812</v>
      </c>
      <c r="D249">
        <v>2025</v>
      </c>
      <c r="E249">
        <v>6</v>
      </c>
      <c r="F249" t="s">
        <v>22</v>
      </c>
      <c r="G249" t="s">
        <v>74</v>
      </c>
      <c r="H249" t="s">
        <v>669</v>
      </c>
      <c r="I249" t="s">
        <v>470</v>
      </c>
      <c r="J249" t="s">
        <v>1150</v>
      </c>
      <c r="K249" t="s">
        <v>1151</v>
      </c>
      <c r="L249">
        <v>1</v>
      </c>
      <c r="M249" s="5">
        <v>290.45</v>
      </c>
      <c r="N249" s="6">
        <v>0</v>
      </c>
      <c r="O249" s="5">
        <v>0</v>
      </c>
      <c r="P249" s="5">
        <v>43.57</v>
      </c>
      <c r="Q249" s="5">
        <v>290.45</v>
      </c>
      <c r="R249" s="5">
        <v>237.89</v>
      </c>
      <c r="S249" s="5">
        <v>52.56</v>
      </c>
      <c r="T249" s="7">
        <v>0.180960578412808</v>
      </c>
      <c r="U249" t="s">
        <v>13</v>
      </c>
      <c r="V249" t="s">
        <v>50</v>
      </c>
      <c r="W249" t="s">
        <v>50</v>
      </c>
      <c r="X249" t="s">
        <v>33</v>
      </c>
      <c r="Y249" t="s">
        <v>580</v>
      </c>
      <c r="Z249" t="s">
        <v>101</v>
      </c>
    </row>
    <row r="250" spans="1:26">
      <c r="A250" t="s">
        <v>1152</v>
      </c>
      <c r="B250" t="s">
        <v>1152</v>
      </c>
      <c r="C250" s="4">
        <v>46106</v>
      </c>
      <c r="D250">
        <v>2026</v>
      </c>
      <c r="E250">
        <v>3</v>
      </c>
      <c r="F250" t="s">
        <v>19</v>
      </c>
      <c r="G250" t="s">
        <v>82</v>
      </c>
      <c r="H250" t="s">
        <v>521</v>
      </c>
      <c r="I250" t="s">
        <v>1153</v>
      </c>
      <c r="J250" t="s">
        <v>286</v>
      </c>
      <c r="K250" t="s">
        <v>1154</v>
      </c>
      <c r="L250">
        <v>4</v>
      </c>
      <c r="M250" s="5">
        <v>399.72</v>
      </c>
      <c r="N250" s="6">
        <v>0</v>
      </c>
      <c r="O250" s="5">
        <v>0</v>
      </c>
      <c r="P250" s="5">
        <v>239.83</v>
      </c>
      <c r="Q250" s="5">
        <v>1598.88</v>
      </c>
      <c r="R250" s="5">
        <v>1297.92</v>
      </c>
      <c r="S250" s="5">
        <v>300.96</v>
      </c>
      <c r="T250" s="7">
        <v>0.188231762233563</v>
      </c>
      <c r="U250" t="s">
        <v>12</v>
      </c>
      <c r="V250" t="s">
        <v>51</v>
      </c>
      <c r="W250" t="s">
        <v>51</v>
      </c>
      <c r="X250" t="s">
        <v>33</v>
      </c>
      <c r="Y250" t="s">
        <v>1155</v>
      </c>
      <c r="Z250" t="s">
        <v>101</v>
      </c>
    </row>
    <row r="251" spans="1:26">
      <c r="A251" t="s">
        <v>1156</v>
      </c>
      <c r="B251" t="s">
        <v>1156</v>
      </c>
      <c r="C251" s="4">
        <v>45790</v>
      </c>
      <c r="D251">
        <v>2025</v>
      </c>
      <c r="E251">
        <v>5</v>
      </c>
      <c r="F251" t="s">
        <v>21</v>
      </c>
      <c r="G251" t="s">
        <v>74</v>
      </c>
      <c r="H251" t="s">
        <v>1157</v>
      </c>
      <c r="I251" t="s">
        <v>694</v>
      </c>
      <c r="J251" t="s">
        <v>175</v>
      </c>
      <c r="K251" t="s">
        <v>690</v>
      </c>
      <c r="L251">
        <v>5</v>
      </c>
      <c r="M251" s="5">
        <v>356.48</v>
      </c>
      <c r="N251" s="6">
        <v>0</v>
      </c>
      <c r="O251" s="5">
        <v>0</v>
      </c>
      <c r="P251" s="5">
        <v>267.36</v>
      </c>
      <c r="Q251" s="5">
        <v>1782.4</v>
      </c>
      <c r="R251" s="5">
        <v>1451.65</v>
      </c>
      <c r="S251" s="5">
        <v>330.75</v>
      </c>
      <c r="T251" s="7">
        <v>0.185564407540395</v>
      </c>
      <c r="U251" t="s">
        <v>10</v>
      </c>
      <c r="V251" t="s">
        <v>50</v>
      </c>
      <c r="W251" t="s">
        <v>50</v>
      </c>
      <c r="X251" t="s">
        <v>33</v>
      </c>
      <c r="Y251" t="s">
        <v>1158</v>
      </c>
      <c r="Z251" t="s">
        <v>101</v>
      </c>
    </row>
    <row r="252" spans="1:26">
      <c r="A252" t="s">
        <v>1159</v>
      </c>
      <c r="B252" t="s">
        <v>1159</v>
      </c>
      <c r="C252" s="4">
        <v>45794</v>
      </c>
      <c r="D252">
        <v>2025</v>
      </c>
      <c r="E252">
        <v>5</v>
      </c>
      <c r="F252" t="s">
        <v>21</v>
      </c>
      <c r="G252" t="s">
        <v>74</v>
      </c>
      <c r="H252" t="s">
        <v>1160</v>
      </c>
      <c r="I252" t="s">
        <v>180</v>
      </c>
      <c r="J252" t="s">
        <v>642</v>
      </c>
      <c r="K252" t="s">
        <v>890</v>
      </c>
      <c r="L252">
        <v>3</v>
      </c>
      <c r="M252" s="5">
        <v>379.12</v>
      </c>
      <c r="N252" s="6">
        <v>10</v>
      </c>
      <c r="O252" s="5">
        <v>113.74</v>
      </c>
      <c r="P252" s="5">
        <v>153.54</v>
      </c>
      <c r="Q252" s="5">
        <v>1177.16</v>
      </c>
      <c r="R252" s="5">
        <v>879.15</v>
      </c>
      <c r="S252" s="5">
        <v>298.01</v>
      </c>
      <c r="T252" s="7">
        <v>0.253160148153182</v>
      </c>
      <c r="U252" t="s">
        <v>10</v>
      </c>
      <c r="V252" t="s">
        <v>50</v>
      </c>
      <c r="W252" t="s">
        <v>50</v>
      </c>
      <c r="X252" t="s">
        <v>34</v>
      </c>
      <c r="Y252" t="s">
        <v>1161</v>
      </c>
      <c r="Z252" t="s">
        <v>80</v>
      </c>
    </row>
    <row r="253" spans="1:26">
      <c r="A253" t="s">
        <v>1162</v>
      </c>
      <c r="B253" t="s">
        <v>1162</v>
      </c>
      <c r="C253" s="4">
        <v>45767</v>
      </c>
      <c r="D253">
        <v>2025</v>
      </c>
      <c r="E253">
        <v>4</v>
      </c>
      <c r="F253" t="s">
        <v>20</v>
      </c>
      <c r="G253" t="s">
        <v>74</v>
      </c>
      <c r="H253" t="s">
        <v>488</v>
      </c>
      <c r="I253" t="s">
        <v>537</v>
      </c>
      <c r="J253" t="s">
        <v>1107</v>
      </c>
      <c r="K253" t="s">
        <v>515</v>
      </c>
      <c r="L253">
        <v>8</v>
      </c>
      <c r="M253" s="5">
        <v>238.51</v>
      </c>
      <c r="N253" s="6">
        <v>0</v>
      </c>
      <c r="O253" s="5">
        <v>0</v>
      </c>
      <c r="P253" s="5">
        <v>286.21</v>
      </c>
      <c r="Q253" s="5">
        <v>2194.29</v>
      </c>
      <c r="R253" s="5">
        <v>1529.6</v>
      </c>
      <c r="S253" s="5">
        <v>664.69</v>
      </c>
      <c r="T253" s="7">
        <v>0.302918028154893</v>
      </c>
      <c r="U253" t="s">
        <v>11</v>
      </c>
      <c r="V253" t="s">
        <v>51</v>
      </c>
      <c r="W253" t="s">
        <v>51</v>
      </c>
      <c r="X253" t="s">
        <v>34</v>
      </c>
      <c r="Y253" t="s">
        <v>1163</v>
      </c>
      <c r="Z253" t="s">
        <v>80</v>
      </c>
    </row>
    <row r="254" spans="1:26">
      <c r="A254" t="s">
        <v>1164</v>
      </c>
      <c r="B254" t="s">
        <v>1164</v>
      </c>
      <c r="C254" s="4">
        <v>46016</v>
      </c>
      <c r="D254">
        <v>2025</v>
      </c>
      <c r="E254">
        <v>12</v>
      </c>
      <c r="F254" t="s">
        <v>28</v>
      </c>
      <c r="G254" t="s">
        <v>137</v>
      </c>
      <c r="H254" t="s">
        <v>179</v>
      </c>
      <c r="I254" t="s">
        <v>384</v>
      </c>
      <c r="J254" t="s">
        <v>665</v>
      </c>
      <c r="K254" t="s">
        <v>1165</v>
      </c>
      <c r="L254">
        <v>4</v>
      </c>
      <c r="M254" s="5">
        <v>207.69</v>
      </c>
      <c r="N254" s="6">
        <v>0</v>
      </c>
      <c r="O254" s="5">
        <v>0</v>
      </c>
      <c r="P254" s="5">
        <v>124.61</v>
      </c>
      <c r="Q254" s="5">
        <v>830.76</v>
      </c>
      <c r="R254" s="5">
        <v>542.64</v>
      </c>
      <c r="S254" s="5">
        <v>288.12</v>
      </c>
      <c r="T254" s="7">
        <v>0.346814964610718</v>
      </c>
      <c r="U254" t="s">
        <v>12</v>
      </c>
      <c r="V254" t="s">
        <v>50</v>
      </c>
      <c r="W254" t="s">
        <v>50</v>
      </c>
      <c r="X254" t="s">
        <v>33</v>
      </c>
      <c r="Y254" t="s">
        <v>1166</v>
      </c>
      <c r="Z254" t="s">
        <v>101</v>
      </c>
    </row>
    <row r="255" spans="1:26">
      <c r="A255" t="s">
        <v>1167</v>
      </c>
      <c r="B255" t="s">
        <v>1167</v>
      </c>
      <c r="C255" s="4">
        <v>46006</v>
      </c>
      <c r="D255">
        <v>2025</v>
      </c>
      <c r="E255">
        <v>12</v>
      </c>
      <c r="F255" t="s">
        <v>28</v>
      </c>
      <c r="G255" t="s">
        <v>137</v>
      </c>
      <c r="H255" t="s">
        <v>1168</v>
      </c>
      <c r="I255" t="s">
        <v>84</v>
      </c>
      <c r="J255" t="s">
        <v>770</v>
      </c>
      <c r="K255" t="s">
        <v>771</v>
      </c>
      <c r="L255">
        <v>4</v>
      </c>
      <c r="M255" s="5">
        <v>494.93</v>
      </c>
      <c r="N255" s="6">
        <v>10</v>
      </c>
      <c r="O255" s="5">
        <v>197.97</v>
      </c>
      <c r="P255" s="5">
        <v>267.26</v>
      </c>
      <c r="Q255" s="5">
        <v>1781.75</v>
      </c>
      <c r="R255" s="5">
        <v>1520.32</v>
      </c>
      <c r="S255" s="5">
        <v>261.43</v>
      </c>
      <c r="T255" s="7">
        <v>0.146726532903045</v>
      </c>
      <c r="U255" t="s">
        <v>11</v>
      </c>
      <c r="V255" t="s">
        <v>50</v>
      </c>
      <c r="W255" t="s">
        <v>50</v>
      </c>
      <c r="X255" t="s">
        <v>34</v>
      </c>
      <c r="Y255" t="s">
        <v>1169</v>
      </c>
      <c r="Z255" t="s">
        <v>101</v>
      </c>
    </row>
    <row r="256" spans="1:26">
      <c r="A256" t="s">
        <v>1170</v>
      </c>
      <c r="B256" t="s">
        <v>1170</v>
      </c>
      <c r="C256" s="4">
        <v>46012</v>
      </c>
      <c r="D256">
        <v>2025</v>
      </c>
      <c r="E256">
        <v>12</v>
      </c>
      <c r="F256" t="s">
        <v>28</v>
      </c>
      <c r="G256" t="s">
        <v>137</v>
      </c>
      <c r="H256" t="s">
        <v>1171</v>
      </c>
      <c r="I256" t="s">
        <v>470</v>
      </c>
      <c r="J256" t="s">
        <v>280</v>
      </c>
      <c r="K256" t="s">
        <v>1172</v>
      </c>
      <c r="L256">
        <v>2</v>
      </c>
      <c r="M256" s="5">
        <v>290.45</v>
      </c>
      <c r="N256" s="6">
        <v>5</v>
      </c>
      <c r="O256" s="5">
        <v>29.05</v>
      </c>
      <c r="P256" s="5">
        <v>82.78</v>
      </c>
      <c r="Q256" s="5">
        <v>634.63</v>
      </c>
      <c r="R256" s="5">
        <v>475.78</v>
      </c>
      <c r="S256" s="5">
        <v>158.85</v>
      </c>
      <c r="T256" s="7">
        <v>0.250303326347636</v>
      </c>
      <c r="U256" t="s">
        <v>11</v>
      </c>
      <c r="V256" t="s">
        <v>50</v>
      </c>
      <c r="W256" t="s">
        <v>50</v>
      </c>
      <c r="X256" t="s">
        <v>33</v>
      </c>
      <c r="Y256" t="s">
        <v>1173</v>
      </c>
      <c r="Z256" t="s">
        <v>80</v>
      </c>
    </row>
    <row r="257" spans="1:26">
      <c r="A257" t="s">
        <v>1174</v>
      </c>
      <c r="B257" t="s">
        <v>1174</v>
      </c>
      <c r="C257" s="4">
        <v>46014</v>
      </c>
      <c r="D257">
        <v>2025</v>
      </c>
      <c r="E257">
        <v>12</v>
      </c>
      <c r="F257" t="s">
        <v>28</v>
      </c>
      <c r="G257" t="s">
        <v>137</v>
      </c>
      <c r="H257" t="s">
        <v>716</v>
      </c>
      <c r="I257" t="s">
        <v>374</v>
      </c>
      <c r="J257" t="s">
        <v>532</v>
      </c>
      <c r="K257" t="s">
        <v>533</v>
      </c>
      <c r="L257">
        <v>2</v>
      </c>
      <c r="M257" s="5">
        <v>400.33</v>
      </c>
      <c r="N257" s="6">
        <v>5</v>
      </c>
      <c r="O257" s="5">
        <v>40.03</v>
      </c>
      <c r="P257" s="5">
        <v>114.09</v>
      </c>
      <c r="Q257" s="5">
        <v>760.63</v>
      </c>
      <c r="R257" s="5">
        <v>681.8</v>
      </c>
      <c r="S257" s="5">
        <v>78.83</v>
      </c>
      <c r="T257" s="7">
        <v>0.103637773950541</v>
      </c>
      <c r="U257" t="s">
        <v>10</v>
      </c>
      <c r="V257" t="s">
        <v>50</v>
      </c>
      <c r="W257" t="s">
        <v>50</v>
      </c>
      <c r="X257" t="s">
        <v>33</v>
      </c>
      <c r="Y257" t="s">
        <v>733</v>
      </c>
      <c r="Z257" t="s">
        <v>101</v>
      </c>
    </row>
    <row r="258" spans="1:26">
      <c r="A258" t="s">
        <v>1175</v>
      </c>
      <c r="B258" t="s">
        <v>1175</v>
      </c>
      <c r="C258" s="4">
        <v>46066</v>
      </c>
      <c r="D258">
        <v>2026</v>
      </c>
      <c r="E258">
        <v>2</v>
      </c>
      <c r="F258" t="s">
        <v>31</v>
      </c>
      <c r="G258" t="s">
        <v>82</v>
      </c>
      <c r="H258" t="s">
        <v>1176</v>
      </c>
      <c r="I258" t="s">
        <v>583</v>
      </c>
      <c r="J258" t="s">
        <v>412</v>
      </c>
      <c r="K258" t="s">
        <v>1177</v>
      </c>
      <c r="L258">
        <v>3</v>
      </c>
      <c r="M258" s="5">
        <v>251.73</v>
      </c>
      <c r="N258" s="6">
        <v>0</v>
      </c>
      <c r="O258" s="5">
        <v>0</v>
      </c>
      <c r="P258" s="5">
        <v>113.28</v>
      </c>
      <c r="Q258" s="5">
        <v>755.19</v>
      </c>
      <c r="R258" s="5">
        <v>631.56</v>
      </c>
      <c r="S258" s="5">
        <v>123.63</v>
      </c>
      <c r="T258" s="7">
        <v>0.163707146545902</v>
      </c>
      <c r="U258" t="s">
        <v>14</v>
      </c>
      <c r="V258" t="s">
        <v>50</v>
      </c>
      <c r="W258" t="s">
        <v>50</v>
      </c>
      <c r="X258" t="s">
        <v>35</v>
      </c>
      <c r="Y258" t="s">
        <v>1178</v>
      </c>
      <c r="Z258" t="s">
        <v>101</v>
      </c>
    </row>
    <row r="259" spans="1:26">
      <c r="A259" t="s">
        <v>1179</v>
      </c>
      <c r="B259" t="s">
        <v>1179</v>
      </c>
      <c r="C259" s="4">
        <v>46020</v>
      </c>
      <c r="D259">
        <v>2025</v>
      </c>
      <c r="E259">
        <v>12</v>
      </c>
      <c r="F259" t="s">
        <v>28</v>
      </c>
      <c r="G259" t="s">
        <v>137</v>
      </c>
      <c r="H259" t="s">
        <v>964</v>
      </c>
      <c r="I259" t="s">
        <v>947</v>
      </c>
      <c r="J259" t="s">
        <v>477</v>
      </c>
      <c r="K259" t="s">
        <v>1180</v>
      </c>
      <c r="L259">
        <v>4</v>
      </c>
      <c r="M259" s="5">
        <v>464.41</v>
      </c>
      <c r="N259" s="6">
        <v>0</v>
      </c>
      <c r="O259" s="5">
        <v>0</v>
      </c>
      <c r="P259" s="5">
        <v>278.65</v>
      </c>
      <c r="Q259" s="5">
        <v>1857.64</v>
      </c>
      <c r="R259" s="5">
        <v>1590.76</v>
      </c>
      <c r="S259" s="5">
        <v>266.88</v>
      </c>
      <c r="T259" s="7">
        <v>0.143666157059495</v>
      </c>
      <c r="U259" t="s">
        <v>14</v>
      </c>
      <c r="V259" t="s">
        <v>50</v>
      </c>
      <c r="W259" t="s">
        <v>50</v>
      </c>
      <c r="X259" t="s">
        <v>33</v>
      </c>
      <c r="Y259" t="s">
        <v>1181</v>
      </c>
      <c r="Z259" t="s">
        <v>101</v>
      </c>
    </row>
    <row r="260" spans="1:26">
      <c r="A260" t="s">
        <v>1182</v>
      </c>
      <c r="B260" t="s">
        <v>1182</v>
      </c>
      <c r="C260" s="4">
        <v>46033</v>
      </c>
      <c r="D260">
        <v>2026</v>
      </c>
      <c r="E260">
        <v>1</v>
      </c>
      <c r="F260" t="s">
        <v>30</v>
      </c>
      <c r="G260" t="s">
        <v>82</v>
      </c>
      <c r="H260" t="s">
        <v>927</v>
      </c>
      <c r="I260" t="s">
        <v>84</v>
      </c>
      <c r="J260" t="s">
        <v>567</v>
      </c>
      <c r="K260" t="s">
        <v>568</v>
      </c>
      <c r="L260">
        <v>5</v>
      </c>
      <c r="M260" s="5">
        <v>448.94</v>
      </c>
      <c r="N260" s="6">
        <v>0</v>
      </c>
      <c r="O260" s="5">
        <v>0</v>
      </c>
      <c r="P260" s="5">
        <v>336.7</v>
      </c>
      <c r="Q260" s="5">
        <v>2581.4</v>
      </c>
      <c r="R260" s="5">
        <v>1900.4</v>
      </c>
      <c r="S260" s="5">
        <v>681</v>
      </c>
      <c r="T260" s="7">
        <v>0.263810335476873</v>
      </c>
      <c r="U260" t="s">
        <v>14</v>
      </c>
      <c r="V260" t="s">
        <v>50</v>
      </c>
      <c r="W260" t="s">
        <v>50</v>
      </c>
      <c r="X260" t="s">
        <v>33</v>
      </c>
      <c r="Y260" t="s">
        <v>580</v>
      </c>
      <c r="Z260" t="s">
        <v>80</v>
      </c>
    </row>
    <row r="261" spans="1:26">
      <c r="A261" t="s">
        <v>1183</v>
      </c>
      <c r="B261" t="s">
        <v>1183</v>
      </c>
      <c r="C261" s="4">
        <v>45878</v>
      </c>
      <c r="D261">
        <v>2025</v>
      </c>
      <c r="E261">
        <v>8</v>
      </c>
      <c r="F261" t="s">
        <v>24</v>
      </c>
      <c r="G261" t="s">
        <v>89</v>
      </c>
      <c r="H261" t="s">
        <v>1184</v>
      </c>
      <c r="I261" t="s">
        <v>498</v>
      </c>
      <c r="J261" t="s">
        <v>1185</v>
      </c>
      <c r="K261" t="s">
        <v>1186</v>
      </c>
      <c r="L261">
        <v>5</v>
      </c>
      <c r="M261" s="5">
        <v>365.92</v>
      </c>
      <c r="N261" s="6">
        <v>20</v>
      </c>
      <c r="O261" s="5">
        <v>365.92</v>
      </c>
      <c r="P261" s="5">
        <v>219.55</v>
      </c>
      <c r="Q261" s="5">
        <v>1683.23</v>
      </c>
      <c r="R261" s="5">
        <v>1551.9</v>
      </c>
      <c r="S261" s="5">
        <v>131.33</v>
      </c>
      <c r="T261" s="7">
        <v>0.0780226112890098</v>
      </c>
      <c r="U261" t="s">
        <v>10</v>
      </c>
      <c r="V261" t="s">
        <v>50</v>
      </c>
      <c r="W261" t="s">
        <v>50</v>
      </c>
      <c r="X261" t="s">
        <v>33</v>
      </c>
      <c r="Y261" t="s">
        <v>1187</v>
      </c>
      <c r="Z261" t="s">
        <v>80</v>
      </c>
    </row>
    <row r="262" spans="1:26">
      <c r="A262" t="s">
        <v>1188</v>
      </c>
      <c r="B262" t="s">
        <v>1188</v>
      </c>
      <c r="C262" s="4">
        <v>45863</v>
      </c>
      <c r="D262">
        <v>2025</v>
      </c>
      <c r="E262">
        <v>7</v>
      </c>
      <c r="F262" t="s">
        <v>23</v>
      </c>
      <c r="G262" t="s">
        <v>89</v>
      </c>
      <c r="H262" t="s">
        <v>1189</v>
      </c>
      <c r="I262" t="s">
        <v>1190</v>
      </c>
      <c r="J262" t="s">
        <v>42</v>
      </c>
      <c r="K262" t="s">
        <v>1191</v>
      </c>
      <c r="L262">
        <v>3</v>
      </c>
      <c r="M262" s="5">
        <v>468.94</v>
      </c>
      <c r="N262" s="6">
        <v>10</v>
      </c>
      <c r="O262" s="5">
        <v>140.68</v>
      </c>
      <c r="P262" s="5">
        <v>189.92</v>
      </c>
      <c r="Q262" s="5">
        <v>1266.14</v>
      </c>
      <c r="R262" s="5">
        <v>1010.4</v>
      </c>
      <c r="S262" s="5">
        <v>255.74</v>
      </c>
      <c r="T262" s="7">
        <v>0.201983982813907</v>
      </c>
      <c r="U262" t="s">
        <v>12</v>
      </c>
      <c r="V262" t="s">
        <v>50</v>
      </c>
      <c r="W262" t="s">
        <v>50</v>
      </c>
      <c r="X262" t="s">
        <v>33</v>
      </c>
      <c r="Y262" t="s">
        <v>304</v>
      </c>
      <c r="Z262" t="s">
        <v>101</v>
      </c>
    </row>
    <row r="263" spans="1:26">
      <c r="A263" t="s">
        <v>1192</v>
      </c>
      <c r="B263" t="s">
        <v>1192</v>
      </c>
      <c r="C263" s="4">
        <v>45777</v>
      </c>
      <c r="D263">
        <v>2025</v>
      </c>
      <c r="E263">
        <v>4</v>
      </c>
      <c r="F263" t="s">
        <v>20</v>
      </c>
      <c r="G263" t="s">
        <v>74</v>
      </c>
      <c r="H263" t="s">
        <v>1193</v>
      </c>
      <c r="I263" t="s">
        <v>174</v>
      </c>
      <c r="J263" t="s">
        <v>412</v>
      </c>
      <c r="K263" t="s">
        <v>413</v>
      </c>
      <c r="L263">
        <v>1</v>
      </c>
      <c r="M263" s="5">
        <v>397.22</v>
      </c>
      <c r="N263" s="6">
        <v>0</v>
      </c>
      <c r="O263" s="5">
        <v>0</v>
      </c>
      <c r="P263" s="5">
        <v>59.58</v>
      </c>
      <c r="Q263" s="5">
        <v>397.22</v>
      </c>
      <c r="R263" s="5">
        <v>319.37</v>
      </c>
      <c r="S263" s="5">
        <v>77.85</v>
      </c>
      <c r="T263" s="7">
        <v>0.195987110417401</v>
      </c>
      <c r="U263" t="s">
        <v>9</v>
      </c>
      <c r="V263" t="s">
        <v>50</v>
      </c>
      <c r="W263" t="s">
        <v>50</v>
      </c>
      <c r="X263" t="s">
        <v>34</v>
      </c>
      <c r="Y263" t="s">
        <v>1194</v>
      </c>
      <c r="Z263" t="s">
        <v>101</v>
      </c>
    </row>
    <row r="264" spans="1:26">
      <c r="A264" t="s">
        <v>1195</v>
      </c>
      <c r="B264" t="s">
        <v>1195</v>
      </c>
      <c r="C264" s="4">
        <v>45789</v>
      </c>
      <c r="D264">
        <v>2025</v>
      </c>
      <c r="E264">
        <v>5</v>
      </c>
      <c r="F264" t="s">
        <v>21</v>
      </c>
      <c r="G264" t="s">
        <v>74</v>
      </c>
      <c r="H264" t="s">
        <v>1023</v>
      </c>
      <c r="I264" t="s">
        <v>1196</v>
      </c>
      <c r="J264" t="s">
        <v>47</v>
      </c>
      <c r="K264" t="s">
        <v>1197</v>
      </c>
      <c r="L264">
        <v>3</v>
      </c>
      <c r="M264" s="5">
        <v>147.72</v>
      </c>
      <c r="N264" s="6">
        <v>10</v>
      </c>
      <c r="O264" s="5">
        <v>44.32</v>
      </c>
      <c r="P264" s="5">
        <v>59.83</v>
      </c>
      <c r="Q264" s="5">
        <v>398.84</v>
      </c>
      <c r="R264" s="5">
        <v>327.63</v>
      </c>
      <c r="S264" s="5">
        <v>71.21</v>
      </c>
      <c r="T264" s="7">
        <v>0.17854277404473</v>
      </c>
      <c r="U264" t="s">
        <v>13</v>
      </c>
      <c r="V264" t="s">
        <v>50</v>
      </c>
      <c r="W264" t="s">
        <v>50</v>
      </c>
      <c r="X264" t="s">
        <v>35</v>
      </c>
      <c r="Y264" t="s">
        <v>1198</v>
      </c>
      <c r="Z264" t="s">
        <v>101</v>
      </c>
    </row>
    <row r="265" spans="1:26">
      <c r="A265" t="s">
        <v>1199</v>
      </c>
      <c r="B265" t="s">
        <v>1199</v>
      </c>
      <c r="C265" s="4">
        <v>45898</v>
      </c>
      <c r="D265">
        <v>2025</v>
      </c>
      <c r="E265">
        <v>8</v>
      </c>
      <c r="F265" t="s">
        <v>24</v>
      </c>
      <c r="G265" t="s">
        <v>89</v>
      </c>
      <c r="H265" t="s">
        <v>1200</v>
      </c>
      <c r="I265" t="s">
        <v>84</v>
      </c>
      <c r="J265" t="s">
        <v>1201</v>
      </c>
      <c r="K265" t="s">
        <v>930</v>
      </c>
      <c r="L265">
        <v>2</v>
      </c>
      <c r="M265" s="5">
        <v>448.94</v>
      </c>
      <c r="N265" s="6">
        <v>5</v>
      </c>
      <c r="O265" s="5">
        <v>44.89</v>
      </c>
      <c r="P265" s="5">
        <v>127.95</v>
      </c>
      <c r="Q265" s="5">
        <v>852.99</v>
      </c>
      <c r="R265" s="5">
        <v>760.16</v>
      </c>
      <c r="S265" s="5">
        <v>92.83</v>
      </c>
      <c r="T265" s="7">
        <v>0.108828942894993</v>
      </c>
      <c r="U265" t="s">
        <v>9</v>
      </c>
      <c r="V265" t="s">
        <v>50</v>
      </c>
      <c r="W265" t="s">
        <v>50</v>
      </c>
      <c r="X265" t="s">
        <v>33</v>
      </c>
      <c r="Y265" t="s">
        <v>1202</v>
      </c>
      <c r="Z265" t="s">
        <v>101</v>
      </c>
    </row>
    <row r="266" spans="1:26">
      <c r="A266" t="s">
        <v>1203</v>
      </c>
      <c r="B266" t="s">
        <v>1203</v>
      </c>
      <c r="C266" s="4">
        <v>45953</v>
      </c>
      <c r="D266">
        <v>2025</v>
      </c>
      <c r="E266">
        <v>10</v>
      </c>
      <c r="F266" t="s">
        <v>26</v>
      </c>
      <c r="G266" t="s">
        <v>137</v>
      </c>
      <c r="H266" t="s">
        <v>699</v>
      </c>
      <c r="I266" t="s">
        <v>933</v>
      </c>
      <c r="J266" t="s">
        <v>746</v>
      </c>
      <c r="K266" t="s">
        <v>1204</v>
      </c>
      <c r="L266">
        <v>2</v>
      </c>
      <c r="M266" s="5">
        <v>425.88</v>
      </c>
      <c r="N266" s="6">
        <v>0</v>
      </c>
      <c r="O266" s="5">
        <v>0</v>
      </c>
      <c r="P266" s="5">
        <v>127.76</v>
      </c>
      <c r="Q266" s="5">
        <v>851.76</v>
      </c>
      <c r="R266" s="5">
        <v>714.94</v>
      </c>
      <c r="S266" s="5">
        <v>136.82</v>
      </c>
      <c r="T266" s="7">
        <v>0.160632102939795</v>
      </c>
      <c r="U266" t="s">
        <v>14</v>
      </c>
      <c r="V266" t="s">
        <v>50</v>
      </c>
      <c r="W266" t="s">
        <v>50</v>
      </c>
      <c r="X266" t="s">
        <v>34</v>
      </c>
      <c r="Y266" t="s">
        <v>1205</v>
      </c>
      <c r="Z266" t="s">
        <v>101</v>
      </c>
    </row>
    <row r="267" spans="1:26">
      <c r="A267" t="s">
        <v>1206</v>
      </c>
      <c r="B267" t="s">
        <v>1206</v>
      </c>
      <c r="C267" s="4">
        <v>46007</v>
      </c>
      <c r="D267">
        <v>2025</v>
      </c>
      <c r="E267">
        <v>12</v>
      </c>
      <c r="F267" t="s">
        <v>28</v>
      </c>
      <c r="G267" t="s">
        <v>137</v>
      </c>
      <c r="H267" t="s">
        <v>1207</v>
      </c>
      <c r="I267" t="s">
        <v>290</v>
      </c>
      <c r="J267" t="s">
        <v>1208</v>
      </c>
      <c r="K267" t="s">
        <v>1209</v>
      </c>
      <c r="L267">
        <v>4</v>
      </c>
      <c r="M267" s="5">
        <v>89.76</v>
      </c>
      <c r="N267" s="6">
        <v>10</v>
      </c>
      <c r="O267" s="5">
        <v>35.9</v>
      </c>
      <c r="P267" s="5">
        <v>48.47</v>
      </c>
      <c r="Q267" s="5">
        <v>323.14</v>
      </c>
      <c r="R267" s="5">
        <v>249</v>
      </c>
      <c r="S267" s="5">
        <v>74.14</v>
      </c>
      <c r="T267" s="7">
        <v>0.229436157702544</v>
      </c>
      <c r="U267" t="s">
        <v>14</v>
      </c>
      <c r="V267" t="s">
        <v>50</v>
      </c>
      <c r="W267" t="s">
        <v>50</v>
      </c>
      <c r="X267" t="s">
        <v>33</v>
      </c>
      <c r="Y267" t="s">
        <v>1210</v>
      </c>
      <c r="Z267" t="s">
        <v>101</v>
      </c>
    </row>
    <row r="268" spans="1:26">
      <c r="A268" t="s">
        <v>1211</v>
      </c>
      <c r="B268" t="s">
        <v>1211</v>
      </c>
      <c r="C268" s="4">
        <v>46112</v>
      </c>
      <c r="D268">
        <v>2026</v>
      </c>
      <c r="E268">
        <v>3</v>
      </c>
      <c r="F268" t="s">
        <v>19</v>
      </c>
      <c r="G268" t="s">
        <v>82</v>
      </c>
      <c r="H268" t="s">
        <v>218</v>
      </c>
      <c r="I268" t="s">
        <v>186</v>
      </c>
      <c r="J268" t="s">
        <v>717</v>
      </c>
      <c r="K268" t="s">
        <v>1212</v>
      </c>
      <c r="L268">
        <v>3</v>
      </c>
      <c r="M268" s="5">
        <v>93.47</v>
      </c>
      <c r="N268" s="6">
        <v>0</v>
      </c>
      <c r="O268" s="5">
        <v>0</v>
      </c>
      <c r="P268" s="5">
        <v>42.06</v>
      </c>
      <c r="Q268" s="5">
        <v>280.41</v>
      </c>
      <c r="R268" s="5">
        <v>216.87</v>
      </c>
      <c r="S268" s="5">
        <v>63.54</v>
      </c>
      <c r="T268" s="7">
        <v>0.226596769016797</v>
      </c>
      <c r="U268" t="s">
        <v>9</v>
      </c>
      <c r="V268" t="s">
        <v>50</v>
      </c>
      <c r="W268" t="s">
        <v>50</v>
      </c>
      <c r="X268" t="s">
        <v>33</v>
      </c>
      <c r="Y268" t="s">
        <v>1213</v>
      </c>
      <c r="Z268" t="s">
        <v>101</v>
      </c>
    </row>
    <row r="269" spans="1:26">
      <c r="A269" t="s">
        <v>1214</v>
      </c>
      <c r="B269" t="s">
        <v>1214</v>
      </c>
      <c r="C269" s="4">
        <v>45838</v>
      </c>
      <c r="D269">
        <v>2025</v>
      </c>
      <c r="E269">
        <v>6</v>
      </c>
      <c r="F269" t="s">
        <v>22</v>
      </c>
      <c r="G269" t="s">
        <v>74</v>
      </c>
      <c r="H269" t="s">
        <v>1215</v>
      </c>
      <c r="I269" t="s">
        <v>493</v>
      </c>
      <c r="J269" t="s">
        <v>899</v>
      </c>
      <c r="K269" t="s">
        <v>171</v>
      </c>
      <c r="L269">
        <v>2</v>
      </c>
      <c r="M269" s="5">
        <v>395.66</v>
      </c>
      <c r="N269" s="6">
        <v>15</v>
      </c>
      <c r="O269" s="5">
        <v>118.7</v>
      </c>
      <c r="P269" s="5">
        <v>100.89</v>
      </c>
      <c r="Q269" s="5">
        <v>672.62</v>
      </c>
      <c r="R269" s="5">
        <v>640.38</v>
      </c>
      <c r="S269" s="5">
        <v>32.24</v>
      </c>
      <c r="T269" s="7">
        <v>0.0479319675299575</v>
      </c>
      <c r="U269" t="s">
        <v>11</v>
      </c>
      <c r="V269" t="s">
        <v>50</v>
      </c>
      <c r="W269" t="s">
        <v>50</v>
      </c>
      <c r="X269" t="s">
        <v>35</v>
      </c>
      <c r="Y269" t="s">
        <v>1216</v>
      </c>
      <c r="Z269" t="s">
        <v>101</v>
      </c>
    </row>
    <row r="270" spans="1:26">
      <c r="A270" t="s">
        <v>1217</v>
      </c>
      <c r="B270" t="s">
        <v>1217</v>
      </c>
      <c r="C270" s="4">
        <v>46082</v>
      </c>
      <c r="D270">
        <v>2026</v>
      </c>
      <c r="E270">
        <v>3</v>
      </c>
      <c r="F270" t="s">
        <v>19</v>
      </c>
      <c r="G270" t="s">
        <v>82</v>
      </c>
      <c r="H270" t="s">
        <v>1218</v>
      </c>
      <c r="I270" t="s">
        <v>543</v>
      </c>
      <c r="J270" t="s">
        <v>1219</v>
      </c>
      <c r="K270" t="s">
        <v>1220</v>
      </c>
      <c r="L270">
        <v>7</v>
      </c>
      <c r="M270" s="5">
        <v>454.66</v>
      </c>
      <c r="N270" s="6">
        <v>5</v>
      </c>
      <c r="O270" s="5">
        <v>159.13</v>
      </c>
      <c r="P270" s="5">
        <v>453.52</v>
      </c>
      <c r="Q270" s="5">
        <v>3477.01</v>
      </c>
      <c r="R270" s="5">
        <v>2432.29</v>
      </c>
      <c r="S270" s="5">
        <v>1044.72</v>
      </c>
      <c r="T270" s="7">
        <v>0.300465054745313</v>
      </c>
      <c r="U270" t="s">
        <v>10</v>
      </c>
      <c r="V270" t="s">
        <v>50</v>
      </c>
      <c r="W270" t="s">
        <v>50</v>
      </c>
      <c r="X270" t="s">
        <v>33</v>
      </c>
      <c r="Y270" t="s">
        <v>1221</v>
      </c>
      <c r="Z270" t="s">
        <v>80</v>
      </c>
    </row>
    <row r="271" spans="1:26">
      <c r="A271" t="s">
        <v>1222</v>
      </c>
      <c r="B271" t="s">
        <v>1222</v>
      </c>
      <c r="C271" s="4">
        <v>45871</v>
      </c>
      <c r="D271">
        <v>2025</v>
      </c>
      <c r="E271">
        <v>8</v>
      </c>
      <c r="F271" t="s">
        <v>24</v>
      </c>
      <c r="G271" t="s">
        <v>89</v>
      </c>
      <c r="H271" t="s">
        <v>1223</v>
      </c>
      <c r="I271" t="s">
        <v>924</v>
      </c>
      <c r="J271" t="s">
        <v>1224</v>
      </c>
      <c r="K271" t="s">
        <v>890</v>
      </c>
      <c r="L271">
        <v>8</v>
      </c>
      <c r="M271" s="5">
        <v>272.18</v>
      </c>
      <c r="N271" s="6">
        <v>0</v>
      </c>
      <c r="O271" s="5">
        <v>0</v>
      </c>
      <c r="P271" s="5">
        <v>326.62</v>
      </c>
      <c r="Q271" s="5">
        <v>2504.06</v>
      </c>
      <c r="R271" s="5">
        <v>1557.12</v>
      </c>
      <c r="S271" s="5">
        <v>946.94</v>
      </c>
      <c r="T271" s="7">
        <v>0.378161865131027</v>
      </c>
      <c r="U271" t="s">
        <v>11</v>
      </c>
      <c r="V271" t="s">
        <v>50</v>
      </c>
      <c r="W271" t="s">
        <v>50</v>
      </c>
      <c r="X271" t="s">
        <v>33</v>
      </c>
      <c r="Y271" t="s">
        <v>1225</v>
      </c>
      <c r="Z271" t="s">
        <v>80</v>
      </c>
    </row>
    <row r="272" spans="1:26">
      <c r="A272" t="s">
        <v>1226</v>
      </c>
      <c r="B272" t="s">
        <v>1226</v>
      </c>
      <c r="C272" s="4">
        <v>45991</v>
      </c>
      <c r="D272">
        <v>2025</v>
      </c>
      <c r="E272">
        <v>11</v>
      </c>
      <c r="F272" t="s">
        <v>27</v>
      </c>
      <c r="G272" t="s">
        <v>137</v>
      </c>
      <c r="H272" t="s">
        <v>1227</v>
      </c>
      <c r="I272" t="s">
        <v>1228</v>
      </c>
      <c r="J272" t="s">
        <v>1229</v>
      </c>
      <c r="K272" t="s">
        <v>1230</v>
      </c>
      <c r="L272">
        <v>7</v>
      </c>
      <c r="M272" s="5">
        <v>188.94</v>
      </c>
      <c r="N272" s="6">
        <v>10</v>
      </c>
      <c r="O272" s="5">
        <v>132.26</v>
      </c>
      <c r="P272" s="5">
        <v>178.55</v>
      </c>
      <c r="Q272" s="5">
        <v>1368.87</v>
      </c>
      <c r="R272" s="5">
        <v>1107.96</v>
      </c>
      <c r="S272" s="5">
        <v>260.91</v>
      </c>
      <c r="T272" s="7">
        <v>0.190602467728857</v>
      </c>
      <c r="U272" t="s">
        <v>9</v>
      </c>
      <c r="V272" t="s">
        <v>50</v>
      </c>
      <c r="W272" t="s">
        <v>50</v>
      </c>
      <c r="X272" t="s">
        <v>33</v>
      </c>
      <c r="Y272" t="s">
        <v>1231</v>
      </c>
      <c r="Z272" t="s">
        <v>80</v>
      </c>
    </row>
    <row r="273" spans="1:26">
      <c r="A273" t="s">
        <v>1232</v>
      </c>
      <c r="B273" t="s">
        <v>1232</v>
      </c>
      <c r="C273" s="4">
        <v>45973</v>
      </c>
      <c r="D273">
        <v>2025</v>
      </c>
      <c r="E273">
        <v>11</v>
      </c>
      <c r="F273" t="s">
        <v>27</v>
      </c>
      <c r="G273" t="s">
        <v>137</v>
      </c>
      <c r="H273" t="s">
        <v>536</v>
      </c>
      <c r="I273" t="s">
        <v>1233</v>
      </c>
      <c r="J273" t="s">
        <v>1009</v>
      </c>
      <c r="K273" t="s">
        <v>1234</v>
      </c>
      <c r="L273">
        <v>4</v>
      </c>
      <c r="M273" s="5">
        <v>109.69</v>
      </c>
      <c r="N273" s="6">
        <v>5</v>
      </c>
      <c r="O273" s="5">
        <v>21.94</v>
      </c>
      <c r="P273" s="5">
        <v>62.52</v>
      </c>
      <c r="Q273" s="5">
        <v>416.82</v>
      </c>
      <c r="R273" s="5">
        <v>371.84</v>
      </c>
      <c r="S273" s="5">
        <v>44.98</v>
      </c>
      <c r="T273" s="7">
        <v>0.107912288277914</v>
      </c>
      <c r="U273" t="s">
        <v>14</v>
      </c>
      <c r="V273" t="s">
        <v>50</v>
      </c>
      <c r="W273" t="s">
        <v>50</v>
      </c>
      <c r="X273" t="s">
        <v>34</v>
      </c>
      <c r="Y273" t="s">
        <v>560</v>
      </c>
      <c r="Z273" t="s">
        <v>101</v>
      </c>
    </row>
    <row r="274" spans="1:26">
      <c r="A274" t="s">
        <v>1235</v>
      </c>
      <c r="B274" t="s">
        <v>1235</v>
      </c>
      <c r="C274" s="4">
        <v>45838</v>
      </c>
      <c r="D274">
        <v>2025</v>
      </c>
      <c r="E274">
        <v>6</v>
      </c>
      <c r="F274" t="s">
        <v>22</v>
      </c>
      <c r="G274" t="s">
        <v>74</v>
      </c>
      <c r="H274" t="s">
        <v>1236</v>
      </c>
      <c r="I274" t="s">
        <v>1196</v>
      </c>
      <c r="J274" t="s">
        <v>681</v>
      </c>
      <c r="K274" t="s">
        <v>1237</v>
      </c>
      <c r="L274">
        <v>8</v>
      </c>
      <c r="M274" s="5">
        <v>149.6</v>
      </c>
      <c r="N274" s="6">
        <v>15</v>
      </c>
      <c r="O274" s="5">
        <v>179.52</v>
      </c>
      <c r="P274" s="5">
        <v>152.59</v>
      </c>
      <c r="Q274" s="5">
        <v>1017.28</v>
      </c>
      <c r="R274" s="5">
        <v>873.68</v>
      </c>
      <c r="S274" s="5">
        <v>143.6</v>
      </c>
      <c r="T274" s="7">
        <v>0.141160742371815</v>
      </c>
      <c r="U274" t="s">
        <v>11</v>
      </c>
      <c r="V274" t="s">
        <v>50</v>
      </c>
      <c r="W274" t="s">
        <v>50</v>
      </c>
      <c r="X274" t="s">
        <v>35</v>
      </c>
      <c r="Y274" t="s">
        <v>87</v>
      </c>
      <c r="Z274" t="s">
        <v>101</v>
      </c>
    </row>
    <row r="275" spans="1:26">
      <c r="A275" t="s">
        <v>1238</v>
      </c>
      <c r="B275" t="s">
        <v>1238</v>
      </c>
      <c r="C275" s="4">
        <v>45872</v>
      </c>
      <c r="D275">
        <v>2025</v>
      </c>
      <c r="E275">
        <v>8</v>
      </c>
      <c r="F275" t="s">
        <v>24</v>
      </c>
      <c r="G275" t="s">
        <v>89</v>
      </c>
      <c r="H275" t="s">
        <v>1239</v>
      </c>
      <c r="I275" t="s">
        <v>207</v>
      </c>
      <c r="J275" t="s">
        <v>1107</v>
      </c>
      <c r="K275" t="s">
        <v>1240</v>
      </c>
      <c r="L275">
        <v>1</v>
      </c>
      <c r="M275" s="5">
        <v>306.62</v>
      </c>
      <c r="N275" s="6">
        <v>0</v>
      </c>
      <c r="O275" s="5">
        <v>0</v>
      </c>
      <c r="P275" s="5">
        <v>45.99</v>
      </c>
      <c r="Q275" s="5">
        <v>352.61</v>
      </c>
      <c r="R275" s="5">
        <v>259.93</v>
      </c>
      <c r="S275" s="5">
        <v>92.68</v>
      </c>
      <c r="T275" s="7">
        <v>0.262839964833669</v>
      </c>
      <c r="U275" t="s">
        <v>14</v>
      </c>
      <c r="V275" t="s">
        <v>51</v>
      </c>
      <c r="W275" t="s">
        <v>51</v>
      </c>
      <c r="X275" t="s">
        <v>35</v>
      </c>
      <c r="Y275" t="s">
        <v>1241</v>
      </c>
      <c r="Z275" t="s">
        <v>80</v>
      </c>
    </row>
    <row r="276" spans="1:26">
      <c r="A276" t="s">
        <v>1242</v>
      </c>
      <c r="B276" t="s">
        <v>1242</v>
      </c>
      <c r="C276" s="4">
        <v>45987</v>
      </c>
      <c r="D276">
        <v>2025</v>
      </c>
      <c r="E276">
        <v>11</v>
      </c>
      <c r="F276" t="s">
        <v>27</v>
      </c>
      <c r="G276" t="s">
        <v>137</v>
      </c>
      <c r="H276" t="s">
        <v>300</v>
      </c>
      <c r="I276" t="s">
        <v>1196</v>
      </c>
      <c r="J276" t="s">
        <v>1107</v>
      </c>
      <c r="K276" t="s">
        <v>515</v>
      </c>
      <c r="L276">
        <v>7</v>
      </c>
      <c r="M276" s="5">
        <v>150.42</v>
      </c>
      <c r="N276" s="6">
        <v>15</v>
      </c>
      <c r="O276" s="5">
        <v>157.94</v>
      </c>
      <c r="P276" s="5">
        <v>134.25</v>
      </c>
      <c r="Q276" s="5">
        <v>895</v>
      </c>
      <c r="R276" s="5">
        <v>764.47</v>
      </c>
      <c r="S276" s="5">
        <v>130.53</v>
      </c>
      <c r="T276" s="7">
        <v>0.145843575418994</v>
      </c>
      <c r="U276" t="s">
        <v>10</v>
      </c>
      <c r="V276" t="s">
        <v>50</v>
      </c>
      <c r="W276" t="s">
        <v>50</v>
      </c>
      <c r="X276" t="s">
        <v>35</v>
      </c>
      <c r="Y276" t="s">
        <v>1243</v>
      </c>
      <c r="Z276" t="s">
        <v>101</v>
      </c>
    </row>
    <row r="277" spans="1:26">
      <c r="A277" t="s">
        <v>1244</v>
      </c>
      <c r="B277" t="s">
        <v>1244</v>
      </c>
      <c r="C277" s="4">
        <v>45941</v>
      </c>
      <c r="D277">
        <v>2025</v>
      </c>
      <c r="E277">
        <v>10</v>
      </c>
      <c r="F277" t="s">
        <v>26</v>
      </c>
      <c r="G277" t="s">
        <v>137</v>
      </c>
      <c r="H277" t="s">
        <v>1245</v>
      </c>
      <c r="I277" t="s">
        <v>328</v>
      </c>
      <c r="J277" t="s">
        <v>1009</v>
      </c>
      <c r="K277" t="s">
        <v>287</v>
      </c>
      <c r="L277">
        <v>5</v>
      </c>
      <c r="M277" s="5">
        <v>124.84</v>
      </c>
      <c r="N277" s="6">
        <v>0</v>
      </c>
      <c r="O277" s="5">
        <v>0</v>
      </c>
      <c r="P277" s="5">
        <v>93.63</v>
      </c>
      <c r="Q277" s="5">
        <v>717.83</v>
      </c>
      <c r="R277" s="5">
        <v>486.75</v>
      </c>
      <c r="S277" s="5">
        <v>231.08</v>
      </c>
      <c r="T277" s="7">
        <v>0.321914659459761</v>
      </c>
      <c r="U277" t="s">
        <v>13</v>
      </c>
      <c r="V277" t="s">
        <v>50</v>
      </c>
      <c r="W277" t="s">
        <v>50</v>
      </c>
      <c r="X277" t="s">
        <v>35</v>
      </c>
      <c r="Y277" t="s">
        <v>1246</v>
      </c>
      <c r="Z277" t="s">
        <v>80</v>
      </c>
    </row>
    <row r="278" spans="1:26">
      <c r="A278" t="s">
        <v>1247</v>
      </c>
      <c r="B278" t="s">
        <v>1247</v>
      </c>
      <c r="C278" s="4">
        <v>45780</v>
      </c>
      <c r="D278">
        <v>2025</v>
      </c>
      <c r="E278">
        <v>5</v>
      </c>
      <c r="F278" t="s">
        <v>21</v>
      </c>
      <c r="G278" t="s">
        <v>74</v>
      </c>
      <c r="H278" t="s">
        <v>394</v>
      </c>
      <c r="I278" t="s">
        <v>924</v>
      </c>
      <c r="J278" t="s">
        <v>723</v>
      </c>
      <c r="K278" t="s">
        <v>718</v>
      </c>
      <c r="L278">
        <v>4</v>
      </c>
      <c r="M278" s="5">
        <v>301.17</v>
      </c>
      <c r="N278" s="6">
        <v>0</v>
      </c>
      <c r="O278" s="5">
        <v>0</v>
      </c>
      <c r="P278" s="5">
        <v>180.7</v>
      </c>
      <c r="Q278" s="5">
        <v>1385.38</v>
      </c>
      <c r="R278" s="5">
        <v>778.56</v>
      </c>
      <c r="S278" s="5">
        <v>606.82</v>
      </c>
      <c r="T278" s="7">
        <v>0.438017006164374</v>
      </c>
      <c r="U278" t="s">
        <v>10</v>
      </c>
      <c r="V278" t="s">
        <v>50</v>
      </c>
      <c r="W278" t="s">
        <v>50</v>
      </c>
      <c r="X278" t="s">
        <v>33</v>
      </c>
      <c r="Y278" t="s">
        <v>603</v>
      </c>
      <c r="Z278" t="s">
        <v>80</v>
      </c>
    </row>
    <row r="279" spans="1:26">
      <c r="A279" t="s">
        <v>1248</v>
      </c>
      <c r="B279" t="s">
        <v>1248</v>
      </c>
      <c r="C279" s="4">
        <v>45986</v>
      </c>
      <c r="D279">
        <v>2025</v>
      </c>
      <c r="E279">
        <v>11</v>
      </c>
      <c r="F279" t="s">
        <v>27</v>
      </c>
      <c r="G279" t="s">
        <v>137</v>
      </c>
      <c r="H279" t="s">
        <v>1249</v>
      </c>
      <c r="I279" t="s">
        <v>537</v>
      </c>
      <c r="J279" t="s">
        <v>127</v>
      </c>
      <c r="K279" t="s">
        <v>128</v>
      </c>
      <c r="L279">
        <v>2</v>
      </c>
      <c r="M279" s="5">
        <v>232.58</v>
      </c>
      <c r="N279" s="6">
        <v>5</v>
      </c>
      <c r="O279" s="5">
        <v>23.26</v>
      </c>
      <c r="P279" s="5">
        <v>66.28</v>
      </c>
      <c r="Q279" s="5">
        <v>441.9</v>
      </c>
      <c r="R279" s="5">
        <v>382.4</v>
      </c>
      <c r="S279" s="5">
        <v>59.5</v>
      </c>
      <c r="T279" s="7">
        <v>0.134645847476805</v>
      </c>
      <c r="U279" t="s">
        <v>14</v>
      </c>
      <c r="V279" t="s">
        <v>50</v>
      </c>
      <c r="W279" t="s">
        <v>50</v>
      </c>
      <c r="X279" t="s">
        <v>33</v>
      </c>
      <c r="Y279" t="s">
        <v>1250</v>
      </c>
      <c r="Z279" t="s">
        <v>101</v>
      </c>
    </row>
    <row r="280" spans="1:26">
      <c r="A280" t="s">
        <v>1251</v>
      </c>
      <c r="B280" t="s">
        <v>1251</v>
      </c>
      <c r="C280" s="4">
        <v>45962</v>
      </c>
      <c r="D280">
        <v>2025</v>
      </c>
      <c r="E280">
        <v>11</v>
      </c>
      <c r="F280" t="s">
        <v>27</v>
      </c>
      <c r="G280" t="s">
        <v>137</v>
      </c>
      <c r="H280" t="s">
        <v>508</v>
      </c>
      <c r="I280" t="s">
        <v>323</v>
      </c>
      <c r="J280" t="s">
        <v>357</v>
      </c>
      <c r="K280" t="s">
        <v>358</v>
      </c>
      <c r="L280">
        <v>8</v>
      </c>
      <c r="M280" s="5">
        <v>58.19</v>
      </c>
      <c r="N280" s="6">
        <v>15</v>
      </c>
      <c r="O280" s="5">
        <v>69.83</v>
      </c>
      <c r="P280" s="5">
        <v>59.35</v>
      </c>
      <c r="Q280" s="5">
        <v>455.04</v>
      </c>
      <c r="R280" s="5">
        <v>299.84</v>
      </c>
      <c r="S280" s="5">
        <v>155.2</v>
      </c>
      <c r="T280" s="7">
        <v>0.341068917018284</v>
      </c>
      <c r="U280" t="s">
        <v>11</v>
      </c>
      <c r="V280" t="s">
        <v>50</v>
      </c>
      <c r="W280" t="s">
        <v>50</v>
      </c>
      <c r="X280" t="s">
        <v>33</v>
      </c>
      <c r="Y280" t="s">
        <v>1252</v>
      </c>
      <c r="Z280" t="s">
        <v>80</v>
      </c>
    </row>
    <row r="281" spans="1:26">
      <c r="A281" t="s">
        <v>1253</v>
      </c>
      <c r="B281" t="s">
        <v>1253</v>
      </c>
      <c r="C281" s="4">
        <v>45797</v>
      </c>
      <c r="D281">
        <v>2025</v>
      </c>
      <c r="E281">
        <v>5</v>
      </c>
      <c r="F281" t="s">
        <v>21</v>
      </c>
      <c r="G281" t="s">
        <v>74</v>
      </c>
      <c r="H281" t="s">
        <v>378</v>
      </c>
      <c r="I281" t="s">
        <v>819</v>
      </c>
      <c r="J281" t="s">
        <v>339</v>
      </c>
      <c r="K281" t="s">
        <v>303</v>
      </c>
      <c r="L281">
        <v>4</v>
      </c>
      <c r="M281" s="5">
        <v>86.11</v>
      </c>
      <c r="N281" s="6">
        <v>0</v>
      </c>
      <c r="O281" s="5">
        <v>0</v>
      </c>
      <c r="P281" s="5">
        <v>51.67</v>
      </c>
      <c r="Q281" s="5">
        <v>344.44</v>
      </c>
      <c r="R281" s="5">
        <v>272.68</v>
      </c>
      <c r="S281" s="5">
        <v>71.76</v>
      </c>
      <c r="T281" s="7">
        <v>0.208338172105447</v>
      </c>
      <c r="U281" t="s">
        <v>14</v>
      </c>
      <c r="V281" t="s">
        <v>50</v>
      </c>
      <c r="W281" t="s">
        <v>50</v>
      </c>
      <c r="X281" t="s">
        <v>35</v>
      </c>
      <c r="Y281" t="s">
        <v>767</v>
      </c>
      <c r="Z281" t="s">
        <v>101</v>
      </c>
    </row>
    <row r="282" spans="1:26">
      <c r="A282" t="s">
        <v>1254</v>
      </c>
      <c r="B282" t="s">
        <v>1254</v>
      </c>
      <c r="C282" s="4">
        <v>46014</v>
      </c>
      <c r="D282">
        <v>2025</v>
      </c>
      <c r="E282">
        <v>12</v>
      </c>
      <c r="F282" t="s">
        <v>28</v>
      </c>
      <c r="G282" t="s">
        <v>137</v>
      </c>
      <c r="H282" t="s">
        <v>502</v>
      </c>
      <c r="I282" t="s">
        <v>476</v>
      </c>
      <c r="J282" t="s">
        <v>813</v>
      </c>
      <c r="K282" t="s">
        <v>1255</v>
      </c>
      <c r="L282">
        <v>1</v>
      </c>
      <c r="M282" s="5">
        <v>305.67</v>
      </c>
      <c r="N282" s="6">
        <v>10</v>
      </c>
      <c r="O282" s="5">
        <v>30.57</v>
      </c>
      <c r="P282" s="5">
        <v>41.26</v>
      </c>
      <c r="Q282" s="5">
        <v>275.1</v>
      </c>
      <c r="R282" s="5">
        <v>251.42</v>
      </c>
      <c r="S282" s="5">
        <v>23.68</v>
      </c>
      <c r="T282" s="7">
        <v>0.0860777898945838</v>
      </c>
      <c r="U282" t="s">
        <v>11</v>
      </c>
      <c r="V282" t="s">
        <v>50</v>
      </c>
      <c r="W282" t="s">
        <v>50</v>
      </c>
      <c r="X282" t="s">
        <v>33</v>
      </c>
      <c r="Y282" t="s">
        <v>1256</v>
      </c>
      <c r="Z282" t="s">
        <v>101</v>
      </c>
    </row>
    <row r="283" spans="1:26">
      <c r="A283" t="s">
        <v>1257</v>
      </c>
      <c r="B283" t="s">
        <v>1257</v>
      </c>
      <c r="C283" s="4">
        <v>46092</v>
      </c>
      <c r="D283">
        <v>2026</v>
      </c>
      <c r="E283">
        <v>3</v>
      </c>
      <c r="F283" t="s">
        <v>19</v>
      </c>
      <c r="G283" t="s">
        <v>82</v>
      </c>
      <c r="H283" t="s">
        <v>1258</v>
      </c>
      <c r="I283" t="s">
        <v>84</v>
      </c>
      <c r="J283" t="s">
        <v>695</v>
      </c>
      <c r="K283" t="s">
        <v>1259</v>
      </c>
      <c r="L283">
        <v>2</v>
      </c>
      <c r="M283" s="5">
        <v>448.94</v>
      </c>
      <c r="N283" s="6">
        <v>0</v>
      </c>
      <c r="O283" s="5">
        <v>0</v>
      </c>
      <c r="P283" s="5">
        <v>134.68</v>
      </c>
      <c r="Q283" s="5">
        <v>897.88</v>
      </c>
      <c r="R283" s="5">
        <v>760.16</v>
      </c>
      <c r="S283" s="5">
        <v>137.72</v>
      </c>
      <c r="T283" s="7">
        <v>0.15338352563817</v>
      </c>
      <c r="U283" t="s">
        <v>12</v>
      </c>
      <c r="V283" t="s">
        <v>50</v>
      </c>
      <c r="W283" t="s">
        <v>50</v>
      </c>
      <c r="X283" t="s">
        <v>33</v>
      </c>
      <c r="Y283" t="s">
        <v>1260</v>
      </c>
      <c r="Z283" t="s">
        <v>101</v>
      </c>
    </row>
    <row r="284" spans="1:26">
      <c r="A284" t="s">
        <v>1261</v>
      </c>
      <c r="B284" t="s">
        <v>1261</v>
      </c>
      <c r="C284" s="4">
        <v>46006</v>
      </c>
      <c r="D284">
        <v>2025</v>
      </c>
      <c r="E284">
        <v>12</v>
      </c>
      <c r="F284" t="s">
        <v>28</v>
      </c>
      <c r="G284" t="s">
        <v>137</v>
      </c>
      <c r="H284" t="s">
        <v>557</v>
      </c>
      <c r="I284" t="s">
        <v>913</v>
      </c>
      <c r="J284" t="s">
        <v>445</v>
      </c>
      <c r="K284" t="s">
        <v>1262</v>
      </c>
      <c r="L284">
        <v>4</v>
      </c>
      <c r="M284" s="5">
        <v>214.04</v>
      </c>
      <c r="N284" s="6">
        <v>5</v>
      </c>
      <c r="O284" s="5">
        <v>42.81</v>
      </c>
      <c r="P284" s="5">
        <v>122</v>
      </c>
      <c r="Q284" s="5">
        <v>813.35</v>
      </c>
      <c r="R284" s="5">
        <v>632.24</v>
      </c>
      <c r="S284" s="5">
        <v>181.11</v>
      </c>
      <c r="T284" s="7">
        <v>0.22267166656421</v>
      </c>
      <c r="U284" t="s">
        <v>10</v>
      </c>
      <c r="V284" t="s">
        <v>50</v>
      </c>
      <c r="W284" t="s">
        <v>50</v>
      </c>
      <c r="X284" t="s">
        <v>35</v>
      </c>
      <c r="Y284" t="s">
        <v>359</v>
      </c>
      <c r="Z284" t="s">
        <v>101</v>
      </c>
    </row>
    <row r="285" spans="1:26">
      <c r="A285" t="s">
        <v>1263</v>
      </c>
      <c r="B285" t="s">
        <v>1263</v>
      </c>
      <c r="C285" s="4">
        <v>45851</v>
      </c>
      <c r="D285">
        <v>2025</v>
      </c>
      <c r="E285">
        <v>7</v>
      </c>
      <c r="F285" t="s">
        <v>23</v>
      </c>
      <c r="G285" t="s">
        <v>89</v>
      </c>
      <c r="H285" t="s">
        <v>738</v>
      </c>
      <c r="I285" t="s">
        <v>1264</v>
      </c>
      <c r="J285" t="s">
        <v>85</v>
      </c>
      <c r="K285" t="s">
        <v>86</v>
      </c>
      <c r="L285">
        <v>5</v>
      </c>
      <c r="M285" s="5">
        <v>182.68</v>
      </c>
      <c r="N285" s="6">
        <v>20</v>
      </c>
      <c r="O285" s="5">
        <v>182.68</v>
      </c>
      <c r="P285" s="5">
        <v>109.61</v>
      </c>
      <c r="Q285" s="5">
        <v>840.33</v>
      </c>
      <c r="R285" s="5">
        <v>538</v>
      </c>
      <c r="S285" s="5">
        <v>302.33</v>
      </c>
      <c r="T285" s="7">
        <v>0.359775326359882</v>
      </c>
      <c r="U285" t="s">
        <v>14</v>
      </c>
      <c r="V285" t="s">
        <v>50</v>
      </c>
      <c r="W285" t="s">
        <v>50</v>
      </c>
      <c r="X285" t="s">
        <v>33</v>
      </c>
      <c r="Y285" t="s">
        <v>1265</v>
      </c>
      <c r="Z285" t="s">
        <v>80</v>
      </c>
    </row>
    <row r="286" spans="1:26">
      <c r="A286" t="s">
        <v>1266</v>
      </c>
      <c r="B286" t="s">
        <v>1266</v>
      </c>
      <c r="C286" s="4">
        <v>46088</v>
      </c>
      <c r="D286">
        <v>2026</v>
      </c>
      <c r="E286">
        <v>3</v>
      </c>
      <c r="F286" t="s">
        <v>19</v>
      </c>
      <c r="G286" t="s">
        <v>82</v>
      </c>
      <c r="H286" t="s">
        <v>1267</v>
      </c>
      <c r="I286" t="s">
        <v>1153</v>
      </c>
      <c r="J286" t="s">
        <v>955</v>
      </c>
      <c r="K286" t="s">
        <v>287</v>
      </c>
      <c r="L286">
        <v>3</v>
      </c>
      <c r="M286" s="5">
        <v>387.41</v>
      </c>
      <c r="N286" s="6">
        <v>0</v>
      </c>
      <c r="O286" s="5">
        <v>0</v>
      </c>
      <c r="P286" s="5">
        <v>174.33</v>
      </c>
      <c r="Q286" s="5">
        <v>1336.56</v>
      </c>
      <c r="R286" s="5">
        <v>973.44</v>
      </c>
      <c r="S286" s="5">
        <v>363.12</v>
      </c>
      <c r="T286" s="7">
        <v>0.271682528281559</v>
      </c>
      <c r="U286" t="s">
        <v>11</v>
      </c>
      <c r="V286" t="s">
        <v>50</v>
      </c>
      <c r="W286" t="s">
        <v>50</v>
      </c>
      <c r="X286" t="s">
        <v>35</v>
      </c>
      <c r="Y286" t="s">
        <v>1268</v>
      </c>
      <c r="Z286" t="s">
        <v>80</v>
      </c>
    </row>
    <row r="287" spans="1:26">
      <c r="A287" t="s">
        <v>1269</v>
      </c>
      <c r="B287" t="s">
        <v>1269</v>
      </c>
      <c r="C287" s="4">
        <v>45885</v>
      </c>
      <c r="D287">
        <v>2025</v>
      </c>
      <c r="E287">
        <v>8</v>
      </c>
      <c r="F287" t="s">
        <v>24</v>
      </c>
      <c r="G287" t="s">
        <v>89</v>
      </c>
      <c r="H287" t="s">
        <v>244</v>
      </c>
      <c r="I287" t="s">
        <v>350</v>
      </c>
      <c r="J287" t="s">
        <v>302</v>
      </c>
      <c r="K287" t="s">
        <v>303</v>
      </c>
      <c r="L287">
        <v>1</v>
      </c>
      <c r="M287" s="5">
        <v>343.56</v>
      </c>
      <c r="N287" s="6">
        <v>0</v>
      </c>
      <c r="O287" s="5">
        <v>0</v>
      </c>
      <c r="P287" s="5">
        <v>51.53</v>
      </c>
      <c r="Q287" s="5">
        <v>395.09</v>
      </c>
      <c r="R287" s="5">
        <v>216.32</v>
      </c>
      <c r="S287" s="5">
        <v>178.77</v>
      </c>
      <c r="T287" s="7">
        <v>0.452479181958541</v>
      </c>
      <c r="U287" t="s">
        <v>9</v>
      </c>
      <c r="V287" t="s">
        <v>50</v>
      </c>
      <c r="W287" t="s">
        <v>50</v>
      </c>
      <c r="X287" t="s">
        <v>33</v>
      </c>
      <c r="Y287" t="s">
        <v>1246</v>
      </c>
      <c r="Z287" t="s">
        <v>80</v>
      </c>
    </row>
    <row r="288" spans="1:26">
      <c r="A288" t="s">
        <v>1270</v>
      </c>
      <c r="B288" t="s">
        <v>1270</v>
      </c>
      <c r="C288" s="4">
        <v>46082</v>
      </c>
      <c r="D288">
        <v>2026</v>
      </c>
      <c r="E288">
        <v>3</v>
      </c>
      <c r="F288" t="s">
        <v>19</v>
      </c>
      <c r="G288" t="s">
        <v>82</v>
      </c>
      <c r="H288" t="s">
        <v>1271</v>
      </c>
      <c r="I288" t="s">
        <v>1264</v>
      </c>
      <c r="J288" t="s">
        <v>1272</v>
      </c>
      <c r="K288" t="s">
        <v>971</v>
      </c>
      <c r="L288">
        <v>3</v>
      </c>
      <c r="M288" s="5">
        <v>182.3</v>
      </c>
      <c r="N288" s="6">
        <v>15</v>
      </c>
      <c r="O288" s="5">
        <v>82.04</v>
      </c>
      <c r="P288" s="5">
        <v>69.73</v>
      </c>
      <c r="Q288" s="5">
        <v>534.59</v>
      </c>
      <c r="R288" s="5">
        <v>322.8</v>
      </c>
      <c r="S288" s="5">
        <v>211.79</v>
      </c>
      <c r="T288" s="7">
        <v>0.396172767915599</v>
      </c>
      <c r="U288" t="s">
        <v>10</v>
      </c>
      <c r="V288" t="s">
        <v>50</v>
      </c>
      <c r="W288" t="s">
        <v>50</v>
      </c>
      <c r="X288" t="s">
        <v>33</v>
      </c>
      <c r="Y288" t="s">
        <v>983</v>
      </c>
      <c r="Z288" t="s">
        <v>80</v>
      </c>
    </row>
    <row r="289" spans="1:26">
      <c r="A289" t="s">
        <v>1273</v>
      </c>
      <c r="B289" t="s">
        <v>1273</v>
      </c>
      <c r="C289" s="4">
        <v>45985</v>
      </c>
      <c r="D289">
        <v>2025</v>
      </c>
      <c r="E289">
        <v>11</v>
      </c>
      <c r="F289" t="s">
        <v>27</v>
      </c>
      <c r="G289" t="s">
        <v>137</v>
      </c>
      <c r="H289" t="s">
        <v>1274</v>
      </c>
      <c r="I289" t="s">
        <v>1071</v>
      </c>
      <c r="J289" t="s">
        <v>127</v>
      </c>
      <c r="K289" t="s">
        <v>128</v>
      </c>
      <c r="L289">
        <v>2</v>
      </c>
      <c r="M289" s="5">
        <v>277.42</v>
      </c>
      <c r="N289" s="6">
        <v>0</v>
      </c>
      <c r="O289" s="5">
        <v>0</v>
      </c>
      <c r="P289" s="5">
        <v>83.23</v>
      </c>
      <c r="Q289" s="5">
        <v>554.84</v>
      </c>
      <c r="R289" s="5">
        <v>398.32</v>
      </c>
      <c r="S289" s="5">
        <v>156.52</v>
      </c>
      <c r="T289" s="7">
        <v>0.282099343955014</v>
      </c>
      <c r="U289" t="s">
        <v>12</v>
      </c>
      <c r="V289" t="s">
        <v>50</v>
      </c>
      <c r="W289" t="s">
        <v>50</v>
      </c>
      <c r="X289" t="s">
        <v>33</v>
      </c>
      <c r="Y289" t="s">
        <v>683</v>
      </c>
      <c r="Z289" t="s">
        <v>101</v>
      </c>
    </row>
    <row r="290" spans="1:26">
      <c r="A290" t="s">
        <v>1275</v>
      </c>
      <c r="B290" t="s">
        <v>1275</v>
      </c>
      <c r="C290" s="4">
        <v>45960</v>
      </c>
      <c r="D290">
        <v>2025</v>
      </c>
      <c r="E290">
        <v>10</v>
      </c>
      <c r="F290" t="s">
        <v>26</v>
      </c>
      <c r="G290" t="s">
        <v>137</v>
      </c>
      <c r="H290" t="s">
        <v>1276</v>
      </c>
      <c r="I290" t="s">
        <v>807</v>
      </c>
      <c r="J290" t="s">
        <v>948</v>
      </c>
      <c r="K290" t="s">
        <v>949</v>
      </c>
      <c r="L290">
        <v>3</v>
      </c>
      <c r="M290" s="5">
        <v>340.25</v>
      </c>
      <c r="N290" s="6">
        <v>15</v>
      </c>
      <c r="O290" s="5">
        <v>153.11</v>
      </c>
      <c r="P290" s="5">
        <v>130.15</v>
      </c>
      <c r="Q290" s="5">
        <v>867.64</v>
      </c>
      <c r="R290" s="5">
        <v>791.55</v>
      </c>
      <c r="S290" s="5">
        <v>76.09</v>
      </c>
      <c r="T290" s="7">
        <v>0.0876976626250519</v>
      </c>
      <c r="U290" t="s">
        <v>13</v>
      </c>
      <c r="V290" t="s">
        <v>50</v>
      </c>
      <c r="W290" t="s">
        <v>50</v>
      </c>
      <c r="X290" t="s">
        <v>33</v>
      </c>
      <c r="Y290" t="s">
        <v>1277</v>
      </c>
      <c r="Z290" t="s">
        <v>101</v>
      </c>
    </row>
    <row r="291" spans="1:26">
      <c r="A291" t="s">
        <v>1278</v>
      </c>
      <c r="B291" t="s">
        <v>1278</v>
      </c>
      <c r="C291" s="4">
        <v>45987</v>
      </c>
      <c r="D291">
        <v>2025</v>
      </c>
      <c r="E291">
        <v>11</v>
      </c>
      <c r="F291" t="s">
        <v>27</v>
      </c>
      <c r="G291" t="s">
        <v>137</v>
      </c>
      <c r="H291" t="s">
        <v>1279</v>
      </c>
      <c r="I291" t="s">
        <v>91</v>
      </c>
      <c r="J291" t="s">
        <v>111</v>
      </c>
      <c r="K291" t="s">
        <v>1280</v>
      </c>
      <c r="L291">
        <v>4</v>
      </c>
      <c r="M291" s="5">
        <v>259.81</v>
      </c>
      <c r="N291" s="6">
        <v>10</v>
      </c>
      <c r="O291" s="5">
        <v>103.92</v>
      </c>
      <c r="P291" s="5">
        <v>140.3</v>
      </c>
      <c r="Q291" s="5">
        <v>935.32</v>
      </c>
      <c r="R291" s="5">
        <v>852.92</v>
      </c>
      <c r="S291" s="5">
        <v>82.4</v>
      </c>
      <c r="T291" s="7">
        <v>0.0880981909934568</v>
      </c>
      <c r="U291" t="s">
        <v>10</v>
      </c>
      <c r="V291" t="s">
        <v>50</v>
      </c>
      <c r="W291" t="s">
        <v>50</v>
      </c>
      <c r="X291" t="s">
        <v>33</v>
      </c>
      <c r="Y291" t="s">
        <v>815</v>
      </c>
      <c r="Z291" t="s">
        <v>101</v>
      </c>
    </row>
    <row r="292" spans="1:26">
      <c r="A292" t="s">
        <v>1281</v>
      </c>
      <c r="B292" t="s">
        <v>1281</v>
      </c>
      <c r="C292" s="4">
        <v>45821</v>
      </c>
      <c r="D292">
        <v>2025</v>
      </c>
      <c r="E292">
        <v>6</v>
      </c>
      <c r="F292" t="s">
        <v>22</v>
      </c>
      <c r="G292" t="s">
        <v>74</v>
      </c>
      <c r="H292" t="s">
        <v>1282</v>
      </c>
      <c r="I292" t="s">
        <v>196</v>
      </c>
      <c r="J292" t="s">
        <v>77</v>
      </c>
      <c r="K292" t="s">
        <v>1283</v>
      </c>
      <c r="L292">
        <v>3</v>
      </c>
      <c r="M292" s="5">
        <v>332.73</v>
      </c>
      <c r="N292" s="6">
        <v>0</v>
      </c>
      <c r="O292" s="5">
        <v>0</v>
      </c>
      <c r="P292" s="5">
        <v>149.73</v>
      </c>
      <c r="Q292" s="5">
        <v>998.19</v>
      </c>
      <c r="R292" s="5">
        <v>783.66</v>
      </c>
      <c r="S292" s="5">
        <v>214.53</v>
      </c>
      <c r="T292" s="7">
        <v>0.214919003396147</v>
      </c>
      <c r="U292" t="s">
        <v>12</v>
      </c>
      <c r="V292" t="s">
        <v>50</v>
      </c>
      <c r="W292" t="s">
        <v>50</v>
      </c>
      <c r="X292" t="s">
        <v>33</v>
      </c>
      <c r="Y292" t="s">
        <v>1284</v>
      </c>
      <c r="Z292" t="s">
        <v>101</v>
      </c>
    </row>
    <row r="293" spans="1:26">
      <c r="A293" t="s">
        <v>1285</v>
      </c>
      <c r="B293" t="s">
        <v>1285</v>
      </c>
      <c r="C293" s="4">
        <v>45955</v>
      </c>
      <c r="D293">
        <v>2025</v>
      </c>
      <c r="E293">
        <v>10</v>
      </c>
      <c r="F293" t="s">
        <v>26</v>
      </c>
      <c r="G293" t="s">
        <v>137</v>
      </c>
      <c r="H293" t="s">
        <v>83</v>
      </c>
      <c r="I293" t="s">
        <v>97</v>
      </c>
      <c r="J293" t="s">
        <v>44</v>
      </c>
      <c r="K293" t="s">
        <v>1286</v>
      </c>
      <c r="L293">
        <v>1</v>
      </c>
      <c r="M293" s="5">
        <v>398.25</v>
      </c>
      <c r="N293" s="6">
        <v>5</v>
      </c>
      <c r="O293" s="5">
        <v>19.91</v>
      </c>
      <c r="P293" s="5">
        <v>56.75</v>
      </c>
      <c r="Q293" s="5">
        <v>435.09</v>
      </c>
      <c r="R293" s="5">
        <v>236.54</v>
      </c>
      <c r="S293" s="5">
        <v>198.55</v>
      </c>
      <c r="T293" s="7">
        <v>0.456342365947275</v>
      </c>
      <c r="U293" t="s">
        <v>10</v>
      </c>
      <c r="V293" t="s">
        <v>50</v>
      </c>
      <c r="W293" t="s">
        <v>50</v>
      </c>
      <c r="X293" t="s">
        <v>33</v>
      </c>
      <c r="Y293" t="s">
        <v>1287</v>
      </c>
      <c r="Z293" t="s">
        <v>80</v>
      </c>
    </row>
    <row r="294" spans="1:26">
      <c r="A294" t="s">
        <v>1288</v>
      </c>
      <c r="B294" t="s">
        <v>1288</v>
      </c>
      <c r="C294" s="4">
        <v>45961</v>
      </c>
      <c r="D294">
        <v>2025</v>
      </c>
      <c r="E294">
        <v>10</v>
      </c>
      <c r="F294" t="s">
        <v>26</v>
      </c>
      <c r="G294" t="s">
        <v>137</v>
      </c>
      <c r="H294" t="s">
        <v>1289</v>
      </c>
      <c r="I294" t="s">
        <v>476</v>
      </c>
      <c r="J294" t="s">
        <v>1290</v>
      </c>
      <c r="K294" t="s">
        <v>1291</v>
      </c>
      <c r="L294">
        <v>3</v>
      </c>
      <c r="M294" s="5">
        <v>305.67</v>
      </c>
      <c r="N294" s="6">
        <v>10</v>
      </c>
      <c r="O294" s="5">
        <v>91.7</v>
      </c>
      <c r="P294" s="5">
        <v>123.8</v>
      </c>
      <c r="Q294" s="5">
        <v>825.31</v>
      </c>
      <c r="R294" s="5">
        <v>754.26</v>
      </c>
      <c r="S294" s="5">
        <v>71.05</v>
      </c>
      <c r="T294" s="7">
        <v>0.0860888635785341</v>
      </c>
      <c r="U294" t="s">
        <v>12</v>
      </c>
      <c r="V294" t="s">
        <v>50</v>
      </c>
      <c r="W294" t="s">
        <v>50</v>
      </c>
      <c r="X294" t="s">
        <v>35</v>
      </c>
      <c r="Y294" t="s">
        <v>1292</v>
      </c>
      <c r="Z294" t="s">
        <v>101</v>
      </c>
    </row>
    <row r="295" spans="1:26">
      <c r="A295" t="s">
        <v>1293</v>
      </c>
      <c r="B295" t="s">
        <v>1293</v>
      </c>
      <c r="C295" s="4">
        <v>45801</v>
      </c>
      <c r="D295">
        <v>2025</v>
      </c>
      <c r="E295">
        <v>5</v>
      </c>
      <c r="F295" t="s">
        <v>21</v>
      </c>
      <c r="G295" t="s">
        <v>74</v>
      </c>
      <c r="H295" t="s">
        <v>1294</v>
      </c>
      <c r="I295" t="s">
        <v>362</v>
      </c>
      <c r="J295" t="s">
        <v>465</v>
      </c>
      <c r="K295" t="s">
        <v>829</v>
      </c>
      <c r="L295">
        <v>4</v>
      </c>
      <c r="M295" s="5">
        <v>355.58</v>
      </c>
      <c r="N295" s="6">
        <v>10</v>
      </c>
      <c r="O295" s="5">
        <v>142.23</v>
      </c>
      <c r="P295" s="5">
        <v>192.01</v>
      </c>
      <c r="Q295" s="5">
        <v>1472.1</v>
      </c>
      <c r="R295" s="5">
        <v>989</v>
      </c>
      <c r="S295" s="5">
        <v>483.1</v>
      </c>
      <c r="T295" s="7">
        <v>0.328170640581482</v>
      </c>
      <c r="U295" t="s">
        <v>11</v>
      </c>
      <c r="V295" t="s">
        <v>50</v>
      </c>
      <c r="W295" t="s">
        <v>50</v>
      </c>
      <c r="X295" t="s">
        <v>33</v>
      </c>
      <c r="Y295" t="s">
        <v>697</v>
      </c>
      <c r="Z295" t="s">
        <v>80</v>
      </c>
    </row>
    <row r="296" spans="1:26">
      <c r="A296" t="s">
        <v>1295</v>
      </c>
      <c r="B296" t="s">
        <v>1295</v>
      </c>
      <c r="C296" s="4">
        <v>45848</v>
      </c>
      <c r="D296">
        <v>2025</v>
      </c>
      <c r="E296">
        <v>7</v>
      </c>
      <c r="F296" t="s">
        <v>23</v>
      </c>
      <c r="G296" t="s">
        <v>89</v>
      </c>
      <c r="H296" t="s">
        <v>1296</v>
      </c>
      <c r="I296" t="s">
        <v>411</v>
      </c>
      <c r="J296" t="s">
        <v>396</v>
      </c>
      <c r="K296" t="s">
        <v>1297</v>
      </c>
      <c r="L296">
        <v>5</v>
      </c>
      <c r="M296" s="5">
        <v>491.63</v>
      </c>
      <c r="N296" s="6">
        <v>0</v>
      </c>
      <c r="O296" s="5">
        <v>0</v>
      </c>
      <c r="P296" s="5">
        <v>368.72</v>
      </c>
      <c r="Q296" s="5">
        <v>2458.15</v>
      </c>
      <c r="R296" s="5">
        <v>1934.45</v>
      </c>
      <c r="S296" s="5">
        <v>523.7</v>
      </c>
      <c r="T296" s="7">
        <v>0.21304639668043</v>
      </c>
      <c r="U296" t="s">
        <v>13</v>
      </c>
      <c r="V296" t="s">
        <v>50</v>
      </c>
      <c r="W296" t="s">
        <v>50</v>
      </c>
      <c r="X296" t="s">
        <v>33</v>
      </c>
      <c r="Y296" t="s">
        <v>1298</v>
      </c>
      <c r="Z296" t="s">
        <v>101</v>
      </c>
    </row>
    <row r="297" spans="1:26">
      <c r="A297" t="s">
        <v>1299</v>
      </c>
      <c r="B297" t="s">
        <v>1299</v>
      </c>
      <c r="C297" s="4">
        <v>46068</v>
      </c>
      <c r="D297">
        <v>2026</v>
      </c>
      <c r="E297">
        <v>2</v>
      </c>
      <c r="F297" t="s">
        <v>31</v>
      </c>
      <c r="G297" t="s">
        <v>82</v>
      </c>
      <c r="H297" t="s">
        <v>373</v>
      </c>
      <c r="I297" t="s">
        <v>562</v>
      </c>
      <c r="J297" t="s">
        <v>111</v>
      </c>
      <c r="K297" t="s">
        <v>1300</v>
      </c>
      <c r="L297">
        <v>5</v>
      </c>
      <c r="M297" s="5">
        <v>414.87</v>
      </c>
      <c r="N297" s="6">
        <v>0</v>
      </c>
      <c r="O297" s="5">
        <v>0</v>
      </c>
      <c r="P297" s="5">
        <v>311.15</v>
      </c>
      <c r="Q297" s="5">
        <v>2385.5</v>
      </c>
      <c r="R297" s="5">
        <v>1706.2</v>
      </c>
      <c r="S297" s="5">
        <v>679.3</v>
      </c>
      <c r="T297" s="7">
        <v>0.284762104380633</v>
      </c>
      <c r="U297" t="s">
        <v>11</v>
      </c>
      <c r="V297" t="s">
        <v>50</v>
      </c>
      <c r="W297" t="s">
        <v>50</v>
      </c>
      <c r="X297" t="s">
        <v>33</v>
      </c>
      <c r="Y297" t="s">
        <v>1301</v>
      </c>
      <c r="Z297" t="s">
        <v>80</v>
      </c>
    </row>
    <row r="298" spans="1:26">
      <c r="A298" t="s">
        <v>1302</v>
      </c>
      <c r="B298" t="s">
        <v>1302</v>
      </c>
      <c r="C298" s="4">
        <v>46005</v>
      </c>
      <c r="D298">
        <v>2025</v>
      </c>
      <c r="E298">
        <v>12</v>
      </c>
      <c r="F298" t="s">
        <v>28</v>
      </c>
      <c r="G298" t="s">
        <v>137</v>
      </c>
      <c r="H298" t="s">
        <v>1303</v>
      </c>
      <c r="I298" t="s">
        <v>623</v>
      </c>
      <c r="J298" t="s">
        <v>654</v>
      </c>
      <c r="K298" t="s">
        <v>1304</v>
      </c>
      <c r="L298">
        <v>3</v>
      </c>
      <c r="M298" s="5">
        <v>139.21</v>
      </c>
      <c r="N298" s="6">
        <v>5</v>
      </c>
      <c r="O298" s="5">
        <v>20.88</v>
      </c>
      <c r="P298" s="5">
        <v>59.51</v>
      </c>
      <c r="Q298" s="5">
        <v>456.26</v>
      </c>
      <c r="R298" s="5">
        <v>320.97</v>
      </c>
      <c r="S298" s="5">
        <v>135.29</v>
      </c>
      <c r="T298" s="7">
        <v>0.296519528339105</v>
      </c>
      <c r="U298" t="s">
        <v>10</v>
      </c>
      <c r="V298" t="s">
        <v>50</v>
      </c>
      <c r="W298" t="s">
        <v>50</v>
      </c>
      <c r="X298" t="s">
        <v>35</v>
      </c>
      <c r="Y298" t="s">
        <v>1305</v>
      </c>
      <c r="Z298" t="s">
        <v>80</v>
      </c>
    </row>
    <row r="299" spans="1:26">
      <c r="A299" t="s">
        <v>1306</v>
      </c>
      <c r="B299" t="s">
        <v>1306</v>
      </c>
      <c r="C299" s="4">
        <v>45806</v>
      </c>
      <c r="D299">
        <v>2025</v>
      </c>
      <c r="E299">
        <v>5</v>
      </c>
      <c r="F299" t="s">
        <v>21</v>
      </c>
      <c r="G299" t="s">
        <v>74</v>
      </c>
      <c r="H299" t="s">
        <v>964</v>
      </c>
      <c r="I299" t="s">
        <v>1307</v>
      </c>
      <c r="J299" t="s">
        <v>648</v>
      </c>
      <c r="K299" t="s">
        <v>1308</v>
      </c>
      <c r="L299">
        <v>2</v>
      </c>
      <c r="M299" s="5">
        <v>236.56</v>
      </c>
      <c r="N299" s="6">
        <v>5</v>
      </c>
      <c r="O299" s="5">
        <v>23.66</v>
      </c>
      <c r="P299" s="5">
        <v>67.42</v>
      </c>
      <c r="Q299" s="5">
        <v>449.46</v>
      </c>
      <c r="R299" s="5">
        <v>423.46</v>
      </c>
      <c r="S299" s="5">
        <v>26</v>
      </c>
      <c r="T299" s="7">
        <v>0.0578471944110711</v>
      </c>
      <c r="U299" t="s">
        <v>9</v>
      </c>
      <c r="V299" t="s">
        <v>50</v>
      </c>
      <c r="W299" t="s">
        <v>50</v>
      </c>
      <c r="X299" t="s">
        <v>33</v>
      </c>
      <c r="Y299" t="s">
        <v>1309</v>
      </c>
      <c r="Z299" t="s">
        <v>101</v>
      </c>
    </row>
    <row r="300" spans="1:26">
      <c r="A300" t="s">
        <v>1310</v>
      </c>
      <c r="B300" t="s">
        <v>1310</v>
      </c>
      <c r="C300" s="4">
        <v>46003</v>
      </c>
      <c r="D300">
        <v>2025</v>
      </c>
      <c r="E300">
        <v>12</v>
      </c>
      <c r="F300" t="s">
        <v>28</v>
      </c>
      <c r="G300" t="s">
        <v>137</v>
      </c>
      <c r="H300" t="s">
        <v>546</v>
      </c>
      <c r="I300" t="s">
        <v>104</v>
      </c>
      <c r="J300" t="s">
        <v>43</v>
      </c>
      <c r="K300" t="s">
        <v>375</v>
      </c>
      <c r="L300">
        <v>4</v>
      </c>
      <c r="M300" s="5">
        <v>313.47</v>
      </c>
      <c r="N300" s="6">
        <v>0</v>
      </c>
      <c r="O300" s="5">
        <v>0</v>
      </c>
      <c r="P300" s="5">
        <v>188.08</v>
      </c>
      <c r="Q300" s="5">
        <v>1253.88</v>
      </c>
      <c r="R300" s="5">
        <v>984.48</v>
      </c>
      <c r="S300" s="5">
        <v>269.4</v>
      </c>
      <c r="T300" s="7">
        <v>0.214853095990047</v>
      </c>
      <c r="U300" t="s">
        <v>9</v>
      </c>
      <c r="V300" t="s">
        <v>50</v>
      </c>
      <c r="W300" t="s">
        <v>50</v>
      </c>
      <c r="X300" t="s">
        <v>33</v>
      </c>
      <c r="Y300" t="s">
        <v>1311</v>
      </c>
      <c r="Z300" t="s">
        <v>101</v>
      </c>
    </row>
    <row r="301" spans="1:26">
      <c r="A301" t="s">
        <v>1312</v>
      </c>
      <c r="B301" t="s">
        <v>1312</v>
      </c>
      <c r="C301" s="4">
        <v>45836</v>
      </c>
      <c r="D301">
        <v>2025</v>
      </c>
      <c r="E301">
        <v>6</v>
      </c>
      <c r="F301" t="s">
        <v>22</v>
      </c>
      <c r="G301" t="s">
        <v>74</v>
      </c>
      <c r="H301" t="s">
        <v>591</v>
      </c>
      <c r="I301" t="s">
        <v>450</v>
      </c>
      <c r="J301" t="s">
        <v>751</v>
      </c>
      <c r="K301" t="s">
        <v>752</v>
      </c>
      <c r="L301">
        <v>5</v>
      </c>
      <c r="M301" s="5">
        <v>455.53</v>
      </c>
      <c r="N301" s="6">
        <v>0</v>
      </c>
      <c r="O301" s="5">
        <v>0</v>
      </c>
      <c r="P301" s="5">
        <v>341.65</v>
      </c>
      <c r="Q301" s="5">
        <v>2619.3</v>
      </c>
      <c r="R301" s="5">
        <v>1270.25</v>
      </c>
      <c r="S301" s="5">
        <v>1349.05</v>
      </c>
      <c r="T301" s="7">
        <v>0.515042186843813</v>
      </c>
      <c r="U301" t="s">
        <v>14</v>
      </c>
      <c r="V301" t="s">
        <v>50</v>
      </c>
      <c r="W301" t="s">
        <v>50</v>
      </c>
      <c r="X301" t="s">
        <v>33</v>
      </c>
      <c r="Y301" t="s">
        <v>1313</v>
      </c>
      <c r="Z301" t="s">
        <v>80</v>
      </c>
    </row>
    <row r="302" spans="1:26">
      <c r="A302" t="s">
        <v>1314</v>
      </c>
      <c r="B302" t="s">
        <v>1314</v>
      </c>
      <c r="C302" s="4">
        <v>45785</v>
      </c>
      <c r="D302">
        <v>2025</v>
      </c>
      <c r="E302">
        <v>5</v>
      </c>
      <c r="F302" t="s">
        <v>21</v>
      </c>
      <c r="G302" t="s">
        <v>74</v>
      </c>
      <c r="H302" t="s">
        <v>103</v>
      </c>
      <c r="I302" t="s">
        <v>97</v>
      </c>
      <c r="J302" t="s">
        <v>955</v>
      </c>
      <c r="K302" t="s">
        <v>1055</v>
      </c>
      <c r="L302">
        <v>4</v>
      </c>
      <c r="M302" s="5">
        <v>455.26</v>
      </c>
      <c r="N302" s="6">
        <v>0</v>
      </c>
      <c r="O302" s="5">
        <v>0</v>
      </c>
      <c r="P302" s="5">
        <v>273.16</v>
      </c>
      <c r="Q302" s="5">
        <v>1821.04</v>
      </c>
      <c r="R302" s="5">
        <v>946.16</v>
      </c>
      <c r="S302" s="5">
        <v>874.88</v>
      </c>
      <c r="T302" s="7">
        <v>0.48042876597988</v>
      </c>
      <c r="U302" t="s">
        <v>12</v>
      </c>
      <c r="V302" t="s">
        <v>50</v>
      </c>
      <c r="W302" t="s">
        <v>50</v>
      </c>
      <c r="X302" t="s">
        <v>33</v>
      </c>
      <c r="Y302" t="s">
        <v>1315</v>
      </c>
      <c r="Z302" t="s">
        <v>101</v>
      </c>
    </row>
    <row r="303" spans="1:26">
      <c r="A303" t="s">
        <v>1316</v>
      </c>
      <c r="B303" t="s">
        <v>1316</v>
      </c>
      <c r="C303" s="4">
        <v>46040</v>
      </c>
      <c r="D303">
        <v>2026</v>
      </c>
      <c r="E303">
        <v>1</v>
      </c>
      <c r="F303" t="s">
        <v>30</v>
      </c>
      <c r="G303" t="s">
        <v>82</v>
      </c>
      <c r="H303" t="s">
        <v>179</v>
      </c>
      <c r="I303" t="s">
        <v>323</v>
      </c>
      <c r="J303" t="s">
        <v>47</v>
      </c>
      <c r="K303" t="s">
        <v>1197</v>
      </c>
      <c r="L303">
        <v>3</v>
      </c>
      <c r="M303" s="5">
        <v>51.64</v>
      </c>
      <c r="N303" s="6">
        <v>10</v>
      </c>
      <c r="O303" s="5">
        <v>15.49</v>
      </c>
      <c r="P303" s="5">
        <v>20.91</v>
      </c>
      <c r="Q303" s="5">
        <v>160.34</v>
      </c>
      <c r="R303" s="5">
        <v>112.44</v>
      </c>
      <c r="S303" s="5">
        <v>47.9</v>
      </c>
      <c r="T303" s="7">
        <v>0.298740177123612</v>
      </c>
      <c r="U303" t="s">
        <v>9</v>
      </c>
      <c r="V303" t="s">
        <v>50</v>
      </c>
      <c r="W303" t="s">
        <v>50</v>
      </c>
      <c r="X303" t="s">
        <v>33</v>
      </c>
      <c r="Y303" t="s">
        <v>1317</v>
      </c>
      <c r="Z303" t="s">
        <v>80</v>
      </c>
    </row>
    <row r="304" spans="1:26">
      <c r="A304" t="s">
        <v>1318</v>
      </c>
      <c r="B304" t="s">
        <v>1318</v>
      </c>
      <c r="C304" s="4">
        <v>45899</v>
      </c>
      <c r="D304">
        <v>2025</v>
      </c>
      <c r="E304">
        <v>8</v>
      </c>
      <c r="F304" t="s">
        <v>24</v>
      </c>
      <c r="G304" t="s">
        <v>89</v>
      </c>
      <c r="H304" t="s">
        <v>1319</v>
      </c>
      <c r="I304" t="s">
        <v>328</v>
      </c>
      <c r="J304" t="s">
        <v>318</v>
      </c>
      <c r="K304" t="s">
        <v>319</v>
      </c>
      <c r="L304">
        <v>3</v>
      </c>
      <c r="M304" s="5">
        <v>124.84</v>
      </c>
      <c r="N304" s="6">
        <v>0</v>
      </c>
      <c r="O304" s="5">
        <v>0</v>
      </c>
      <c r="P304" s="5">
        <v>56.18</v>
      </c>
      <c r="Q304" s="5">
        <v>430.7</v>
      </c>
      <c r="R304" s="5">
        <v>292.05</v>
      </c>
      <c r="S304" s="5">
        <v>138.65</v>
      </c>
      <c r="T304" s="7">
        <v>0.321917808219178</v>
      </c>
      <c r="U304" t="s">
        <v>12</v>
      </c>
      <c r="V304" t="s">
        <v>50</v>
      </c>
      <c r="W304" t="s">
        <v>50</v>
      </c>
      <c r="X304" t="s">
        <v>33</v>
      </c>
      <c r="Y304" t="s">
        <v>639</v>
      </c>
      <c r="Z304" t="s">
        <v>80</v>
      </c>
    </row>
    <row r="305" spans="1:26">
      <c r="A305" t="s">
        <v>1320</v>
      </c>
      <c r="B305" t="s">
        <v>1320</v>
      </c>
      <c r="C305" s="4">
        <v>45943</v>
      </c>
      <c r="D305">
        <v>2025</v>
      </c>
      <c r="E305">
        <v>10</v>
      </c>
      <c r="F305" t="s">
        <v>26</v>
      </c>
      <c r="G305" t="s">
        <v>137</v>
      </c>
      <c r="H305" t="s">
        <v>1034</v>
      </c>
      <c r="I305" t="s">
        <v>132</v>
      </c>
      <c r="J305" t="s">
        <v>894</v>
      </c>
      <c r="K305" t="s">
        <v>895</v>
      </c>
      <c r="L305">
        <v>8</v>
      </c>
      <c r="M305" s="5">
        <v>287.23</v>
      </c>
      <c r="N305" s="6">
        <v>20</v>
      </c>
      <c r="O305" s="5">
        <v>459.57</v>
      </c>
      <c r="P305" s="5">
        <v>275.74</v>
      </c>
      <c r="Q305" s="5">
        <v>1838.27</v>
      </c>
      <c r="R305" s="5">
        <v>1552.48</v>
      </c>
      <c r="S305" s="5">
        <v>285.79</v>
      </c>
      <c r="T305" s="7">
        <v>0.155466824786348</v>
      </c>
      <c r="U305" t="s">
        <v>13</v>
      </c>
      <c r="V305" t="s">
        <v>50</v>
      </c>
      <c r="W305" t="s">
        <v>50</v>
      </c>
      <c r="X305" t="s">
        <v>33</v>
      </c>
      <c r="Y305" t="s">
        <v>667</v>
      </c>
      <c r="Z305" t="s">
        <v>101</v>
      </c>
    </row>
    <row r="306" spans="1:26">
      <c r="A306" t="s">
        <v>1321</v>
      </c>
      <c r="B306" t="s">
        <v>1321</v>
      </c>
      <c r="C306" s="4">
        <v>45957</v>
      </c>
      <c r="D306">
        <v>2025</v>
      </c>
      <c r="E306">
        <v>10</v>
      </c>
      <c r="F306" t="s">
        <v>26</v>
      </c>
      <c r="G306" t="s">
        <v>137</v>
      </c>
      <c r="H306" t="s">
        <v>1322</v>
      </c>
      <c r="I306" t="s">
        <v>279</v>
      </c>
      <c r="J306" t="s">
        <v>38</v>
      </c>
      <c r="K306" t="s">
        <v>236</v>
      </c>
      <c r="L306">
        <v>2</v>
      </c>
      <c r="M306" s="5">
        <v>418.79</v>
      </c>
      <c r="N306" s="6">
        <v>10</v>
      </c>
      <c r="O306" s="5">
        <v>83.76</v>
      </c>
      <c r="P306" s="5">
        <v>113.07</v>
      </c>
      <c r="Q306" s="5">
        <v>753.82</v>
      </c>
      <c r="R306" s="5">
        <v>617.88</v>
      </c>
      <c r="S306" s="5">
        <v>135.94</v>
      </c>
      <c r="T306" s="7">
        <v>0.18033482794301</v>
      </c>
      <c r="U306" t="s">
        <v>11</v>
      </c>
      <c r="V306" t="s">
        <v>50</v>
      </c>
      <c r="W306" t="s">
        <v>50</v>
      </c>
      <c r="X306" t="s">
        <v>33</v>
      </c>
      <c r="Y306" t="s">
        <v>1163</v>
      </c>
      <c r="Z306" t="s">
        <v>101</v>
      </c>
    </row>
    <row r="307" spans="1:26">
      <c r="A307" t="s">
        <v>1323</v>
      </c>
      <c r="B307" t="s">
        <v>1323</v>
      </c>
      <c r="C307" s="4">
        <v>45774</v>
      </c>
      <c r="D307">
        <v>2025</v>
      </c>
      <c r="E307">
        <v>4</v>
      </c>
      <c r="F307" t="s">
        <v>20</v>
      </c>
      <c r="G307" t="s">
        <v>74</v>
      </c>
      <c r="H307" t="s">
        <v>1324</v>
      </c>
      <c r="I307" t="s">
        <v>116</v>
      </c>
      <c r="J307" t="s">
        <v>158</v>
      </c>
      <c r="K307" t="s">
        <v>778</v>
      </c>
      <c r="L307">
        <v>2</v>
      </c>
      <c r="M307" s="5">
        <v>172.63</v>
      </c>
      <c r="N307" s="6">
        <v>20</v>
      </c>
      <c r="O307" s="5">
        <v>69.05</v>
      </c>
      <c r="P307" s="5">
        <v>41.43</v>
      </c>
      <c r="Q307" s="5">
        <v>317.64</v>
      </c>
      <c r="R307" s="5">
        <v>284</v>
      </c>
      <c r="S307" s="5">
        <v>33.64</v>
      </c>
      <c r="T307" s="7">
        <v>0.105906057171641</v>
      </c>
      <c r="U307" t="s">
        <v>11</v>
      </c>
      <c r="V307" t="s">
        <v>50</v>
      </c>
      <c r="W307" t="s">
        <v>50</v>
      </c>
      <c r="X307" t="s">
        <v>34</v>
      </c>
      <c r="Y307" t="s">
        <v>1325</v>
      </c>
      <c r="Z307" t="s">
        <v>80</v>
      </c>
    </row>
    <row r="308" spans="1:26">
      <c r="A308" t="s">
        <v>1326</v>
      </c>
      <c r="B308" t="s">
        <v>1326</v>
      </c>
      <c r="C308" s="4">
        <v>46011</v>
      </c>
      <c r="D308">
        <v>2025</v>
      </c>
      <c r="E308">
        <v>12</v>
      </c>
      <c r="F308" t="s">
        <v>28</v>
      </c>
      <c r="G308" t="s">
        <v>137</v>
      </c>
      <c r="H308" t="s">
        <v>552</v>
      </c>
      <c r="I308" t="s">
        <v>537</v>
      </c>
      <c r="J308" t="s">
        <v>1327</v>
      </c>
      <c r="K308" t="s">
        <v>1328</v>
      </c>
      <c r="L308">
        <v>4</v>
      </c>
      <c r="M308" s="5">
        <v>264.7</v>
      </c>
      <c r="N308" s="6">
        <v>5</v>
      </c>
      <c r="O308" s="5">
        <v>52.94</v>
      </c>
      <c r="P308" s="5">
        <v>150.88</v>
      </c>
      <c r="Q308" s="5">
        <v>1156.74</v>
      </c>
      <c r="R308" s="5">
        <v>764.8</v>
      </c>
      <c r="S308" s="5">
        <v>391.94</v>
      </c>
      <c r="T308" s="7">
        <v>0.338831543821429</v>
      </c>
      <c r="U308" t="s">
        <v>12</v>
      </c>
      <c r="V308" t="s">
        <v>50</v>
      </c>
      <c r="W308" t="s">
        <v>50</v>
      </c>
      <c r="X308" t="s">
        <v>35</v>
      </c>
      <c r="Y308" t="s">
        <v>1329</v>
      </c>
      <c r="Z308" t="s">
        <v>80</v>
      </c>
    </row>
    <row r="309" spans="1:26">
      <c r="A309" t="s">
        <v>1330</v>
      </c>
      <c r="B309" t="s">
        <v>1330</v>
      </c>
      <c r="C309" s="4">
        <v>45775</v>
      </c>
      <c r="D309">
        <v>2025</v>
      </c>
      <c r="E309">
        <v>4</v>
      </c>
      <c r="F309" t="s">
        <v>20</v>
      </c>
      <c r="G309" t="s">
        <v>74</v>
      </c>
      <c r="H309" t="s">
        <v>1002</v>
      </c>
      <c r="I309" t="s">
        <v>301</v>
      </c>
      <c r="J309" t="s">
        <v>1104</v>
      </c>
      <c r="K309" t="s">
        <v>1105</v>
      </c>
      <c r="L309">
        <v>1</v>
      </c>
      <c r="M309" s="5">
        <v>219.39</v>
      </c>
      <c r="N309" s="6">
        <v>0</v>
      </c>
      <c r="O309" s="5">
        <v>0</v>
      </c>
      <c r="P309" s="5">
        <v>32.91</v>
      </c>
      <c r="Q309" s="5">
        <v>219.39</v>
      </c>
      <c r="R309" s="5">
        <v>195.44</v>
      </c>
      <c r="S309" s="5">
        <v>23.95</v>
      </c>
      <c r="T309" s="7">
        <v>0.1091663248097</v>
      </c>
      <c r="U309" t="s">
        <v>13</v>
      </c>
      <c r="V309" t="s">
        <v>50</v>
      </c>
      <c r="W309" t="s">
        <v>50</v>
      </c>
      <c r="X309" t="s">
        <v>33</v>
      </c>
      <c r="Y309" t="s">
        <v>1331</v>
      </c>
      <c r="Z309" t="s">
        <v>101</v>
      </c>
    </row>
    <row r="310" spans="1:26">
      <c r="A310" t="s">
        <v>1332</v>
      </c>
      <c r="B310" t="s">
        <v>1332</v>
      </c>
      <c r="C310" s="4">
        <v>45883</v>
      </c>
      <c r="D310">
        <v>2025</v>
      </c>
      <c r="E310">
        <v>8</v>
      </c>
      <c r="F310" t="s">
        <v>24</v>
      </c>
      <c r="G310" t="s">
        <v>89</v>
      </c>
      <c r="H310" t="s">
        <v>1034</v>
      </c>
      <c r="I310" t="s">
        <v>97</v>
      </c>
      <c r="J310" t="s">
        <v>1219</v>
      </c>
      <c r="K310" t="s">
        <v>1080</v>
      </c>
      <c r="L310">
        <v>5</v>
      </c>
      <c r="M310" s="5">
        <v>402.8</v>
      </c>
      <c r="N310" s="6">
        <v>5</v>
      </c>
      <c r="O310" s="5">
        <v>100.7</v>
      </c>
      <c r="P310" s="5">
        <v>287</v>
      </c>
      <c r="Q310" s="5">
        <v>1913.3</v>
      </c>
      <c r="R310" s="5">
        <v>1182.7</v>
      </c>
      <c r="S310" s="5">
        <v>730.6</v>
      </c>
      <c r="T310" s="7">
        <v>0.381853342392725</v>
      </c>
      <c r="U310" t="s">
        <v>14</v>
      </c>
      <c r="V310" t="s">
        <v>51</v>
      </c>
      <c r="W310" t="s">
        <v>51</v>
      </c>
      <c r="X310" t="s">
        <v>35</v>
      </c>
      <c r="Y310" t="s">
        <v>1333</v>
      </c>
      <c r="Z310" t="s">
        <v>101</v>
      </c>
    </row>
    <row r="311" spans="1:26">
      <c r="A311" t="s">
        <v>1334</v>
      </c>
      <c r="B311" t="s">
        <v>1334</v>
      </c>
      <c r="C311" s="4">
        <v>45904</v>
      </c>
      <c r="D311">
        <v>2025</v>
      </c>
      <c r="E311">
        <v>9</v>
      </c>
      <c r="F311" t="s">
        <v>25</v>
      </c>
      <c r="G311" t="s">
        <v>89</v>
      </c>
      <c r="H311" t="s">
        <v>1335</v>
      </c>
      <c r="I311" t="s">
        <v>429</v>
      </c>
      <c r="J311" t="s">
        <v>175</v>
      </c>
      <c r="K311" t="s">
        <v>690</v>
      </c>
      <c r="L311">
        <v>1</v>
      </c>
      <c r="M311" s="5">
        <v>389.61</v>
      </c>
      <c r="N311" s="6">
        <v>5</v>
      </c>
      <c r="O311" s="5">
        <v>19.48</v>
      </c>
      <c r="P311" s="5">
        <v>55.52</v>
      </c>
      <c r="Q311" s="5">
        <v>370.13</v>
      </c>
      <c r="R311" s="5">
        <v>336.07</v>
      </c>
      <c r="S311" s="5">
        <v>34.06</v>
      </c>
      <c r="T311" s="7">
        <v>0.0920217220976414</v>
      </c>
      <c r="U311" t="s">
        <v>10</v>
      </c>
      <c r="V311" t="s">
        <v>51</v>
      </c>
      <c r="W311" t="s">
        <v>51</v>
      </c>
      <c r="X311" t="s">
        <v>33</v>
      </c>
      <c r="Y311" t="s">
        <v>1336</v>
      </c>
      <c r="Z311" t="s">
        <v>101</v>
      </c>
    </row>
    <row r="312" spans="1:26">
      <c r="A312" t="s">
        <v>1337</v>
      </c>
      <c r="B312" t="s">
        <v>1337</v>
      </c>
      <c r="C312" s="4">
        <v>46084</v>
      </c>
      <c r="D312">
        <v>2026</v>
      </c>
      <c r="E312">
        <v>3</v>
      </c>
      <c r="F312" t="s">
        <v>19</v>
      </c>
      <c r="G312" t="s">
        <v>82</v>
      </c>
      <c r="H312" t="s">
        <v>1338</v>
      </c>
      <c r="I312" t="s">
        <v>1228</v>
      </c>
      <c r="J312" t="s">
        <v>121</v>
      </c>
      <c r="K312" t="s">
        <v>122</v>
      </c>
      <c r="L312">
        <v>2</v>
      </c>
      <c r="M312" s="5">
        <v>188.64</v>
      </c>
      <c r="N312" s="6">
        <v>0</v>
      </c>
      <c r="O312" s="5">
        <v>0</v>
      </c>
      <c r="P312" s="5">
        <v>56.59</v>
      </c>
      <c r="Q312" s="5">
        <v>377.28</v>
      </c>
      <c r="R312" s="5">
        <v>316.56</v>
      </c>
      <c r="S312" s="5">
        <v>60.72</v>
      </c>
      <c r="T312" s="7">
        <v>0.160941475826972</v>
      </c>
      <c r="U312" t="s">
        <v>9</v>
      </c>
      <c r="V312" t="s">
        <v>50</v>
      </c>
      <c r="W312" t="s">
        <v>50</v>
      </c>
      <c r="X312" t="s">
        <v>33</v>
      </c>
      <c r="Y312" t="s">
        <v>1339</v>
      </c>
      <c r="Z312" t="s">
        <v>101</v>
      </c>
    </row>
    <row r="313" spans="1:26">
      <c r="A313" t="s">
        <v>1340</v>
      </c>
      <c r="B313" t="s">
        <v>1340</v>
      </c>
      <c r="C313" s="4">
        <v>45766</v>
      </c>
      <c r="D313">
        <v>2025</v>
      </c>
      <c r="E313">
        <v>4</v>
      </c>
      <c r="F313" t="s">
        <v>20</v>
      </c>
      <c r="G313" t="s">
        <v>74</v>
      </c>
      <c r="H313" t="s">
        <v>905</v>
      </c>
      <c r="I313" t="s">
        <v>139</v>
      </c>
      <c r="J313" t="s">
        <v>837</v>
      </c>
      <c r="K313" t="s">
        <v>1032</v>
      </c>
      <c r="L313">
        <v>1</v>
      </c>
      <c r="M313" s="5">
        <v>38.66</v>
      </c>
      <c r="N313" s="6">
        <v>15</v>
      </c>
      <c r="O313" s="5">
        <v>5.8</v>
      </c>
      <c r="P313" s="5">
        <v>4.93</v>
      </c>
      <c r="Q313" s="5">
        <v>37.79</v>
      </c>
      <c r="R313" s="5">
        <v>32.4</v>
      </c>
      <c r="S313" s="5">
        <v>5.39</v>
      </c>
      <c r="T313" s="7">
        <v>0.142630325482932</v>
      </c>
      <c r="U313" t="s">
        <v>9</v>
      </c>
      <c r="V313" t="s">
        <v>50</v>
      </c>
      <c r="W313" t="s">
        <v>50</v>
      </c>
      <c r="X313" t="s">
        <v>35</v>
      </c>
      <c r="Y313" t="s">
        <v>1341</v>
      </c>
      <c r="Z313" t="s">
        <v>80</v>
      </c>
    </row>
    <row r="314" spans="1:26">
      <c r="A314" t="s">
        <v>1342</v>
      </c>
      <c r="B314" t="s">
        <v>1342</v>
      </c>
      <c r="C314" s="4">
        <v>45769</v>
      </c>
      <c r="D314">
        <v>2025</v>
      </c>
      <c r="E314">
        <v>4</v>
      </c>
      <c r="F314" t="s">
        <v>20</v>
      </c>
      <c r="G314" t="s">
        <v>74</v>
      </c>
      <c r="H314" t="s">
        <v>712</v>
      </c>
      <c r="I314" t="s">
        <v>1343</v>
      </c>
      <c r="J314" t="s">
        <v>396</v>
      </c>
      <c r="K314" t="s">
        <v>397</v>
      </c>
      <c r="L314">
        <v>1</v>
      </c>
      <c r="M314" s="5">
        <v>490.22</v>
      </c>
      <c r="N314" s="6">
        <v>15</v>
      </c>
      <c r="O314" s="5">
        <v>73.53</v>
      </c>
      <c r="P314" s="5">
        <v>62.5</v>
      </c>
      <c r="Q314" s="5">
        <v>416.69</v>
      </c>
      <c r="R314" s="5">
        <v>373.58</v>
      </c>
      <c r="S314" s="5">
        <v>43.11</v>
      </c>
      <c r="T314" s="7">
        <v>0.103458206340445</v>
      </c>
      <c r="U314" t="s">
        <v>9</v>
      </c>
      <c r="V314" t="s">
        <v>50</v>
      </c>
      <c r="W314" t="s">
        <v>50</v>
      </c>
      <c r="X314" t="s">
        <v>35</v>
      </c>
      <c r="Y314" t="s">
        <v>479</v>
      </c>
      <c r="Z314" t="s">
        <v>101</v>
      </c>
    </row>
    <row r="315" spans="1:26">
      <c r="A315" t="s">
        <v>1344</v>
      </c>
      <c r="B315" t="s">
        <v>1344</v>
      </c>
      <c r="C315" s="4">
        <v>45787</v>
      </c>
      <c r="D315">
        <v>2025</v>
      </c>
      <c r="E315">
        <v>5</v>
      </c>
      <c r="F315" t="s">
        <v>21</v>
      </c>
      <c r="G315" t="s">
        <v>74</v>
      </c>
      <c r="H315" t="s">
        <v>630</v>
      </c>
      <c r="I315" t="s">
        <v>196</v>
      </c>
      <c r="J315" t="s">
        <v>532</v>
      </c>
      <c r="K315" t="s">
        <v>533</v>
      </c>
      <c r="L315">
        <v>3</v>
      </c>
      <c r="M315" s="5">
        <v>332.73</v>
      </c>
      <c r="N315" s="6">
        <v>0</v>
      </c>
      <c r="O315" s="5">
        <v>0</v>
      </c>
      <c r="P315" s="5">
        <v>149.73</v>
      </c>
      <c r="Q315" s="5">
        <v>1147.92</v>
      </c>
      <c r="R315" s="5">
        <v>783.66</v>
      </c>
      <c r="S315" s="5">
        <v>364.26</v>
      </c>
      <c r="T315" s="7">
        <v>0.317321764582898</v>
      </c>
      <c r="U315" t="s">
        <v>12</v>
      </c>
      <c r="V315" t="s">
        <v>50</v>
      </c>
      <c r="W315" t="s">
        <v>50</v>
      </c>
      <c r="X315" t="s">
        <v>35</v>
      </c>
      <c r="Y315" t="s">
        <v>1345</v>
      </c>
      <c r="Z315" t="s">
        <v>80</v>
      </c>
    </row>
    <row r="316" spans="1:26">
      <c r="A316" t="s">
        <v>1346</v>
      </c>
      <c r="B316" t="s">
        <v>1346</v>
      </c>
      <c r="C316" s="4">
        <v>46015</v>
      </c>
      <c r="D316">
        <v>2025</v>
      </c>
      <c r="E316">
        <v>12</v>
      </c>
      <c r="F316" t="s">
        <v>28</v>
      </c>
      <c r="G316" t="s">
        <v>137</v>
      </c>
      <c r="H316" t="s">
        <v>1267</v>
      </c>
      <c r="I316" t="s">
        <v>1307</v>
      </c>
      <c r="J316" t="s">
        <v>1347</v>
      </c>
      <c r="K316" t="s">
        <v>1348</v>
      </c>
      <c r="L316">
        <v>4</v>
      </c>
      <c r="M316" s="5">
        <v>247.94</v>
      </c>
      <c r="N316" s="6">
        <v>15</v>
      </c>
      <c r="O316" s="5">
        <v>148.76</v>
      </c>
      <c r="P316" s="5">
        <v>126.45</v>
      </c>
      <c r="Q316" s="5">
        <v>843</v>
      </c>
      <c r="R316" s="5">
        <v>846.92</v>
      </c>
      <c r="S316" s="5">
        <v>-3.92</v>
      </c>
      <c r="T316" s="7">
        <v>-0.00465005931198102</v>
      </c>
      <c r="U316" t="s">
        <v>11</v>
      </c>
      <c r="V316" t="s">
        <v>50</v>
      </c>
      <c r="W316" t="s">
        <v>50</v>
      </c>
      <c r="X316" t="s">
        <v>33</v>
      </c>
      <c r="Y316" t="s">
        <v>589</v>
      </c>
      <c r="Z316" t="s">
        <v>101</v>
      </c>
    </row>
    <row r="317" spans="1:26">
      <c r="A317" t="s">
        <v>1349</v>
      </c>
      <c r="B317" t="s">
        <v>1349</v>
      </c>
      <c r="C317" s="4">
        <v>46103</v>
      </c>
      <c r="D317">
        <v>2026</v>
      </c>
      <c r="E317">
        <v>3</v>
      </c>
      <c r="F317" t="s">
        <v>19</v>
      </c>
      <c r="G317" t="s">
        <v>82</v>
      </c>
      <c r="H317" t="s">
        <v>1350</v>
      </c>
      <c r="I317" t="s">
        <v>947</v>
      </c>
      <c r="J317" t="s">
        <v>813</v>
      </c>
      <c r="K317" t="s">
        <v>1351</v>
      </c>
      <c r="L317">
        <v>4</v>
      </c>
      <c r="M317" s="5">
        <v>464.41</v>
      </c>
      <c r="N317" s="6">
        <v>0</v>
      </c>
      <c r="O317" s="5">
        <v>0</v>
      </c>
      <c r="P317" s="5">
        <v>278.65</v>
      </c>
      <c r="Q317" s="5">
        <v>2136.29</v>
      </c>
      <c r="R317" s="5">
        <v>1590.76</v>
      </c>
      <c r="S317" s="5">
        <v>545.53</v>
      </c>
      <c r="T317" s="7">
        <v>0.255363269968029</v>
      </c>
      <c r="U317" t="s">
        <v>13</v>
      </c>
      <c r="V317" t="s">
        <v>50</v>
      </c>
      <c r="W317" t="s">
        <v>50</v>
      </c>
      <c r="X317" t="s">
        <v>33</v>
      </c>
      <c r="Y317" t="s">
        <v>1352</v>
      </c>
      <c r="Z317" t="s">
        <v>80</v>
      </c>
    </row>
    <row r="318" spans="1:26">
      <c r="A318" t="s">
        <v>1353</v>
      </c>
      <c r="B318" t="s">
        <v>1353</v>
      </c>
      <c r="C318" s="4">
        <v>46078</v>
      </c>
      <c r="D318">
        <v>2026</v>
      </c>
      <c r="E318">
        <v>2</v>
      </c>
      <c r="F318" t="s">
        <v>31</v>
      </c>
      <c r="G318" t="s">
        <v>82</v>
      </c>
      <c r="H318" t="s">
        <v>1354</v>
      </c>
      <c r="I318" t="s">
        <v>898</v>
      </c>
      <c r="J318" t="s">
        <v>1208</v>
      </c>
      <c r="K318" t="s">
        <v>1255</v>
      </c>
      <c r="L318">
        <v>2</v>
      </c>
      <c r="M318" s="5">
        <v>275.71</v>
      </c>
      <c r="N318" s="6">
        <v>0</v>
      </c>
      <c r="O318" s="5">
        <v>0</v>
      </c>
      <c r="P318" s="5">
        <v>82.71</v>
      </c>
      <c r="Q318" s="5">
        <v>551.42</v>
      </c>
      <c r="R318" s="5">
        <v>412.6</v>
      </c>
      <c r="S318" s="5">
        <v>138.82</v>
      </c>
      <c r="T318" s="7">
        <v>0.251750027202495</v>
      </c>
      <c r="U318" t="s">
        <v>11</v>
      </c>
      <c r="V318" t="s">
        <v>50</v>
      </c>
      <c r="W318" t="s">
        <v>50</v>
      </c>
      <c r="X318" t="s">
        <v>35</v>
      </c>
      <c r="Y318" t="s">
        <v>1355</v>
      </c>
      <c r="Z318" t="s">
        <v>101</v>
      </c>
    </row>
    <row r="319" spans="1:26">
      <c r="A319" t="s">
        <v>1356</v>
      </c>
      <c r="B319" t="s">
        <v>1356</v>
      </c>
      <c r="C319" s="4">
        <v>45897</v>
      </c>
      <c r="D319">
        <v>2025</v>
      </c>
      <c r="E319">
        <v>8</v>
      </c>
      <c r="F319" t="s">
        <v>24</v>
      </c>
      <c r="G319" t="s">
        <v>89</v>
      </c>
      <c r="H319" t="s">
        <v>508</v>
      </c>
      <c r="I319" t="s">
        <v>139</v>
      </c>
      <c r="J319" t="s">
        <v>170</v>
      </c>
      <c r="K319" t="s">
        <v>1357</v>
      </c>
      <c r="L319">
        <v>4</v>
      </c>
      <c r="M319" s="5">
        <v>44.33</v>
      </c>
      <c r="N319" s="6">
        <v>20</v>
      </c>
      <c r="O319" s="5">
        <v>35.46</v>
      </c>
      <c r="P319" s="5">
        <v>21.28</v>
      </c>
      <c r="Q319" s="5">
        <v>141.86</v>
      </c>
      <c r="R319" s="5">
        <v>129.6</v>
      </c>
      <c r="S319" s="5">
        <v>12.26</v>
      </c>
      <c r="T319" s="7">
        <v>0.0864232341745383</v>
      </c>
      <c r="U319" t="s">
        <v>10</v>
      </c>
      <c r="V319" t="s">
        <v>50</v>
      </c>
      <c r="W319" t="s">
        <v>50</v>
      </c>
      <c r="X319" t="s">
        <v>33</v>
      </c>
      <c r="Y319" t="s">
        <v>1358</v>
      </c>
      <c r="Z319" t="s">
        <v>101</v>
      </c>
    </row>
    <row r="320" spans="1:26">
      <c r="A320" t="s">
        <v>1359</v>
      </c>
      <c r="B320" t="s">
        <v>1359</v>
      </c>
      <c r="C320" s="4">
        <v>45830</v>
      </c>
      <c r="D320">
        <v>2025</v>
      </c>
      <c r="E320">
        <v>6</v>
      </c>
      <c r="F320" t="s">
        <v>22</v>
      </c>
      <c r="G320" t="s">
        <v>74</v>
      </c>
      <c r="H320" t="s">
        <v>536</v>
      </c>
      <c r="I320" t="s">
        <v>1360</v>
      </c>
      <c r="J320" t="s">
        <v>1361</v>
      </c>
      <c r="K320" t="s">
        <v>106</v>
      </c>
      <c r="L320">
        <v>2</v>
      </c>
      <c r="M320" s="5">
        <v>229.81</v>
      </c>
      <c r="N320" s="6">
        <v>15</v>
      </c>
      <c r="O320" s="5">
        <v>68.94</v>
      </c>
      <c r="P320" s="5">
        <v>58.6</v>
      </c>
      <c r="Q320" s="5">
        <v>449.28</v>
      </c>
      <c r="R320" s="5">
        <v>416.44</v>
      </c>
      <c r="S320" s="5">
        <v>32.84</v>
      </c>
      <c r="T320" s="7">
        <v>0.0730947293447294</v>
      </c>
      <c r="U320" t="s">
        <v>10</v>
      </c>
      <c r="V320" t="s">
        <v>50</v>
      </c>
      <c r="W320" t="s">
        <v>50</v>
      </c>
      <c r="X320" t="s">
        <v>35</v>
      </c>
      <c r="Y320" t="s">
        <v>1362</v>
      </c>
      <c r="Z320" t="s">
        <v>80</v>
      </c>
    </row>
    <row r="321" spans="1:26">
      <c r="A321" t="s">
        <v>1363</v>
      </c>
      <c r="B321" t="s">
        <v>1363</v>
      </c>
      <c r="C321" s="4">
        <v>46009</v>
      </c>
      <c r="D321">
        <v>2025</v>
      </c>
      <c r="E321">
        <v>12</v>
      </c>
      <c r="F321" t="s">
        <v>28</v>
      </c>
      <c r="G321" t="s">
        <v>137</v>
      </c>
      <c r="H321" t="s">
        <v>1364</v>
      </c>
      <c r="I321" t="s">
        <v>444</v>
      </c>
      <c r="J321" t="s">
        <v>850</v>
      </c>
      <c r="K321" t="s">
        <v>241</v>
      </c>
      <c r="L321">
        <v>4</v>
      </c>
      <c r="M321" s="5">
        <v>99.93</v>
      </c>
      <c r="N321" s="6">
        <v>0</v>
      </c>
      <c r="O321" s="5">
        <v>0</v>
      </c>
      <c r="P321" s="5">
        <v>59.96</v>
      </c>
      <c r="Q321" s="5">
        <v>399.72</v>
      </c>
      <c r="R321" s="5">
        <v>344.2</v>
      </c>
      <c r="S321" s="5">
        <v>55.52</v>
      </c>
      <c r="T321" s="7">
        <v>0.138897228059642</v>
      </c>
      <c r="U321" t="s">
        <v>12</v>
      </c>
      <c r="V321" t="s">
        <v>50</v>
      </c>
      <c r="W321" t="s">
        <v>50</v>
      </c>
      <c r="X321" t="s">
        <v>33</v>
      </c>
      <c r="Y321" t="s">
        <v>265</v>
      </c>
      <c r="Z321" t="s">
        <v>101</v>
      </c>
    </row>
    <row r="322" spans="1:26">
      <c r="A322" t="s">
        <v>1365</v>
      </c>
      <c r="B322" t="s">
        <v>1365</v>
      </c>
      <c r="C322" s="4">
        <v>45892</v>
      </c>
      <c r="D322">
        <v>2025</v>
      </c>
      <c r="E322">
        <v>8</v>
      </c>
      <c r="F322" t="s">
        <v>24</v>
      </c>
      <c r="G322" t="s">
        <v>89</v>
      </c>
      <c r="H322" t="s">
        <v>1366</v>
      </c>
      <c r="I322" t="s">
        <v>1367</v>
      </c>
      <c r="J322" t="s">
        <v>445</v>
      </c>
      <c r="K322" t="s">
        <v>1262</v>
      </c>
      <c r="L322">
        <v>1</v>
      </c>
      <c r="M322" s="5">
        <v>55.81</v>
      </c>
      <c r="N322" s="6">
        <v>20</v>
      </c>
      <c r="O322" s="5">
        <v>11.16</v>
      </c>
      <c r="P322" s="5">
        <v>6.7</v>
      </c>
      <c r="Q322" s="5">
        <v>51.35</v>
      </c>
      <c r="R322" s="5">
        <v>44.96</v>
      </c>
      <c r="S322" s="5">
        <v>6.39</v>
      </c>
      <c r="T322" s="7">
        <v>0.12444011684518</v>
      </c>
      <c r="U322" t="s">
        <v>12</v>
      </c>
      <c r="V322" t="s">
        <v>50</v>
      </c>
      <c r="W322" t="s">
        <v>50</v>
      </c>
      <c r="X322" t="s">
        <v>33</v>
      </c>
      <c r="Y322" t="s">
        <v>1368</v>
      </c>
      <c r="Z322" t="s">
        <v>80</v>
      </c>
    </row>
    <row r="323" spans="1:26">
      <c r="A323" t="s">
        <v>1369</v>
      </c>
      <c r="B323" t="s">
        <v>1369</v>
      </c>
      <c r="C323" s="4">
        <v>45934</v>
      </c>
      <c r="D323">
        <v>2025</v>
      </c>
      <c r="E323">
        <v>10</v>
      </c>
      <c r="F323" t="s">
        <v>26</v>
      </c>
      <c r="G323" t="s">
        <v>137</v>
      </c>
      <c r="H323" t="s">
        <v>1370</v>
      </c>
      <c r="I323" t="s">
        <v>116</v>
      </c>
      <c r="J323" t="s">
        <v>197</v>
      </c>
      <c r="K323" t="s">
        <v>198</v>
      </c>
      <c r="L323">
        <v>2</v>
      </c>
      <c r="M323" s="5">
        <v>172.63</v>
      </c>
      <c r="N323" s="6">
        <v>0</v>
      </c>
      <c r="O323" s="5">
        <v>0</v>
      </c>
      <c r="P323" s="5">
        <v>51.79</v>
      </c>
      <c r="Q323" s="5">
        <v>397.05</v>
      </c>
      <c r="R323" s="5">
        <v>284</v>
      </c>
      <c r="S323" s="5">
        <v>113.05</v>
      </c>
      <c r="T323" s="7">
        <v>0.284724845737313</v>
      </c>
      <c r="U323" t="s">
        <v>9</v>
      </c>
      <c r="V323" t="s">
        <v>51</v>
      </c>
      <c r="W323" t="s">
        <v>51</v>
      </c>
      <c r="X323" t="s">
        <v>33</v>
      </c>
      <c r="Y323" t="s">
        <v>1371</v>
      </c>
      <c r="Z323" t="s">
        <v>80</v>
      </c>
    </row>
    <row r="324" spans="1:26">
      <c r="A324" t="s">
        <v>1372</v>
      </c>
      <c r="B324" t="s">
        <v>1372</v>
      </c>
      <c r="C324" s="4">
        <v>46057</v>
      </c>
      <c r="D324">
        <v>2026</v>
      </c>
      <c r="E324">
        <v>2</v>
      </c>
      <c r="F324" t="s">
        <v>31</v>
      </c>
      <c r="G324" t="s">
        <v>82</v>
      </c>
      <c r="H324" t="s">
        <v>1207</v>
      </c>
      <c r="I324" t="s">
        <v>110</v>
      </c>
      <c r="J324" t="s">
        <v>1290</v>
      </c>
      <c r="K324" t="s">
        <v>1373</v>
      </c>
      <c r="L324">
        <v>5</v>
      </c>
      <c r="M324" s="5">
        <v>376.44</v>
      </c>
      <c r="N324" s="6">
        <v>0</v>
      </c>
      <c r="O324" s="5">
        <v>0</v>
      </c>
      <c r="P324" s="5">
        <v>282.33</v>
      </c>
      <c r="Q324" s="5">
        <v>1882.2</v>
      </c>
      <c r="R324" s="5">
        <v>1358.9</v>
      </c>
      <c r="S324" s="5">
        <v>523.3</v>
      </c>
      <c r="T324" s="7">
        <v>0.27802571458931</v>
      </c>
      <c r="U324" t="s">
        <v>14</v>
      </c>
      <c r="V324" t="s">
        <v>50</v>
      </c>
      <c r="W324" t="s">
        <v>50</v>
      </c>
      <c r="X324" t="s">
        <v>33</v>
      </c>
      <c r="Y324" t="s">
        <v>1374</v>
      </c>
      <c r="Z324" t="s">
        <v>101</v>
      </c>
    </row>
    <row r="325" spans="1:26">
      <c r="A325" t="s">
        <v>1375</v>
      </c>
      <c r="B325" t="s">
        <v>1375</v>
      </c>
      <c r="C325" s="4">
        <v>45799</v>
      </c>
      <c r="D325">
        <v>2025</v>
      </c>
      <c r="E325">
        <v>5</v>
      </c>
      <c r="F325" t="s">
        <v>21</v>
      </c>
      <c r="G325" t="s">
        <v>74</v>
      </c>
      <c r="H325" t="s">
        <v>1376</v>
      </c>
      <c r="I325" t="s">
        <v>476</v>
      </c>
      <c r="J325" t="s">
        <v>1377</v>
      </c>
      <c r="K325" t="s">
        <v>1348</v>
      </c>
      <c r="L325">
        <v>1</v>
      </c>
      <c r="M325" s="5">
        <v>305.67</v>
      </c>
      <c r="N325" s="6">
        <v>5</v>
      </c>
      <c r="O325" s="5">
        <v>15.28</v>
      </c>
      <c r="P325" s="5">
        <v>43.56</v>
      </c>
      <c r="Q325" s="5">
        <v>290.39</v>
      </c>
      <c r="R325" s="5">
        <v>251.42</v>
      </c>
      <c r="S325" s="5">
        <v>38.97</v>
      </c>
      <c r="T325" s="7">
        <v>0.134198836048073</v>
      </c>
      <c r="U325" t="s">
        <v>11</v>
      </c>
      <c r="V325" t="s">
        <v>50</v>
      </c>
      <c r="W325" t="s">
        <v>50</v>
      </c>
      <c r="X325" t="s">
        <v>33</v>
      </c>
      <c r="Y325" t="s">
        <v>1378</v>
      </c>
      <c r="Z325" t="s">
        <v>101</v>
      </c>
    </row>
    <row r="326" spans="1:26">
      <c r="A326" t="s">
        <v>1379</v>
      </c>
      <c r="B326" t="s">
        <v>1379</v>
      </c>
      <c r="C326" s="4">
        <v>45983</v>
      </c>
      <c r="D326">
        <v>2025</v>
      </c>
      <c r="E326">
        <v>11</v>
      </c>
      <c r="F326" t="s">
        <v>27</v>
      </c>
      <c r="G326" t="s">
        <v>137</v>
      </c>
      <c r="H326" t="s">
        <v>1380</v>
      </c>
      <c r="I326" t="s">
        <v>312</v>
      </c>
      <c r="J326" t="s">
        <v>1381</v>
      </c>
      <c r="K326" t="s">
        <v>1382</v>
      </c>
      <c r="L326">
        <v>4</v>
      </c>
      <c r="M326" s="5">
        <v>383.51</v>
      </c>
      <c r="N326" s="6">
        <v>0</v>
      </c>
      <c r="O326" s="5">
        <v>0</v>
      </c>
      <c r="P326" s="5">
        <v>230.11</v>
      </c>
      <c r="Q326" s="5">
        <v>1764.15</v>
      </c>
      <c r="R326" s="5">
        <v>1143.6</v>
      </c>
      <c r="S326" s="5">
        <v>620.55</v>
      </c>
      <c r="T326" s="7">
        <v>0.351755803077969</v>
      </c>
      <c r="U326" t="s">
        <v>13</v>
      </c>
      <c r="V326" t="s">
        <v>51</v>
      </c>
      <c r="W326" t="s">
        <v>51</v>
      </c>
      <c r="X326" t="s">
        <v>33</v>
      </c>
      <c r="Y326" t="s">
        <v>1383</v>
      </c>
      <c r="Z326" t="s">
        <v>80</v>
      </c>
    </row>
    <row r="327" spans="1:26">
      <c r="A327" t="s">
        <v>1384</v>
      </c>
      <c r="B327" t="s">
        <v>1384</v>
      </c>
      <c r="C327" s="4">
        <v>45823</v>
      </c>
      <c r="D327">
        <v>2025</v>
      </c>
      <c r="E327">
        <v>6</v>
      </c>
      <c r="F327" t="s">
        <v>22</v>
      </c>
      <c r="G327" t="s">
        <v>74</v>
      </c>
      <c r="H327" t="s">
        <v>1103</v>
      </c>
      <c r="I327" t="s">
        <v>898</v>
      </c>
      <c r="J327" t="s">
        <v>45</v>
      </c>
      <c r="K327" t="s">
        <v>1351</v>
      </c>
      <c r="L327">
        <v>6</v>
      </c>
      <c r="M327" s="5">
        <v>306.69</v>
      </c>
      <c r="N327" s="6">
        <v>0</v>
      </c>
      <c r="O327" s="5">
        <v>0</v>
      </c>
      <c r="P327" s="5">
        <v>276.02</v>
      </c>
      <c r="Q327" s="5">
        <v>2116.16</v>
      </c>
      <c r="R327" s="5">
        <v>1237.8</v>
      </c>
      <c r="S327" s="5">
        <v>878.36</v>
      </c>
      <c r="T327" s="7">
        <v>0.415072584303644</v>
      </c>
      <c r="U327" t="s">
        <v>12</v>
      </c>
      <c r="V327" t="s">
        <v>50</v>
      </c>
      <c r="W327" t="s">
        <v>50</v>
      </c>
      <c r="X327" t="s">
        <v>33</v>
      </c>
      <c r="Y327" t="s">
        <v>524</v>
      </c>
      <c r="Z327" t="s">
        <v>80</v>
      </c>
    </row>
    <row r="328" spans="1:26">
      <c r="A328" t="s">
        <v>1385</v>
      </c>
      <c r="B328" t="s">
        <v>1385</v>
      </c>
      <c r="C328" s="4">
        <v>46019</v>
      </c>
      <c r="D328">
        <v>2025</v>
      </c>
      <c r="E328">
        <v>12</v>
      </c>
      <c r="F328" t="s">
        <v>28</v>
      </c>
      <c r="G328" t="s">
        <v>137</v>
      </c>
      <c r="H328" t="s">
        <v>1386</v>
      </c>
      <c r="I328" t="s">
        <v>898</v>
      </c>
      <c r="J328" t="s">
        <v>357</v>
      </c>
      <c r="K328" t="s">
        <v>1387</v>
      </c>
      <c r="L328">
        <v>1</v>
      </c>
      <c r="M328" s="5">
        <v>275.71</v>
      </c>
      <c r="N328" s="6">
        <v>10</v>
      </c>
      <c r="O328" s="5">
        <v>27.57</v>
      </c>
      <c r="P328" s="5">
        <v>37.22</v>
      </c>
      <c r="Q328" s="5">
        <v>285.36</v>
      </c>
      <c r="R328" s="5">
        <v>206.3</v>
      </c>
      <c r="S328" s="5">
        <v>79.06</v>
      </c>
      <c r="T328" s="7">
        <v>0.277053546397533</v>
      </c>
      <c r="U328" t="s">
        <v>13</v>
      </c>
      <c r="V328" t="s">
        <v>50</v>
      </c>
      <c r="W328" t="s">
        <v>50</v>
      </c>
      <c r="X328" t="s">
        <v>33</v>
      </c>
      <c r="Y328" t="s">
        <v>1388</v>
      </c>
      <c r="Z328" t="s">
        <v>80</v>
      </c>
    </row>
    <row r="329" spans="1:26">
      <c r="A329" t="s">
        <v>1389</v>
      </c>
      <c r="B329" t="s">
        <v>1389</v>
      </c>
      <c r="C329" s="4">
        <v>45861</v>
      </c>
      <c r="D329">
        <v>2025</v>
      </c>
      <c r="E329">
        <v>7</v>
      </c>
      <c r="F329" t="s">
        <v>23</v>
      </c>
      <c r="G329" t="s">
        <v>89</v>
      </c>
      <c r="H329" t="s">
        <v>206</v>
      </c>
      <c r="I329" t="s">
        <v>411</v>
      </c>
      <c r="J329" t="s">
        <v>919</v>
      </c>
      <c r="K329" t="s">
        <v>920</v>
      </c>
      <c r="L329">
        <v>4</v>
      </c>
      <c r="M329" s="5">
        <v>521.78</v>
      </c>
      <c r="N329" s="6">
        <v>0</v>
      </c>
      <c r="O329" s="5">
        <v>0</v>
      </c>
      <c r="P329" s="5">
        <v>313.07</v>
      </c>
      <c r="Q329" s="5">
        <v>2087.12</v>
      </c>
      <c r="R329" s="5">
        <v>1547.56</v>
      </c>
      <c r="S329" s="5">
        <v>539.56</v>
      </c>
      <c r="T329" s="7">
        <v>0.258518916018245</v>
      </c>
      <c r="U329" t="s">
        <v>10</v>
      </c>
      <c r="V329" t="s">
        <v>51</v>
      </c>
      <c r="W329" t="s">
        <v>51</v>
      </c>
      <c r="X329" t="s">
        <v>33</v>
      </c>
      <c r="Y329" t="s">
        <v>705</v>
      </c>
      <c r="Z329" t="s">
        <v>101</v>
      </c>
    </row>
    <row r="330" spans="1:26">
      <c r="A330" t="s">
        <v>1390</v>
      </c>
      <c r="B330" t="s">
        <v>1390</v>
      </c>
      <c r="C330" s="4">
        <v>46089</v>
      </c>
      <c r="D330">
        <v>2026</v>
      </c>
      <c r="E330">
        <v>3</v>
      </c>
      <c r="F330" t="s">
        <v>19</v>
      </c>
      <c r="G330" t="s">
        <v>82</v>
      </c>
      <c r="H330" t="s">
        <v>1391</v>
      </c>
      <c r="I330" t="s">
        <v>653</v>
      </c>
      <c r="J330" t="s">
        <v>226</v>
      </c>
      <c r="K330" t="s">
        <v>227</v>
      </c>
      <c r="L330">
        <v>3</v>
      </c>
      <c r="M330" s="5">
        <v>358.83</v>
      </c>
      <c r="N330" s="6">
        <v>15</v>
      </c>
      <c r="O330" s="5">
        <v>161.47</v>
      </c>
      <c r="P330" s="5">
        <v>137.25</v>
      </c>
      <c r="Q330" s="5">
        <v>1052.27</v>
      </c>
      <c r="R330" s="5">
        <v>752.04</v>
      </c>
      <c r="S330" s="5">
        <v>300.23</v>
      </c>
      <c r="T330" s="7">
        <v>0.285316506219887</v>
      </c>
      <c r="U330" t="s">
        <v>14</v>
      </c>
      <c r="V330" t="s">
        <v>50</v>
      </c>
      <c r="W330" t="s">
        <v>50</v>
      </c>
      <c r="X330" t="s">
        <v>35</v>
      </c>
      <c r="Y330" t="s">
        <v>1392</v>
      </c>
      <c r="Z330" t="s">
        <v>80</v>
      </c>
    </row>
    <row r="331" spans="1:26">
      <c r="A331" t="s">
        <v>1393</v>
      </c>
      <c r="B331" t="s">
        <v>1393</v>
      </c>
      <c r="C331" s="4">
        <v>46089</v>
      </c>
      <c r="D331">
        <v>2026</v>
      </c>
      <c r="E331">
        <v>3</v>
      </c>
      <c r="F331" t="s">
        <v>19</v>
      </c>
      <c r="G331" t="s">
        <v>82</v>
      </c>
      <c r="H331" t="s">
        <v>1394</v>
      </c>
      <c r="I331" t="s">
        <v>623</v>
      </c>
      <c r="J331" t="s">
        <v>39</v>
      </c>
      <c r="K331" t="s">
        <v>1395</v>
      </c>
      <c r="L331">
        <v>4</v>
      </c>
      <c r="M331" s="5">
        <v>139.21</v>
      </c>
      <c r="N331" s="6">
        <v>20</v>
      </c>
      <c r="O331" s="5">
        <v>111.37</v>
      </c>
      <c r="P331" s="5">
        <v>66.82</v>
      </c>
      <c r="Q331" s="5">
        <v>512.29</v>
      </c>
      <c r="R331" s="5">
        <v>427.96</v>
      </c>
      <c r="S331" s="5">
        <v>84.33</v>
      </c>
      <c r="T331" s="7">
        <v>0.164613792968826</v>
      </c>
      <c r="U331" t="s">
        <v>14</v>
      </c>
      <c r="V331" t="s">
        <v>50</v>
      </c>
      <c r="W331" t="s">
        <v>50</v>
      </c>
      <c r="X331" t="s">
        <v>33</v>
      </c>
      <c r="Y331" t="s">
        <v>1396</v>
      </c>
      <c r="Z331" t="s">
        <v>80</v>
      </c>
    </row>
    <row r="332" spans="1:26">
      <c r="A332" t="s">
        <v>1397</v>
      </c>
      <c r="B332" t="s">
        <v>1397</v>
      </c>
      <c r="C332" s="4">
        <v>46017</v>
      </c>
      <c r="D332">
        <v>2025</v>
      </c>
      <c r="E332">
        <v>12</v>
      </c>
      <c r="F332" t="s">
        <v>28</v>
      </c>
      <c r="G332" t="s">
        <v>137</v>
      </c>
      <c r="H332" t="s">
        <v>1398</v>
      </c>
      <c r="I332" t="s">
        <v>459</v>
      </c>
      <c r="J332" t="s">
        <v>563</v>
      </c>
      <c r="K332" t="s">
        <v>564</v>
      </c>
      <c r="L332">
        <v>1</v>
      </c>
      <c r="M332" s="5">
        <v>96.72</v>
      </c>
      <c r="N332" s="6">
        <v>15</v>
      </c>
      <c r="O332" s="5">
        <v>14.51</v>
      </c>
      <c r="P332" s="5">
        <v>12.33</v>
      </c>
      <c r="Q332" s="5">
        <v>82.21</v>
      </c>
      <c r="R332" s="5">
        <v>79.82</v>
      </c>
      <c r="S332" s="5">
        <v>2.39</v>
      </c>
      <c r="T332" s="7">
        <v>0.0290718890645907</v>
      </c>
      <c r="U332" t="s">
        <v>12</v>
      </c>
      <c r="V332" t="s">
        <v>50</v>
      </c>
      <c r="W332" t="s">
        <v>50</v>
      </c>
      <c r="X332" t="s">
        <v>33</v>
      </c>
      <c r="Y332" t="s">
        <v>1399</v>
      </c>
      <c r="Z332" t="s">
        <v>101</v>
      </c>
    </row>
    <row r="333" spans="1:26">
      <c r="A333" t="s">
        <v>1400</v>
      </c>
      <c r="B333" t="s">
        <v>1400</v>
      </c>
      <c r="C333" s="4">
        <v>46025</v>
      </c>
      <c r="D333">
        <v>2026</v>
      </c>
      <c r="E333">
        <v>1</v>
      </c>
      <c r="F333" t="s">
        <v>30</v>
      </c>
      <c r="G333" t="s">
        <v>82</v>
      </c>
      <c r="H333" t="s">
        <v>1401</v>
      </c>
      <c r="I333" t="s">
        <v>547</v>
      </c>
      <c r="J333" t="s">
        <v>681</v>
      </c>
      <c r="K333" t="s">
        <v>1402</v>
      </c>
      <c r="L333">
        <v>1</v>
      </c>
      <c r="M333" s="5">
        <v>503.36</v>
      </c>
      <c r="N333" s="6">
        <v>0</v>
      </c>
      <c r="O333" s="5">
        <v>0</v>
      </c>
      <c r="P333" s="5">
        <v>75.5</v>
      </c>
      <c r="Q333" s="5">
        <v>578.86</v>
      </c>
      <c r="R333" s="5">
        <v>389.8</v>
      </c>
      <c r="S333" s="5">
        <v>189.06</v>
      </c>
      <c r="T333" s="7">
        <v>0.326607469854542</v>
      </c>
      <c r="U333" t="s">
        <v>11</v>
      </c>
      <c r="V333" t="s">
        <v>50</v>
      </c>
      <c r="W333" t="s">
        <v>50</v>
      </c>
      <c r="X333" t="s">
        <v>33</v>
      </c>
      <c r="Y333" t="s">
        <v>1403</v>
      </c>
      <c r="Z333" t="s">
        <v>80</v>
      </c>
    </row>
    <row r="334" spans="1:26">
      <c r="A334" t="s">
        <v>1404</v>
      </c>
      <c r="B334" t="s">
        <v>1404</v>
      </c>
      <c r="C334" s="4">
        <v>45857</v>
      </c>
      <c r="D334">
        <v>2025</v>
      </c>
      <c r="E334">
        <v>7</v>
      </c>
      <c r="F334" t="s">
        <v>23</v>
      </c>
      <c r="G334" t="s">
        <v>89</v>
      </c>
      <c r="H334" t="s">
        <v>849</v>
      </c>
      <c r="I334" t="s">
        <v>947</v>
      </c>
      <c r="J334" t="s">
        <v>1405</v>
      </c>
      <c r="K334" t="s">
        <v>1406</v>
      </c>
      <c r="L334">
        <v>2</v>
      </c>
      <c r="M334" s="5">
        <v>464.41</v>
      </c>
      <c r="N334" s="6">
        <v>15</v>
      </c>
      <c r="O334" s="5">
        <v>139.32</v>
      </c>
      <c r="P334" s="5">
        <v>118.42</v>
      </c>
      <c r="Q334" s="5">
        <v>907.92</v>
      </c>
      <c r="R334" s="5">
        <v>795.38</v>
      </c>
      <c r="S334" s="5">
        <v>112.54</v>
      </c>
      <c r="T334" s="7">
        <v>0.123953652304168</v>
      </c>
      <c r="U334" t="s">
        <v>10</v>
      </c>
      <c r="V334" t="s">
        <v>50</v>
      </c>
      <c r="W334" t="s">
        <v>50</v>
      </c>
      <c r="X334" t="s">
        <v>34</v>
      </c>
      <c r="Y334" t="s">
        <v>1301</v>
      </c>
      <c r="Z334" t="s">
        <v>80</v>
      </c>
    </row>
    <row r="335" spans="1:26">
      <c r="A335" t="s">
        <v>1407</v>
      </c>
      <c r="B335" t="s">
        <v>1407</v>
      </c>
      <c r="C335" s="4">
        <v>45888</v>
      </c>
      <c r="D335">
        <v>2025</v>
      </c>
      <c r="E335">
        <v>8</v>
      </c>
      <c r="F335" t="s">
        <v>24</v>
      </c>
      <c r="G335" t="s">
        <v>89</v>
      </c>
      <c r="H335" t="s">
        <v>1408</v>
      </c>
      <c r="I335" t="s">
        <v>174</v>
      </c>
      <c r="J335" t="s">
        <v>1409</v>
      </c>
      <c r="K335" t="s">
        <v>1410</v>
      </c>
      <c r="L335">
        <v>1</v>
      </c>
      <c r="M335" s="5">
        <v>397.22</v>
      </c>
      <c r="N335" s="6">
        <v>0</v>
      </c>
      <c r="O335" s="5">
        <v>0</v>
      </c>
      <c r="P335" s="5">
        <v>59.58</v>
      </c>
      <c r="Q335" s="5">
        <v>397.22</v>
      </c>
      <c r="R335" s="5">
        <v>319.37</v>
      </c>
      <c r="S335" s="5">
        <v>77.85</v>
      </c>
      <c r="T335" s="7">
        <v>0.195987110417401</v>
      </c>
      <c r="U335" t="s">
        <v>10</v>
      </c>
      <c r="V335" t="s">
        <v>50</v>
      </c>
      <c r="W335" t="s">
        <v>50</v>
      </c>
      <c r="X335" t="s">
        <v>33</v>
      </c>
      <c r="Y335" t="s">
        <v>1146</v>
      </c>
      <c r="Z335" t="s">
        <v>101</v>
      </c>
    </row>
    <row r="336" spans="1:26">
      <c r="A336" t="s">
        <v>1411</v>
      </c>
      <c r="B336" t="s">
        <v>1411</v>
      </c>
      <c r="C336" s="4">
        <v>45751</v>
      </c>
      <c r="D336">
        <v>2025</v>
      </c>
      <c r="E336">
        <v>4</v>
      </c>
      <c r="F336" t="s">
        <v>20</v>
      </c>
      <c r="G336" t="s">
        <v>74</v>
      </c>
      <c r="H336" t="s">
        <v>727</v>
      </c>
      <c r="I336" t="s">
        <v>434</v>
      </c>
      <c r="J336" t="s">
        <v>1208</v>
      </c>
      <c r="K336" t="s">
        <v>1412</v>
      </c>
      <c r="L336">
        <v>5</v>
      </c>
      <c r="M336" s="5">
        <v>90.43</v>
      </c>
      <c r="N336" s="6">
        <v>0</v>
      </c>
      <c r="O336" s="5">
        <v>0</v>
      </c>
      <c r="P336" s="5">
        <v>67.82</v>
      </c>
      <c r="Q336" s="5">
        <v>452.15</v>
      </c>
      <c r="R336" s="5">
        <v>345.45</v>
      </c>
      <c r="S336" s="5">
        <v>106.7</v>
      </c>
      <c r="T336" s="7">
        <v>0.235983633749862</v>
      </c>
      <c r="U336" t="s">
        <v>11</v>
      </c>
      <c r="V336" t="s">
        <v>50</v>
      </c>
      <c r="W336" t="s">
        <v>50</v>
      </c>
      <c r="X336" t="s">
        <v>33</v>
      </c>
      <c r="Y336" t="s">
        <v>1413</v>
      </c>
      <c r="Z336" t="s">
        <v>101</v>
      </c>
    </row>
    <row r="337" spans="1:26">
      <c r="A337" t="s">
        <v>1414</v>
      </c>
      <c r="B337" t="s">
        <v>1414</v>
      </c>
      <c r="C337" s="4">
        <v>45891</v>
      </c>
      <c r="D337">
        <v>2025</v>
      </c>
      <c r="E337">
        <v>8</v>
      </c>
      <c r="F337" t="s">
        <v>24</v>
      </c>
      <c r="G337" t="s">
        <v>89</v>
      </c>
      <c r="H337" t="s">
        <v>1415</v>
      </c>
      <c r="I337" t="s">
        <v>459</v>
      </c>
      <c r="J337" t="s">
        <v>170</v>
      </c>
      <c r="K337" t="s">
        <v>1416</v>
      </c>
      <c r="L337">
        <v>4</v>
      </c>
      <c r="M337" s="5">
        <v>96.72</v>
      </c>
      <c r="N337" s="6">
        <v>0</v>
      </c>
      <c r="O337" s="5">
        <v>0</v>
      </c>
      <c r="P337" s="5">
        <v>58.03</v>
      </c>
      <c r="Q337" s="5">
        <v>386.88</v>
      </c>
      <c r="R337" s="5">
        <v>319.28</v>
      </c>
      <c r="S337" s="5">
        <v>67.6</v>
      </c>
      <c r="T337" s="7">
        <v>0.174731182795699</v>
      </c>
      <c r="U337" t="s">
        <v>9</v>
      </c>
      <c r="V337" t="s">
        <v>50</v>
      </c>
      <c r="W337" t="s">
        <v>50</v>
      </c>
      <c r="X337" t="s">
        <v>33</v>
      </c>
      <c r="Y337" t="s">
        <v>1417</v>
      </c>
      <c r="Z337" t="s">
        <v>101</v>
      </c>
    </row>
    <row r="338" spans="1:26">
      <c r="A338" t="s">
        <v>1418</v>
      </c>
      <c r="B338" t="s">
        <v>1418</v>
      </c>
      <c r="C338" s="4">
        <v>45866</v>
      </c>
      <c r="D338">
        <v>2025</v>
      </c>
      <c r="E338">
        <v>7</v>
      </c>
      <c r="F338" t="s">
        <v>23</v>
      </c>
      <c r="G338" t="s">
        <v>89</v>
      </c>
      <c r="H338" t="s">
        <v>322</v>
      </c>
      <c r="I338" t="s">
        <v>1419</v>
      </c>
      <c r="J338" t="s">
        <v>280</v>
      </c>
      <c r="K338" t="s">
        <v>1172</v>
      </c>
      <c r="L338">
        <v>3</v>
      </c>
      <c r="M338" s="5">
        <v>340.78</v>
      </c>
      <c r="N338" s="6">
        <v>0</v>
      </c>
      <c r="O338" s="5">
        <v>0</v>
      </c>
      <c r="P338" s="5">
        <v>153.35</v>
      </c>
      <c r="Q338" s="5">
        <v>1022.34</v>
      </c>
      <c r="R338" s="5">
        <v>705.15</v>
      </c>
      <c r="S338" s="5">
        <v>317.19</v>
      </c>
      <c r="T338" s="7">
        <v>0.310258818005752</v>
      </c>
      <c r="U338" t="s">
        <v>12</v>
      </c>
      <c r="V338" t="s">
        <v>50</v>
      </c>
      <c r="W338" t="s">
        <v>50</v>
      </c>
      <c r="X338" t="s">
        <v>33</v>
      </c>
      <c r="Y338" t="s">
        <v>569</v>
      </c>
      <c r="Z338" t="s">
        <v>101</v>
      </c>
    </row>
    <row r="339" spans="1:26">
      <c r="A339" t="s">
        <v>1420</v>
      </c>
      <c r="B339" t="s">
        <v>1420</v>
      </c>
      <c r="C339" s="4">
        <v>45993</v>
      </c>
      <c r="D339">
        <v>2025</v>
      </c>
      <c r="E339">
        <v>12</v>
      </c>
      <c r="F339" t="s">
        <v>28</v>
      </c>
      <c r="G339" t="s">
        <v>137</v>
      </c>
      <c r="H339" t="s">
        <v>1421</v>
      </c>
      <c r="I339" t="s">
        <v>689</v>
      </c>
      <c r="J339" t="s">
        <v>1422</v>
      </c>
      <c r="K339" t="s">
        <v>1423</v>
      </c>
      <c r="L339">
        <v>3</v>
      </c>
      <c r="M339" s="5">
        <v>139.19</v>
      </c>
      <c r="N339" s="6">
        <v>20</v>
      </c>
      <c r="O339" s="5">
        <v>83.51</v>
      </c>
      <c r="P339" s="5">
        <v>50.11</v>
      </c>
      <c r="Q339" s="5">
        <v>334.06</v>
      </c>
      <c r="R339" s="5">
        <v>273.54</v>
      </c>
      <c r="S339" s="5">
        <v>60.52</v>
      </c>
      <c r="T339" s="7">
        <v>0.181165060168832</v>
      </c>
      <c r="U339" t="s">
        <v>13</v>
      </c>
      <c r="V339" t="s">
        <v>51</v>
      </c>
      <c r="W339" t="s">
        <v>51</v>
      </c>
      <c r="X339" t="s">
        <v>33</v>
      </c>
      <c r="Y339" t="s">
        <v>1424</v>
      </c>
      <c r="Z339" t="s">
        <v>101</v>
      </c>
    </row>
    <row r="340" spans="1:26">
      <c r="A340" t="s">
        <v>1425</v>
      </c>
      <c r="B340" t="s">
        <v>1425</v>
      </c>
      <c r="C340" s="4">
        <v>45854</v>
      </c>
      <c r="D340">
        <v>2025</v>
      </c>
      <c r="E340">
        <v>7</v>
      </c>
      <c r="F340" t="s">
        <v>23</v>
      </c>
      <c r="G340" t="s">
        <v>89</v>
      </c>
      <c r="H340" t="s">
        <v>1426</v>
      </c>
      <c r="I340" t="s">
        <v>970</v>
      </c>
      <c r="J340" t="s">
        <v>548</v>
      </c>
      <c r="K340" t="s">
        <v>1427</v>
      </c>
      <c r="L340">
        <v>5</v>
      </c>
      <c r="M340" s="5">
        <v>351.78</v>
      </c>
      <c r="N340" s="6">
        <v>5</v>
      </c>
      <c r="O340" s="5">
        <v>87.94</v>
      </c>
      <c r="P340" s="5">
        <v>250.64</v>
      </c>
      <c r="Q340" s="5">
        <v>1670.96</v>
      </c>
      <c r="R340" s="5">
        <v>1269.15</v>
      </c>
      <c r="S340" s="5">
        <v>401.81</v>
      </c>
      <c r="T340" s="7">
        <v>0.240466558146215</v>
      </c>
      <c r="U340" t="s">
        <v>14</v>
      </c>
      <c r="V340" t="s">
        <v>50</v>
      </c>
      <c r="W340" t="s">
        <v>50</v>
      </c>
      <c r="X340" t="s">
        <v>33</v>
      </c>
      <c r="Y340" t="s">
        <v>817</v>
      </c>
      <c r="Z340" t="s">
        <v>101</v>
      </c>
    </row>
    <row r="341" spans="1:26">
      <c r="A341" t="s">
        <v>1428</v>
      </c>
      <c r="B341" t="s">
        <v>1428</v>
      </c>
      <c r="C341" s="4">
        <v>46025</v>
      </c>
      <c r="D341">
        <v>2026</v>
      </c>
      <c r="E341">
        <v>1</v>
      </c>
      <c r="F341" t="s">
        <v>30</v>
      </c>
      <c r="G341" t="s">
        <v>82</v>
      </c>
      <c r="H341" t="s">
        <v>1171</v>
      </c>
      <c r="I341" t="s">
        <v>1343</v>
      </c>
      <c r="J341" t="s">
        <v>1272</v>
      </c>
      <c r="K341" t="s">
        <v>971</v>
      </c>
      <c r="L341">
        <v>1</v>
      </c>
      <c r="M341" s="5">
        <v>490.22</v>
      </c>
      <c r="N341" s="6">
        <v>15</v>
      </c>
      <c r="O341" s="5">
        <v>73.53</v>
      </c>
      <c r="P341" s="5">
        <v>62.5</v>
      </c>
      <c r="Q341" s="5">
        <v>479.19</v>
      </c>
      <c r="R341" s="5">
        <v>373.58</v>
      </c>
      <c r="S341" s="5">
        <v>105.61</v>
      </c>
      <c r="T341" s="7">
        <v>0.220392746092364</v>
      </c>
      <c r="U341" t="s">
        <v>10</v>
      </c>
      <c r="V341" t="s">
        <v>50</v>
      </c>
      <c r="W341" t="s">
        <v>50</v>
      </c>
      <c r="X341" t="s">
        <v>33</v>
      </c>
      <c r="Y341" t="s">
        <v>1429</v>
      </c>
      <c r="Z341" t="s">
        <v>80</v>
      </c>
    </row>
    <row r="342" spans="1:26">
      <c r="A342" t="s">
        <v>1430</v>
      </c>
      <c r="B342" t="s">
        <v>1430</v>
      </c>
      <c r="C342" s="4">
        <v>45991</v>
      </c>
      <c r="D342">
        <v>2025</v>
      </c>
      <c r="E342">
        <v>11</v>
      </c>
      <c r="F342" t="s">
        <v>27</v>
      </c>
      <c r="G342" t="s">
        <v>137</v>
      </c>
      <c r="H342" t="s">
        <v>410</v>
      </c>
      <c r="I342" t="s">
        <v>110</v>
      </c>
      <c r="J342" t="s">
        <v>717</v>
      </c>
      <c r="K342" t="s">
        <v>1431</v>
      </c>
      <c r="L342">
        <v>5</v>
      </c>
      <c r="M342" s="5">
        <v>386.4</v>
      </c>
      <c r="N342" s="6">
        <v>5</v>
      </c>
      <c r="O342" s="5">
        <v>96.6</v>
      </c>
      <c r="P342" s="5">
        <v>275.31</v>
      </c>
      <c r="Q342" s="5">
        <v>2110.71</v>
      </c>
      <c r="R342" s="5">
        <v>1358.9</v>
      </c>
      <c r="S342" s="5">
        <v>751.81</v>
      </c>
      <c r="T342" s="7">
        <v>0.356188202074184</v>
      </c>
      <c r="U342" t="s">
        <v>12</v>
      </c>
      <c r="V342" t="s">
        <v>50</v>
      </c>
      <c r="W342" t="s">
        <v>50</v>
      </c>
      <c r="X342" t="s">
        <v>35</v>
      </c>
      <c r="Y342" t="s">
        <v>678</v>
      </c>
      <c r="Z342" t="s">
        <v>80</v>
      </c>
    </row>
    <row r="343" spans="1:26">
      <c r="A343" t="s">
        <v>1432</v>
      </c>
      <c r="B343" t="s">
        <v>1432</v>
      </c>
      <c r="C343" s="4">
        <v>45854</v>
      </c>
      <c r="D343">
        <v>2025</v>
      </c>
      <c r="E343">
        <v>7</v>
      </c>
      <c r="F343" t="s">
        <v>23</v>
      </c>
      <c r="G343" t="s">
        <v>89</v>
      </c>
      <c r="H343" t="s">
        <v>646</v>
      </c>
      <c r="I343" t="s">
        <v>689</v>
      </c>
      <c r="J343" t="s">
        <v>833</v>
      </c>
      <c r="K343" t="s">
        <v>709</v>
      </c>
      <c r="L343">
        <v>8</v>
      </c>
      <c r="M343" s="5">
        <v>132.15</v>
      </c>
      <c r="N343" s="6">
        <v>0</v>
      </c>
      <c r="O343" s="5">
        <v>0</v>
      </c>
      <c r="P343" s="5">
        <v>158.58</v>
      </c>
      <c r="Q343" s="5">
        <v>1057.2</v>
      </c>
      <c r="R343" s="5">
        <v>729.44</v>
      </c>
      <c r="S343" s="5">
        <v>327.76</v>
      </c>
      <c r="T343" s="7">
        <v>0.310026485054862</v>
      </c>
      <c r="U343" t="s">
        <v>12</v>
      </c>
      <c r="V343" t="s">
        <v>50</v>
      </c>
      <c r="W343" t="s">
        <v>50</v>
      </c>
      <c r="X343" t="s">
        <v>33</v>
      </c>
      <c r="Y343" t="s">
        <v>1433</v>
      </c>
      <c r="Z343" t="s">
        <v>101</v>
      </c>
    </row>
    <row r="344" spans="1:26">
      <c r="A344" t="s">
        <v>1434</v>
      </c>
      <c r="B344" t="s">
        <v>1434</v>
      </c>
      <c r="C344" s="4">
        <v>45911</v>
      </c>
      <c r="D344">
        <v>2025</v>
      </c>
      <c r="E344">
        <v>9</v>
      </c>
      <c r="F344" t="s">
        <v>25</v>
      </c>
      <c r="G344" t="s">
        <v>89</v>
      </c>
      <c r="H344" t="s">
        <v>755</v>
      </c>
      <c r="I344" t="s">
        <v>708</v>
      </c>
      <c r="J344" t="s">
        <v>1435</v>
      </c>
      <c r="K344" t="s">
        <v>1436</v>
      </c>
      <c r="L344">
        <v>3</v>
      </c>
      <c r="M344" s="5">
        <v>372.61</v>
      </c>
      <c r="N344" s="6">
        <v>0</v>
      </c>
      <c r="O344" s="5">
        <v>0</v>
      </c>
      <c r="P344" s="5">
        <v>167.67</v>
      </c>
      <c r="Q344" s="5">
        <v>1117.83</v>
      </c>
      <c r="R344" s="5">
        <v>959.73</v>
      </c>
      <c r="S344" s="5">
        <v>158.1</v>
      </c>
      <c r="T344" s="7">
        <v>0.141434744102413</v>
      </c>
      <c r="U344" t="s">
        <v>12</v>
      </c>
      <c r="V344" t="s">
        <v>50</v>
      </c>
      <c r="W344" t="s">
        <v>50</v>
      </c>
      <c r="X344" t="s">
        <v>34</v>
      </c>
      <c r="Y344" t="s">
        <v>1437</v>
      </c>
      <c r="Z344" t="s">
        <v>101</v>
      </c>
    </row>
    <row r="345" spans="1:26">
      <c r="A345" t="s">
        <v>1438</v>
      </c>
      <c r="B345" t="s">
        <v>1438</v>
      </c>
      <c r="C345" s="4">
        <v>46044</v>
      </c>
      <c r="D345">
        <v>2026</v>
      </c>
      <c r="E345">
        <v>1</v>
      </c>
      <c r="F345" t="s">
        <v>30</v>
      </c>
      <c r="G345" t="s">
        <v>82</v>
      </c>
      <c r="H345" t="s">
        <v>1439</v>
      </c>
      <c r="I345" t="s">
        <v>350</v>
      </c>
      <c r="J345" t="s">
        <v>1440</v>
      </c>
      <c r="K345" t="s">
        <v>1441</v>
      </c>
      <c r="L345">
        <v>5</v>
      </c>
      <c r="M345" s="5">
        <v>343.56</v>
      </c>
      <c r="N345" s="6">
        <v>20</v>
      </c>
      <c r="O345" s="5">
        <v>343.56</v>
      </c>
      <c r="P345" s="5">
        <v>206.14</v>
      </c>
      <c r="Q345" s="5">
        <v>1374.24</v>
      </c>
      <c r="R345" s="5">
        <v>1081.6</v>
      </c>
      <c r="S345" s="5">
        <v>292.64</v>
      </c>
      <c r="T345" s="7">
        <v>0.212946792408895</v>
      </c>
      <c r="U345" t="s">
        <v>10</v>
      </c>
      <c r="V345" t="s">
        <v>50</v>
      </c>
      <c r="W345" t="s">
        <v>50</v>
      </c>
      <c r="X345" t="s">
        <v>33</v>
      </c>
      <c r="Y345" t="s">
        <v>1442</v>
      </c>
      <c r="Z345" t="s">
        <v>101</v>
      </c>
    </row>
    <row r="346" spans="1:26">
      <c r="A346" t="s">
        <v>1443</v>
      </c>
      <c r="B346" t="s">
        <v>1443</v>
      </c>
      <c r="C346" s="4">
        <v>45968</v>
      </c>
      <c r="D346">
        <v>2025</v>
      </c>
      <c r="E346">
        <v>11</v>
      </c>
      <c r="F346" t="s">
        <v>27</v>
      </c>
      <c r="G346" t="s">
        <v>137</v>
      </c>
      <c r="H346" t="s">
        <v>206</v>
      </c>
      <c r="I346" t="s">
        <v>157</v>
      </c>
      <c r="J346" t="s">
        <v>286</v>
      </c>
      <c r="K346" t="s">
        <v>1237</v>
      </c>
      <c r="L346">
        <v>7</v>
      </c>
      <c r="M346" s="5">
        <v>64.59</v>
      </c>
      <c r="N346" s="6">
        <v>0</v>
      </c>
      <c r="O346" s="5">
        <v>0</v>
      </c>
      <c r="P346" s="5">
        <v>67.82</v>
      </c>
      <c r="Q346" s="5">
        <v>452.13</v>
      </c>
      <c r="R346" s="5">
        <v>337.05</v>
      </c>
      <c r="S346" s="5">
        <v>115.08</v>
      </c>
      <c r="T346" s="7">
        <v>0.254528564793312</v>
      </c>
      <c r="U346" t="s">
        <v>14</v>
      </c>
      <c r="V346" t="s">
        <v>50</v>
      </c>
      <c r="W346" t="s">
        <v>50</v>
      </c>
      <c r="X346" t="s">
        <v>33</v>
      </c>
      <c r="Y346" t="s">
        <v>1444</v>
      </c>
      <c r="Z346" t="s">
        <v>101</v>
      </c>
    </row>
    <row r="347" spans="1:26">
      <c r="A347" t="s">
        <v>1445</v>
      </c>
      <c r="B347" t="s">
        <v>1445</v>
      </c>
      <c r="C347" s="4">
        <v>46093</v>
      </c>
      <c r="D347">
        <v>2026</v>
      </c>
      <c r="E347">
        <v>3</v>
      </c>
      <c r="F347" t="s">
        <v>19</v>
      </c>
      <c r="G347" t="s">
        <v>82</v>
      </c>
      <c r="H347" t="s">
        <v>1446</v>
      </c>
      <c r="I347" t="s">
        <v>328</v>
      </c>
      <c r="J347" t="s">
        <v>42</v>
      </c>
      <c r="K347" t="s">
        <v>1191</v>
      </c>
      <c r="L347">
        <v>6</v>
      </c>
      <c r="M347" s="5">
        <v>134.9</v>
      </c>
      <c r="N347" s="6">
        <v>0</v>
      </c>
      <c r="O347" s="5">
        <v>0</v>
      </c>
      <c r="P347" s="5">
        <v>121.41</v>
      </c>
      <c r="Q347" s="5">
        <v>809.4</v>
      </c>
      <c r="R347" s="5">
        <v>584.1</v>
      </c>
      <c r="S347" s="5">
        <v>225.3</v>
      </c>
      <c r="T347" s="7">
        <v>0.278354336545589</v>
      </c>
      <c r="U347" t="s">
        <v>11</v>
      </c>
      <c r="V347" t="s">
        <v>50</v>
      </c>
      <c r="W347" t="s">
        <v>50</v>
      </c>
      <c r="X347" t="s">
        <v>33</v>
      </c>
      <c r="Y347" t="s">
        <v>1447</v>
      </c>
      <c r="Z347" t="s">
        <v>101</v>
      </c>
    </row>
    <row r="348" spans="1:26">
      <c r="A348" t="s">
        <v>1448</v>
      </c>
      <c r="B348" t="s">
        <v>1448</v>
      </c>
      <c r="C348" s="4">
        <v>45895</v>
      </c>
      <c r="D348">
        <v>2025</v>
      </c>
      <c r="E348">
        <v>8</v>
      </c>
      <c r="F348" t="s">
        <v>24</v>
      </c>
      <c r="G348" t="s">
        <v>89</v>
      </c>
      <c r="H348" t="s">
        <v>1449</v>
      </c>
      <c r="I348" t="s">
        <v>169</v>
      </c>
      <c r="J348" t="s">
        <v>1450</v>
      </c>
      <c r="K348" t="s">
        <v>287</v>
      </c>
      <c r="L348">
        <v>4</v>
      </c>
      <c r="M348" s="5">
        <v>141.11</v>
      </c>
      <c r="N348" s="6">
        <v>5</v>
      </c>
      <c r="O348" s="5">
        <v>28.22</v>
      </c>
      <c r="P348" s="5">
        <v>80.43</v>
      </c>
      <c r="Q348" s="5">
        <v>536.22</v>
      </c>
      <c r="R348" s="5">
        <v>463.64</v>
      </c>
      <c r="S348" s="5">
        <v>72.58</v>
      </c>
      <c r="T348" s="7">
        <v>0.13535489164895</v>
      </c>
      <c r="U348" t="s">
        <v>12</v>
      </c>
      <c r="V348" t="s">
        <v>50</v>
      </c>
      <c r="W348" t="s">
        <v>50</v>
      </c>
      <c r="X348" t="s">
        <v>33</v>
      </c>
      <c r="Y348" t="s">
        <v>1451</v>
      </c>
      <c r="Z348" t="s">
        <v>101</v>
      </c>
    </row>
    <row r="349" spans="1:26">
      <c r="A349" t="s">
        <v>1452</v>
      </c>
      <c r="B349" t="s">
        <v>1452</v>
      </c>
      <c r="C349" s="4">
        <v>46095</v>
      </c>
      <c r="D349">
        <v>2026</v>
      </c>
      <c r="E349">
        <v>3</v>
      </c>
      <c r="F349" t="s">
        <v>19</v>
      </c>
      <c r="G349" t="s">
        <v>82</v>
      </c>
      <c r="H349" t="s">
        <v>1453</v>
      </c>
      <c r="I349" t="s">
        <v>169</v>
      </c>
      <c r="J349" t="s">
        <v>770</v>
      </c>
      <c r="K349" t="s">
        <v>771</v>
      </c>
      <c r="L349">
        <v>4</v>
      </c>
      <c r="M349" s="5">
        <v>141.11</v>
      </c>
      <c r="N349" s="6">
        <v>0</v>
      </c>
      <c r="O349" s="5">
        <v>0</v>
      </c>
      <c r="P349" s="5">
        <v>84.67</v>
      </c>
      <c r="Q349" s="5">
        <v>649.11</v>
      </c>
      <c r="R349" s="5">
        <v>463.64</v>
      </c>
      <c r="S349" s="5">
        <v>185.47</v>
      </c>
      <c r="T349" s="7">
        <v>0.285729691423642</v>
      </c>
      <c r="U349" t="s">
        <v>9</v>
      </c>
      <c r="V349" t="s">
        <v>50</v>
      </c>
      <c r="W349" t="s">
        <v>50</v>
      </c>
      <c r="X349" t="s">
        <v>33</v>
      </c>
      <c r="Y349" t="s">
        <v>1454</v>
      </c>
      <c r="Z349" t="s">
        <v>80</v>
      </c>
    </row>
    <row r="350" spans="1:26">
      <c r="A350" t="s">
        <v>1455</v>
      </c>
      <c r="B350" t="s">
        <v>1455</v>
      </c>
      <c r="C350" s="4">
        <v>45934</v>
      </c>
      <c r="D350">
        <v>2025</v>
      </c>
      <c r="E350">
        <v>10</v>
      </c>
      <c r="F350" t="s">
        <v>26</v>
      </c>
      <c r="G350" t="s">
        <v>137</v>
      </c>
      <c r="H350" t="s">
        <v>1456</v>
      </c>
      <c r="I350" t="s">
        <v>933</v>
      </c>
      <c r="J350" t="s">
        <v>440</v>
      </c>
      <c r="K350" t="s">
        <v>1457</v>
      </c>
      <c r="L350">
        <v>5</v>
      </c>
      <c r="M350" s="5">
        <v>425.88</v>
      </c>
      <c r="N350" s="6">
        <v>10</v>
      </c>
      <c r="O350" s="5">
        <v>212.94</v>
      </c>
      <c r="P350" s="5">
        <v>287.47</v>
      </c>
      <c r="Q350" s="5">
        <v>2203.93</v>
      </c>
      <c r="R350" s="5">
        <v>1787.35</v>
      </c>
      <c r="S350" s="5">
        <v>416.58</v>
      </c>
      <c r="T350" s="7">
        <v>0.189016892551034</v>
      </c>
      <c r="U350" t="s">
        <v>11</v>
      </c>
      <c r="V350" t="s">
        <v>50</v>
      </c>
      <c r="W350" t="s">
        <v>50</v>
      </c>
      <c r="X350" t="s">
        <v>33</v>
      </c>
      <c r="Y350" t="s">
        <v>1083</v>
      </c>
      <c r="Z350" t="s">
        <v>80</v>
      </c>
    </row>
    <row r="351" spans="1:26">
      <c r="A351" t="s">
        <v>1458</v>
      </c>
      <c r="B351" t="s">
        <v>1458</v>
      </c>
      <c r="C351" s="4">
        <v>45801</v>
      </c>
      <c r="D351">
        <v>2025</v>
      </c>
      <c r="E351">
        <v>5</v>
      </c>
      <c r="F351" t="s">
        <v>21</v>
      </c>
      <c r="G351" t="s">
        <v>74</v>
      </c>
      <c r="H351" t="s">
        <v>1459</v>
      </c>
      <c r="I351" t="s">
        <v>1233</v>
      </c>
      <c r="J351" t="s">
        <v>504</v>
      </c>
      <c r="K351" t="s">
        <v>1460</v>
      </c>
      <c r="L351">
        <v>3</v>
      </c>
      <c r="M351" s="5">
        <v>109.69</v>
      </c>
      <c r="N351" s="6">
        <v>0</v>
      </c>
      <c r="O351" s="5">
        <v>0</v>
      </c>
      <c r="P351" s="5">
        <v>49.36</v>
      </c>
      <c r="Q351" s="5">
        <v>378.43</v>
      </c>
      <c r="R351" s="5">
        <v>278.88</v>
      </c>
      <c r="S351" s="5">
        <v>99.55</v>
      </c>
      <c r="T351" s="7">
        <v>0.263060539597812</v>
      </c>
      <c r="U351" t="s">
        <v>13</v>
      </c>
      <c r="V351" t="s">
        <v>50</v>
      </c>
      <c r="W351" t="s">
        <v>50</v>
      </c>
      <c r="X351" t="s">
        <v>33</v>
      </c>
      <c r="Y351" t="s">
        <v>1094</v>
      </c>
      <c r="Z351" t="s">
        <v>80</v>
      </c>
    </row>
    <row r="352" spans="1:26">
      <c r="A352" t="s">
        <v>1461</v>
      </c>
      <c r="B352" t="s">
        <v>1461</v>
      </c>
      <c r="C352" s="4">
        <v>45839</v>
      </c>
      <c r="D352">
        <v>2025</v>
      </c>
      <c r="E352">
        <v>7</v>
      </c>
      <c r="F352" t="s">
        <v>23</v>
      </c>
      <c r="G352" t="s">
        <v>89</v>
      </c>
      <c r="H352" t="s">
        <v>1462</v>
      </c>
      <c r="I352" t="s">
        <v>598</v>
      </c>
      <c r="J352" t="s">
        <v>418</v>
      </c>
      <c r="K352" t="s">
        <v>419</v>
      </c>
      <c r="L352">
        <v>3</v>
      </c>
      <c r="M352" s="5">
        <v>491.81</v>
      </c>
      <c r="N352" s="6">
        <v>20</v>
      </c>
      <c r="O352" s="5">
        <v>295.09</v>
      </c>
      <c r="P352" s="5">
        <v>177.05</v>
      </c>
      <c r="Q352" s="5">
        <v>1180.34</v>
      </c>
      <c r="R352" s="5">
        <v>1096.71</v>
      </c>
      <c r="S352" s="5">
        <v>83.63</v>
      </c>
      <c r="T352" s="7">
        <v>0.0708524662385414</v>
      </c>
      <c r="U352" t="s">
        <v>10</v>
      </c>
      <c r="V352" t="s">
        <v>50</v>
      </c>
      <c r="W352" t="s">
        <v>50</v>
      </c>
      <c r="X352" t="s">
        <v>34</v>
      </c>
      <c r="Y352" t="s">
        <v>1463</v>
      </c>
      <c r="Z352" t="s">
        <v>101</v>
      </c>
    </row>
    <row r="353" spans="1:26">
      <c r="A353" t="s">
        <v>1464</v>
      </c>
      <c r="B353" t="s">
        <v>1464</v>
      </c>
      <c r="C353" s="4">
        <v>45827</v>
      </c>
      <c r="D353">
        <v>2025</v>
      </c>
      <c r="E353">
        <v>6</v>
      </c>
      <c r="F353" t="s">
        <v>22</v>
      </c>
      <c r="G353" t="s">
        <v>74</v>
      </c>
      <c r="H353" t="s">
        <v>777</v>
      </c>
      <c r="I353" t="s">
        <v>913</v>
      </c>
      <c r="J353" t="s">
        <v>563</v>
      </c>
      <c r="K353" t="s">
        <v>564</v>
      </c>
      <c r="L353">
        <v>3</v>
      </c>
      <c r="M353" s="5">
        <v>214.04</v>
      </c>
      <c r="N353" s="6">
        <v>20</v>
      </c>
      <c r="O353" s="5">
        <v>128.42</v>
      </c>
      <c r="P353" s="5">
        <v>77.06</v>
      </c>
      <c r="Q353" s="5">
        <v>513.7</v>
      </c>
      <c r="R353" s="5">
        <v>474.18</v>
      </c>
      <c r="S353" s="5">
        <v>39.52</v>
      </c>
      <c r="T353" s="7">
        <v>0.0769320615145026</v>
      </c>
      <c r="U353" t="s">
        <v>13</v>
      </c>
      <c r="V353" t="s">
        <v>50</v>
      </c>
      <c r="W353" t="s">
        <v>50</v>
      </c>
      <c r="X353" t="s">
        <v>33</v>
      </c>
      <c r="Y353" t="s">
        <v>1465</v>
      </c>
      <c r="Z353" t="s">
        <v>101</v>
      </c>
    </row>
    <row r="354" spans="1:26">
      <c r="A354" t="s">
        <v>1466</v>
      </c>
      <c r="B354" t="s">
        <v>1466</v>
      </c>
      <c r="C354" s="4">
        <v>45914</v>
      </c>
      <c r="D354">
        <v>2025</v>
      </c>
      <c r="E354">
        <v>9</v>
      </c>
      <c r="F354" t="s">
        <v>25</v>
      </c>
      <c r="G354" t="s">
        <v>89</v>
      </c>
      <c r="H354" t="s">
        <v>1467</v>
      </c>
      <c r="I354" t="s">
        <v>1196</v>
      </c>
      <c r="J354" t="s">
        <v>1468</v>
      </c>
      <c r="K354" t="s">
        <v>1469</v>
      </c>
      <c r="L354">
        <v>4</v>
      </c>
      <c r="M354" s="5">
        <v>147.72</v>
      </c>
      <c r="N354" s="6">
        <v>5</v>
      </c>
      <c r="O354" s="5">
        <v>29.54</v>
      </c>
      <c r="P354" s="5">
        <v>84.2</v>
      </c>
      <c r="Q354" s="5">
        <v>645.54</v>
      </c>
      <c r="R354" s="5">
        <v>436.84</v>
      </c>
      <c r="S354" s="5">
        <v>208.7</v>
      </c>
      <c r="T354" s="7">
        <v>0.323295225702513</v>
      </c>
      <c r="U354" t="s">
        <v>10</v>
      </c>
      <c r="V354" t="s">
        <v>50</v>
      </c>
      <c r="W354" t="s">
        <v>50</v>
      </c>
      <c r="X354" t="s">
        <v>35</v>
      </c>
      <c r="Y354" t="s">
        <v>1024</v>
      </c>
      <c r="Z354" t="s">
        <v>80</v>
      </c>
    </row>
    <row r="355" spans="1:26">
      <c r="A355" t="s">
        <v>1470</v>
      </c>
      <c r="B355" t="s">
        <v>1470</v>
      </c>
      <c r="C355" s="4">
        <v>46019</v>
      </c>
      <c r="D355">
        <v>2025</v>
      </c>
      <c r="E355">
        <v>12</v>
      </c>
      <c r="F355" t="s">
        <v>28</v>
      </c>
      <c r="G355" t="s">
        <v>137</v>
      </c>
      <c r="H355" t="s">
        <v>1338</v>
      </c>
      <c r="I355" t="s">
        <v>295</v>
      </c>
      <c r="J355" t="s">
        <v>38</v>
      </c>
      <c r="K355" t="s">
        <v>236</v>
      </c>
      <c r="L355">
        <v>5</v>
      </c>
      <c r="M355" s="5">
        <v>317.72</v>
      </c>
      <c r="N355" s="6">
        <v>20</v>
      </c>
      <c r="O355" s="5">
        <v>317.72</v>
      </c>
      <c r="P355" s="5">
        <v>190.63</v>
      </c>
      <c r="Q355" s="5">
        <v>1461.51</v>
      </c>
      <c r="R355" s="5">
        <v>1357.65</v>
      </c>
      <c r="S355" s="5">
        <v>103.86</v>
      </c>
      <c r="T355" s="7">
        <v>0.0710634891311041</v>
      </c>
      <c r="U355" t="s">
        <v>13</v>
      </c>
      <c r="V355" t="s">
        <v>51</v>
      </c>
      <c r="W355" t="s">
        <v>51</v>
      </c>
      <c r="X355" t="s">
        <v>35</v>
      </c>
      <c r="Y355" t="s">
        <v>1052</v>
      </c>
      <c r="Z355" t="s">
        <v>80</v>
      </c>
    </row>
    <row r="356" spans="1:26">
      <c r="A356" t="s">
        <v>1471</v>
      </c>
      <c r="B356" t="s">
        <v>1471</v>
      </c>
      <c r="C356" s="4">
        <v>45976</v>
      </c>
      <c r="D356">
        <v>2025</v>
      </c>
      <c r="E356">
        <v>11</v>
      </c>
      <c r="F356" t="s">
        <v>27</v>
      </c>
      <c r="G356" t="s">
        <v>137</v>
      </c>
      <c r="H356" t="s">
        <v>1472</v>
      </c>
      <c r="I356" t="s">
        <v>323</v>
      </c>
      <c r="J356" t="s">
        <v>1468</v>
      </c>
      <c r="K356" t="s">
        <v>1473</v>
      </c>
      <c r="L356">
        <v>2</v>
      </c>
      <c r="M356" s="5">
        <v>51.33</v>
      </c>
      <c r="N356" s="6">
        <v>0</v>
      </c>
      <c r="O356" s="5">
        <v>0</v>
      </c>
      <c r="P356" s="5">
        <v>15.4</v>
      </c>
      <c r="Q356" s="5">
        <v>118.06</v>
      </c>
      <c r="R356" s="5">
        <v>74.96</v>
      </c>
      <c r="S356" s="5">
        <v>43.1</v>
      </c>
      <c r="T356" s="7">
        <v>0.365068609181772</v>
      </c>
      <c r="U356" t="s">
        <v>10</v>
      </c>
      <c r="V356" t="s">
        <v>50</v>
      </c>
      <c r="W356" t="s">
        <v>50</v>
      </c>
      <c r="X356" t="s">
        <v>33</v>
      </c>
      <c r="Y356" t="s">
        <v>1083</v>
      </c>
      <c r="Z356" t="s">
        <v>80</v>
      </c>
    </row>
    <row r="357" spans="1:26">
      <c r="A357" t="s">
        <v>1474</v>
      </c>
      <c r="B357" t="s">
        <v>1474</v>
      </c>
      <c r="C357" s="4">
        <v>45998</v>
      </c>
      <c r="D357">
        <v>2025</v>
      </c>
      <c r="E357">
        <v>12</v>
      </c>
      <c r="F357" t="s">
        <v>28</v>
      </c>
      <c r="G357" t="s">
        <v>137</v>
      </c>
      <c r="H357" t="s">
        <v>1176</v>
      </c>
      <c r="I357" t="s">
        <v>362</v>
      </c>
      <c r="J357" t="s">
        <v>723</v>
      </c>
      <c r="K357" t="s">
        <v>1475</v>
      </c>
      <c r="L357">
        <v>2</v>
      </c>
      <c r="M357" s="5">
        <v>329.69</v>
      </c>
      <c r="N357" s="6">
        <v>0</v>
      </c>
      <c r="O357" s="5">
        <v>0</v>
      </c>
      <c r="P357" s="5">
        <v>98.91</v>
      </c>
      <c r="Q357" s="5">
        <v>758.29</v>
      </c>
      <c r="R357" s="5">
        <v>494.5</v>
      </c>
      <c r="S357" s="5">
        <v>263.79</v>
      </c>
      <c r="T357" s="7">
        <v>0.347874823616295</v>
      </c>
      <c r="U357" t="s">
        <v>11</v>
      </c>
      <c r="V357" t="s">
        <v>50</v>
      </c>
      <c r="W357" t="s">
        <v>50</v>
      </c>
      <c r="X357" t="s">
        <v>33</v>
      </c>
      <c r="Y357" t="s">
        <v>1476</v>
      </c>
      <c r="Z357" t="s">
        <v>80</v>
      </c>
    </row>
    <row r="358" spans="1:26">
      <c r="A358" t="s">
        <v>1477</v>
      </c>
      <c r="B358" t="s">
        <v>1477</v>
      </c>
      <c r="C358" s="4">
        <v>45951</v>
      </c>
      <c r="D358">
        <v>2025</v>
      </c>
      <c r="E358">
        <v>10</v>
      </c>
      <c r="F358" t="s">
        <v>26</v>
      </c>
      <c r="G358" t="s">
        <v>137</v>
      </c>
      <c r="H358" t="s">
        <v>1478</v>
      </c>
      <c r="I358" t="s">
        <v>116</v>
      </c>
      <c r="J358" t="s">
        <v>202</v>
      </c>
      <c r="K358" t="s">
        <v>231</v>
      </c>
      <c r="L358">
        <v>6</v>
      </c>
      <c r="M358" s="5">
        <v>191.09</v>
      </c>
      <c r="N358" s="6">
        <v>0</v>
      </c>
      <c r="O358" s="5">
        <v>0</v>
      </c>
      <c r="P358" s="5">
        <v>171.98</v>
      </c>
      <c r="Q358" s="5">
        <v>1146.54</v>
      </c>
      <c r="R358" s="5">
        <v>852</v>
      </c>
      <c r="S358" s="5">
        <v>294.54</v>
      </c>
      <c r="T358" s="7">
        <v>0.256894656967921</v>
      </c>
      <c r="U358" t="s">
        <v>13</v>
      </c>
      <c r="V358" t="s">
        <v>50</v>
      </c>
      <c r="W358" t="s">
        <v>50</v>
      </c>
      <c r="X358" t="s">
        <v>33</v>
      </c>
      <c r="Y358" t="s">
        <v>1339</v>
      </c>
      <c r="Z358" t="s">
        <v>101</v>
      </c>
    </row>
    <row r="359" spans="1:26">
      <c r="A359" t="s">
        <v>1479</v>
      </c>
      <c r="B359" t="s">
        <v>1479</v>
      </c>
      <c r="C359" s="4">
        <v>46025</v>
      </c>
      <c r="D359">
        <v>2026</v>
      </c>
      <c r="E359">
        <v>1</v>
      </c>
      <c r="F359" t="s">
        <v>30</v>
      </c>
      <c r="G359" t="s">
        <v>82</v>
      </c>
      <c r="H359" t="s">
        <v>699</v>
      </c>
      <c r="I359" t="s">
        <v>190</v>
      </c>
      <c r="J359" t="s">
        <v>286</v>
      </c>
      <c r="K359" t="s">
        <v>1480</v>
      </c>
      <c r="L359">
        <v>4</v>
      </c>
      <c r="M359" s="5">
        <v>437.49</v>
      </c>
      <c r="N359" s="6">
        <v>0</v>
      </c>
      <c r="O359" s="5">
        <v>0</v>
      </c>
      <c r="P359" s="5">
        <v>262.49</v>
      </c>
      <c r="Q359" s="5">
        <v>2012.45</v>
      </c>
      <c r="R359" s="5">
        <v>1061.76</v>
      </c>
      <c r="S359" s="5">
        <v>950.69</v>
      </c>
      <c r="T359" s="7">
        <v>0.472404283336232</v>
      </c>
      <c r="U359" t="s">
        <v>11</v>
      </c>
      <c r="V359" t="s">
        <v>50</v>
      </c>
      <c r="W359" t="s">
        <v>50</v>
      </c>
      <c r="X359" t="s">
        <v>33</v>
      </c>
      <c r="Y359" t="s">
        <v>1481</v>
      </c>
      <c r="Z359" t="s">
        <v>80</v>
      </c>
    </row>
    <row r="360" spans="1:26">
      <c r="A360" t="s">
        <v>1482</v>
      </c>
      <c r="B360" t="s">
        <v>1482</v>
      </c>
      <c r="C360" s="4">
        <v>45928</v>
      </c>
      <c r="D360">
        <v>2025</v>
      </c>
      <c r="E360">
        <v>9</v>
      </c>
      <c r="F360" t="s">
        <v>25</v>
      </c>
      <c r="G360" t="s">
        <v>89</v>
      </c>
      <c r="H360" t="s">
        <v>521</v>
      </c>
      <c r="I360" t="s">
        <v>262</v>
      </c>
      <c r="J360" t="s">
        <v>1422</v>
      </c>
      <c r="K360" t="s">
        <v>1423</v>
      </c>
      <c r="L360">
        <v>3</v>
      </c>
      <c r="M360" s="5">
        <v>169.7</v>
      </c>
      <c r="N360" s="6">
        <v>0</v>
      </c>
      <c r="O360" s="5">
        <v>0</v>
      </c>
      <c r="P360" s="5">
        <v>76.36</v>
      </c>
      <c r="Q360" s="5">
        <v>585.46</v>
      </c>
      <c r="R360" s="5">
        <v>338.4</v>
      </c>
      <c r="S360" s="5">
        <v>247.06</v>
      </c>
      <c r="T360" s="7">
        <v>0.421992962798483</v>
      </c>
      <c r="U360" t="s">
        <v>9</v>
      </c>
      <c r="V360" t="s">
        <v>50</v>
      </c>
      <c r="W360" t="s">
        <v>50</v>
      </c>
      <c r="X360" t="s">
        <v>33</v>
      </c>
      <c r="Y360" t="s">
        <v>1483</v>
      </c>
      <c r="Z360" t="s">
        <v>80</v>
      </c>
    </row>
    <row r="361" spans="1:26">
      <c r="A361" t="s">
        <v>1484</v>
      </c>
      <c r="B361" t="s">
        <v>1484</v>
      </c>
      <c r="C361" s="4">
        <v>45825</v>
      </c>
      <c r="D361">
        <v>2025</v>
      </c>
      <c r="E361">
        <v>6</v>
      </c>
      <c r="F361" t="s">
        <v>22</v>
      </c>
      <c r="G361" t="s">
        <v>74</v>
      </c>
      <c r="H361" t="s">
        <v>849</v>
      </c>
      <c r="I361" t="s">
        <v>312</v>
      </c>
      <c r="J361" t="s">
        <v>1485</v>
      </c>
      <c r="K361" t="s">
        <v>1486</v>
      </c>
      <c r="L361">
        <v>4</v>
      </c>
      <c r="M361" s="5">
        <v>383.51</v>
      </c>
      <c r="N361" s="6">
        <v>0</v>
      </c>
      <c r="O361" s="5">
        <v>0</v>
      </c>
      <c r="P361" s="5">
        <v>230.11</v>
      </c>
      <c r="Q361" s="5">
        <v>1534.04</v>
      </c>
      <c r="R361" s="5">
        <v>1143.6</v>
      </c>
      <c r="S361" s="5">
        <v>390.44</v>
      </c>
      <c r="T361" s="7">
        <v>0.254517483246851</v>
      </c>
      <c r="U361" t="s">
        <v>11</v>
      </c>
      <c r="V361" t="s">
        <v>50</v>
      </c>
      <c r="W361" t="s">
        <v>50</v>
      </c>
      <c r="X361" t="s">
        <v>33</v>
      </c>
      <c r="Y361" t="s">
        <v>1487</v>
      </c>
      <c r="Z361" t="s">
        <v>101</v>
      </c>
    </row>
    <row r="362" spans="1:26">
      <c r="A362" t="s">
        <v>1488</v>
      </c>
      <c r="B362" t="s">
        <v>1488</v>
      </c>
      <c r="C362" s="4">
        <v>45928</v>
      </c>
      <c r="D362">
        <v>2025</v>
      </c>
      <c r="E362">
        <v>9</v>
      </c>
      <c r="F362" t="s">
        <v>25</v>
      </c>
      <c r="G362" t="s">
        <v>89</v>
      </c>
      <c r="H362" t="s">
        <v>1489</v>
      </c>
      <c r="I362" t="s">
        <v>756</v>
      </c>
      <c r="J362" t="s">
        <v>1490</v>
      </c>
      <c r="K362" t="s">
        <v>1491</v>
      </c>
      <c r="L362">
        <v>1</v>
      </c>
      <c r="M362" s="5">
        <v>161.03</v>
      </c>
      <c r="N362" s="6">
        <v>10</v>
      </c>
      <c r="O362" s="5">
        <v>16.1</v>
      </c>
      <c r="P362" s="5">
        <v>21.74</v>
      </c>
      <c r="Q362" s="5">
        <v>166.67</v>
      </c>
      <c r="R362" s="5">
        <v>124.24</v>
      </c>
      <c r="S362" s="5">
        <v>42.43</v>
      </c>
      <c r="T362" s="7">
        <v>0.25457490850183</v>
      </c>
      <c r="U362" t="s">
        <v>9</v>
      </c>
      <c r="V362" t="s">
        <v>50</v>
      </c>
      <c r="W362" t="s">
        <v>50</v>
      </c>
      <c r="X362" t="s">
        <v>35</v>
      </c>
      <c r="Y362" t="s">
        <v>1492</v>
      </c>
      <c r="Z362" t="s">
        <v>80</v>
      </c>
    </row>
    <row r="363" spans="1:26">
      <c r="A363" t="s">
        <v>1493</v>
      </c>
      <c r="B363" t="s">
        <v>1493</v>
      </c>
      <c r="C363" s="4">
        <v>45900</v>
      </c>
      <c r="D363">
        <v>2025</v>
      </c>
      <c r="E363">
        <v>8</v>
      </c>
      <c r="F363" t="s">
        <v>24</v>
      </c>
      <c r="G363" t="s">
        <v>89</v>
      </c>
      <c r="H363" t="s">
        <v>1494</v>
      </c>
      <c r="I363" t="s">
        <v>689</v>
      </c>
      <c r="J363" t="s">
        <v>418</v>
      </c>
      <c r="K363" t="s">
        <v>419</v>
      </c>
      <c r="L363">
        <v>4</v>
      </c>
      <c r="M363" s="5">
        <v>134.24</v>
      </c>
      <c r="N363" s="6">
        <v>0</v>
      </c>
      <c r="O363" s="5">
        <v>0</v>
      </c>
      <c r="P363" s="5">
        <v>80.54</v>
      </c>
      <c r="Q363" s="5">
        <v>617.5</v>
      </c>
      <c r="R363" s="5">
        <v>364.72</v>
      </c>
      <c r="S363" s="5">
        <v>252.78</v>
      </c>
      <c r="T363" s="7">
        <v>0.40936032388664</v>
      </c>
      <c r="U363" t="s">
        <v>9</v>
      </c>
      <c r="V363" t="s">
        <v>50</v>
      </c>
      <c r="W363" t="s">
        <v>50</v>
      </c>
      <c r="X363" t="s">
        <v>33</v>
      </c>
      <c r="Y363" t="s">
        <v>1495</v>
      </c>
      <c r="Z363" t="s">
        <v>80</v>
      </c>
    </row>
    <row r="364" spans="1:26">
      <c r="A364" t="s">
        <v>1496</v>
      </c>
      <c r="B364" t="s">
        <v>1496</v>
      </c>
      <c r="C364" s="4">
        <v>45997</v>
      </c>
      <c r="D364">
        <v>2025</v>
      </c>
      <c r="E364">
        <v>12</v>
      </c>
      <c r="F364" t="s">
        <v>28</v>
      </c>
      <c r="G364" t="s">
        <v>137</v>
      </c>
      <c r="H364" t="s">
        <v>1497</v>
      </c>
      <c r="I364" t="s">
        <v>444</v>
      </c>
      <c r="J364" t="s">
        <v>140</v>
      </c>
      <c r="K364" t="s">
        <v>141</v>
      </c>
      <c r="L364">
        <v>4</v>
      </c>
      <c r="M364" s="5">
        <v>111.73</v>
      </c>
      <c r="N364" s="6">
        <v>0</v>
      </c>
      <c r="O364" s="5">
        <v>0</v>
      </c>
      <c r="P364" s="5">
        <v>67.04</v>
      </c>
      <c r="Q364" s="5">
        <v>513.96</v>
      </c>
      <c r="R364" s="5">
        <v>344.2</v>
      </c>
      <c r="S364" s="5">
        <v>169.76</v>
      </c>
      <c r="T364" s="7">
        <v>0.330298077671414</v>
      </c>
      <c r="U364" t="s">
        <v>10</v>
      </c>
      <c r="V364" t="s">
        <v>50</v>
      </c>
      <c r="W364" t="s">
        <v>50</v>
      </c>
      <c r="X364" t="s">
        <v>33</v>
      </c>
      <c r="Y364" t="s">
        <v>1498</v>
      </c>
      <c r="Z364" t="s">
        <v>80</v>
      </c>
    </row>
    <row r="365" spans="1:26">
      <c r="A365" t="s">
        <v>1499</v>
      </c>
      <c r="B365" t="s">
        <v>1499</v>
      </c>
      <c r="C365" s="4">
        <v>46019</v>
      </c>
      <c r="D365">
        <v>2025</v>
      </c>
      <c r="E365">
        <v>12</v>
      </c>
      <c r="F365" t="s">
        <v>28</v>
      </c>
      <c r="G365" t="s">
        <v>137</v>
      </c>
      <c r="H365" t="s">
        <v>469</v>
      </c>
      <c r="I365" t="s">
        <v>689</v>
      </c>
      <c r="J365" t="s">
        <v>286</v>
      </c>
      <c r="K365" t="s">
        <v>1500</v>
      </c>
      <c r="L365">
        <v>2</v>
      </c>
      <c r="M365" s="5">
        <v>123.11</v>
      </c>
      <c r="N365" s="6">
        <v>0</v>
      </c>
      <c r="O365" s="5">
        <v>0</v>
      </c>
      <c r="P365" s="5">
        <v>36.93</v>
      </c>
      <c r="Q365" s="5">
        <v>283.15</v>
      </c>
      <c r="R365" s="5">
        <v>182.36</v>
      </c>
      <c r="S365" s="5">
        <v>100.79</v>
      </c>
      <c r="T365" s="7">
        <v>0.355959738654423</v>
      </c>
      <c r="U365" t="s">
        <v>12</v>
      </c>
      <c r="V365" t="s">
        <v>50</v>
      </c>
      <c r="W365" t="s">
        <v>50</v>
      </c>
      <c r="X365" t="s">
        <v>33</v>
      </c>
      <c r="Y365" t="s">
        <v>1501</v>
      </c>
      <c r="Z365" t="s">
        <v>80</v>
      </c>
    </row>
    <row r="366" spans="1:26">
      <c r="A366" t="s">
        <v>1502</v>
      </c>
      <c r="B366" t="s">
        <v>1502</v>
      </c>
      <c r="C366" s="4">
        <v>45936</v>
      </c>
      <c r="D366">
        <v>2025</v>
      </c>
      <c r="E366">
        <v>10</v>
      </c>
      <c r="F366" t="s">
        <v>26</v>
      </c>
      <c r="G366" t="s">
        <v>137</v>
      </c>
      <c r="H366" t="s">
        <v>1503</v>
      </c>
      <c r="I366" t="s">
        <v>395</v>
      </c>
      <c r="J366" t="s">
        <v>140</v>
      </c>
      <c r="K366" t="s">
        <v>141</v>
      </c>
      <c r="L366">
        <v>1</v>
      </c>
      <c r="M366" s="5">
        <v>446.17</v>
      </c>
      <c r="N366" s="6">
        <v>0</v>
      </c>
      <c r="O366" s="5">
        <v>0</v>
      </c>
      <c r="P366" s="5">
        <v>66.93</v>
      </c>
      <c r="Q366" s="5">
        <v>446.17</v>
      </c>
      <c r="R366" s="5">
        <v>325.61</v>
      </c>
      <c r="S366" s="5">
        <v>120.56</v>
      </c>
      <c r="T366" s="7">
        <v>0.270210906156846</v>
      </c>
      <c r="U366" t="s">
        <v>14</v>
      </c>
      <c r="V366" t="s">
        <v>50</v>
      </c>
      <c r="W366" t="s">
        <v>50</v>
      </c>
      <c r="X366" t="s">
        <v>33</v>
      </c>
      <c r="Y366" t="s">
        <v>160</v>
      </c>
      <c r="Z366" t="s">
        <v>101</v>
      </c>
    </row>
    <row r="367" spans="1:26">
      <c r="A367" t="s">
        <v>1504</v>
      </c>
      <c r="B367" t="s">
        <v>1504</v>
      </c>
      <c r="C367" s="4">
        <v>46020</v>
      </c>
      <c r="D367">
        <v>2025</v>
      </c>
      <c r="E367">
        <v>12</v>
      </c>
      <c r="F367" t="s">
        <v>28</v>
      </c>
      <c r="G367" t="s">
        <v>137</v>
      </c>
      <c r="H367" t="s">
        <v>387</v>
      </c>
      <c r="I367" t="s">
        <v>312</v>
      </c>
      <c r="J367" t="s">
        <v>659</v>
      </c>
      <c r="K367" t="s">
        <v>287</v>
      </c>
      <c r="L367">
        <v>3</v>
      </c>
      <c r="M367" s="5">
        <v>383.51</v>
      </c>
      <c r="N367" s="6">
        <v>20</v>
      </c>
      <c r="O367" s="5">
        <v>230.11</v>
      </c>
      <c r="P367" s="5">
        <v>138.06</v>
      </c>
      <c r="Q367" s="5">
        <v>920.42</v>
      </c>
      <c r="R367" s="5">
        <v>857.7</v>
      </c>
      <c r="S367" s="5">
        <v>62.72</v>
      </c>
      <c r="T367" s="7">
        <v>0.0681428043719172</v>
      </c>
      <c r="U367" t="s">
        <v>12</v>
      </c>
      <c r="V367" t="s">
        <v>50</v>
      </c>
      <c r="W367" t="s">
        <v>50</v>
      </c>
      <c r="X367" t="s">
        <v>35</v>
      </c>
      <c r="Y367" t="s">
        <v>1113</v>
      </c>
      <c r="Z367" t="s">
        <v>101</v>
      </c>
    </row>
    <row r="368" spans="1:26">
      <c r="A368" t="s">
        <v>1505</v>
      </c>
      <c r="B368" t="s">
        <v>1505</v>
      </c>
      <c r="C368" s="4">
        <v>46086</v>
      </c>
      <c r="D368">
        <v>2026</v>
      </c>
      <c r="E368">
        <v>3</v>
      </c>
      <c r="F368" t="s">
        <v>19</v>
      </c>
      <c r="G368" t="s">
        <v>82</v>
      </c>
      <c r="H368" t="s">
        <v>1506</v>
      </c>
      <c r="I368" t="s">
        <v>328</v>
      </c>
      <c r="J368" t="s">
        <v>1507</v>
      </c>
      <c r="K368" t="s">
        <v>1508</v>
      </c>
      <c r="L368">
        <v>4</v>
      </c>
      <c r="M368" s="5">
        <v>126.21</v>
      </c>
      <c r="N368" s="6">
        <v>0</v>
      </c>
      <c r="O368" s="5">
        <v>0</v>
      </c>
      <c r="P368" s="5">
        <v>75.73</v>
      </c>
      <c r="Q368" s="5">
        <v>504.84</v>
      </c>
      <c r="R368" s="5">
        <v>389.4</v>
      </c>
      <c r="S368" s="5">
        <v>115.44</v>
      </c>
      <c r="T368" s="7">
        <v>0.228666508200618</v>
      </c>
      <c r="U368" t="s">
        <v>11</v>
      </c>
      <c r="V368" t="s">
        <v>50</v>
      </c>
      <c r="W368" t="s">
        <v>50</v>
      </c>
      <c r="X368" t="s">
        <v>34</v>
      </c>
      <c r="Y368" t="s">
        <v>1509</v>
      </c>
      <c r="Z368" t="s">
        <v>101</v>
      </c>
    </row>
    <row r="369" spans="1:26">
      <c r="A369" t="s">
        <v>1510</v>
      </c>
      <c r="B369" t="s">
        <v>1510</v>
      </c>
      <c r="C369" s="4">
        <v>45914</v>
      </c>
      <c r="D369">
        <v>2025</v>
      </c>
      <c r="E369">
        <v>9</v>
      </c>
      <c r="F369" t="s">
        <v>25</v>
      </c>
      <c r="G369" t="s">
        <v>89</v>
      </c>
      <c r="H369" t="s">
        <v>513</v>
      </c>
      <c r="I369" t="s">
        <v>1511</v>
      </c>
      <c r="J369" t="s">
        <v>1512</v>
      </c>
      <c r="K369" t="s">
        <v>1412</v>
      </c>
      <c r="L369">
        <v>8</v>
      </c>
      <c r="M369" s="5">
        <v>204.03</v>
      </c>
      <c r="N369" s="6">
        <v>5</v>
      </c>
      <c r="O369" s="5">
        <v>81.61</v>
      </c>
      <c r="P369" s="5">
        <v>232.59</v>
      </c>
      <c r="Q369" s="5">
        <v>1783.22</v>
      </c>
      <c r="R369" s="5">
        <v>1267.44</v>
      </c>
      <c r="S369" s="5">
        <v>515.78</v>
      </c>
      <c r="T369" s="7">
        <v>0.289240811565595</v>
      </c>
      <c r="U369" t="s">
        <v>12</v>
      </c>
      <c r="V369" t="s">
        <v>50</v>
      </c>
      <c r="W369" t="s">
        <v>50</v>
      </c>
      <c r="X369" t="s">
        <v>35</v>
      </c>
      <c r="Y369" t="s">
        <v>1513</v>
      </c>
      <c r="Z369" t="s">
        <v>80</v>
      </c>
    </row>
    <row r="370" spans="1:26">
      <c r="A370" t="s">
        <v>1514</v>
      </c>
      <c r="B370" t="s">
        <v>1514</v>
      </c>
      <c r="C370" s="4">
        <v>45929</v>
      </c>
      <c r="D370">
        <v>2025</v>
      </c>
      <c r="E370">
        <v>9</v>
      </c>
      <c r="F370" t="s">
        <v>25</v>
      </c>
      <c r="G370" t="s">
        <v>89</v>
      </c>
      <c r="H370" t="s">
        <v>964</v>
      </c>
      <c r="I370" t="s">
        <v>139</v>
      </c>
      <c r="J370" t="s">
        <v>1515</v>
      </c>
      <c r="K370" t="s">
        <v>1154</v>
      </c>
      <c r="L370">
        <v>4</v>
      </c>
      <c r="M370" s="5">
        <v>38.66</v>
      </c>
      <c r="N370" s="6">
        <v>5</v>
      </c>
      <c r="O370" s="5">
        <v>7.73</v>
      </c>
      <c r="P370" s="5">
        <v>22.04</v>
      </c>
      <c r="Q370" s="5">
        <v>146.91</v>
      </c>
      <c r="R370" s="5">
        <v>129.6</v>
      </c>
      <c r="S370" s="5">
        <v>17.31</v>
      </c>
      <c r="T370" s="7">
        <v>0.117827241168062</v>
      </c>
      <c r="U370" t="s">
        <v>13</v>
      </c>
      <c r="V370" t="s">
        <v>50</v>
      </c>
      <c r="W370" t="s">
        <v>50</v>
      </c>
      <c r="X370" t="s">
        <v>33</v>
      </c>
      <c r="Y370" t="s">
        <v>1336</v>
      </c>
      <c r="Z370" t="s">
        <v>101</v>
      </c>
    </row>
    <row r="371" spans="1:26">
      <c r="A371" t="s">
        <v>1516</v>
      </c>
      <c r="B371" t="s">
        <v>1516</v>
      </c>
      <c r="C371" s="4">
        <v>45867</v>
      </c>
      <c r="D371">
        <v>2025</v>
      </c>
      <c r="E371">
        <v>7</v>
      </c>
      <c r="F371" t="s">
        <v>23</v>
      </c>
      <c r="G371" t="s">
        <v>89</v>
      </c>
      <c r="H371" t="s">
        <v>1099</v>
      </c>
      <c r="I371" t="s">
        <v>844</v>
      </c>
      <c r="J371" t="s">
        <v>742</v>
      </c>
      <c r="K371" t="s">
        <v>1517</v>
      </c>
      <c r="L371">
        <v>1</v>
      </c>
      <c r="M371" s="5">
        <v>298.68</v>
      </c>
      <c r="N371" s="6">
        <v>0</v>
      </c>
      <c r="O371" s="5">
        <v>0</v>
      </c>
      <c r="P371" s="5">
        <v>44.8</v>
      </c>
      <c r="Q371" s="5">
        <v>298.68</v>
      </c>
      <c r="R371" s="5">
        <v>250.69</v>
      </c>
      <c r="S371" s="5">
        <v>47.99</v>
      </c>
      <c r="T371" s="7">
        <v>0.160673630641489</v>
      </c>
      <c r="U371" t="s">
        <v>11</v>
      </c>
      <c r="V371" t="s">
        <v>50</v>
      </c>
      <c r="W371" t="s">
        <v>50</v>
      </c>
      <c r="X371" t="s">
        <v>33</v>
      </c>
      <c r="Y371" t="s">
        <v>1358</v>
      </c>
      <c r="Z371" t="s">
        <v>101</v>
      </c>
    </row>
    <row r="372" spans="1:26">
      <c r="A372" t="s">
        <v>1518</v>
      </c>
      <c r="B372" t="s">
        <v>1518</v>
      </c>
      <c r="C372" s="4">
        <v>45942</v>
      </c>
      <c r="D372">
        <v>2025</v>
      </c>
      <c r="E372">
        <v>10</v>
      </c>
      <c r="F372" t="s">
        <v>26</v>
      </c>
      <c r="G372" t="s">
        <v>137</v>
      </c>
      <c r="H372" t="s">
        <v>1519</v>
      </c>
      <c r="I372" t="s">
        <v>312</v>
      </c>
      <c r="J372" t="s">
        <v>713</v>
      </c>
      <c r="K372" t="s">
        <v>798</v>
      </c>
      <c r="L372">
        <v>4</v>
      </c>
      <c r="M372" s="5">
        <v>383.51</v>
      </c>
      <c r="N372" s="6">
        <v>0</v>
      </c>
      <c r="O372" s="5">
        <v>0</v>
      </c>
      <c r="P372" s="5">
        <v>230.11</v>
      </c>
      <c r="Q372" s="5">
        <v>1764.15</v>
      </c>
      <c r="R372" s="5">
        <v>1143.6</v>
      </c>
      <c r="S372" s="5">
        <v>620.55</v>
      </c>
      <c r="T372" s="7">
        <v>0.351755803077969</v>
      </c>
      <c r="U372" t="s">
        <v>13</v>
      </c>
      <c r="V372" t="s">
        <v>50</v>
      </c>
      <c r="W372" t="s">
        <v>50</v>
      </c>
      <c r="X372" t="s">
        <v>33</v>
      </c>
      <c r="Y372" t="s">
        <v>1520</v>
      </c>
      <c r="Z372" t="s">
        <v>80</v>
      </c>
    </row>
    <row r="373" spans="1:26">
      <c r="A373" t="s">
        <v>1521</v>
      </c>
      <c r="B373" t="s">
        <v>1521</v>
      </c>
      <c r="C373" s="4">
        <v>45862</v>
      </c>
      <c r="D373">
        <v>2025</v>
      </c>
      <c r="E373">
        <v>7</v>
      </c>
      <c r="F373" t="s">
        <v>23</v>
      </c>
      <c r="G373" t="s">
        <v>89</v>
      </c>
      <c r="H373" t="s">
        <v>1522</v>
      </c>
      <c r="I373" t="s">
        <v>132</v>
      </c>
      <c r="J373" t="s">
        <v>872</v>
      </c>
      <c r="K373" t="s">
        <v>873</v>
      </c>
      <c r="L373">
        <v>3</v>
      </c>
      <c r="M373" s="5">
        <v>260.93</v>
      </c>
      <c r="N373" s="6">
        <v>0</v>
      </c>
      <c r="O373" s="5">
        <v>0</v>
      </c>
      <c r="P373" s="5">
        <v>117.42</v>
      </c>
      <c r="Q373" s="5">
        <v>782.79</v>
      </c>
      <c r="R373" s="5">
        <v>582.18</v>
      </c>
      <c r="S373" s="5">
        <v>200.61</v>
      </c>
      <c r="T373" s="7">
        <v>0.256275629479171</v>
      </c>
      <c r="U373" t="s">
        <v>9</v>
      </c>
      <c r="V373" t="s">
        <v>50</v>
      </c>
      <c r="W373" t="s">
        <v>50</v>
      </c>
      <c r="X373" t="s">
        <v>33</v>
      </c>
      <c r="Y373" t="s">
        <v>1523</v>
      </c>
      <c r="Z373" t="s">
        <v>101</v>
      </c>
    </row>
    <row r="374" spans="1:26">
      <c r="A374" t="s">
        <v>1524</v>
      </c>
      <c r="B374" t="s">
        <v>1524</v>
      </c>
      <c r="C374" s="4">
        <v>46065</v>
      </c>
      <c r="D374">
        <v>2026</v>
      </c>
      <c r="E374">
        <v>2</v>
      </c>
      <c r="F374" t="s">
        <v>31</v>
      </c>
      <c r="G374" t="s">
        <v>82</v>
      </c>
      <c r="H374" t="s">
        <v>1525</v>
      </c>
      <c r="I374" t="s">
        <v>1526</v>
      </c>
      <c r="J374" t="s">
        <v>482</v>
      </c>
      <c r="K374" t="s">
        <v>1067</v>
      </c>
      <c r="L374">
        <v>3</v>
      </c>
      <c r="M374" s="5">
        <v>102.51</v>
      </c>
      <c r="N374" s="6">
        <v>0</v>
      </c>
      <c r="O374" s="5">
        <v>0</v>
      </c>
      <c r="P374" s="5">
        <v>46.13</v>
      </c>
      <c r="Q374" s="5">
        <v>307.53</v>
      </c>
      <c r="R374" s="5">
        <v>266.16</v>
      </c>
      <c r="S374" s="5">
        <v>41.37</v>
      </c>
      <c r="T374" s="7">
        <v>0.134523461125744</v>
      </c>
      <c r="U374" t="s">
        <v>9</v>
      </c>
      <c r="V374" t="s">
        <v>50</v>
      </c>
      <c r="W374" t="s">
        <v>50</v>
      </c>
      <c r="X374" t="s">
        <v>33</v>
      </c>
      <c r="Y374" t="s">
        <v>1527</v>
      </c>
      <c r="Z374" t="s">
        <v>101</v>
      </c>
    </row>
    <row r="375" spans="1:26">
      <c r="A375" t="s">
        <v>1528</v>
      </c>
      <c r="B375" t="s">
        <v>1528</v>
      </c>
      <c r="C375" s="4">
        <v>45808</v>
      </c>
      <c r="D375">
        <v>2025</v>
      </c>
      <c r="E375">
        <v>5</v>
      </c>
      <c r="F375" t="s">
        <v>21</v>
      </c>
      <c r="G375" t="s">
        <v>74</v>
      </c>
      <c r="H375" t="s">
        <v>1529</v>
      </c>
      <c r="I375" t="s">
        <v>245</v>
      </c>
      <c r="J375" t="s">
        <v>41</v>
      </c>
      <c r="K375" t="s">
        <v>588</v>
      </c>
      <c r="L375">
        <v>2</v>
      </c>
      <c r="M375" s="5">
        <v>121.9</v>
      </c>
      <c r="N375" s="6">
        <v>20</v>
      </c>
      <c r="O375" s="5">
        <v>48.76</v>
      </c>
      <c r="P375" s="5">
        <v>29.26</v>
      </c>
      <c r="Q375" s="5">
        <v>224.3</v>
      </c>
      <c r="R375" s="5">
        <v>217.84</v>
      </c>
      <c r="S375" s="5">
        <v>6.46</v>
      </c>
      <c r="T375" s="7">
        <v>0.0288007133303611</v>
      </c>
      <c r="U375" t="s">
        <v>13</v>
      </c>
      <c r="V375" t="s">
        <v>50</v>
      </c>
      <c r="W375" t="s">
        <v>50</v>
      </c>
      <c r="X375" t="s">
        <v>35</v>
      </c>
      <c r="Y375" t="s">
        <v>1530</v>
      </c>
      <c r="Z375" t="s">
        <v>80</v>
      </c>
    </row>
    <row r="376" spans="1:26">
      <c r="A376" t="s">
        <v>1531</v>
      </c>
      <c r="B376" t="s">
        <v>1531</v>
      </c>
      <c r="C376" s="4">
        <v>45903</v>
      </c>
      <c r="D376">
        <v>2025</v>
      </c>
      <c r="E376">
        <v>9</v>
      </c>
      <c r="F376" t="s">
        <v>25</v>
      </c>
      <c r="G376" t="s">
        <v>89</v>
      </c>
      <c r="H376" t="s">
        <v>1532</v>
      </c>
      <c r="I376" t="s">
        <v>553</v>
      </c>
      <c r="J376" t="s">
        <v>1435</v>
      </c>
      <c r="K376" t="s">
        <v>1533</v>
      </c>
      <c r="L376">
        <v>5</v>
      </c>
      <c r="M376" s="5">
        <v>309.2</v>
      </c>
      <c r="N376" s="6">
        <v>0</v>
      </c>
      <c r="O376" s="5">
        <v>0</v>
      </c>
      <c r="P376" s="5">
        <v>231.9</v>
      </c>
      <c r="Q376" s="5">
        <v>1546</v>
      </c>
      <c r="R376" s="5">
        <v>1268.5</v>
      </c>
      <c r="S376" s="5">
        <v>277.5</v>
      </c>
      <c r="T376" s="7">
        <v>0.179495472186287</v>
      </c>
      <c r="U376" t="s">
        <v>9</v>
      </c>
      <c r="V376" t="s">
        <v>50</v>
      </c>
      <c r="W376" t="s">
        <v>50</v>
      </c>
      <c r="X376" t="s">
        <v>34</v>
      </c>
      <c r="Y376" t="s">
        <v>739</v>
      </c>
      <c r="Z376" t="s">
        <v>101</v>
      </c>
    </row>
    <row r="377" spans="1:26">
      <c r="A377" t="s">
        <v>1534</v>
      </c>
      <c r="B377" t="s">
        <v>1534</v>
      </c>
      <c r="C377" s="4">
        <v>45852</v>
      </c>
      <c r="D377">
        <v>2025</v>
      </c>
      <c r="E377">
        <v>7</v>
      </c>
      <c r="F377" t="s">
        <v>23</v>
      </c>
      <c r="G377" t="s">
        <v>89</v>
      </c>
      <c r="H377" t="s">
        <v>1535</v>
      </c>
      <c r="I377" t="s">
        <v>756</v>
      </c>
      <c r="J377" t="s">
        <v>460</v>
      </c>
      <c r="K377" t="s">
        <v>1536</v>
      </c>
      <c r="L377">
        <v>3</v>
      </c>
      <c r="M377" s="5">
        <v>161.03</v>
      </c>
      <c r="N377" s="6">
        <v>0</v>
      </c>
      <c r="O377" s="5">
        <v>0</v>
      </c>
      <c r="P377" s="5">
        <v>72.46</v>
      </c>
      <c r="Q377" s="5">
        <v>483.09</v>
      </c>
      <c r="R377" s="5">
        <v>372.72</v>
      </c>
      <c r="S377" s="5">
        <v>110.37</v>
      </c>
      <c r="T377" s="7">
        <v>0.228466745326958</v>
      </c>
      <c r="U377" t="s">
        <v>9</v>
      </c>
      <c r="V377" t="s">
        <v>50</v>
      </c>
      <c r="W377" t="s">
        <v>50</v>
      </c>
      <c r="X377" t="s">
        <v>33</v>
      </c>
      <c r="Y377" t="s">
        <v>822</v>
      </c>
      <c r="Z377" t="s">
        <v>101</v>
      </c>
    </row>
    <row r="378" spans="1:26">
      <c r="A378" t="s">
        <v>1537</v>
      </c>
      <c r="B378" t="s">
        <v>1537</v>
      </c>
      <c r="C378" s="4">
        <v>45915</v>
      </c>
      <c r="D378">
        <v>2025</v>
      </c>
      <c r="E378">
        <v>9</v>
      </c>
      <c r="F378" t="s">
        <v>25</v>
      </c>
      <c r="G378" t="s">
        <v>89</v>
      </c>
      <c r="H378" t="s">
        <v>1446</v>
      </c>
      <c r="I378" t="s">
        <v>417</v>
      </c>
      <c r="J378" t="s">
        <v>77</v>
      </c>
      <c r="K378" t="s">
        <v>358</v>
      </c>
      <c r="L378">
        <v>4</v>
      </c>
      <c r="M378" s="5">
        <v>432.85</v>
      </c>
      <c r="N378" s="6">
        <v>5</v>
      </c>
      <c r="O378" s="5">
        <v>86.57</v>
      </c>
      <c r="P378" s="5">
        <v>246.72</v>
      </c>
      <c r="Q378" s="5">
        <v>1644.83</v>
      </c>
      <c r="R378" s="5">
        <v>1239.92</v>
      </c>
      <c r="S378" s="5">
        <v>404.91</v>
      </c>
      <c r="T378" s="7">
        <v>0.246171336855481</v>
      </c>
      <c r="U378" t="s">
        <v>9</v>
      </c>
      <c r="V378" t="s">
        <v>50</v>
      </c>
      <c r="W378" t="s">
        <v>50</v>
      </c>
      <c r="X378" t="s">
        <v>33</v>
      </c>
      <c r="Y378" t="s">
        <v>1538</v>
      </c>
      <c r="Z378" t="s">
        <v>101</v>
      </c>
    </row>
    <row r="379" spans="1:26">
      <c r="A379" t="s">
        <v>1539</v>
      </c>
      <c r="B379" t="s">
        <v>1539</v>
      </c>
      <c r="C379" s="4">
        <v>45949</v>
      </c>
      <c r="D379">
        <v>2025</v>
      </c>
      <c r="E379">
        <v>10</v>
      </c>
      <c r="F379" t="s">
        <v>26</v>
      </c>
      <c r="G379" t="s">
        <v>137</v>
      </c>
      <c r="H379" t="s">
        <v>322</v>
      </c>
      <c r="I379" t="s">
        <v>285</v>
      </c>
      <c r="J379" t="s">
        <v>357</v>
      </c>
      <c r="K379" t="s">
        <v>1540</v>
      </c>
      <c r="L379">
        <v>7</v>
      </c>
      <c r="M379" s="5">
        <v>585.84</v>
      </c>
      <c r="N379" s="6">
        <v>20</v>
      </c>
      <c r="O379" s="5">
        <v>820.18</v>
      </c>
      <c r="P379" s="5">
        <v>492.1</v>
      </c>
      <c r="Q379" s="5">
        <v>3772.8</v>
      </c>
      <c r="R379" s="5">
        <v>2354.8</v>
      </c>
      <c r="S379" s="5">
        <v>1418</v>
      </c>
      <c r="T379" s="7">
        <v>0.375848176420696</v>
      </c>
      <c r="U379" t="s">
        <v>14</v>
      </c>
      <c r="V379" t="s">
        <v>50</v>
      </c>
      <c r="W379" t="s">
        <v>50</v>
      </c>
      <c r="X379" t="s">
        <v>33</v>
      </c>
      <c r="Y379" t="s">
        <v>1541</v>
      </c>
      <c r="Z379" t="s">
        <v>80</v>
      </c>
    </row>
    <row r="380" spans="1:26">
      <c r="A380" t="s">
        <v>1542</v>
      </c>
      <c r="B380" t="s">
        <v>1542</v>
      </c>
      <c r="C380" s="4">
        <v>45938</v>
      </c>
      <c r="D380">
        <v>2025</v>
      </c>
      <c r="E380">
        <v>10</v>
      </c>
      <c r="F380" t="s">
        <v>26</v>
      </c>
      <c r="G380" t="s">
        <v>137</v>
      </c>
      <c r="H380" t="s">
        <v>918</v>
      </c>
      <c r="I380" t="s">
        <v>285</v>
      </c>
      <c r="J380" t="s">
        <v>877</v>
      </c>
      <c r="K380" t="s">
        <v>747</v>
      </c>
      <c r="L380">
        <v>6</v>
      </c>
      <c r="M380" s="5">
        <v>580.6</v>
      </c>
      <c r="N380" s="6">
        <v>0</v>
      </c>
      <c r="O380" s="5">
        <v>0</v>
      </c>
      <c r="P380" s="5">
        <v>522.54</v>
      </c>
      <c r="Q380" s="5">
        <v>3483.6</v>
      </c>
      <c r="R380" s="5">
        <v>2018.4</v>
      </c>
      <c r="S380" s="5">
        <v>1465.2</v>
      </c>
      <c r="T380" s="7">
        <v>0.420599379951774</v>
      </c>
      <c r="U380" t="s">
        <v>12</v>
      </c>
      <c r="V380" t="s">
        <v>50</v>
      </c>
      <c r="W380" t="s">
        <v>50</v>
      </c>
      <c r="X380" t="s">
        <v>34</v>
      </c>
      <c r="Y380" t="s">
        <v>437</v>
      </c>
      <c r="Z380" t="s">
        <v>101</v>
      </c>
    </row>
    <row r="381" spans="1:26">
      <c r="A381" t="s">
        <v>1543</v>
      </c>
      <c r="B381" t="s">
        <v>1543</v>
      </c>
      <c r="C381" s="4">
        <v>45934</v>
      </c>
      <c r="D381">
        <v>2025</v>
      </c>
      <c r="E381">
        <v>10</v>
      </c>
      <c r="F381" t="s">
        <v>26</v>
      </c>
      <c r="G381" t="s">
        <v>137</v>
      </c>
      <c r="H381" t="s">
        <v>1544</v>
      </c>
      <c r="I381" t="s">
        <v>986</v>
      </c>
      <c r="J381" t="s">
        <v>369</v>
      </c>
      <c r="K381" t="s">
        <v>1545</v>
      </c>
      <c r="L381">
        <v>4</v>
      </c>
      <c r="M381" s="5">
        <v>361.31</v>
      </c>
      <c r="N381" s="6">
        <v>20</v>
      </c>
      <c r="O381" s="5">
        <v>289.05</v>
      </c>
      <c r="P381" s="5">
        <v>173.43</v>
      </c>
      <c r="Q381" s="5">
        <v>1329.62</v>
      </c>
      <c r="R381" s="5">
        <v>953.72</v>
      </c>
      <c r="S381" s="5">
        <v>375.9</v>
      </c>
      <c r="T381" s="7">
        <v>0.282712353905627</v>
      </c>
      <c r="U381" t="s">
        <v>10</v>
      </c>
      <c r="V381" t="s">
        <v>50</v>
      </c>
      <c r="W381" t="s">
        <v>50</v>
      </c>
      <c r="X381" t="s">
        <v>33</v>
      </c>
      <c r="Y381" t="s">
        <v>1546</v>
      </c>
      <c r="Z381" t="s">
        <v>80</v>
      </c>
    </row>
    <row r="382" spans="1:26">
      <c r="A382" t="s">
        <v>1547</v>
      </c>
      <c r="B382" t="s">
        <v>1547</v>
      </c>
      <c r="C382" s="4">
        <v>46005</v>
      </c>
      <c r="D382">
        <v>2025</v>
      </c>
      <c r="E382">
        <v>12</v>
      </c>
      <c r="F382" t="s">
        <v>28</v>
      </c>
      <c r="G382" t="s">
        <v>137</v>
      </c>
      <c r="H382" t="s">
        <v>389</v>
      </c>
      <c r="I382" t="s">
        <v>328</v>
      </c>
      <c r="J382" t="s">
        <v>882</v>
      </c>
      <c r="K382" t="s">
        <v>1500</v>
      </c>
      <c r="L382">
        <v>7</v>
      </c>
      <c r="M382" s="5">
        <v>131.04</v>
      </c>
      <c r="N382" s="6">
        <v>0</v>
      </c>
      <c r="O382" s="5">
        <v>0</v>
      </c>
      <c r="P382" s="5">
        <v>137.59</v>
      </c>
      <c r="Q382" s="5">
        <v>1054.87</v>
      </c>
      <c r="R382" s="5">
        <v>681.45</v>
      </c>
      <c r="S382" s="5">
        <v>373.42</v>
      </c>
      <c r="T382" s="7">
        <v>0.353996227023235</v>
      </c>
      <c r="U382" t="s">
        <v>10</v>
      </c>
      <c r="V382" t="s">
        <v>50</v>
      </c>
      <c r="W382" t="s">
        <v>50</v>
      </c>
      <c r="X382" t="s">
        <v>33</v>
      </c>
      <c r="Y382" t="s">
        <v>887</v>
      </c>
      <c r="Z382" t="s">
        <v>80</v>
      </c>
    </row>
    <row r="383" spans="1:26">
      <c r="A383" t="s">
        <v>1548</v>
      </c>
      <c r="B383" t="s">
        <v>1548</v>
      </c>
      <c r="C383" s="4">
        <v>46027</v>
      </c>
      <c r="D383">
        <v>2026</v>
      </c>
      <c r="E383">
        <v>1</v>
      </c>
      <c r="F383" t="s">
        <v>30</v>
      </c>
      <c r="G383" t="s">
        <v>82</v>
      </c>
      <c r="H383" t="s">
        <v>1549</v>
      </c>
      <c r="I383" t="s">
        <v>417</v>
      </c>
      <c r="J383" t="s">
        <v>1272</v>
      </c>
      <c r="K383" t="s">
        <v>971</v>
      </c>
      <c r="L383">
        <v>3</v>
      </c>
      <c r="M383" s="5">
        <v>399.15</v>
      </c>
      <c r="N383" s="6">
        <v>0</v>
      </c>
      <c r="O383" s="5">
        <v>0</v>
      </c>
      <c r="P383" s="5">
        <v>179.62</v>
      </c>
      <c r="Q383" s="5">
        <v>1197.45</v>
      </c>
      <c r="R383" s="5">
        <v>929.94</v>
      </c>
      <c r="S383" s="5">
        <v>267.51</v>
      </c>
      <c r="T383" s="7">
        <v>0.223399724414381</v>
      </c>
      <c r="U383" t="s">
        <v>9</v>
      </c>
      <c r="V383" t="s">
        <v>50</v>
      </c>
      <c r="W383" t="s">
        <v>50</v>
      </c>
      <c r="X383" t="s">
        <v>33</v>
      </c>
      <c r="Y383" t="s">
        <v>1166</v>
      </c>
      <c r="Z383" t="s">
        <v>101</v>
      </c>
    </row>
    <row r="384" spans="1:26">
      <c r="A384" t="s">
        <v>1550</v>
      </c>
      <c r="B384" t="s">
        <v>1550</v>
      </c>
      <c r="C384" s="4">
        <v>45956</v>
      </c>
      <c r="D384">
        <v>2025</v>
      </c>
      <c r="E384">
        <v>10</v>
      </c>
      <c r="F384" t="s">
        <v>26</v>
      </c>
      <c r="G384" t="s">
        <v>137</v>
      </c>
      <c r="H384" t="s">
        <v>918</v>
      </c>
      <c r="I384" t="s">
        <v>476</v>
      </c>
      <c r="J384" t="s">
        <v>567</v>
      </c>
      <c r="K384" t="s">
        <v>568</v>
      </c>
      <c r="L384">
        <v>4</v>
      </c>
      <c r="M384" s="5">
        <v>321.08</v>
      </c>
      <c r="N384" s="6">
        <v>10</v>
      </c>
      <c r="O384" s="5">
        <v>128.43</v>
      </c>
      <c r="P384" s="5">
        <v>173.38</v>
      </c>
      <c r="Q384" s="5">
        <v>1329.27</v>
      </c>
      <c r="R384" s="5">
        <v>1005.68</v>
      </c>
      <c r="S384" s="5">
        <v>323.59</v>
      </c>
      <c r="T384" s="7">
        <v>0.243434366231089</v>
      </c>
      <c r="U384" t="s">
        <v>11</v>
      </c>
      <c r="V384" t="s">
        <v>50</v>
      </c>
      <c r="W384" t="s">
        <v>50</v>
      </c>
      <c r="X384" t="s">
        <v>35</v>
      </c>
      <c r="Y384" t="s">
        <v>1551</v>
      </c>
      <c r="Z384" t="s">
        <v>80</v>
      </c>
    </row>
    <row r="385" spans="1:26">
      <c r="A385" t="s">
        <v>1552</v>
      </c>
      <c r="B385" t="s">
        <v>1552</v>
      </c>
      <c r="C385" s="4">
        <v>46038</v>
      </c>
      <c r="D385">
        <v>2026</v>
      </c>
      <c r="E385">
        <v>1</v>
      </c>
      <c r="F385" t="s">
        <v>30</v>
      </c>
      <c r="G385" t="s">
        <v>82</v>
      </c>
      <c r="H385" t="s">
        <v>1553</v>
      </c>
      <c r="I385" t="s">
        <v>647</v>
      </c>
      <c r="J385" t="s">
        <v>889</v>
      </c>
      <c r="K385" t="s">
        <v>890</v>
      </c>
      <c r="L385">
        <v>2</v>
      </c>
      <c r="M385" s="5">
        <v>75.68</v>
      </c>
      <c r="N385" s="6">
        <v>0</v>
      </c>
      <c r="O385" s="5">
        <v>0</v>
      </c>
      <c r="P385" s="5">
        <v>22.7</v>
      </c>
      <c r="Q385" s="5">
        <v>151.36</v>
      </c>
      <c r="R385" s="5">
        <v>124.28</v>
      </c>
      <c r="S385" s="5">
        <v>27.08</v>
      </c>
      <c r="T385" s="7">
        <v>0.178911205073996</v>
      </c>
      <c r="U385" t="s">
        <v>9</v>
      </c>
      <c r="V385" t="s">
        <v>50</v>
      </c>
      <c r="W385" t="s">
        <v>50</v>
      </c>
      <c r="X385" t="s">
        <v>33</v>
      </c>
      <c r="Y385" t="s">
        <v>1554</v>
      </c>
      <c r="Z385" t="s">
        <v>101</v>
      </c>
    </row>
    <row r="386" spans="1:26">
      <c r="A386" t="s">
        <v>1555</v>
      </c>
      <c r="B386" t="s">
        <v>1555</v>
      </c>
      <c r="C386" s="4">
        <v>45810</v>
      </c>
      <c r="D386">
        <v>2025</v>
      </c>
      <c r="E386">
        <v>6</v>
      </c>
      <c r="F386" t="s">
        <v>22</v>
      </c>
      <c r="G386" t="s">
        <v>74</v>
      </c>
      <c r="H386" t="s">
        <v>1556</v>
      </c>
      <c r="I386" t="s">
        <v>703</v>
      </c>
      <c r="J386" t="s">
        <v>717</v>
      </c>
      <c r="K386" t="s">
        <v>1431</v>
      </c>
      <c r="L386">
        <v>1</v>
      </c>
      <c r="M386" s="5">
        <v>224.28</v>
      </c>
      <c r="N386" s="6">
        <v>0</v>
      </c>
      <c r="O386" s="5">
        <v>0</v>
      </c>
      <c r="P386" s="5">
        <v>33.64</v>
      </c>
      <c r="Q386" s="5">
        <v>224.28</v>
      </c>
      <c r="R386" s="5">
        <v>192.39</v>
      </c>
      <c r="S386" s="5">
        <v>31.89</v>
      </c>
      <c r="T386" s="7">
        <v>0.142188336008561</v>
      </c>
      <c r="U386" t="s">
        <v>12</v>
      </c>
      <c r="V386" t="s">
        <v>51</v>
      </c>
      <c r="W386" t="s">
        <v>51</v>
      </c>
      <c r="X386" t="s">
        <v>34</v>
      </c>
      <c r="Y386" t="s">
        <v>1557</v>
      </c>
      <c r="Z386" t="s">
        <v>101</v>
      </c>
    </row>
    <row r="387" spans="1:26">
      <c r="A387" t="s">
        <v>1558</v>
      </c>
      <c r="B387" t="s">
        <v>1558</v>
      </c>
      <c r="C387" s="4">
        <v>45950</v>
      </c>
      <c r="D387">
        <v>2025</v>
      </c>
      <c r="E387">
        <v>10</v>
      </c>
      <c r="F387" t="s">
        <v>26</v>
      </c>
      <c r="G387" t="s">
        <v>137</v>
      </c>
      <c r="H387" t="s">
        <v>1559</v>
      </c>
      <c r="I387" t="s">
        <v>84</v>
      </c>
      <c r="J387" t="s">
        <v>802</v>
      </c>
      <c r="K387" t="s">
        <v>803</v>
      </c>
      <c r="L387">
        <v>1</v>
      </c>
      <c r="M387" s="5">
        <v>448.94</v>
      </c>
      <c r="N387" s="6">
        <v>20</v>
      </c>
      <c r="O387" s="5">
        <v>89.79</v>
      </c>
      <c r="P387" s="5">
        <v>53.87</v>
      </c>
      <c r="Q387" s="5">
        <v>359.15</v>
      </c>
      <c r="R387" s="5">
        <v>380.08</v>
      </c>
      <c r="S387" s="5">
        <v>-20.93</v>
      </c>
      <c r="T387" s="7">
        <v>-0.0582764861478491</v>
      </c>
      <c r="U387" t="s">
        <v>12</v>
      </c>
      <c r="V387" t="s">
        <v>50</v>
      </c>
      <c r="W387" t="s">
        <v>50</v>
      </c>
      <c r="X387" t="s">
        <v>33</v>
      </c>
      <c r="Y387" t="s">
        <v>473</v>
      </c>
      <c r="Z387" t="s">
        <v>101</v>
      </c>
    </row>
    <row r="388" spans="1:26">
      <c r="A388" t="s">
        <v>1560</v>
      </c>
      <c r="B388" t="s">
        <v>1560</v>
      </c>
      <c r="C388" s="4">
        <v>45824</v>
      </c>
      <c r="D388">
        <v>2025</v>
      </c>
      <c r="E388">
        <v>6</v>
      </c>
      <c r="F388" t="s">
        <v>22</v>
      </c>
      <c r="G388" t="s">
        <v>74</v>
      </c>
      <c r="H388" t="s">
        <v>1561</v>
      </c>
      <c r="I388" t="s">
        <v>268</v>
      </c>
      <c r="J388" t="s">
        <v>1208</v>
      </c>
      <c r="K388" t="s">
        <v>1562</v>
      </c>
      <c r="L388">
        <v>3</v>
      </c>
      <c r="M388" s="5">
        <v>332.74</v>
      </c>
      <c r="N388" s="6">
        <v>0</v>
      </c>
      <c r="O388" s="5">
        <v>0</v>
      </c>
      <c r="P388" s="5">
        <v>149.73</v>
      </c>
      <c r="Q388" s="5">
        <v>998.22</v>
      </c>
      <c r="R388" s="5">
        <v>615.81</v>
      </c>
      <c r="S388" s="5">
        <v>382.41</v>
      </c>
      <c r="T388" s="7">
        <v>0.383091903588387</v>
      </c>
      <c r="U388" t="s">
        <v>13</v>
      </c>
      <c r="V388" t="s">
        <v>50</v>
      </c>
      <c r="W388" t="s">
        <v>50</v>
      </c>
      <c r="X388" t="s">
        <v>33</v>
      </c>
      <c r="Y388" t="s">
        <v>1563</v>
      </c>
      <c r="Z388" t="s">
        <v>101</v>
      </c>
    </row>
    <row r="389" spans="1:26">
      <c r="A389" t="s">
        <v>1564</v>
      </c>
      <c r="B389" t="s">
        <v>1564</v>
      </c>
      <c r="C389" s="4">
        <v>45940</v>
      </c>
      <c r="D389">
        <v>2025</v>
      </c>
      <c r="E389">
        <v>10</v>
      </c>
      <c r="F389" t="s">
        <v>26</v>
      </c>
      <c r="G389" t="s">
        <v>137</v>
      </c>
      <c r="H389" t="s">
        <v>1565</v>
      </c>
      <c r="I389" t="s">
        <v>235</v>
      </c>
      <c r="J389" t="s">
        <v>41</v>
      </c>
      <c r="K389" t="s">
        <v>588</v>
      </c>
      <c r="L389">
        <v>4</v>
      </c>
      <c r="M389" s="5">
        <v>217.42</v>
      </c>
      <c r="N389" s="6">
        <v>5</v>
      </c>
      <c r="O389" s="5">
        <v>43.48</v>
      </c>
      <c r="P389" s="5">
        <v>123.93</v>
      </c>
      <c r="Q389" s="5">
        <v>826.2</v>
      </c>
      <c r="R389" s="5">
        <v>708.12</v>
      </c>
      <c r="S389" s="5">
        <v>118.08</v>
      </c>
      <c r="T389" s="7">
        <v>0.142919389978213</v>
      </c>
      <c r="U389" t="s">
        <v>10</v>
      </c>
      <c r="V389" t="s">
        <v>50</v>
      </c>
      <c r="W389" t="s">
        <v>50</v>
      </c>
      <c r="X389" t="s">
        <v>35</v>
      </c>
      <c r="Y389" t="s">
        <v>1566</v>
      </c>
      <c r="Z389" t="s">
        <v>101</v>
      </c>
    </row>
    <row r="390" spans="1:26">
      <c r="A390" t="s">
        <v>1567</v>
      </c>
      <c r="B390" t="s">
        <v>1567</v>
      </c>
      <c r="C390" s="4">
        <v>45871</v>
      </c>
      <c r="D390">
        <v>2025</v>
      </c>
      <c r="E390">
        <v>8</v>
      </c>
      <c r="F390" t="s">
        <v>24</v>
      </c>
      <c r="G390" t="s">
        <v>89</v>
      </c>
      <c r="H390" t="s">
        <v>1568</v>
      </c>
      <c r="I390" t="s">
        <v>219</v>
      </c>
      <c r="J390" t="s">
        <v>291</v>
      </c>
      <c r="K390" t="s">
        <v>270</v>
      </c>
      <c r="L390">
        <v>3</v>
      </c>
      <c r="M390" s="5">
        <v>227.44</v>
      </c>
      <c r="N390" s="6">
        <v>0</v>
      </c>
      <c r="O390" s="5">
        <v>0</v>
      </c>
      <c r="P390" s="5">
        <v>102.35</v>
      </c>
      <c r="Q390" s="5">
        <v>784.67</v>
      </c>
      <c r="R390" s="5">
        <v>572.7</v>
      </c>
      <c r="S390" s="5">
        <v>211.97</v>
      </c>
      <c r="T390" s="7">
        <v>0.270139039341379</v>
      </c>
      <c r="U390" t="s">
        <v>10</v>
      </c>
      <c r="V390" t="s">
        <v>50</v>
      </c>
      <c r="W390" t="s">
        <v>50</v>
      </c>
      <c r="X390" t="s">
        <v>33</v>
      </c>
      <c r="Y390" t="s">
        <v>1569</v>
      </c>
      <c r="Z390" t="s">
        <v>80</v>
      </c>
    </row>
    <row r="391" spans="1:26">
      <c r="A391" t="s">
        <v>1570</v>
      </c>
      <c r="B391" t="s">
        <v>1570</v>
      </c>
      <c r="C391" s="4">
        <v>45984</v>
      </c>
      <c r="D391">
        <v>2025</v>
      </c>
      <c r="E391">
        <v>11</v>
      </c>
      <c r="F391" t="s">
        <v>27</v>
      </c>
      <c r="G391" t="s">
        <v>137</v>
      </c>
      <c r="H391" t="s">
        <v>1571</v>
      </c>
      <c r="I391" t="s">
        <v>454</v>
      </c>
      <c r="J391" t="s">
        <v>746</v>
      </c>
      <c r="K391" t="s">
        <v>1134</v>
      </c>
      <c r="L391">
        <v>3</v>
      </c>
      <c r="M391" s="5">
        <v>299.73</v>
      </c>
      <c r="N391" s="6">
        <v>10</v>
      </c>
      <c r="O391" s="5">
        <v>89.92</v>
      </c>
      <c r="P391" s="5">
        <v>121.39</v>
      </c>
      <c r="Q391" s="5">
        <v>930.66</v>
      </c>
      <c r="R391" s="5">
        <v>554.22</v>
      </c>
      <c r="S391" s="5">
        <v>376.44</v>
      </c>
      <c r="T391" s="7">
        <v>0.404487138160016</v>
      </c>
      <c r="U391" t="s">
        <v>10</v>
      </c>
      <c r="V391" t="s">
        <v>50</v>
      </c>
      <c r="W391" t="s">
        <v>50</v>
      </c>
      <c r="X391" t="s">
        <v>33</v>
      </c>
      <c r="Y391" t="s">
        <v>1572</v>
      </c>
      <c r="Z391" t="s">
        <v>80</v>
      </c>
    </row>
    <row r="392" spans="1:26">
      <c r="A392" t="s">
        <v>1573</v>
      </c>
      <c r="B392" t="s">
        <v>1573</v>
      </c>
      <c r="C392" s="4">
        <v>45960</v>
      </c>
      <c r="D392">
        <v>2025</v>
      </c>
      <c r="E392">
        <v>10</v>
      </c>
      <c r="F392" t="s">
        <v>26</v>
      </c>
      <c r="G392" t="s">
        <v>137</v>
      </c>
      <c r="H392" t="s">
        <v>1574</v>
      </c>
      <c r="I392" t="s">
        <v>1575</v>
      </c>
      <c r="J392" t="s">
        <v>665</v>
      </c>
      <c r="K392" t="s">
        <v>666</v>
      </c>
      <c r="L392">
        <v>6</v>
      </c>
      <c r="M392" s="5">
        <v>72.94</v>
      </c>
      <c r="N392" s="6">
        <v>0</v>
      </c>
      <c r="O392" s="5">
        <v>0</v>
      </c>
      <c r="P392" s="5">
        <v>65.65</v>
      </c>
      <c r="Q392" s="5">
        <v>437.64</v>
      </c>
      <c r="R392" s="5">
        <v>299.94</v>
      </c>
      <c r="S392" s="5">
        <v>137.7</v>
      </c>
      <c r="T392" s="7">
        <v>0.31464217164793</v>
      </c>
      <c r="U392" t="s">
        <v>10</v>
      </c>
      <c r="V392" t="s">
        <v>50</v>
      </c>
      <c r="W392" t="s">
        <v>50</v>
      </c>
      <c r="X392" t="s">
        <v>33</v>
      </c>
      <c r="Y392" t="s">
        <v>1576</v>
      </c>
      <c r="Z392" t="s">
        <v>101</v>
      </c>
    </row>
    <row r="393" spans="1:26">
      <c r="A393" t="s">
        <v>1577</v>
      </c>
      <c r="B393" t="s">
        <v>1577</v>
      </c>
      <c r="C393" s="4">
        <v>46096</v>
      </c>
      <c r="D393">
        <v>2026</v>
      </c>
      <c r="E393">
        <v>3</v>
      </c>
      <c r="F393" t="s">
        <v>19</v>
      </c>
      <c r="G393" t="s">
        <v>82</v>
      </c>
      <c r="H393" t="s">
        <v>1449</v>
      </c>
      <c r="I393" t="s">
        <v>664</v>
      </c>
      <c r="J393" t="s">
        <v>45</v>
      </c>
      <c r="K393" t="s">
        <v>1351</v>
      </c>
      <c r="L393">
        <v>4</v>
      </c>
      <c r="M393" s="5">
        <v>327.08</v>
      </c>
      <c r="N393" s="6">
        <v>20</v>
      </c>
      <c r="O393" s="5">
        <v>261.66</v>
      </c>
      <c r="P393" s="5">
        <v>157</v>
      </c>
      <c r="Q393" s="5">
        <v>1203.66</v>
      </c>
      <c r="R393" s="5">
        <v>1098.44</v>
      </c>
      <c r="S393" s="5">
        <v>105.22</v>
      </c>
      <c r="T393" s="7">
        <v>0.0874167123606334</v>
      </c>
      <c r="U393" t="s">
        <v>14</v>
      </c>
      <c r="V393" t="s">
        <v>50</v>
      </c>
      <c r="W393" t="s">
        <v>50</v>
      </c>
      <c r="X393" t="s">
        <v>33</v>
      </c>
      <c r="Y393" t="s">
        <v>1256</v>
      </c>
      <c r="Z393" t="s">
        <v>80</v>
      </c>
    </row>
    <row r="394" spans="1:26">
      <c r="A394" t="s">
        <v>1578</v>
      </c>
      <c r="B394" t="s">
        <v>1578</v>
      </c>
      <c r="C394" s="4">
        <v>45870</v>
      </c>
      <c r="D394">
        <v>2025</v>
      </c>
      <c r="E394">
        <v>8</v>
      </c>
      <c r="F394" t="s">
        <v>24</v>
      </c>
      <c r="G394" t="s">
        <v>89</v>
      </c>
      <c r="H394" t="s">
        <v>781</v>
      </c>
      <c r="I394" t="s">
        <v>411</v>
      </c>
      <c r="J394" t="s">
        <v>1507</v>
      </c>
      <c r="K394" t="s">
        <v>1508</v>
      </c>
      <c r="L394">
        <v>2</v>
      </c>
      <c r="M394" s="5">
        <v>459.58</v>
      </c>
      <c r="N394" s="6">
        <v>0</v>
      </c>
      <c r="O394" s="5">
        <v>0</v>
      </c>
      <c r="P394" s="5">
        <v>137.87</v>
      </c>
      <c r="Q394" s="5">
        <v>919.16</v>
      </c>
      <c r="R394" s="5">
        <v>773.78</v>
      </c>
      <c r="S394" s="5">
        <v>145.38</v>
      </c>
      <c r="T394" s="7">
        <v>0.158166151703729</v>
      </c>
      <c r="U394" t="s">
        <v>13</v>
      </c>
      <c r="V394" t="s">
        <v>50</v>
      </c>
      <c r="W394" t="s">
        <v>50</v>
      </c>
      <c r="X394" t="s">
        <v>35</v>
      </c>
      <c r="Y394" t="s">
        <v>1579</v>
      </c>
      <c r="Z394" t="s">
        <v>101</v>
      </c>
    </row>
    <row r="395" spans="1:26">
      <c r="A395" t="s">
        <v>1580</v>
      </c>
      <c r="B395" t="s">
        <v>1580</v>
      </c>
      <c r="C395" s="4">
        <v>46088</v>
      </c>
      <c r="D395">
        <v>2026</v>
      </c>
      <c r="E395">
        <v>3</v>
      </c>
      <c r="F395" t="s">
        <v>19</v>
      </c>
      <c r="G395" t="s">
        <v>82</v>
      </c>
      <c r="H395" t="s">
        <v>1581</v>
      </c>
      <c r="I395" t="s">
        <v>615</v>
      </c>
      <c r="J395" t="s">
        <v>175</v>
      </c>
      <c r="K395" t="s">
        <v>455</v>
      </c>
      <c r="L395">
        <v>2</v>
      </c>
      <c r="M395" s="5">
        <v>46.76</v>
      </c>
      <c r="N395" s="6">
        <v>5</v>
      </c>
      <c r="O395" s="5">
        <v>4.68</v>
      </c>
      <c r="P395" s="5">
        <v>13.33</v>
      </c>
      <c r="Q395" s="5">
        <v>102.17</v>
      </c>
      <c r="R395" s="5">
        <v>73.3</v>
      </c>
      <c r="S395" s="5">
        <v>28.87</v>
      </c>
      <c r="T395" s="7">
        <v>0.282568268571988</v>
      </c>
      <c r="U395" t="s">
        <v>9</v>
      </c>
      <c r="V395" t="s">
        <v>50</v>
      </c>
      <c r="W395" t="s">
        <v>50</v>
      </c>
      <c r="X395" t="s">
        <v>33</v>
      </c>
      <c r="Y395" t="s">
        <v>1582</v>
      </c>
      <c r="Z395" t="s">
        <v>80</v>
      </c>
    </row>
    <row r="396" spans="1:26">
      <c r="A396" t="s">
        <v>1583</v>
      </c>
      <c r="B396" t="s">
        <v>1583</v>
      </c>
      <c r="C396" s="4">
        <v>45824</v>
      </c>
      <c r="D396">
        <v>2025</v>
      </c>
      <c r="E396">
        <v>6</v>
      </c>
      <c r="F396" t="s">
        <v>22</v>
      </c>
      <c r="G396" t="s">
        <v>74</v>
      </c>
      <c r="H396" t="s">
        <v>1584</v>
      </c>
      <c r="I396" t="s">
        <v>290</v>
      </c>
      <c r="J396" t="s">
        <v>296</v>
      </c>
      <c r="K396" t="s">
        <v>297</v>
      </c>
      <c r="L396">
        <v>2</v>
      </c>
      <c r="M396" s="5">
        <v>80.5</v>
      </c>
      <c r="N396" s="6">
        <v>0</v>
      </c>
      <c r="O396" s="5">
        <v>0</v>
      </c>
      <c r="P396" s="5">
        <v>24.15</v>
      </c>
      <c r="Q396" s="5">
        <v>161</v>
      </c>
      <c r="R396" s="5">
        <v>124.5</v>
      </c>
      <c r="S396" s="5">
        <v>36.5</v>
      </c>
      <c r="T396" s="7">
        <v>0.226708074534162</v>
      </c>
      <c r="U396" t="s">
        <v>10</v>
      </c>
      <c r="V396" t="s">
        <v>50</v>
      </c>
      <c r="W396" t="s">
        <v>50</v>
      </c>
      <c r="X396" t="s">
        <v>33</v>
      </c>
      <c r="Y396" t="s">
        <v>1585</v>
      </c>
      <c r="Z396" t="s">
        <v>101</v>
      </c>
    </row>
    <row r="397" spans="1:26">
      <c r="A397" t="s">
        <v>1586</v>
      </c>
      <c r="B397" t="s">
        <v>1586</v>
      </c>
      <c r="C397" s="4">
        <v>45914</v>
      </c>
      <c r="D397">
        <v>2025</v>
      </c>
      <c r="E397">
        <v>9</v>
      </c>
      <c r="F397" t="s">
        <v>25</v>
      </c>
      <c r="G397" t="s">
        <v>89</v>
      </c>
      <c r="H397" t="s">
        <v>1587</v>
      </c>
      <c r="I397" t="s">
        <v>459</v>
      </c>
      <c r="J397" t="s">
        <v>1127</v>
      </c>
      <c r="K397" t="s">
        <v>1588</v>
      </c>
      <c r="L397">
        <v>8</v>
      </c>
      <c r="M397" s="5">
        <v>108.33</v>
      </c>
      <c r="N397" s="6">
        <v>5</v>
      </c>
      <c r="O397" s="5">
        <v>43.33</v>
      </c>
      <c r="P397" s="5">
        <v>123.5</v>
      </c>
      <c r="Q397" s="5">
        <v>946.81</v>
      </c>
      <c r="R397" s="5">
        <v>638.56</v>
      </c>
      <c r="S397" s="5">
        <v>308.25</v>
      </c>
      <c r="T397" s="7">
        <v>0.325566903602624</v>
      </c>
      <c r="U397" t="s">
        <v>14</v>
      </c>
      <c r="V397" t="s">
        <v>50</v>
      </c>
      <c r="W397" t="s">
        <v>50</v>
      </c>
      <c r="X397" t="s">
        <v>33</v>
      </c>
      <c r="Y397" t="s">
        <v>1589</v>
      </c>
      <c r="Z397" t="s">
        <v>80</v>
      </c>
    </row>
    <row r="398" spans="1:26">
      <c r="A398" t="s">
        <v>1590</v>
      </c>
      <c r="B398" t="s">
        <v>1590</v>
      </c>
      <c r="C398" s="4">
        <v>45793</v>
      </c>
      <c r="D398">
        <v>2025</v>
      </c>
      <c r="E398">
        <v>5</v>
      </c>
      <c r="F398" t="s">
        <v>21</v>
      </c>
      <c r="G398" t="s">
        <v>74</v>
      </c>
      <c r="H398" t="s">
        <v>1591</v>
      </c>
      <c r="I398" t="s">
        <v>647</v>
      </c>
      <c r="J398" t="s">
        <v>1150</v>
      </c>
      <c r="K398" t="s">
        <v>287</v>
      </c>
      <c r="L398">
        <v>4</v>
      </c>
      <c r="M398" s="5">
        <v>75.68</v>
      </c>
      <c r="N398" s="6">
        <v>5</v>
      </c>
      <c r="O398" s="5">
        <v>15.14</v>
      </c>
      <c r="P398" s="5">
        <v>43.14</v>
      </c>
      <c r="Q398" s="5">
        <v>287.58</v>
      </c>
      <c r="R398" s="5">
        <v>248.56</v>
      </c>
      <c r="S398" s="5">
        <v>39.02</v>
      </c>
      <c r="T398" s="7">
        <v>0.135683983587176</v>
      </c>
      <c r="U398" t="s">
        <v>12</v>
      </c>
      <c r="V398" t="s">
        <v>50</v>
      </c>
      <c r="W398" t="s">
        <v>50</v>
      </c>
      <c r="X398" t="s">
        <v>34</v>
      </c>
      <c r="Y398" t="s">
        <v>1592</v>
      </c>
      <c r="Z398" t="s">
        <v>101</v>
      </c>
    </row>
    <row r="399" spans="1:26">
      <c r="A399" t="s">
        <v>1593</v>
      </c>
      <c r="B399" t="s">
        <v>1593</v>
      </c>
      <c r="C399" s="4">
        <v>45774</v>
      </c>
      <c r="D399">
        <v>2025</v>
      </c>
      <c r="E399">
        <v>4</v>
      </c>
      <c r="F399" t="s">
        <v>20</v>
      </c>
      <c r="G399" t="s">
        <v>74</v>
      </c>
      <c r="H399" t="s">
        <v>1594</v>
      </c>
      <c r="I399" t="s">
        <v>328</v>
      </c>
      <c r="J399" t="s">
        <v>47</v>
      </c>
      <c r="K399" t="s">
        <v>1197</v>
      </c>
      <c r="L399">
        <v>2</v>
      </c>
      <c r="M399" s="5">
        <v>124.84</v>
      </c>
      <c r="N399" s="6">
        <v>15</v>
      </c>
      <c r="O399" s="5">
        <v>37.45</v>
      </c>
      <c r="P399" s="5">
        <v>31.83</v>
      </c>
      <c r="Q399" s="5">
        <v>244.06</v>
      </c>
      <c r="R399" s="5">
        <v>194.7</v>
      </c>
      <c r="S399" s="5">
        <v>49.36</v>
      </c>
      <c r="T399" s="7">
        <v>0.20224534950422</v>
      </c>
      <c r="U399" t="s">
        <v>12</v>
      </c>
      <c r="V399" t="s">
        <v>50</v>
      </c>
      <c r="W399" t="s">
        <v>50</v>
      </c>
      <c r="X399" t="s">
        <v>33</v>
      </c>
      <c r="Y399" t="s">
        <v>1595</v>
      </c>
      <c r="Z399" t="s">
        <v>80</v>
      </c>
    </row>
    <row r="400" spans="1:26">
      <c r="A400" t="s">
        <v>1596</v>
      </c>
      <c r="B400" t="s">
        <v>1596</v>
      </c>
      <c r="C400" s="4">
        <v>46061</v>
      </c>
      <c r="D400">
        <v>2026</v>
      </c>
      <c r="E400">
        <v>2</v>
      </c>
      <c r="F400" t="s">
        <v>31</v>
      </c>
      <c r="G400" t="s">
        <v>82</v>
      </c>
      <c r="H400" t="s">
        <v>1597</v>
      </c>
      <c r="I400" t="s">
        <v>295</v>
      </c>
      <c r="J400" t="s">
        <v>850</v>
      </c>
      <c r="K400" t="s">
        <v>1209</v>
      </c>
      <c r="L400">
        <v>4</v>
      </c>
      <c r="M400" s="5">
        <v>317.72</v>
      </c>
      <c r="N400" s="6">
        <v>0</v>
      </c>
      <c r="O400" s="5">
        <v>0</v>
      </c>
      <c r="P400" s="5">
        <v>190.63</v>
      </c>
      <c r="Q400" s="5">
        <v>1461.51</v>
      </c>
      <c r="R400" s="5">
        <v>1086.12</v>
      </c>
      <c r="S400" s="5">
        <v>375.39</v>
      </c>
      <c r="T400" s="7">
        <v>0.256850791304883</v>
      </c>
      <c r="U400" t="s">
        <v>13</v>
      </c>
      <c r="V400" t="s">
        <v>50</v>
      </c>
      <c r="W400" t="s">
        <v>50</v>
      </c>
      <c r="X400" t="s">
        <v>33</v>
      </c>
      <c r="Y400" t="s">
        <v>1598</v>
      </c>
      <c r="Z400" t="s">
        <v>80</v>
      </c>
    </row>
    <row r="401" spans="1:26">
      <c r="A401" t="s">
        <v>1599</v>
      </c>
      <c r="B401" t="s">
        <v>1599</v>
      </c>
      <c r="C401" s="4">
        <v>45955</v>
      </c>
      <c r="D401">
        <v>2025</v>
      </c>
      <c r="E401">
        <v>10</v>
      </c>
      <c r="F401" t="s">
        <v>26</v>
      </c>
      <c r="G401" t="s">
        <v>137</v>
      </c>
      <c r="H401" t="s">
        <v>1600</v>
      </c>
      <c r="I401" t="s">
        <v>728</v>
      </c>
      <c r="J401" t="s">
        <v>1512</v>
      </c>
      <c r="K401" t="s">
        <v>287</v>
      </c>
      <c r="L401">
        <v>7</v>
      </c>
      <c r="M401" s="5">
        <v>496.85</v>
      </c>
      <c r="N401" s="6">
        <v>5</v>
      </c>
      <c r="O401" s="5">
        <v>173.9</v>
      </c>
      <c r="P401" s="5">
        <v>495.61</v>
      </c>
      <c r="Q401" s="5">
        <v>3799.66</v>
      </c>
      <c r="R401" s="5">
        <v>2710.12</v>
      </c>
      <c r="S401" s="5">
        <v>1089.54</v>
      </c>
      <c r="T401" s="7">
        <v>0.286746708916061</v>
      </c>
      <c r="U401" t="s">
        <v>12</v>
      </c>
      <c r="V401" t="s">
        <v>50</v>
      </c>
      <c r="W401" t="s">
        <v>50</v>
      </c>
      <c r="X401" t="s">
        <v>33</v>
      </c>
      <c r="Y401" t="s">
        <v>1601</v>
      </c>
      <c r="Z401" t="s">
        <v>80</v>
      </c>
    </row>
    <row r="402" spans="1:26">
      <c r="A402" t="s">
        <v>1602</v>
      </c>
      <c r="B402" t="s">
        <v>1602</v>
      </c>
      <c r="C402" s="4">
        <v>46009</v>
      </c>
      <c r="D402">
        <v>2025</v>
      </c>
      <c r="E402">
        <v>12</v>
      </c>
      <c r="F402" t="s">
        <v>28</v>
      </c>
      <c r="G402" t="s">
        <v>137</v>
      </c>
      <c r="H402" t="s">
        <v>1603</v>
      </c>
      <c r="I402" t="s">
        <v>97</v>
      </c>
      <c r="J402" t="s">
        <v>742</v>
      </c>
      <c r="K402" t="s">
        <v>1517</v>
      </c>
      <c r="L402">
        <v>2</v>
      </c>
      <c r="M402" s="5">
        <v>398.25</v>
      </c>
      <c r="N402" s="6">
        <v>10</v>
      </c>
      <c r="O402" s="5">
        <v>79.65</v>
      </c>
      <c r="P402" s="5">
        <v>107.53</v>
      </c>
      <c r="Q402" s="5">
        <v>716.85</v>
      </c>
      <c r="R402" s="5">
        <v>473.08</v>
      </c>
      <c r="S402" s="5">
        <v>243.77</v>
      </c>
      <c r="T402" s="7">
        <v>0.340057194671131</v>
      </c>
      <c r="U402" t="s">
        <v>14</v>
      </c>
      <c r="V402" t="s">
        <v>50</v>
      </c>
      <c r="W402" t="s">
        <v>50</v>
      </c>
      <c r="X402" t="s">
        <v>33</v>
      </c>
      <c r="Y402" t="s">
        <v>584</v>
      </c>
      <c r="Z402" t="s">
        <v>101</v>
      </c>
    </row>
    <row r="403" spans="1:26">
      <c r="A403" t="s">
        <v>1604</v>
      </c>
      <c r="B403" t="s">
        <v>1604</v>
      </c>
      <c r="C403" s="4">
        <v>45868</v>
      </c>
      <c r="D403">
        <v>2025</v>
      </c>
      <c r="E403">
        <v>7</v>
      </c>
      <c r="F403" t="s">
        <v>23</v>
      </c>
      <c r="G403" t="s">
        <v>89</v>
      </c>
      <c r="H403" t="s">
        <v>586</v>
      </c>
      <c r="I403" t="s">
        <v>1419</v>
      </c>
      <c r="J403" t="s">
        <v>333</v>
      </c>
      <c r="K403" t="s">
        <v>334</v>
      </c>
      <c r="L403">
        <v>5</v>
      </c>
      <c r="M403" s="5">
        <v>326.05</v>
      </c>
      <c r="N403" s="6">
        <v>0</v>
      </c>
      <c r="O403" s="5">
        <v>0</v>
      </c>
      <c r="P403" s="5">
        <v>244.54</v>
      </c>
      <c r="Q403" s="5">
        <v>1630.25</v>
      </c>
      <c r="R403" s="5">
        <v>1175.25</v>
      </c>
      <c r="S403" s="5">
        <v>455</v>
      </c>
      <c r="T403" s="7">
        <v>0.279098297807085</v>
      </c>
      <c r="U403" t="s">
        <v>14</v>
      </c>
      <c r="V403" t="s">
        <v>50</v>
      </c>
      <c r="W403" t="s">
        <v>50</v>
      </c>
      <c r="X403" t="s">
        <v>33</v>
      </c>
      <c r="Y403" t="s">
        <v>1463</v>
      </c>
      <c r="Z403" t="s">
        <v>101</v>
      </c>
    </row>
    <row r="404" spans="1:26">
      <c r="A404" t="s">
        <v>1605</v>
      </c>
      <c r="B404" t="s">
        <v>1605</v>
      </c>
      <c r="C404" s="4">
        <v>45940</v>
      </c>
      <c r="D404">
        <v>2025</v>
      </c>
      <c r="E404">
        <v>10</v>
      </c>
      <c r="F404" t="s">
        <v>26</v>
      </c>
      <c r="G404" t="s">
        <v>137</v>
      </c>
      <c r="H404" t="s">
        <v>905</v>
      </c>
      <c r="I404" t="s">
        <v>924</v>
      </c>
      <c r="J404" t="s">
        <v>877</v>
      </c>
      <c r="K404" t="s">
        <v>747</v>
      </c>
      <c r="L404">
        <v>5</v>
      </c>
      <c r="M404" s="5">
        <v>262.77</v>
      </c>
      <c r="N404" s="6">
        <v>15</v>
      </c>
      <c r="O404" s="5">
        <v>197.08</v>
      </c>
      <c r="P404" s="5">
        <v>167.52</v>
      </c>
      <c r="Q404" s="5">
        <v>1116.77</v>
      </c>
      <c r="R404" s="5">
        <v>973.2</v>
      </c>
      <c r="S404" s="5">
        <v>143.57</v>
      </c>
      <c r="T404" s="7">
        <v>0.128558252818396</v>
      </c>
      <c r="U404" t="s">
        <v>9</v>
      </c>
      <c r="V404" t="s">
        <v>50</v>
      </c>
      <c r="W404" t="s">
        <v>50</v>
      </c>
      <c r="X404" t="s">
        <v>33</v>
      </c>
      <c r="Y404" t="s">
        <v>1606</v>
      </c>
      <c r="Z404" t="s">
        <v>101</v>
      </c>
    </row>
    <row r="405" spans="1:26">
      <c r="A405" t="s">
        <v>1607</v>
      </c>
      <c r="B405" t="s">
        <v>1607</v>
      </c>
      <c r="C405" s="4">
        <v>45955</v>
      </c>
      <c r="D405">
        <v>2025</v>
      </c>
      <c r="E405">
        <v>10</v>
      </c>
      <c r="F405" t="s">
        <v>26</v>
      </c>
      <c r="G405" t="s">
        <v>137</v>
      </c>
      <c r="H405" t="s">
        <v>1608</v>
      </c>
      <c r="I405" t="s">
        <v>262</v>
      </c>
      <c r="J405" t="s">
        <v>1609</v>
      </c>
      <c r="K405" t="s">
        <v>1610</v>
      </c>
      <c r="L405">
        <v>4</v>
      </c>
      <c r="M405" s="5">
        <v>147.97</v>
      </c>
      <c r="N405" s="6">
        <v>0</v>
      </c>
      <c r="O405" s="5">
        <v>0</v>
      </c>
      <c r="P405" s="5">
        <v>88.78</v>
      </c>
      <c r="Q405" s="5">
        <v>680.66</v>
      </c>
      <c r="R405" s="5">
        <v>451.2</v>
      </c>
      <c r="S405" s="5">
        <v>229.46</v>
      </c>
      <c r="T405" s="7">
        <v>0.337113977609967</v>
      </c>
      <c r="U405" t="s">
        <v>9</v>
      </c>
      <c r="V405" t="s">
        <v>50</v>
      </c>
      <c r="W405" t="s">
        <v>50</v>
      </c>
      <c r="X405" t="s">
        <v>35</v>
      </c>
      <c r="Y405" t="s">
        <v>1611</v>
      </c>
      <c r="Z405" t="s">
        <v>80</v>
      </c>
    </row>
    <row r="406" spans="1:26">
      <c r="A406" t="s">
        <v>1612</v>
      </c>
      <c r="B406" t="s">
        <v>1612</v>
      </c>
      <c r="C406" s="4">
        <v>45956</v>
      </c>
      <c r="D406">
        <v>2025</v>
      </c>
      <c r="E406">
        <v>10</v>
      </c>
      <c r="F406" t="s">
        <v>26</v>
      </c>
      <c r="G406" t="s">
        <v>137</v>
      </c>
      <c r="H406" t="s">
        <v>1613</v>
      </c>
      <c r="I406" t="s">
        <v>1137</v>
      </c>
      <c r="J406" t="s">
        <v>46</v>
      </c>
      <c r="K406" t="s">
        <v>308</v>
      </c>
      <c r="L406">
        <v>3</v>
      </c>
      <c r="M406" s="5">
        <v>426.75</v>
      </c>
      <c r="N406" s="6">
        <v>0</v>
      </c>
      <c r="O406" s="5">
        <v>0</v>
      </c>
      <c r="P406" s="5">
        <v>192.04</v>
      </c>
      <c r="Q406" s="5">
        <v>1472.29</v>
      </c>
      <c r="R406" s="5">
        <v>1045.23</v>
      </c>
      <c r="S406" s="5">
        <v>427.06</v>
      </c>
      <c r="T406" s="7">
        <v>0.290065136623899</v>
      </c>
      <c r="U406" t="s">
        <v>11</v>
      </c>
      <c r="V406" t="s">
        <v>50</v>
      </c>
      <c r="W406" t="s">
        <v>50</v>
      </c>
      <c r="X406" t="s">
        <v>35</v>
      </c>
      <c r="Y406" t="s">
        <v>271</v>
      </c>
      <c r="Z406" t="s">
        <v>80</v>
      </c>
    </row>
    <row r="407" spans="1:26">
      <c r="A407" t="s">
        <v>1614</v>
      </c>
      <c r="B407" t="s">
        <v>1614</v>
      </c>
      <c r="C407" s="4">
        <v>45874</v>
      </c>
      <c r="D407">
        <v>2025</v>
      </c>
      <c r="E407">
        <v>8</v>
      </c>
      <c r="F407" t="s">
        <v>24</v>
      </c>
      <c r="G407" t="s">
        <v>89</v>
      </c>
      <c r="H407" t="s">
        <v>1044</v>
      </c>
      <c r="I407" t="s">
        <v>756</v>
      </c>
      <c r="J407" t="s">
        <v>593</v>
      </c>
      <c r="K407" t="s">
        <v>594</v>
      </c>
      <c r="L407">
        <v>7</v>
      </c>
      <c r="M407" s="5">
        <v>180.72</v>
      </c>
      <c r="N407" s="6">
        <v>10</v>
      </c>
      <c r="O407" s="5">
        <v>126.5</v>
      </c>
      <c r="P407" s="5">
        <v>170.78</v>
      </c>
      <c r="Q407" s="5">
        <v>1138.54</v>
      </c>
      <c r="R407" s="5">
        <v>869.68</v>
      </c>
      <c r="S407" s="5">
        <v>268.86</v>
      </c>
      <c r="T407" s="7">
        <v>0.236144535984682</v>
      </c>
      <c r="U407" t="s">
        <v>10</v>
      </c>
      <c r="V407" t="s">
        <v>50</v>
      </c>
      <c r="W407" t="s">
        <v>50</v>
      </c>
      <c r="X407" t="s">
        <v>34</v>
      </c>
      <c r="Y407" t="s">
        <v>1615</v>
      </c>
      <c r="Z407" t="s">
        <v>101</v>
      </c>
    </row>
    <row r="408" spans="1:26">
      <c r="A408" t="s">
        <v>1616</v>
      </c>
      <c r="B408" t="s">
        <v>1616</v>
      </c>
      <c r="C408" s="4">
        <v>46017</v>
      </c>
      <c r="D408">
        <v>2025</v>
      </c>
      <c r="E408">
        <v>12</v>
      </c>
      <c r="F408" t="s">
        <v>28</v>
      </c>
      <c r="G408" t="s">
        <v>137</v>
      </c>
      <c r="H408" t="s">
        <v>1617</v>
      </c>
      <c r="I408" t="s">
        <v>196</v>
      </c>
      <c r="J408" t="s">
        <v>1347</v>
      </c>
      <c r="K408" t="s">
        <v>627</v>
      </c>
      <c r="L408">
        <v>1</v>
      </c>
      <c r="M408" s="5">
        <v>332.73</v>
      </c>
      <c r="N408" s="6">
        <v>20</v>
      </c>
      <c r="O408" s="5">
        <v>66.55</v>
      </c>
      <c r="P408" s="5">
        <v>39.93</v>
      </c>
      <c r="Q408" s="5">
        <v>266.18</v>
      </c>
      <c r="R408" s="5">
        <v>261.22</v>
      </c>
      <c r="S408" s="5">
        <v>4.96</v>
      </c>
      <c r="T408" s="7">
        <v>0.0186340070628898</v>
      </c>
      <c r="U408" t="s">
        <v>12</v>
      </c>
      <c r="V408" t="s">
        <v>50</v>
      </c>
      <c r="W408" t="s">
        <v>50</v>
      </c>
      <c r="X408" t="s">
        <v>33</v>
      </c>
      <c r="Y408" t="s">
        <v>633</v>
      </c>
      <c r="Z408" t="s">
        <v>101</v>
      </c>
    </row>
    <row r="409" spans="1:26">
      <c r="A409" t="s">
        <v>1618</v>
      </c>
      <c r="B409" t="s">
        <v>1618</v>
      </c>
      <c r="C409" s="4">
        <v>45801</v>
      </c>
      <c r="D409">
        <v>2025</v>
      </c>
      <c r="E409">
        <v>5</v>
      </c>
      <c r="F409" t="s">
        <v>21</v>
      </c>
      <c r="G409" t="s">
        <v>74</v>
      </c>
      <c r="H409" t="s">
        <v>1619</v>
      </c>
      <c r="I409" t="s">
        <v>262</v>
      </c>
      <c r="J409" t="s">
        <v>899</v>
      </c>
      <c r="K409" t="s">
        <v>171</v>
      </c>
      <c r="L409">
        <v>2</v>
      </c>
      <c r="M409" s="5">
        <v>147.97</v>
      </c>
      <c r="N409" s="6">
        <v>20</v>
      </c>
      <c r="O409" s="5">
        <v>59.19</v>
      </c>
      <c r="P409" s="5">
        <v>35.51</v>
      </c>
      <c r="Q409" s="5">
        <v>272.26</v>
      </c>
      <c r="R409" s="5">
        <v>225.6</v>
      </c>
      <c r="S409" s="5">
        <v>46.66</v>
      </c>
      <c r="T409" s="7">
        <v>0.171380298244325</v>
      </c>
      <c r="U409" t="s">
        <v>14</v>
      </c>
      <c r="V409" t="s">
        <v>50</v>
      </c>
      <c r="W409" t="s">
        <v>50</v>
      </c>
      <c r="X409" t="s">
        <v>35</v>
      </c>
      <c r="Y409" t="s">
        <v>1620</v>
      </c>
      <c r="Z409" t="s">
        <v>80</v>
      </c>
    </row>
    <row r="410" spans="1:26">
      <c r="A410" t="s">
        <v>1621</v>
      </c>
      <c r="B410" t="s">
        <v>1621</v>
      </c>
      <c r="C410" s="4">
        <v>45907</v>
      </c>
      <c r="D410">
        <v>2025</v>
      </c>
      <c r="E410">
        <v>9</v>
      </c>
      <c r="F410" t="s">
        <v>25</v>
      </c>
      <c r="G410" t="s">
        <v>89</v>
      </c>
      <c r="H410" t="s">
        <v>1075</v>
      </c>
      <c r="I410" t="s">
        <v>664</v>
      </c>
      <c r="J410" t="s">
        <v>1361</v>
      </c>
      <c r="K410" t="s">
        <v>1622</v>
      </c>
      <c r="L410">
        <v>1</v>
      </c>
      <c r="M410" s="5">
        <v>327.08</v>
      </c>
      <c r="N410" s="6">
        <v>10</v>
      </c>
      <c r="O410" s="5">
        <v>32.71</v>
      </c>
      <c r="P410" s="5">
        <v>44.16</v>
      </c>
      <c r="Q410" s="5">
        <v>338.53</v>
      </c>
      <c r="R410" s="5">
        <v>274.61</v>
      </c>
      <c r="S410" s="5">
        <v>63.92</v>
      </c>
      <c r="T410" s="7">
        <v>0.188816353055859</v>
      </c>
      <c r="U410" t="s">
        <v>11</v>
      </c>
      <c r="V410" t="s">
        <v>51</v>
      </c>
      <c r="W410" t="s">
        <v>51</v>
      </c>
      <c r="X410" t="s">
        <v>33</v>
      </c>
      <c r="Y410" t="s">
        <v>1623</v>
      </c>
      <c r="Z410" t="s">
        <v>80</v>
      </c>
    </row>
    <row r="411" spans="1:26">
      <c r="A411" t="s">
        <v>1624</v>
      </c>
      <c r="B411" t="s">
        <v>1624</v>
      </c>
      <c r="C411" s="4">
        <v>46056</v>
      </c>
      <c r="D411">
        <v>2026</v>
      </c>
      <c r="E411">
        <v>2</v>
      </c>
      <c r="F411" t="s">
        <v>31</v>
      </c>
      <c r="G411" t="s">
        <v>82</v>
      </c>
      <c r="H411" t="s">
        <v>1070</v>
      </c>
      <c r="I411" t="s">
        <v>1575</v>
      </c>
      <c r="J411" t="s">
        <v>858</v>
      </c>
      <c r="K411" t="s">
        <v>1625</v>
      </c>
      <c r="L411">
        <v>3</v>
      </c>
      <c r="M411" s="5">
        <v>72.31</v>
      </c>
      <c r="N411" s="6">
        <v>5</v>
      </c>
      <c r="O411" s="5">
        <v>10.85</v>
      </c>
      <c r="P411" s="5">
        <v>30.91</v>
      </c>
      <c r="Q411" s="5">
        <v>206.08</v>
      </c>
      <c r="R411" s="5">
        <v>149.97</v>
      </c>
      <c r="S411" s="5">
        <v>56.11</v>
      </c>
      <c r="T411" s="7">
        <v>0.272272903726708</v>
      </c>
      <c r="U411" t="s">
        <v>13</v>
      </c>
      <c r="V411" t="s">
        <v>50</v>
      </c>
      <c r="W411" t="s">
        <v>50</v>
      </c>
      <c r="X411" t="s">
        <v>33</v>
      </c>
      <c r="Y411" t="s">
        <v>1626</v>
      </c>
      <c r="Z411" t="s">
        <v>101</v>
      </c>
    </row>
    <row r="412" spans="1:26">
      <c r="A412" t="s">
        <v>1627</v>
      </c>
      <c r="B412" t="s">
        <v>1627</v>
      </c>
      <c r="C412" s="4">
        <v>45969</v>
      </c>
      <c r="D412">
        <v>2025</v>
      </c>
      <c r="E412">
        <v>11</v>
      </c>
      <c r="F412" t="s">
        <v>27</v>
      </c>
      <c r="G412" t="s">
        <v>137</v>
      </c>
      <c r="H412" t="s">
        <v>1628</v>
      </c>
      <c r="I412" t="s">
        <v>362</v>
      </c>
      <c r="J412" t="s">
        <v>751</v>
      </c>
      <c r="K412" t="s">
        <v>752</v>
      </c>
      <c r="L412">
        <v>3</v>
      </c>
      <c r="M412" s="5">
        <v>329.69</v>
      </c>
      <c r="N412" s="6">
        <v>10</v>
      </c>
      <c r="O412" s="5">
        <v>98.91</v>
      </c>
      <c r="P412" s="5">
        <v>133.52</v>
      </c>
      <c r="Q412" s="5">
        <v>1023.68</v>
      </c>
      <c r="R412" s="5">
        <v>741.75</v>
      </c>
      <c r="S412" s="5">
        <v>281.93</v>
      </c>
      <c r="T412" s="7">
        <v>0.275408330728353</v>
      </c>
      <c r="U412" t="s">
        <v>13</v>
      </c>
      <c r="V412" t="s">
        <v>50</v>
      </c>
      <c r="W412" t="s">
        <v>50</v>
      </c>
      <c r="X412" t="s">
        <v>35</v>
      </c>
      <c r="Y412" t="s">
        <v>1392</v>
      </c>
      <c r="Z412" t="s">
        <v>80</v>
      </c>
    </row>
    <row r="413" spans="1:26">
      <c r="A413" t="s">
        <v>1629</v>
      </c>
      <c r="B413" t="s">
        <v>1629</v>
      </c>
      <c r="C413" s="4">
        <v>46019</v>
      </c>
      <c r="D413">
        <v>2025</v>
      </c>
      <c r="E413">
        <v>12</v>
      </c>
      <c r="F413" t="s">
        <v>28</v>
      </c>
      <c r="G413" t="s">
        <v>137</v>
      </c>
      <c r="H413" t="s">
        <v>1630</v>
      </c>
      <c r="I413" t="s">
        <v>562</v>
      </c>
      <c r="J413" t="s">
        <v>164</v>
      </c>
      <c r="K413" t="s">
        <v>165</v>
      </c>
      <c r="L413">
        <v>4</v>
      </c>
      <c r="M413" s="5">
        <v>404.97</v>
      </c>
      <c r="N413" s="6">
        <v>0</v>
      </c>
      <c r="O413" s="5">
        <v>0</v>
      </c>
      <c r="P413" s="5">
        <v>242.98</v>
      </c>
      <c r="Q413" s="5">
        <v>1862.86</v>
      </c>
      <c r="R413" s="5">
        <v>1364.96</v>
      </c>
      <c r="S413" s="5">
        <v>497.9</v>
      </c>
      <c r="T413" s="7">
        <v>0.267277197427611</v>
      </c>
      <c r="U413" t="s">
        <v>12</v>
      </c>
      <c r="V413" t="s">
        <v>50</v>
      </c>
      <c r="W413" t="s">
        <v>50</v>
      </c>
      <c r="X413" t="s">
        <v>33</v>
      </c>
      <c r="Y413" t="s">
        <v>1631</v>
      </c>
      <c r="Z413" t="s">
        <v>80</v>
      </c>
    </row>
    <row r="414" spans="1:26">
      <c r="A414" t="s">
        <v>1632</v>
      </c>
      <c r="B414" t="s">
        <v>1632</v>
      </c>
      <c r="C414" s="4">
        <v>45967</v>
      </c>
      <c r="D414">
        <v>2025</v>
      </c>
      <c r="E414">
        <v>11</v>
      </c>
      <c r="F414" t="s">
        <v>27</v>
      </c>
      <c r="G414" t="s">
        <v>137</v>
      </c>
      <c r="H414" t="s">
        <v>1633</v>
      </c>
      <c r="I414" t="s">
        <v>986</v>
      </c>
      <c r="J414" t="s">
        <v>1435</v>
      </c>
      <c r="K414" t="s">
        <v>1634</v>
      </c>
      <c r="L414">
        <v>2</v>
      </c>
      <c r="M414" s="5">
        <v>333.54</v>
      </c>
      <c r="N414" s="6">
        <v>10</v>
      </c>
      <c r="O414" s="5">
        <v>66.71</v>
      </c>
      <c r="P414" s="5">
        <v>90.06</v>
      </c>
      <c r="Q414" s="5">
        <v>600.37</v>
      </c>
      <c r="R414" s="5">
        <v>476.86</v>
      </c>
      <c r="S414" s="5">
        <v>123.51</v>
      </c>
      <c r="T414" s="7">
        <v>0.205723137398604</v>
      </c>
      <c r="U414" t="s">
        <v>12</v>
      </c>
      <c r="V414" t="s">
        <v>50</v>
      </c>
      <c r="W414" t="s">
        <v>50</v>
      </c>
      <c r="X414" t="s">
        <v>33</v>
      </c>
      <c r="Y414" t="s">
        <v>1635</v>
      </c>
      <c r="Z414" t="s">
        <v>101</v>
      </c>
    </row>
    <row r="415" spans="1:26">
      <c r="A415" t="s">
        <v>1636</v>
      </c>
      <c r="B415" t="s">
        <v>1636</v>
      </c>
      <c r="C415" s="4">
        <v>45844</v>
      </c>
      <c r="D415">
        <v>2025</v>
      </c>
      <c r="E415">
        <v>7</v>
      </c>
      <c r="F415" t="s">
        <v>23</v>
      </c>
      <c r="G415" t="s">
        <v>89</v>
      </c>
      <c r="H415" t="s">
        <v>1637</v>
      </c>
      <c r="I415" t="s">
        <v>1233</v>
      </c>
      <c r="J415" t="s">
        <v>302</v>
      </c>
      <c r="K415" t="s">
        <v>821</v>
      </c>
      <c r="L415">
        <v>5</v>
      </c>
      <c r="M415" s="5">
        <v>109.69</v>
      </c>
      <c r="N415" s="6">
        <v>0</v>
      </c>
      <c r="O415" s="5">
        <v>0</v>
      </c>
      <c r="P415" s="5">
        <v>82.27</v>
      </c>
      <c r="Q415" s="5">
        <v>630.72</v>
      </c>
      <c r="R415" s="5">
        <v>464.8</v>
      </c>
      <c r="S415" s="5">
        <v>165.92</v>
      </c>
      <c r="T415" s="7">
        <v>0.263064434297311</v>
      </c>
      <c r="U415" t="s">
        <v>12</v>
      </c>
      <c r="V415" t="s">
        <v>50</v>
      </c>
      <c r="W415" t="s">
        <v>50</v>
      </c>
      <c r="X415" t="s">
        <v>33</v>
      </c>
      <c r="Y415" t="s">
        <v>1198</v>
      </c>
      <c r="Z415" t="s">
        <v>80</v>
      </c>
    </row>
    <row r="416" spans="1:26">
      <c r="A416" t="s">
        <v>1638</v>
      </c>
      <c r="B416" t="s">
        <v>1638</v>
      </c>
      <c r="C416" s="4">
        <v>45960</v>
      </c>
      <c r="D416">
        <v>2025</v>
      </c>
      <c r="E416">
        <v>10</v>
      </c>
      <c r="F416" t="s">
        <v>26</v>
      </c>
      <c r="G416" t="s">
        <v>137</v>
      </c>
      <c r="H416" t="s">
        <v>781</v>
      </c>
      <c r="I416" t="s">
        <v>708</v>
      </c>
      <c r="J416" t="s">
        <v>919</v>
      </c>
      <c r="K416" t="s">
        <v>920</v>
      </c>
      <c r="L416">
        <v>3</v>
      </c>
      <c r="M416" s="5">
        <v>372.61</v>
      </c>
      <c r="N416" s="6">
        <v>0</v>
      </c>
      <c r="O416" s="5">
        <v>0</v>
      </c>
      <c r="P416" s="5">
        <v>167.67</v>
      </c>
      <c r="Q416" s="5">
        <v>1117.83</v>
      </c>
      <c r="R416" s="5">
        <v>959.73</v>
      </c>
      <c r="S416" s="5">
        <v>158.1</v>
      </c>
      <c r="T416" s="7">
        <v>0.141434744102413</v>
      </c>
      <c r="U416" t="s">
        <v>13</v>
      </c>
      <c r="V416" t="s">
        <v>50</v>
      </c>
      <c r="W416" t="s">
        <v>50</v>
      </c>
      <c r="X416" t="s">
        <v>33</v>
      </c>
      <c r="Y416" t="s">
        <v>1639</v>
      </c>
      <c r="Z416" t="s">
        <v>101</v>
      </c>
    </row>
    <row r="417" spans="1:26">
      <c r="A417" t="s">
        <v>1640</v>
      </c>
      <c r="B417" t="s">
        <v>1640</v>
      </c>
      <c r="C417" s="4">
        <v>45857</v>
      </c>
      <c r="D417">
        <v>2025</v>
      </c>
      <c r="E417">
        <v>7</v>
      </c>
      <c r="F417" t="s">
        <v>23</v>
      </c>
      <c r="G417" t="s">
        <v>89</v>
      </c>
      <c r="H417" t="s">
        <v>1641</v>
      </c>
      <c r="I417" t="s">
        <v>947</v>
      </c>
      <c r="J417" t="s">
        <v>38</v>
      </c>
      <c r="K417" t="s">
        <v>236</v>
      </c>
      <c r="L417">
        <v>1</v>
      </c>
      <c r="M417" s="5">
        <v>464.41</v>
      </c>
      <c r="N417" s="6">
        <v>0</v>
      </c>
      <c r="O417" s="5">
        <v>0</v>
      </c>
      <c r="P417" s="5">
        <v>69.66</v>
      </c>
      <c r="Q417" s="5">
        <v>534.07</v>
      </c>
      <c r="R417" s="5">
        <v>397.69</v>
      </c>
      <c r="S417" s="5">
        <v>136.38</v>
      </c>
      <c r="T417" s="7">
        <v>0.255359784297938</v>
      </c>
      <c r="U417" t="s">
        <v>13</v>
      </c>
      <c r="V417" t="s">
        <v>50</v>
      </c>
      <c r="W417" t="s">
        <v>50</v>
      </c>
      <c r="X417" t="s">
        <v>35</v>
      </c>
      <c r="Y417" t="s">
        <v>254</v>
      </c>
      <c r="Z417" t="s">
        <v>80</v>
      </c>
    </row>
    <row r="418" spans="1:26">
      <c r="A418" t="s">
        <v>1642</v>
      </c>
      <c r="B418" t="s">
        <v>1642</v>
      </c>
      <c r="C418" s="4">
        <v>45726</v>
      </c>
      <c r="D418">
        <v>2025</v>
      </c>
      <c r="E418">
        <v>3</v>
      </c>
      <c r="F418" t="s">
        <v>19</v>
      </c>
      <c r="G418" t="s">
        <v>82</v>
      </c>
      <c r="H418" t="s">
        <v>605</v>
      </c>
      <c r="I418" t="s">
        <v>933</v>
      </c>
      <c r="J418" t="s">
        <v>1009</v>
      </c>
      <c r="K418" t="s">
        <v>1643</v>
      </c>
      <c r="L418">
        <v>4</v>
      </c>
      <c r="M418" s="5">
        <v>467.31</v>
      </c>
      <c r="N418" s="6">
        <v>10</v>
      </c>
      <c r="O418" s="5">
        <v>186.92</v>
      </c>
      <c r="P418" s="5">
        <v>252.35</v>
      </c>
      <c r="Q418" s="5">
        <v>1682.32</v>
      </c>
      <c r="R418" s="5">
        <v>1429.88</v>
      </c>
      <c r="S418" s="5">
        <v>252.44</v>
      </c>
      <c r="T418" s="7">
        <v>0.150054686385468</v>
      </c>
      <c r="U418" t="s">
        <v>14</v>
      </c>
      <c r="V418" t="s">
        <v>50</v>
      </c>
      <c r="W418" t="s">
        <v>50</v>
      </c>
      <c r="X418" t="s">
        <v>33</v>
      </c>
      <c r="Y418" t="s">
        <v>1644</v>
      </c>
      <c r="Z418" t="s">
        <v>101</v>
      </c>
    </row>
    <row r="419" spans="1:26">
      <c r="A419" t="s">
        <v>1645</v>
      </c>
      <c r="B419" t="s">
        <v>1645</v>
      </c>
      <c r="C419" s="4">
        <v>45949</v>
      </c>
      <c r="D419">
        <v>2025</v>
      </c>
      <c r="E419">
        <v>10</v>
      </c>
      <c r="F419" t="s">
        <v>26</v>
      </c>
      <c r="G419" t="s">
        <v>137</v>
      </c>
      <c r="H419" t="s">
        <v>1227</v>
      </c>
      <c r="I419" t="s">
        <v>157</v>
      </c>
      <c r="J419" t="s">
        <v>1104</v>
      </c>
      <c r="K419" t="s">
        <v>1105</v>
      </c>
      <c r="L419">
        <v>8</v>
      </c>
      <c r="M419" s="5">
        <v>66.9</v>
      </c>
      <c r="N419" s="6">
        <v>0</v>
      </c>
      <c r="O419" s="5">
        <v>0</v>
      </c>
      <c r="P419" s="5">
        <v>80.28</v>
      </c>
      <c r="Q419" s="5">
        <v>615.48</v>
      </c>
      <c r="R419" s="5">
        <v>385.2</v>
      </c>
      <c r="S419" s="5">
        <v>230.28</v>
      </c>
      <c r="T419" s="7">
        <v>0.374147007213882</v>
      </c>
      <c r="U419" t="s">
        <v>13</v>
      </c>
      <c r="V419" t="s">
        <v>50</v>
      </c>
      <c r="W419" t="s">
        <v>50</v>
      </c>
      <c r="X419" t="s">
        <v>33</v>
      </c>
      <c r="Y419" t="s">
        <v>1138</v>
      </c>
      <c r="Z419" t="s">
        <v>80</v>
      </c>
    </row>
    <row r="420" spans="1:26">
      <c r="A420" t="s">
        <v>1646</v>
      </c>
      <c r="B420" t="s">
        <v>1646</v>
      </c>
      <c r="C420" s="4">
        <v>45942</v>
      </c>
      <c r="D420">
        <v>2025</v>
      </c>
      <c r="E420">
        <v>10</v>
      </c>
      <c r="F420" t="s">
        <v>26</v>
      </c>
      <c r="G420" t="s">
        <v>137</v>
      </c>
      <c r="H420" t="s">
        <v>125</v>
      </c>
      <c r="I420" t="s">
        <v>262</v>
      </c>
      <c r="J420" t="s">
        <v>877</v>
      </c>
      <c r="K420" t="s">
        <v>878</v>
      </c>
      <c r="L420">
        <v>2</v>
      </c>
      <c r="M420" s="5">
        <v>147.97</v>
      </c>
      <c r="N420" s="6">
        <v>5</v>
      </c>
      <c r="O420" s="5">
        <v>14.8</v>
      </c>
      <c r="P420" s="5">
        <v>42.17</v>
      </c>
      <c r="Q420" s="5">
        <v>323.31</v>
      </c>
      <c r="R420" s="5">
        <v>225.6</v>
      </c>
      <c r="S420" s="5">
        <v>97.71</v>
      </c>
      <c r="T420" s="7">
        <v>0.302217685812378</v>
      </c>
      <c r="U420" t="s">
        <v>12</v>
      </c>
      <c r="V420" t="s">
        <v>50</v>
      </c>
      <c r="W420" t="s">
        <v>50</v>
      </c>
      <c r="X420" t="s">
        <v>33</v>
      </c>
      <c r="Y420" t="s">
        <v>1647</v>
      </c>
      <c r="Z420" t="s">
        <v>80</v>
      </c>
    </row>
    <row r="421" spans="1:26">
      <c r="A421" t="s">
        <v>1648</v>
      </c>
      <c r="B421" t="s">
        <v>1648</v>
      </c>
      <c r="C421" s="4">
        <v>45951</v>
      </c>
      <c r="D421">
        <v>2025</v>
      </c>
      <c r="E421">
        <v>10</v>
      </c>
      <c r="F421" t="s">
        <v>26</v>
      </c>
      <c r="G421" t="s">
        <v>137</v>
      </c>
      <c r="H421" t="s">
        <v>1649</v>
      </c>
      <c r="I421" t="s">
        <v>1264</v>
      </c>
      <c r="J421" t="s">
        <v>369</v>
      </c>
      <c r="K421" t="s">
        <v>370</v>
      </c>
      <c r="L421">
        <v>1</v>
      </c>
      <c r="M421" s="5">
        <v>182.3</v>
      </c>
      <c r="N421" s="6">
        <v>0</v>
      </c>
      <c r="O421" s="5">
        <v>0</v>
      </c>
      <c r="P421" s="5">
        <v>27.35</v>
      </c>
      <c r="Q421" s="5">
        <v>182.3</v>
      </c>
      <c r="R421" s="5">
        <v>107.6</v>
      </c>
      <c r="S421" s="5">
        <v>74.7</v>
      </c>
      <c r="T421" s="7">
        <v>0.409764125068568</v>
      </c>
      <c r="U421" t="s">
        <v>13</v>
      </c>
      <c r="V421" t="s">
        <v>50</v>
      </c>
      <c r="W421" t="s">
        <v>50</v>
      </c>
      <c r="X421" t="s">
        <v>35</v>
      </c>
      <c r="Y421" t="s">
        <v>432</v>
      </c>
      <c r="Z421" t="s">
        <v>101</v>
      </c>
    </row>
    <row r="422" spans="1:26">
      <c r="A422" t="s">
        <v>1650</v>
      </c>
      <c r="B422" t="s">
        <v>1650</v>
      </c>
      <c r="C422" s="4">
        <v>45869</v>
      </c>
      <c r="D422">
        <v>2025</v>
      </c>
      <c r="E422">
        <v>7</v>
      </c>
      <c r="F422" t="s">
        <v>23</v>
      </c>
      <c r="G422" t="s">
        <v>89</v>
      </c>
      <c r="H422" t="s">
        <v>1651</v>
      </c>
      <c r="I422" t="s">
        <v>207</v>
      </c>
      <c r="J422" t="s">
        <v>610</v>
      </c>
      <c r="K422" t="s">
        <v>971</v>
      </c>
      <c r="L422">
        <v>2</v>
      </c>
      <c r="M422" s="5">
        <v>306.62</v>
      </c>
      <c r="N422" s="6">
        <v>15</v>
      </c>
      <c r="O422" s="5">
        <v>91.99</v>
      </c>
      <c r="P422" s="5">
        <v>78.19</v>
      </c>
      <c r="Q422" s="5">
        <v>521.25</v>
      </c>
      <c r="R422" s="5">
        <v>519.86</v>
      </c>
      <c r="S422" s="5">
        <v>1.39</v>
      </c>
      <c r="T422" s="7">
        <v>0.00266666666666667</v>
      </c>
      <c r="U422" t="s">
        <v>9</v>
      </c>
      <c r="V422" t="s">
        <v>50</v>
      </c>
      <c r="W422" t="s">
        <v>50</v>
      </c>
      <c r="X422" t="s">
        <v>33</v>
      </c>
      <c r="Y422" t="s">
        <v>1652</v>
      </c>
      <c r="Z422" t="s">
        <v>101</v>
      </c>
    </row>
    <row r="423" spans="1:26">
      <c r="A423" t="s">
        <v>1653</v>
      </c>
      <c r="B423" t="s">
        <v>1653</v>
      </c>
      <c r="C423" s="4">
        <v>45909</v>
      </c>
      <c r="D423">
        <v>2025</v>
      </c>
      <c r="E423">
        <v>9</v>
      </c>
      <c r="F423" t="s">
        <v>25</v>
      </c>
      <c r="G423" t="s">
        <v>89</v>
      </c>
      <c r="H423" t="s">
        <v>1654</v>
      </c>
      <c r="I423" t="s">
        <v>450</v>
      </c>
      <c r="J423" t="s">
        <v>127</v>
      </c>
      <c r="K423" t="s">
        <v>128</v>
      </c>
      <c r="L423">
        <v>5</v>
      </c>
      <c r="M423" s="5">
        <v>440.5</v>
      </c>
      <c r="N423" s="6">
        <v>0</v>
      </c>
      <c r="O423" s="5">
        <v>0</v>
      </c>
      <c r="P423" s="5">
        <v>330.38</v>
      </c>
      <c r="Q423" s="5">
        <v>2202.5</v>
      </c>
      <c r="R423" s="5">
        <v>1270.25</v>
      </c>
      <c r="S423" s="5">
        <v>932.25</v>
      </c>
      <c r="T423" s="7">
        <v>0.423269012485812</v>
      </c>
      <c r="U423" t="s">
        <v>14</v>
      </c>
      <c r="V423" t="s">
        <v>50</v>
      </c>
      <c r="W423" t="s">
        <v>50</v>
      </c>
      <c r="X423" t="s">
        <v>33</v>
      </c>
      <c r="Y423" t="s">
        <v>1655</v>
      </c>
      <c r="Z423" t="s">
        <v>101</v>
      </c>
    </row>
    <row r="424" spans="1:26">
      <c r="A424" t="s">
        <v>1656</v>
      </c>
      <c r="B424" t="s">
        <v>1656</v>
      </c>
      <c r="C424" s="4">
        <v>45843</v>
      </c>
      <c r="D424">
        <v>2025</v>
      </c>
      <c r="E424">
        <v>7</v>
      </c>
      <c r="F424" t="s">
        <v>23</v>
      </c>
      <c r="G424" t="s">
        <v>89</v>
      </c>
      <c r="H424" t="s">
        <v>1354</v>
      </c>
      <c r="I424" t="s">
        <v>986</v>
      </c>
      <c r="J424" t="s">
        <v>1657</v>
      </c>
      <c r="K424" t="s">
        <v>1658</v>
      </c>
      <c r="L424">
        <v>1</v>
      </c>
      <c r="M424" s="5">
        <v>333.54</v>
      </c>
      <c r="N424" s="6">
        <v>20</v>
      </c>
      <c r="O424" s="5">
        <v>66.71</v>
      </c>
      <c r="P424" s="5">
        <v>40.02</v>
      </c>
      <c r="Q424" s="5">
        <v>306.85</v>
      </c>
      <c r="R424" s="5">
        <v>238.43</v>
      </c>
      <c r="S424" s="5">
        <v>68.42</v>
      </c>
      <c r="T424" s="7">
        <v>0.222975395144207</v>
      </c>
      <c r="U424" t="s">
        <v>11</v>
      </c>
      <c r="V424" t="s">
        <v>50</v>
      </c>
      <c r="W424" t="s">
        <v>50</v>
      </c>
      <c r="X424" t="s">
        <v>33</v>
      </c>
      <c r="Y424" t="s">
        <v>329</v>
      </c>
      <c r="Z424" t="s">
        <v>80</v>
      </c>
    </row>
    <row r="425" spans="1:26">
      <c r="A425" t="s">
        <v>1659</v>
      </c>
      <c r="B425" t="s">
        <v>1659</v>
      </c>
      <c r="C425" s="4">
        <v>45845</v>
      </c>
      <c r="D425">
        <v>2025</v>
      </c>
      <c r="E425">
        <v>7</v>
      </c>
      <c r="F425" t="s">
        <v>23</v>
      </c>
      <c r="G425" t="s">
        <v>89</v>
      </c>
      <c r="H425" t="s">
        <v>1660</v>
      </c>
      <c r="I425" t="s">
        <v>459</v>
      </c>
      <c r="J425" t="s">
        <v>1100</v>
      </c>
      <c r="K425" t="s">
        <v>352</v>
      </c>
      <c r="L425">
        <v>4</v>
      </c>
      <c r="M425" s="5">
        <v>109.34</v>
      </c>
      <c r="N425" s="6">
        <v>20</v>
      </c>
      <c r="O425" s="5">
        <v>87.47</v>
      </c>
      <c r="P425" s="5">
        <v>52.48</v>
      </c>
      <c r="Q425" s="5">
        <v>349.89</v>
      </c>
      <c r="R425" s="5">
        <v>319.28</v>
      </c>
      <c r="S425" s="5">
        <v>30.61</v>
      </c>
      <c r="T425" s="7">
        <v>0.0874846380290949</v>
      </c>
      <c r="U425" t="s">
        <v>14</v>
      </c>
      <c r="V425" t="s">
        <v>50</v>
      </c>
      <c r="W425" t="s">
        <v>50</v>
      </c>
      <c r="X425" t="s">
        <v>33</v>
      </c>
      <c r="Y425" t="s">
        <v>1661</v>
      </c>
      <c r="Z425" t="s">
        <v>101</v>
      </c>
    </row>
    <row r="426" spans="1:26">
      <c r="A426" t="s">
        <v>1662</v>
      </c>
      <c r="B426" t="s">
        <v>1662</v>
      </c>
      <c r="C426" s="4">
        <v>45871</v>
      </c>
      <c r="D426">
        <v>2025</v>
      </c>
      <c r="E426">
        <v>8</v>
      </c>
      <c r="F426" t="s">
        <v>24</v>
      </c>
      <c r="G426" t="s">
        <v>89</v>
      </c>
      <c r="H426" t="s">
        <v>1663</v>
      </c>
      <c r="I426" t="s">
        <v>350</v>
      </c>
      <c r="J426" t="s">
        <v>1507</v>
      </c>
      <c r="K426" t="s">
        <v>1664</v>
      </c>
      <c r="L426">
        <v>1</v>
      </c>
      <c r="M426" s="5">
        <v>343.56</v>
      </c>
      <c r="N426" s="6">
        <v>15</v>
      </c>
      <c r="O426" s="5">
        <v>51.53</v>
      </c>
      <c r="P426" s="5">
        <v>43.8</v>
      </c>
      <c r="Q426" s="5">
        <v>335.83</v>
      </c>
      <c r="R426" s="5">
        <v>216.32</v>
      </c>
      <c r="S426" s="5">
        <v>119.51</v>
      </c>
      <c r="T426" s="7">
        <v>0.355864574338207</v>
      </c>
      <c r="U426" t="s">
        <v>13</v>
      </c>
      <c r="V426" t="s">
        <v>50</v>
      </c>
      <c r="W426" t="s">
        <v>50</v>
      </c>
      <c r="X426" t="s">
        <v>33</v>
      </c>
      <c r="Y426" t="s">
        <v>1665</v>
      </c>
      <c r="Z426" t="s">
        <v>80</v>
      </c>
    </row>
    <row r="427" spans="1:26">
      <c r="A427" t="s">
        <v>1666</v>
      </c>
      <c r="B427" t="s">
        <v>1666</v>
      </c>
      <c r="C427" s="4">
        <v>45936</v>
      </c>
      <c r="D427">
        <v>2025</v>
      </c>
      <c r="E427">
        <v>10</v>
      </c>
      <c r="F427" t="s">
        <v>26</v>
      </c>
      <c r="G427" t="s">
        <v>137</v>
      </c>
      <c r="H427" t="s">
        <v>893</v>
      </c>
      <c r="I427" t="s">
        <v>623</v>
      </c>
      <c r="J427" t="s">
        <v>269</v>
      </c>
      <c r="K427" t="s">
        <v>380</v>
      </c>
      <c r="L427">
        <v>1</v>
      </c>
      <c r="M427" s="5">
        <v>139.21</v>
      </c>
      <c r="N427" s="6">
        <v>5</v>
      </c>
      <c r="O427" s="5">
        <v>6.96</v>
      </c>
      <c r="P427" s="5">
        <v>19.84</v>
      </c>
      <c r="Q427" s="5">
        <v>132.25</v>
      </c>
      <c r="R427" s="5">
        <v>106.99</v>
      </c>
      <c r="S427" s="5">
        <v>25.26</v>
      </c>
      <c r="T427" s="7">
        <v>0.191001890359168</v>
      </c>
      <c r="U427" t="s">
        <v>12</v>
      </c>
      <c r="V427" t="s">
        <v>50</v>
      </c>
      <c r="W427" t="s">
        <v>50</v>
      </c>
      <c r="X427" t="s">
        <v>33</v>
      </c>
      <c r="Y427" t="s">
        <v>187</v>
      </c>
      <c r="Z427" t="s">
        <v>101</v>
      </c>
    </row>
    <row r="428" spans="1:26">
      <c r="A428" t="s">
        <v>1667</v>
      </c>
      <c r="B428" t="s">
        <v>1667</v>
      </c>
      <c r="C428" s="4">
        <v>45957</v>
      </c>
      <c r="D428">
        <v>2025</v>
      </c>
      <c r="E428">
        <v>10</v>
      </c>
      <c r="F428" t="s">
        <v>26</v>
      </c>
      <c r="G428" t="s">
        <v>137</v>
      </c>
      <c r="H428" t="s">
        <v>1556</v>
      </c>
      <c r="I428" t="s">
        <v>344</v>
      </c>
      <c r="J428" t="s">
        <v>208</v>
      </c>
      <c r="K428" t="s">
        <v>86</v>
      </c>
      <c r="L428">
        <v>4</v>
      </c>
      <c r="M428" s="5">
        <v>507.5</v>
      </c>
      <c r="N428" s="6">
        <v>0</v>
      </c>
      <c r="O428" s="5">
        <v>0</v>
      </c>
      <c r="P428" s="5">
        <v>304.5</v>
      </c>
      <c r="Q428" s="5">
        <v>2030</v>
      </c>
      <c r="R428" s="5">
        <v>1453.16</v>
      </c>
      <c r="S428" s="5">
        <v>576.84</v>
      </c>
      <c r="T428" s="7">
        <v>0.28415763546798</v>
      </c>
      <c r="U428" t="s">
        <v>10</v>
      </c>
      <c r="V428" t="s">
        <v>50</v>
      </c>
      <c r="W428" t="s">
        <v>50</v>
      </c>
      <c r="X428" t="s">
        <v>33</v>
      </c>
      <c r="Y428" t="s">
        <v>1668</v>
      </c>
      <c r="Z428" t="s">
        <v>101</v>
      </c>
    </row>
    <row r="429" spans="1:26">
      <c r="A429" t="s">
        <v>1669</v>
      </c>
      <c r="B429" t="s">
        <v>1669</v>
      </c>
      <c r="C429" s="4">
        <v>45918</v>
      </c>
      <c r="D429">
        <v>2025</v>
      </c>
      <c r="E429">
        <v>9</v>
      </c>
      <c r="F429" t="s">
        <v>25</v>
      </c>
      <c r="G429" t="s">
        <v>89</v>
      </c>
      <c r="H429" t="s">
        <v>1670</v>
      </c>
      <c r="I429" t="s">
        <v>807</v>
      </c>
      <c r="J429" t="s">
        <v>548</v>
      </c>
      <c r="K429" t="s">
        <v>1671</v>
      </c>
      <c r="L429">
        <v>2</v>
      </c>
      <c r="M429" s="5">
        <v>340.25</v>
      </c>
      <c r="N429" s="6">
        <v>0</v>
      </c>
      <c r="O429" s="5">
        <v>0</v>
      </c>
      <c r="P429" s="5">
        <v>102.08</v>
      </c>
      <c r="Q429" s="5">
        <v>680.5</v>
      </c>
      <c r="R429" s="5">
        <v>527.7</v>
      </c>
      <c r="S429" s="5">
        <v>152.8</v>
      </c>
      <c r="T429" s="7">
        <v>0.224540778839089</v>
      </c>
      <c r="U429" t="s">
        <v>11</v>
      </c>
      <c r="V429" t="s">
        <v>50</v>
      </c>
      <c r="W429" t="s">
        <v>50</v>
      </c>
      <c r="X429" t="s">
        <v>33</v>
      </c>
      <c r="Y429" t="s">
        <v>1672</v>
      </c>
      <c r="Z429" t="s">
        <v>101</v>
      </c>
    </row>
    <row r="430" spans="1:26">
      <c r="A430" t="s">
        <v>1673</v>
      </c>
      <c r="B430" t="s">
        <v>1673</v>
      </c>
      <c r="C430" s="4">
        <v>45750</v>
      </c>
      <c r="D430">
        <v>2025</v>
      </c>
      <c r="E430">
        <v>4</v>
      </c>
      <c r="F430" t="s">
        <v>20</v>
      </c>
      <c r="G430" t="s">
        <v>74</v>
      </c>
      <c r="H430" t="s">
        <v>185</v>
      </c>
      <c r="I430" t="s">
        <v>332</v>
      </c>
      <c r="J430" t="s">
        <v>471</v>
      </c>
      <c r="K430" t="s">
        <v>766</v>
      </c>
      <c r="L430">
        <v>1</v>
      </c>
      <c r="M430" s="5">
        <v>73.83</v>
      </c>
      <c r="N430" s="6">
        <v>0</v>
      </c>
      <c r="O430" s="5">
        <v>0</v>
      </c>
      <c r="P430" s="5">
        <v>11.07</v>
      </c>
      <c r="Q430" s="5">
        <v>73.83</v>
      </c>
      <c r="R430" s="5">
        <v>54.32</v>
      </c>
      <c r="S430" s="5">
        <v>19.51</v>
      </c>
      <c r="T430" s="7">
        <v>0.264255722605987</v>
      </c>
      <c r="U430" t="s">
        <v>11</v>
      </c>
      <c r="V430" t="s">
        <v>50</v>
      </c>
      <c r="W430" t="s">
        <v>50</v>
      </c>
      <c r="X430" t="s">
        <v>33</v>
      </c>
      <c r="Y430" t="s">
        <v>1674</v>
      </c>
      <c r="Z430" t="s">
        <v>101</v>
      </c>
    </row>
    <row r="431" spans="1:26">
      <c r="A431" t="s">
        <v>1675</v>
      </c>
      <c r="B431" t="s">
        <v>1675</v>
      </c>
      <c r="C431" s="4">
        <v>45752</v>
      </c>
      <c r="D431">
        <v>2025</v>
      </c>
      <c r="E431">
        <v>4</v>
      </c>
      <c r="F431" t="s">
        <v>20</v>
      </c>
      <c r="G431" t="s">
        <v>74</v>
      </c>
      <c r="H431" t="s">
        <v>608</v>
      </c>
      <c r="I431" t="s">
        <v>268</v>
      </c>
      <c r="J431" t="s">
        <v>435</v>
      </c>
      <c r="K431" t="s">
        <v>863</v>
      </c>
      <c r="L431">
        <v>3</v>
      </c>
      <c r="M431" s="5">
        <v>349.08</v>
      </c>
      <c r="N431" s="6">
        <v>15</v>
      </c>
      <c r="O431" s="5">
        <v>157.09</v>
      </c>
      <c r="P431" s="5">
        <v>133.52</v>
      </c>
      <c r="Q431" s="5">
        <v>1023.67</v>
      </c>
      <c r="R431" s="5">
        <v>615.81</v>
      </c>
      <c r="S431" s="5">
        <v>407.86</v>
      </c>
      <c r="T431" s="7">
        <v>0.398429181279123</v>
      </c>
      <c r="U431" t="s">
        <v>12</v>
      </c>
      <c r="V431" t="s">
        <v>50</v>
      </c>
      <c r="W431" t="s">
        <v>50</v>
      </c>
      <c r="X431" t="s">
        <v>33</v>
      </c>
      <c r="Y431" t="s">
        <v>1148</v>
      </c>
      <c r="Z431" t="s">
        <v>80</v>
      </c>
    </row>
    <row r="432" spans="1:26">
      <c r="A432" t="s">
        <v>1676</v>
      </c>
      <c r="B432" t="s">
        <v>1676</v>
      </c>
      <c r="C432" s="4">
        <v>46031</v>
      </c>
      <c r="D432">
        <v>2026</v>
      </c>
      <c r="E432">
        <v>1</v>
      </c>
      <c r="F432" t="s">
        <v>30</v>
      </c>
      <c r="G432" t="s">
        <v>82</v>
      </c>
      <c r="H432" t="s">
        <v>1677</v>
      </c>
      <c r="I432" t="s">
        <v>947</v>
      </c>
      <c r="J432" t="s">
        <v>1657</v>
      </c>
      <c r="K432" t="s">
        <v>1658</v>
      </c>
      <c r="L432">
        <v>3</v>
      </c>
      <c r="M432" s="5">
        <v>464.41</v>
      </c>
      <c r="N432" s="6">
        <v>10</v>
      </c>
      <c r="O432" s="5">
        <v>139.32</v>
      </c>
      <c r="P432" s="5">
        <v>188.09</v>
      </c>
      <c r="Q432" s="5">
        <v>1253.91</v>
      </c>
      <c r="R432" s="5">
        <v>1193.07</v>
      </c>
      <c r="S432" s="5">
        <v>60.84</v>
      </c>
      <c r="T432" s="7">
        <v>0.0485202287245496</v>
      </c>
      <c r="U432" t="s">
        <v>10</v>
      </c>
      <c r="V432" t="s">
        <v>50</v>
      </c>
      <c r="W432" t="s">
        <v>50</v>
      </c>
      <c r="X432" t="s">
        <v>33</v>
      </c>
      <c r="Y432" t="s">
        <v>1094</v>
      </c>
      <c r="Z432" t="s">
        <v>101</v>
      </c>
    </row>
    <row r="433" spans="1:26">
      <c r="A433" t="s">
        <v>1678</v>
      </c>
      <c r="B433" t="s">
        <v>1678</v>
      </c>
      <c r="C433" s="4">
        <v>45928</v>
      </c>
      <c r="D433">
        <v>2025</v>
      </c>
      <c r="E433">
        <v>9</v>
      </c>
      <c r="F433" t="s">
        <v>25</v>
      </c>
      <c r="G433" t="s">
        <v>89</v>
      </c>
      <c r="H433" t="s">
        <v>125</v>
      </c>
      <c r="I433" t="s">
        <v>207</v>
      </c>
      <c r="J433" t="s">
        <v>1003</v>
      </c>
      <c r="K433" t="s">
        <v>1004</v>
      </c>
      <c r="L433">
        <v>3</v>
      </c>
      <c r="M433" s="5">
        <v>306.62</v>
      </c>
      <c r="N433" s="6">
        <v>0</v>
      </c>
      <c r="O433" s="5">
        <v>0</v>
      </c>
      <c r="P433" s="5">
        <v>137.98</v>
      </c>
      <c r="Q433" s="5">
        <v>1057.84</v>
      </c>
      <c r="R433" s="5">
        <v>779.79</v>
      </c>
      <c r="S433" s="5">
        <v>278.05</v>
      </c>
      <c r="T433" s="7">
        <v>0.262846933373667</v>
      </c>
      <c r="U433" t="s">
        <v>13</v>
      </c>
      <c r="V433" t="s">
        <v>50</v>
      </c>
      <c r="W433" t="s">
        <v>50</v>
      </c>
      <c r="X433" t="s">
        <v>33</v>
      </c>
      <c r="Y433" t="s">
        <v>1679</v>
      </c>
      <c r="Z433" t="s">
        <v>80</v>
      </c>
    </row>
    <row r="434" spans="1:26">
      <c r="A434" t="s">
        <v>1680</v>
      </c>
      <c r="B434" t="s">
        <v>1680</v>
      </c>
      <c r="C434" s="4">
        <v>45766</v>
      </c>
      <c r="D434">
        <v>2025</v>
      </c>
      <c r="E434">
        <v>4</v>
      </c>
      <c r="F434" t="s">
        <v>20</v>
      </c>
      <c r="G434" t="s">
        <v>74</v>
      </c>
      <c r="H434" t="s">
        <v>267</v>
      </c>
      <c r="I434" t="s">
        <v>411</v>
      </c>
      <c r="J434" t="s">
        <v>46</v>
      </c>
      <c r="K434" t="s">
        <v>1681</v>
      </c>
      <c r="L434">
        <v>2</v>
      </c>
      <c r="M434" s="5">
        <v>459.58</v>
      </c>
      <c r="N434" s="6">
        <v>0</v>
      </c>
      <c r="O434" s="5">
        <v>0</v>
      </c>
      <c r="P434" s="5">
        <v>137.87</v>
      </c>
      <c r="Q434" s="5">
        <v>1057.03</v>
      </c>
      <c r="R434" s="5">
        <v>773.78</v>
      </c>
      <c r="S434" s="5">
        <v>283.25</v>
      </c>
      <c r="T434" s="7">
        <v>0.267967796562065</v>
      </c>
      <c r="U434" t="s">
        <v>13</v>
      </c>
      <c r="V434" t="s">
        <v>50</v>
      </c>
      <c r="W434" t="s">
        <v>50</v>
      </c>
      <c r="X434" t="s">
        <v>33</v>
      </c>
      <c r="Y434" t="s">
        <v>254</v>
      </c>
      <c r="Z434" t="s">
        <v>80</v>
      </c>
    </row>
    <row r="435" spans="1:26">
      <c r="A435" t="s">
        <v>1682</v>
      </c>
      <c r="B435" t="s">
        <v>1682</v>
      </c>
      <c r="C435" s="4">
        <v>46060</v>
      </c>
      <c r="D435">
        <v>2026</v>
      </c>
      <c r="E435">
        <v>2</v>
      </c>
      <c r="F435" t="s">
        <v>31</v>
      </c>
      <c r="G435" t="s">
        <v>82</v>
      </c>
      <c r="H435" t="s">
        <v>1218</v>
      </c>
      <c r="I435" t="s">
        <v>268</v>
      </c>
      <c r="J435" t="s">
        <v>98</v>
      </c>
      <c r="K435" t="s">
        <v>1134</v>
      </c>
      <c r="L435">
        <v>4</v>
      </c>
      <c r="M435" s="5">
        <v>351.25</v>
      </c>
      <c r="N435" s="6">
        <v>0</v>
      </c>
      <c r="O435" s="5">
        <v>0</v>
      </c>
      <c r="P435" s="5">
        <v>210.75</v>
      </c>
      <c r="Q435" s="5">
        <v>1615.75</v>
      </c>
      <c r="R435" s="5">
        <v>821.08</v>
      </c>
      <c r="S435" s="5">
        <v>794.67</v>
      </c>
      <c r="T435" s="7">
        <v>0.491827324771778</v>
      </c>
      <c r="U435" t="s">
        <v>11</v>
      </c>
      <c r="V435" t="s">
        <v>51</v>
      </c>
      <c r="W435" t="s">
        <v>51</v>
      </c>
      <c r="X435" t="s">
        <v>33</v>
      </c>
      <c r="Y435" t="s">
        <v>1683</v>
      </c>
      <c r="Z435" t="s">
        <v>80</v>
      </c>
    </row>
    <row r="436" spans="1:26">
      <c r="A436" t="s">
        <v>1684</v>
      </c>
      <c r="B436" t="s">
        <v>1684</v>
      </c>
      <c r="C436" s="4">
        <v>46060</v>
      </c>
      <c r="D436">
        <v>2026</v>
      </c>
      <c r="E436">
        <v>2</v>
      </c>
      <c r="F436" t="s">
        <v>31</v>
      </c>
      <c r="G436" t="s">
        <v>82</v>
      </c>
      <c r="H436" t="s">
        <v>1685</v>
      </c>
      <c r="I436" t="s">
        <v>1686</v>
      </c>
      <c r="J436" t="s">
        <v>92</v>
      </c>
      <c r="K436" t="s">
        <v>1687</v>
      </c>
      <c r="L436">
        <v>1</v>
      </c>
      <c r="M436" s="5">
        <v>232.2</v>
      </c>
      <c r="N436" s="6">
        <v>0</v>
      </c>
      <c r="O436" s="5">
        <v>0</v>
      </c>
      <c r="P436" s="5">
        <v>34.83</v>
      </c>
      <c r="Q436" s="5">
        <v>267.03</v>
      </c>
      <c r="R436" s="5">
        <v>160.98</v>
      </c>
      <c r="S436" s="5">
        <v>106.05</v>
      </c>
      <c r="T436" s="7">
        <v>0.397146388046287</v>
      </c>
      <c r="U436" t="s">
        <v>10</v>
      </c>
      <c r="V436" t="s">
        <v>50</v>
      </c>
      <c r="W436" t="s">
        <v>50</v>
      </c>
      <c r="X436" t="s">
        <v>33</v>
      </c>
      <c r="Y436" t="s">
        <v>129</v>
      </c>
      <c r="Z436" t="s">
        <v>80</v>
      </c>
    </row>
    <row r="437" spans="1:26">
      <c r="A437" t="s">
        <v>1688</v>
      </c>
      <c r="B437" t="s">
        <v>1688</v>
      </c>
      <c r="C437" s="4">
        <v>45932</v>
      </c>
      <c r="D437">
        <v>2025</v>
      </c>
      <c r="E437">
        <v>10</v>
      </c>
      <c r="F437" t="s">
        <v>26</v>
      </c>
      <c r="G437" t="s">
        <v>137</v>
      </c>
      <c r="H437" t="s">
        <v>1296</v>
      </c>
      <c r="I437" t="s">
        <v>251</v>
      </c>
      <c r="J437" t="s">
        <v>1208</v>
      </c>
      <c r="K437" t="s">
        <v>1357</v>
      </c>
      <c r="L437">
        <v>5</v>
      </c>
      <c r="M437" s="5">
        <v>222.64</v>
      </c>
      <c r="N437" s="6">
        <v>15</v>
      </c>
      <c r="O437" s="5">
        <v>166.98</v>
      </c>
      <c r="P437" s="5">
        <v>141.93</v>
      </c>
      <c r="Q437" s="5">
        <v>946.22</v>
      </c>
      <c r="R437" s="5">
        <v>851</v>
      </c>
      <c r="S437" s="5">
        <v>95.22</v>
      </c>
      <c r="T437" s="7">
        <v>0.100631988332523</v>
      </c>
      <c r="U437" t="s">
        <v>14</v>
      </c>
      <c r="V437" t="s">
        <v>50</v>
      </c>
      <c r="W437" t="s">
        <v>50</v>
      </c>
      <c r="X437" t="s">
        <v>34</v>
      </c>
      <c r="Y437" t="s">
        <v>1689</v>
      </c>
      <c r="Z437" t="s">
        <v>101</v>
      </c>
    </row>
    <row r="438" spans="1:26">
      <c r="A438" t="s">
        <v>1690</v>
      </c>
      <c r="B438" t="s">
        <v>1690</v>
      </c>
      <c r="C438" s="4">
        <v>45811</v>
      </c>
      <c r="D438">
        <v>2025</v>
      </c>
      <c r="E438">
        <v>6</v>
      </c>
      <c r="F438" t="s">
        <v>22</v>
      </c>
      <c r="G438" t="s">
        <v>74</v>
      </c>
      <c r="H438" t="s">
        <v>608</v>
      </c>
      <c r="I438" t="s">
        <v>553</v>
      </c>
      <c r="J438" t="s">
        <v>1107</v>
      </c>
      <c r="K438" t="s">
        <v>1691</v>
      </c>
      <c r="L438">
        <v>4</v>
      </c>
      <c r="M438" s="5">
        <v>332.43</v>
      </c>
      <c r="N438" s="6">
        <v>0</v>
      </c>
      <c r="O438" s="5">
        <v>0</v>
      </c>
      <c r="P438" s="5">
        <v>199.46</v>
      </c>
      <c r="Q438" s="5">
        <v>1329.72</v>
      </c>
      <c r="R438" s="5">
        <v>1014.8</v>
      </c>
      <c r="S438" s="5">
        <v>314.92</v>
      </c>
      <c r="T438" s="7">
        <v>0.236831814216527</v>
      </c>
      <c r="U438" t="s">
        <v>9</v>
      </c>
      <c r="V438" t="s">
        <v>50</v>
      </c>
      <c r="W438" t="s">
        <v>50</v>
      </c>
      <c r="X438" t="s">
        <v>33</v>
      </c>
      <c r="Y438" t="s">
        <v>1692</v>
      </c>
      <c r="Z438" t="s">
        <v>101</v>
      </c>
    </row>
    <row r="439" spans="1:26">
      <c r="A439" t="s">
        <v>1693</v>
      </c>
      <c r="B439" t="s">
        <v>1693</v>
      </c>
      <c r="C439" s="4">
        <v>45829</v>
      </c>
      <c r="D439">
        <v>2025</v>
      </c>
      <c r="E439">
        <v>6</v>
      </c>
      <c r="F439" t="s">
        <v>22</v>
      </c>
      <c r="G439" t="s">
        <v>74</v>
      </c>
      <c r="H439" t="s">
        <v>1079</v>
      </c>
      <c r="I439" t="s">
        <v>1694</v>
      </c>
      <c r="J439" t="s">
        <v>751</v>
      </c>
      <c r="K439" t="s">
        <v>752</v>
      </c>
      <c r="L439">
        <v>1</v>
      </c>
      <c r="M439" s="5">
        <v>233.47</v>
      </c>
      <c r="N439" s="6">
        <v>15</v>
      </c>
      <c r="O439" s="5">
        <v>35.02</v>
      </c>
      <c r="P439" s="5">
        <v>29.77</v>
      </c>
      <c r="Q439" s="5">
        <v>228.22</v>
      </c>
      <c r="R439" s="5">
        <v>188.98</v>
      </c>
      <c r="S439" s="5">
        <v>39.24</v>
      </c>
      <c r="T439" s="7">
        <v>0.17193935676102</v>
      </c>
      <c r="U439" t="s">
        <v>11</v>
      </c>
      <c r="V439" t="s">
        <v>51</v>
      </c>
      <c r="W439" t="s">
        <v>51</v>
      </c>
      <c r="X439" t="s">
        <v>35</v>
      </c>
      <c r="Y439" t="s">
        <v>1194</v>
      </c>
      <c r="Z439" t="s">
        <v>80</v>
      </c>
    </row>
    <row r="440" spans="1:26">
      <c r="A440" t="s">
        <v>1695</v>
      </c>
      <c r="B440" t="s">
        <v>1695</v>
      </c>
      <c r="C440" s="4">
        <v>45907</v>
      </c>
      <c r="D440">
        <v>2025</v>
      </c>
      <c r="E440">
        <v>9</v>
      </c>
      <c r="F440" t="s">
        <v>25</v>
      </c>
      <c r="G440" t="s">
        <v>89</v>
      </c>
      <c r="H440" t="s">
        <v>1696</v>
      </c>
      <c r="I440" t="s">
        <v>503</v>
      </c>
      <c r="J440" t="s">
        <v>127</v>
      </c>
      <c r="K440" t="s">
        <v>128</v>
      </c>
      <c r="L440">
        <v>2</v>
      </c>
      <c r="M440" s="5">
        <v>71.29</v>
      </c>
      <c r="N440" s="6">
        <v>0</v>
      </c>
      <c r="O440" s="5">
        <v>0</v>
      </c>
      <c r="P440" s="5">
        <v>21.39</v>
      </c>
      <c r="Q440" s="5">
        <v>163.97</v>
      </c>
      <c r="R440" s="5">
        <v>118.74</v>
      </c>
      <c r="S440" s="5">
        <v>45.23</v>
      </c>
      <c r="T440" s="7">
        <v>0.275843142038178</v>
      </c>
      <c r="U440" t="s">
        <v>13</v>
      </c>
      <c r="V440" t="s">
        <v>50</v>
      </c>
      <c r="W440" t="s">
        <v>50</v>
      </c>
      <c r="X440" t="s">
        <v>33</v>
      </c>
      <c r="Y440" t="s">
        <v>1697</v>
      </c>
      <c r="Z440" t="s">
        <v>80</v>
      </c>
    </row>
    <row r="441" spans="1:26">
      <c r="A441" t="s">
        <v>1698</v>
      </c>
      <c r="B441" t="s">
        <v>1698</v>
      </c>
      <c r="C441" s="4">
        <v>45957</v>
      </c>
      <c r="D441">
        <v>2025</v>
      </c>
      <c r="E441">
        <v>10</v>
      </c>
      <c r="F441" t="s">
        <v>26</v>
      </c>
      <c r="G441" t="s">
        <v>137</v>
      </c>
      <c r="H441" t="s">
        <v>1506</v>
      </c>
      <c r="I441" t="s">
        <v>285</v>
      </c>
      <c r="J441" t="s">
        <v>1381</v>
      </c>
      <c r="K441" t="s">
        <v>1382</v>
      </c>
      <c r="L441">
        <v>4</v>
      </c>
      <c r="M441" s="5">
        <v>597.21</v>
      </c>
      <c r="N441" s="6">
        <v>20</v>
      </c>
      <c r="O441" s="5">
        <v>477.77</v>
      </c>
      <c r="P441" s="5">
        <v>286.66</v>
      </c>
      <c r="Q441" s="5">
        <v>1911.07</v>
      </c>
      <c r="R441" s="5">
        <v>1345.6</v>
      </c>
      <c r="S441" s="5">
        <v>565.47</v>
      </c>
      <c r="T441" s="7">
        <v>0.295891830231232</v>
      </c>
      <c r="U441" t="s">
        <v>10</v>
      </c>
      <c r="V441" t="s">
        <v>50</v>
      </c>
      <c r="W441" t="s">
        <v>50</v>
      </c>
      <c r="X441" t="s">
        <v>33</v>
      </c>
      <c r="Y441" t="s">
        <v>1699</v>
      </c>
      <c r="Z441" t="s">
        <v>101</v>
      </c>
    </row>
    <row r="442" spans="1:26">
      <c r="A442" t="s">
        <v>1700</v>
      </c>
      <c r="B442" t="s">
        <v>1700</v>
      </c>
      <c r="C442" s="4">
        <v>46026</v>
      </c>
      <c r="D442">
        <v>2026</v>
      </c>
      <c r="E442">
        <v>1</v>
      </c>
      <c r="F442" t="s">
        <v>30</v>
      </c>
      <c r="G442" t="s">
        <v>82</v>
      </c>
      <c r="H442" t="s">
        <v>1701</v>
      </c>
      <c r="I442" t="s">
        <v>444</v>
      </c>
      <c r="J442" t="s">
        <v>280</v>
      </c>
      <c r="K442" t="s">
        <v>1702</v>
      </c>
      <c r="L442">
        <v>1</v>
      </c>
      <c r="M442" s="5">
        <v>99.93</v>
      </c>
      <c r="N442" s="6">
        <v>20</v>
      </c>
      <c r="O442" s="5">
        <v>19.99</v>
      </c>
      <c r="P442" s="5">
        <v>11.99</v>
      </c>
      <c r="Q442" s="5">
        <v>91.93</v>
      </c>
      <c r="R442" s="5">
        <v>86.05</v>
      </c>
      <c r="S442" s="5">
        <v>5.88</v>
      </c>
      <c r="T442" s="7">
        <v>0.0639617099967366</v>
      </c>
      <c r="U442" t="s">
        <v>10</v>
      </c>
      <c r="V442" t="s">
        <v>50</v>
      </c>
      <c r="W442" t="s">
        <v>50</v>
      </c>
      <c r="X442" t="s">
        <v>33</v>
      </c>
      <c r="Y442" t="s">
        <v>931</v>
      </c>
      <c r="Z442" t="s">
        <v>80</v>
      </c>
    </row>
    <row r="443" spans="1:26">
      <c r="A443" t="s">
        <v>1703</v>
      </c>
      <c r="B443" t="s">
        <v>1703</v>
      </c>
      <c r="C443" s="4">
        <v>45990</v>
      </c>
      <c r="D443">
        <v>2025</v>
      </c>
      <c r="E443">
        <v>11</v>
      </c>
      <c r="F443" t="s">
        <v>27</v>
      </c>
      <c r="G443" t="s">
        <v>137</v>
      </c>
      <c r="H443" t="s">
        <v>428</v>
      </c>
      <c r="I443" t="s">
        <v>1704</v>
      </c>
      <c r="J443" t="s">
        <v>593</v>
      </c>
      <c r="K443" t="s">
        <v>594</v>
      </c>
      <c r="L443">
        <v>6</v>
      </c>
      <c r="M443" s="5">
        <v>247.94</v>
      </c>
      <c r="N443" s="6">
        <v>10</v>
      </c>
      <c r="O443" s="5">
        <v>148.76</v>
      </c>
      <c r="P443" s="5">
        <v>200.83</v>
      </c>
      <c r="Q443" s="5">
        <v>1539.71</v>
      </c>
      <c r="R443" s="5">
        <v>1116.24</v>
      </c>
      <c r="S443" s="5">
        <v>423.47</v>
      </c>
      <c r="T443" s="7">
        <v>0.275032311279397</v>
      </c>
      <c r="U443" t="s">
        <v>12</v>
      </c>
      <c r="V443" t="s">
        <v>50</v>
      </c>
      <c r="W443" t="s">
        <v>50</v>
      </c>
      <c r="X443" t="s">
        <v>33</v>
      </c>
      <c r="Y443" t="s">
        <v>1705</v>
      </c>
      <c r="Z443" t="s">
        <v>80</v>
      </c>
    </row>
    <row r="444" spans="1:26">
      <c r="A444" t="s">
        <v>1706</v>
      </c>
      <c r="B444" t="s">
        <v>1706</v>
      </c>
      <c r="C444" s="4">
        <v>45956</v>
      </c>
      <c r="D444">
        <v>2025</v>
      </c>
      <c r="E444">
        <v>10</v>
      </c>
      <c r="F444" t="s">
        <v>26</v>
      </c>
      <c r="G444" t="s">
        <v>137</v>
      </c>
      <c r="H444" t="s">
        <v>1707</v>
      </c>
      <c r="I444" t="s">
        <v>769</v>
      </c>
      <c r="J444" t="s">
        <v>111</v>
      </c>
      <c r="K444" t="s">
        <v>729</v>
      </c>
      <c r="L444">
        <v>1</v>
      </c>
      <c r="M444" s="5">
        <v>227</v>
      </c>
      <c r="N444" s="6">
        <v>0</v>
      </c>
      <c r="O444" s="5">
        <v>0</v>
      </c>
      <c r="P444" s="5">
        <v>34.05</v>
      </c>
      <c r="Q444" s="5">
        <v>261.05</v>
      </c>
      <c r="R444" s="5">
        <v>196.3</v>
      </c>
      <c r="S444" s="5">
        <v>64.75</v>
      </c>
      <c r="T444" s="7">
        <v>0.24803677456426</v>
      </c>
      <c r="U444" t="s">
        <v>13</v>
      </c>
      <c r="V444" t="s">
        <v>50</v>
      </c>
      <c r="W444" t="s">
        <v>50</v>
      </c>
      <c r="X444" t="s">
        <v>35</v>
      </c>
      <c r="Y444" t="s">
        <v>1166</v>
      </c>
      <c r="Z444" t="s">
        <v>80</v>
      </c>
    </row>
    <row r="445" spans="1:26">
      <c r="A445" t="s">
        <v>1708</v>
      </c>
      <c r="B445" t="s">
        <v>1708</v>
      </c>
      <c r="C445" s="4">
        <v>45867</v>
      </c>
      <c r="D445">
        <v>2025</v>
      </c>
      <c r="E445">
        <v>7</v>
      </c>
      <c r="F445" t="s">
        <v>23</v>
      </c>
      <c r="G445" t="s">
        <v>89</v>
      </c>
      <c r="H445" t="s">
        <v>1709</v>
      </c>
      <c r="I445" t="s">
        <v>423</v>
      </c>
      <c r="J445" t="s">
        <v>357</v>
      </c>
      <c r="K445" t="s">
        <v>494</v>
      </c>
      <c r="L445">
        <v>3</v>
      </c>
      <c r="M445" s="5">
        <v>57.88</v>
      </c>
      <c r="N445" s="6">
        <v>5</v>
      </c>
      <c r="O445" s="5">
        <v>8.68</v>
      </c>
      <c r="P445" s="5">
        <v>24.74</v>
      </c>
      <c r="Q445" s="5">
        <v>164.96</v>
      </c>
      <c r="R445" s="5">
        <v>129.03</v>
      </c>
      <c r="S445" s="5">
        <v>35.93</v>
      </c>
      <c r="T445" s="7">
        <v>0.217810378273521</v>
      </c>
      <c r="U445" t="s">
        <v>14</v>
      </c>
      <c r="V445" t="s">
        <v>50</v>
      </c>
      <c r="W445" t="s">
        <v>50</v>
      </c>
      <c r="X445" t="s">
        <v>35</v>
      </c>
      <c r="Y445" t="s">
        <v>1710</v>
      </c>
      <c r="Z445" t="s">
        <v>101</v>
      </c>
    </row>
    <row r="446" spans="1:26">
      <c r="A446" t="s">
        <v>1711</v>
      </c>
      <c r="B446" t="s">
        <v>1711</v>
      </c>
      <c r="C446" s="4">
        <v>45948</v>
      </c>
      <c r="D446">
        <v>2025</v>
      </c>
      <c r="E446">
        <v>10</v>
      </c>
      <c r="F446" t="s">
        <v>26</v>
      </c>
      <c r="G446" t="s">
        <v>137</v>
      </c>
      <c r="H446" t="s">
        <v>602</v>
      </c>
      <c r="I446" t="s">
        <v>913</v>
      </c>
      <c r="J446" t="s">
        <v>465</v>
      </c>
      <c r="K446" t="s">
        <v>829</v>
      </c>
      <c r="L446">
        <v>3</v>
      </c>
      <c r="M446" s="5">
        <v>221.79</v>
      </c>
      <c r="N446" s="6">
        <v>10</v>
      </c>
      <c r="O446" s="5">
        <v>66.54</v>
      </c>
      <c r="P446" s="5">
        <v>89.82</v>
      </c>
      <c r="Q446" s="5">
        <v>688.65</v>
      </c>
      <c r="R446" s="5">
        <v>474.18</v>
      </c>
      <c r="S446" s="5">
        <v>214.47</v>
      </c>
      <c r="T446" s="7">
        <v>0.311435417120453</v>
      </c>
      <c r="U446" t="s">
        <v>9</v>
      </c>
      <c r="V446" t="s">
        <v>50</v>
      </c>
      <c r="W446" t="s">
        <v>50</v>
      </c>
      <c r="X446" t="s">
        <v>33</v>
      </c>
      <c r="Y446" t="s">
        <v>1712</v>
      </c>
      <c r="Z446" t="s">
        <v>80</v>
      </c>
    </row>
    <row r="447" spans="1:26">
      <c r="A447" t="s">
        <v>1713</v>
      </c>
      <c r="B447" t="s">
        <v>1713</v>
      </c>
      <c r="C447" s="4">
        <v>45791</v>
      </c>
      <c r="D447">
        <v>2025</v>
      </c>
      <c r="E447">
        <v>5</v>
      </c>
      <c r="F447" t="s">
        <v>21</v>
      </c>
      <c r="G447" t="s">
        <v>74</v>
      </c>
      <c r="H447" t="s">
        <v>1044</v>
      </c>
      <c r="I447" t="s">
        <v>1714</v>
      </c>
      <c r="J447" t="s">
        <v>401</v>
      </c>
      <c r="K447" t="s">
        <v>402</v>
      </c>
      <c r="L447">
        <v>4</v>
      </c>
      <c r="M447" s="5">
        <v>349.44</v>
      </c>
      <c r="N447" s="6">
        <v>20</v>
      </c>
      <c r="O447" s="5">
        <v>279.55</v>
      </c>
      <c r="P447" s="5">
        <v>167.73</v>
      </c>
      <c r="Q447" s="5">
        <v>1118.21</v>
      </c>
      <c r="R447" s="5">
        <v>1064.4</v>
      </c>
      <c r="S447" s="5">
        <v>53.81</v>
      </c>
      <c r="T447" s="7">
        <v>0.0481215514080539</v>
      </c>
      <c r="U447" t="s">
        <v>10</v>
      </c>
      <c r="V447" t="s">
        <v>50</v>
      </c>
      <c r="W447" t="s">
        <v>50</v>
      </c>
      <c r="X447" t="s">
        <v>33</v>
      </c>
      <c r="Y447" t="s">
        <v>1213</v>
      </c>
      <c r="Z447" t="s">
        <v>101</v>
      </c>
    </row>
    <row r="448" spans="1:26">
      <c r="A448" t="s">
        <v>1715</v>
      </c>
      <c r="B448" t="s">
        <v>1715</v>
      </c>
      <c r="C448" s="4">
        <v>45832</v>
      </c>
      <c r="D448">
        <v>2025</v>
      </c>
      <c r="E448">
        <v>6</v>
      </c>
      <c r="F448" t="s">
        <v>22</v>
      </c>
      <c r="G448" t="s">
        <v>74</v>
      </c>
      <c r="H448" t="s">
        <v>1335</v>
      </c>
      <c r="I448" t="s">
        <v>268</v>
      </c>
      <c r="J448" t="s">
        <v>676</v>
      </c>
      <c r="K448" t="s">
        <v>677</v>
      </c>
      <c r="L448">
        <v>4</v>
      </c>
      <c r="M448" s="5">
        <v>332.74</v>
      </c>
      <c r="N448" s="6">
        <v>0</v>
      </c>
      <c r="O448" s="5">
        <v>0</v>
      </c>
      <c r="P448" s="5">
        <v>199.64</v>
      </c>
      <c r="Q448" s="5">
        <v>1330.96</v>
      </c>
      <c r="R448" s="5">
        <v>821.08</v>
      </c>
      <c r="S448" s="5">
        <v>509.88</v>
      </c>
      <c r="T448" s="7">
        <v>0.383091903588387</v>
      </c>
      <c r="U448" t="s">
        <v>14</v>
      </c>
      <c r="V448" t="s">
        <v>50</v>
      </c>
      <c r="W448" t="s">
        <v>50</v>
      </c>
      <c r="X448" t="s">
        <v>35</v>
      </c>
      <c r="Y448" t="s">
        <v>1576</v>
      </c>
      <c r="Z448" t="s">
        <v>101</v>
      </c>
    </row>
    <row r="449" spans="1:26">
      <c r="A449" t="s">
        <v>1716</v>
      </c>
      <c r="B449" t="s">
        <v>1716</v>
      </c>
      <c r="C449" s="4">
        <v>45775</v>
      </c>
      <c r="D449">
        <v>2025</v>
      </c>
      <c r="E449">
        <v>4</v>
      </c>
      <c r="F449" t="s">
        <v>20</v>
      </c>
      <c r="G449" t="s">
        <v>74</v>
      </c>
      <c r="H449" t="s">
        <v>1717</v>
      </c>
      <c r="I449" t="s">
        <v>1233</v>
      </c>
      <c r="J449" t="s">
        <v>1718</v>
      </c>
      <c r="K449" t="s">
        <v>1412</v>
      </c>
      <c r="L449">
        <v>1</v>
      </c>
      <c r="M449" s="5">
        <v>109.69</v>
      </c>
      <c r="N449" s="6">
        <v>0</v>
      </c>
      <c r="O449" s="5">
        <v>0</v>
      </c>
      <c r="P449" s="5">
        <v>16.45</v>
      </c>
      <c r="Q449" s="5">
        <v>109.69</v>
      </c>
      <c r="R449" s="5">
        <v>92.96</v>
      </c>
      <c r="S449" s="5">
        <v>16.73</v>
      </c>
      <c r="T449" s="7">
        <v>0.152520740268028</v>
      </c>
      <c r="U449" t="s">
        <v>11</v>
      </c>
      <c r="V449" t="s">
        <v>50</v>
      </c>
      <c r="W449" t="s">
        <v>50</v>
      </c>
      <c r="X449" t="s">
        <v>35</v>
      </c>
      <c r="Y449" t="s">
        <v>1719</v>
      </c>
      <c r="Z449" t="s">
        <v>101</v>
      </c>
    </row>
    <row r="450" spans="1:26">
      <c r="A450" t="s">
        <v>1720</v>
      </c>
      <c r="B450" t="s">
        <v>1720</v>
      </c>
      <c r="C450" s="4">
        <v>45823</v>
      </c>
      <c r="D450">
        <v>2025</v>
      </c>
      <c r="E450">
        <v>6</v>
      </c>
      <c r="F450" t="s">
        <v>22</v>
      </c>
      <c r="G450" t="s">
        <v>74</v>
      </c>
      <c r="H450" t="s">
        <v>982</v>
      </c>
      <c r="I450" t="s">
        <v>262</v>
      </c>
      <c r="J450" t="s">
        <v>1133</v>
      </c>
      <c r="K450" t="s">
        <v>1721</v>
      </c>
      <c r="L450">
        <v>5</v>
      </c>
      <c r="M450" s="5">
        <v>147.97</v>
      </c>
      <c r="N450" s="6">
        <v>15</v>
      </c>
      <c r="O450" s="5">
        <v>110.98</v>
      </c>
      <c r="P450" s="5">
        <v>94.33</v>
      </c>
      <c r="Q450" s="5">
        <v>723.2</v>
      </c>
      <c r="R450" s="5">
        <v>564</v>
      </c>
      <c r="S450" s="5">
        <v>159.2</v>
      </c>
      <c r="T450" s="7">
        <v>0.220132743362832</v>
      </c>
      <c r="U450" t="s">
        <v>11</v>
      </c>
      <c r="V450" t="s">
        <v>50</v>
      </c>
      <c r="W450" t="s">
        <v>50</v>
      </c>
      <c r="X450" t="s">
        <v>33</v>
      </c>
      <c r="Y450" t="s">
        <v>1722</v>
      </c>
      <c r="Z450" t="s">
        <v>80</v>
      </c>
    </row>
    <row r="451" spans="1:26">
      <c r="A451" t="s">
        <v>1723</v>
      </c>
      <c r="B451" t="s">
        <v>1723</v>
      </c>
      <c r="C451" s="4">
        <v>45974</v>
      </c>
      <c r="D451">
        <v>2025</v>
      </c>
      <c r="E451">
        <v>11</v>
      </c>
      <c r="F451" t="s">
        <v>27</v>
      </c>
      <c r="G451" t="s">
        <v>137</v>
      </c>
      <c r="H451" t="s">
        <v>1421</v>
      </c>
      <c r="I451" t="s">
        <v>368</v>
      </c>
      <c r="J451" t="s">
        <v>77</v>
      </c>
      <c r="K451" t="s">
        <v>523</v>
      </c>
      <c r="L451">
        <v>7</v>
      </c>
      <c r="M451" s="5">
        <v>73.89</v>
      </c>
      <c r="N451" s="6">
        <v>20</v>
      </c>
      <c r="O451" s="5">
        <v>103.45</v>
      </c>
      <c r="P451" s="5">
        <v>62.07</v>
      </c>
      <c r="Q451" s="5">
        <v>413.78</v>
      </c>
      <c r="R451" s="5">
        <v>353.01</v>
      </c>
      <c r="S451" s="5">
        <v>60.77</v>
      </c>
      <c r="T451" s="7">
        <v>0.146865484073662</v>
      </c>
      <c r="U451" t="s">
        <v>11</v>
      </c>
      <c r="V451" t="s">
        <v>50</v>
      </c>
      <c r="W451" t="s">
        <v>50</v>
      </c>
      <c r="X451" t="s">
        <v>33</v>
      </c>
      <c r="Y451" t="s">
        <v>1724</v>
      </c>
      <c r="Z451" t="s">
        <v>101</v>
      </c>
    </row>
    <row r="452" spans="1:26">
      <c r="A452" t="s">
        <v>1725</v>
      </c>
      <c r="B452" t="s">
        <v>1725</v>
      </c>
      <c r="C452" s="4">
        <v>45802</v>
      </c>
      <c r="D452">
        <v>2025</v>
      </c>
      <c r="E452">
        <v>5</v>
      </c>
      <c r="F452" t="s">
        <v>21</v>
      </c>
      <c r="G452" t="s">
        <v>74</v>
      </c>
      <c r="H452" t="s">
        <v>1726</v>
      </c>
      <c r="I452" t="s">
        <v>493</v>
      </c>
      <c r="J452" t="s">
        <v>889</v>
      </c>
      <c r="K452" t="s">
        <v>1727</v>
      </c>
      <c r="L452">
        <v>3</v>
      </c>
      <c r="M452" s="5">
        <v>395.66</v>
      </c>
      <c r="N452" s="6">
        <v>10</v>
      </c>
      <c r="O452" s="5">
        <v>118.7</v>
      </c>
      <c r="P452" s="5">
        <v>160.24</v>
      </c>
      <c r="Q452" s="5">
        <v>1228.52</v>
      </c>
      <c r="R452" s="5">
        <v>960.57</v>
      </c>
      <c r="S452" s="5">
        <v>267.95</v>
      </c>
      <c r="T452" s="7">
        <v>0.218107967310259</v>
      </c>
      <c r="U452" t="s">
        <v>12</v>
      </c>
      <c r="V452" t="s">
        <v>50</v>
      </c>
      <c r="W452" t="s">
        <v>50</v>
      </c>
      <c r="X452" t="s">
        <v>33</v>
      </c>
      <c r="Y452" t="s">
        <v>462</v>
      </c>
      <c r="Z452" t="s">
        <v>80</v>
      </c>
    </row>
    <row r="453" spans="1:26">
      <c r="A453" t="s">
        <v>1728</v>
      </c>
      <c r="B453" t="s">
        <v>1728</v>
      </c>
      <c r="C453" s="4">
        <v>45778</v>
      </c>
      <c r="D453">
        <v>2025</v>
      </c>
      <c r="E453">
        <v>5</v>
      </c>
      <c r="F453" t="s">
        <v>21</v>
      </c>
      <c r="G453" t="s">
        <v>74</v>
      </c>
      <c r="H453" t="s">
        <v>1007</v>
      </c>
      <c r="I453" t="s">
        <v>1419</v>
      </c>
      <c r="J453" t="s">
        <v>226</v>
      </c>
      <c r="K453" t="s">
        <v>380</v>
      </c>
      <c r="L453">
        <v>4</v>
      </c>
      <c r="M453" s="5">
        <v>336.02</v>
      </c>
      <c r="N453" s="6">
        <v>15</v>
      </c>
      <c r="O453" s="5">
        <v>201.61</v>
      </c>
      <c r="P453" s="5">
        <v>171.37</v>
      </c>
      <c r="Q453" s="5">
        <v>1142.47</v>
      </c>
      <c r="R453" s="5">
        <v>940.2</v>
      </c>
      <c r="S453" s="5">
        <v>202.27</v>
      </c>
      <c r="T453" s="7">
        <v>0.177046224408518</v>
      </c>
      <c r="U453" t="s">
        <v>11</v>
      </c>
      <c r="V453" t="s">
        <v>50</v>
      </c>
      <c r="W453" t="s">
        <v>50</v>
      </c>
      <c r="X453" t="s">
        <v>35</v>
      </c>
      <c r="Y453" t="s">
        <v>1729</v>
      </c>
      <c r="Z453" t="s">
        <v>101</v>
      </c>
    </row>
    <row r="454" spans="1:26">
      <c r="A454" t="s">
        <v>1730</v>
      </c>
      <c r="B454" t="s">
        <v>1730</v>
      </c>
      <c r="C454" s="4">
        <v>45941</v>
      </c>
      <c r="D454">
        <v>2025</v>
      </c>
      <c r="E454">
        <v>10</v>
      </c>
      <c r="F454" t="s">
        <v>26</v>
      </c>
      <c r="G454" t="s">
        <v>137</v>
      </c>
      <c r="H454" t="s">
        <v>355</v>
      </c>
      <c r="I454" t="s">
        <v>323</v>
      </c>
      <c r="J454" t="s">
        <v>430</v>
      </c>
      <c r="K454" t="s">
        <v>431</v>
      </c>
      <c r="L454">
        <v>5</v>
      </c>
      <c r="M454" s="5">
        <v>56.42</v>
      </c>
      <c r="N454" s="6">
        <v>0</v>
      </c>
      <c r="O454" s="5">
        <v>0</v>
      </c>
      <c r="P454" s="5">
        <v>42.32</v>
      </c>
      <c r="Q454" s="5">
        <v>324.42</v>
      </c>
      <c r="R454" s="5">
        <v>187.4</v>
      </c>
      <c r="S454" s="5">
        <v>137.02</v>
      </c>
      <c r="T454" s="7">
        <v>0.422353738980334</v>
      </c>
      <c r="U454" t="s">
        <v>11</v>
      </c>
      <c r="V454" t="s">
        <v>50</v>
      </c>
      <c r="W454" t="s">
        <v>50</v>
      </c>
      <c r="X454" t="s">
        <v>35</v>
      </c>
      <c r="Y454" t="s">
        <v>1325</v>
      </c>
      <c r="Z454" t="s">
        <v>80</v>
      </c>
    </row>
    <row r="455" spans="1:26">
      <c r="A455" t="s">
        <v>1731</v>
      </c>
      <c r="B455" t="s">
        <v>1731</v>
      </c>
      <c r="C455" s="4">
        <v>45795</v>
      </c>
      <c r="D455">
        <v>2025</v>
      </c>
      <c r="E455">
        <v>5</v>
      </c>
      <c r="F455" t="s">
        <v>21</v>
      </c>
      <c r="G455" t="s">
        <v>74</v>
      </c>
      <c r="H455" t="s">
        <v>1732</v>
      </c>
      <c r="I455" t="s">
        <v>1343</v>
      </c>
      <c r="J455" t="s">
        <v>85</v>
      </c>
      <c r="K455" t="s">
        <v>86</v>
      </c>
      <c r="L455">
        <v>4</v>
      </c>
      <c r="M455" s="5">
        <v>490.22</v>
      </c>
      <c r="N455" s="6">
        <v>10</v>
      </c>
      <c r="O455" s="5">
        <v>196.09</v>
      </c>
      <c r="P455" s="5">
        <v>264.72</v>
      </c>
      <c r="Q455" s="5">
        <v>2029.51</v>
      </c>
      <c r="R455" s="5">
        <v>1494.32</v>
      </c>
      <c r="S455" s="5">
        <v>535.19</v>
      </c>
      <c r="T455" s="7">
        <v>0.263704046789619</v>
      </c>
      <c r="U455" t="s">
        <v>11</v>
      </c>
      <c r="V455" t="s">
        <v>50</v>
      </c>
      <c r="W455" t="s">
        <v>50</v>
      </c>
      <c r="X455" t="s">
        <v>33</v>
      </c>
      <c r="Y455" t="s">
        <v>1733</v>
      </c>
      <c r="Z455" t="s">
        <v>80</v>
      </c>
    </row>
    <row r="456" spans="1:26">
      <c r="A456" t="s">
        <v>1734</v>
      </c>
      <c r="B456" t="s">
        <v>1734</v>
      </c>
      <c r="C456" s="4">
        <v>45786</v>
      </c>
      <c r="D456">
        <v>2025</v>
      </c>
      <c r="E456">
        <v>5</v>
      </c>
      <c r="F456" t="s">
        <v>21</v>
      </c>
      <c r="G456" t="s">
        <v>74</v>
      </c>
      <c r="H456" t="s">
        <v>1735</v>
      </c>
      <c r="I456" t="s">
        <v>429</v>
      </c>
      <c r="J456" t="s">
        <v>38</v>
      </c>
      <c r="K456" t="s">
        <v>236</v>
      </c>
      <c r="L456">
        <v>1</v>
      </c>
      <c r="M456" s="5">
        <v>389.61</v>
      </c>
      <c r="N456" s="6">
        <v>20</v>
      </c>
      <c r="O456" s="5">
        <v>77.92</v>
      </c>
      <c r="P456" s="5">
        <v>46.75</v>
      </c>
      <c r="Q456" s="5">
        <v>311.69</v>
      </c>
      <c r="R456" s="5">
        <v>336.07</v>
      </c>
      <c r="S456" s="5">
        <v>-24.38</v>
      </c>
      <c r="T456" s="7">
        <v>-0.0782187429818089</v>
      </c>
      <c r="U456" t="s">
        <v>13</v>
      </c>
      <c r="V456" t="s">
        <v>50</v>
      </c>
      <c r="W456" t="s">
        <v>50</v>
      </c>
      <c r="X456" t="s">
        <v>33</v>
      </c>
      <c r="Y456" t="s">
        <v>1736</v>
      </c>
      <c r="Z456" t="s">
        <v>101</v>
      </c>
    </row>
    <row r="457" spans="1:26">
      <c r="A457" t="s">
        <v>1737</v>
      </c>
      <c r="B457" t="s">
        <v>1737</v>
      </c>
      <c r="C457" s="4">
        <v>45961</v>
      </c>
      <c r="D457">
        <v>2025</v>
      </c>
      <c r="E457">
        <v>10</v>
      </c>
      <c r="F457" t="s">
        <v>26</v>
      </c>
      <c r="G457" t="s">
        <v>137</v>
      </c>
      <c r="H457" t="s">
        <v>1738</v>
      </c>
      <c r="I457" t="s">
        <v>251</v>
      </c>
      <c r="J457" t="s">
        <v>41</v>
      </c>
      <c r="K457" t="s">
        <v>588</v>
      </c>
      <c r="L457">
        <v>2</v>
      </c>
      <c r="M457" s="5">
        <v>205.93</v>
      </c>
      <c r="N457" s="6">
        <v>10</v>
      </c>
      <c r="O457" s="5">
        <v>41.19</v>
      </c>
      <c r="P457" s="5">
        <v>55.6</v>
      </c>
      <c r="Q457" s="5">
        <v>370.67</v>
      </c>
      <c r="R457" s="5">
        <v>340.4</v>
      </c>
      <c r="S457" s="5">
        <v>30.27</v>
      </c>
      <c r="T457" s="7">
        <v>0.0816629346858392</v>
      </c>
      <c r="U457" t="s">
        <v>13</v>
      </c>
      <c r="V457" t="s">
        <v>50</v>
      </c>
      <c r="W457" t="s">
        <v>50</v>
      </c>
      <c r="X457" t="s">
        <v>34</v>
      </c>
      <c r="Y457" t="s">
        <v>107</v>
      </c>
      <c r="Z457" t="s">
        <v>101</v>
      </c>
    </row>
    <row r="458" spans="1:26">
      <c r="A458" t="s">
        <v>1739</v>
      </c>
      <c r="B458" t="s">
        <v>1739</v>
      </c>
      <c r="C458" s="4">
        <v>45780</v>
      </c>
      <c r="D458">
        <v>2025</v>
      </c>
      <c r="E458">
        <v>5</v>
      </c>
      <c r="F458" t="s">
        <v>21</v>
      </c>
      <c r="G458" t="s">
        <v>74</v>
      </c>
      <c r="H458" t="s">
        <v>1740</v>
      </c>
      <c r="I458" t="s">
        <v>362</v>
      </c>
      <c r="J458" t="s">
        <v>111</v>
      </c>
      <c r="K458" t="s">
        <v>1280</v>
      </c>
      <c r="L458">
        <v>2</v>
      </c>
      <c r="M458" s="5">
        <v>329.69</v>
      </c>
      <c r="N458" s="6">
        <v>15</v>
      </c>
      <c r="O458" s="5">
        <v>98.91</v>
      </c>
      <c r="P458" s="5">
        <v>84.07</v>
      </c>
      <c r="Q458" s="5">
        <v>644.54</v>
      </c>
      <c r="R458" s="5">
        <v>494.5</v>
      </c>
      <c r="S458" s="5">
        <v>150.04</v>
      </c>
      <c r="T458" s="7">
        <v>0.232786173084681</v>
      </c>
      <c r="U458" t="s">
        <v>13</v>
      </c>
      <c r="V458" t="s">
        <v>50</v>
      </c>
      <c r="W458" t="s">
        <v>50</v>
      </c>
      <c r="X458" t="s">
        <v>33</v>
      </c>
      <c r="Y458" t="s">
        <v>785</v>
      </c>
      <c r="Z458" t="s">
        <v>80</v>
      </c>
    </row>
    <row r="459" spans="1:26">
      <c r="A459" t="s">
        <v>1741</v>
      </c>
      <c r="B459" t="s">
        <v>1741</v>
      </c>
      <c r="C459" s="4">
        <v>45892</v>
      </c>
      <c r="D459">
        <v>2025</v>
      </c>
      <c r="E459">
        <v>8</v>
      </c>
      <c r="F459" t="s">
        <v>24</v>
      </c>
      <c r="G459" t="s">
        <v>89</v>
      </c>
      <c r="H459" t="s">
        <v>969</v>
      </c>
      <c r="I459" t="s">
        <v>1742</v>
      </c>
      <c r="J459" t="s">
        <v>111</v>
      </c>
      <c r="K459" t="s">
        <v>112</v>
      </c>
      <c r="L459">
        <v>2</v>
      </c>
      <c r="M459" s="5">
        <v>268.32</v>
      </c>
      <c r="N459" s="6">
        <v>0</v>
      </c>
      <c r="O459" s="5">
        <v>0</v>
      </c>
      <c r="P459" s="5">
        <v>80.5</v>
      </c>
      <c r="Q459" s="5">
        <v>617.14</v>
      </c>
      <c r="R459" s="5">
        <v>482.88</v>
      </c>
      <c r="S459" s="5">
        <v>134.26</v>
      </c>
      <c r="T459" s="7">
        <v>0.217551933110801</v>
      </c>
      <c r="U459" t="s">
        <v>14</v>
      </c>
      <c r="V459" t="s">
        <v>50</v>
      </c>
      <c r="W459" t="s">
        <v>50</v>
      </c>
      <c r="X459" t="s">
        <v>33</v>
      </c>
      <c r="Y459" t="s">
        <v>1743</v>
      </c>
      <c r="Z459" t="s">
        <v>80</v>
      </c>
    </row>
    <row r="460" spans="1:26">
      <c r="A460" t="s">
        <v>1744</v>
      </c>
      <c r="B460" t="s">
        <v>662</v>
      </c>
      <c r="C460" s="4">
        <v>45804</v>
      </c>
      <c r="D460">
        <v>2025</v>
      </c>
      <c r="E460">
        <v>5</v>
      </c>
      <c r="F460" t="s">
        <v>21</v>
      </c>
      <c r="G460" t="s">
        <v>74</v>
      </c>
      <c r="H460" t="s">
        <v>1745</v>
      </c>
      <c r="I460" t="s">
        <v>1233</v>
      </c>
      <c r="J460" t="s">
        <v>280</v>
      </c>
      <c r="K460" t="s">
        <v>281</v>
      </c>
      <c r="L460">
        <v>8</v>
      </c>
      <c r="M460" s="5">
        <v>116.1</v>
      </c>
      <c r="N460" s="6">
        <v>0</v>
      </c>
      <c r="O460" s="5">
        <v>0</v>
      </c>
      <c r="P460" s="5">
        <v>139.32</v>
      </c>
      <c r="Q460" s="5">
        <v>928.8</v>
      </c>
      <c r="R460" s="5">
        <v>743.68</v>
      </c>
      <c r="S460" s="5">
        <v>185.12</v>
      </c>
      <c r="T460" s="7">
        <v>0.199310938845823</v>
      </c>
      <c r="U460" t="s">
        <v>11</v>
      </c>
      <c r="V460" t="s">
        <v>50</v>
      </c>
      <c r="W460" t="s">
        <v>50</v>
      </c>
      <c r="X460" t="s">
        <v>35</v>
      </c>
      <c r="Y460" t="s">
        <v>1746</v>
      </c>
      <c r="Z460" t="s">
        <v>101</v>
      </c>
    </row>
    <row r="461" spans="1:26">
      <c r="A461" t="s">
        <v>1747</v>
      </c>
      <c r="B461" t="s">
        <v>1747</v>
      </c>
      <c r="C461" s="4">
        <v>46002</v>
      </c>
      <c r="D461">
        <v>2025</v>
      </c>
      <c r="E461">
        <v>12</v>
      </c>
      <c r="F461" t="s">
        <v>28</v>
      </c>
      <c r="G461" t="s">
        <v>137</v>
      </c>
      <c r="H461" t="s">
        <v>1544</v>
      </c>
      <c r="I461" t="s">
        <v>547</v>
      </c>
      <c r="J461" t="s">
        <v>133</v>
      </c>
      <c r="K461" t="s">
        <v>1748</v>
      </c>
      <c r="L461">
        <v>4</v>
      </c>
      <c r="M461" s="5">
        <v>525.55</v>
      </c>
      <c r="N461" s="6">
        <v>20</v>
      </c>
      <c r="O461" s="5">
        <v>420.44</v>
      </c>
      <c r="P461" s="5">
        <v>252.26</v>
      </c>
      <c r="Q461" s="5">
        <v>1681.76</v>
      </c>
      <c r="R461" s="5">
        <v>1559.2</v>
      </c>
      <c r="S461" s="5">
        <v>122.56</v>
      </c>
      <c r="T461" s="7">
        <v>0.0728760346303872</v>
      </c>
      <c r="U461" t="s">
        <v>14</v>
      </c>
      <c r="V461" t="s">
        <v>51</v>
      </c>
      <c r="W461" t="s">
        <v>51</v>
      </c>
      <c r="X461" t="s">
        <v>33</v>
      </c>
      <c r="Y461" t="s">
        <v>1749</v>
      </c>
      <c r="Z461" t="s">
        <v>101</v>
      </c>
    </row>
    <row r="462" spans="1:26">
      <c r="A462" t="s">
        <v>1750</v>
      </c>
      <c r="B462" t="s">
        <v>1750</v>
      </c>
      <c r="C462" s="4">
        <v>45947</v>
      </c>
      <c r="D462">
        <v>2025</v>
      </c>
      <c r="E462">
        <v>10</v>
      </c>
      <c r="F462" t="s">
        <v>26</v>
      </c>
      <c r="G462" t="s">
        <v>137</v>
      </c>
      <c r="H462" t="s">
        <v>96</v>
      </c>
      <c r="I462" t="s">
        <v>750</v>
      </c>
      <c r="J462" t="s">
        <v>46</v>
      </c>
      <c r="K462" t="s">
        <v>1691</v>
      </c>
      <c r="L462">
        <v>5</v>
      </c>
      <c r="M462" s="5">
        <v>474.19</v>
      </c>
      <c r="N462" s="6">
        <v>10</v>
      </c>
      <c r="O462" s="5">
        <v>237.09</v>
      </c>
      <c r="P462" s="5">
        <v>320.08</v>
      </c>
      <c r="Q462" s="5">
        <v>2133.86</v>
      </c>
      <c r="R462" s="5">
        <v>1719.45</v>
      </c>
      <c r="S462" s="5">
        <v>414.41</v>
      </c>
      <c r="T462" s="7">
        <v>0.194206742710393</v>
      </c>
      <c r="U462" t="s">
        <v>9</v>
      </c>
      <c r="V462" t="s">
        <v>50</v>
      </c>
      <c r="W462" t="s">
        <v>50</v>
      </c>
      <c r="X462" t="s">
        <v>35</v>
      </c>
      <c r="Y462" t="s">
        <v>1751</v>
      </c>
      <c r="Z462" t="s">
        <v>101</v>
      </c>
    </row>
    <row r="463" spans="1:26">
      <c r="A463" t="s">
        <v>1752</v>
      </c>
      <c r="B463" t="s">
        <v>1752</v>
      </c>
      <c r="C463" s="4">
        <v>45941</v>
      </c>
      <c r="D463">
        <v>2025</v>
      </c>
      <c r="E463">
        <v>10</v>
      </c>
      <c r="F463" t="s">
        <v>26</v>
      </c>
      <c r="G463" t="s">
        <v>137</v>
      </c>
      <c r="H463" t="s">
        <v>189</v>
      </c>
      <c r="I463" t="s">
        <v>562</v>
      </c>
      <c r="J463" t="s">
        <v>345</v>
      </c>
      <c r="K463" t="s">
        <v>1753</v>
      </c>
      <c r="L463">
        <v>2</v>
      </c>
      <c r="M463" s="5">
        <v>404.97</v>
      </c>
      <c r="N463" s="6">
        <v>5</v>
      </c>
      <c r="O463" s="5">
        <v>40.5</v>
      </c>
      <c r="P463" s="5">
        <v>115.42</v>
      </c>
      <c r="Q463" s="5">
        <v>884.86</v>
      </c>
      <c r="R463" s="5">
        <v>682.48</v>
      </c>
      <c r="S463" s="5">
        <v>202.38</v>
      </c>
      <c r="T463" s="7">
        <v>0.228714146870691</v>
      </c>
      <c r="U463" t="s">
        <v>12</v>
      </c>
      <c r="V463" t="s">
        <v>50</v>
      </c>
      <c r="W463" t="s">
        <v>50</v>
      </c>
      <c r="X463" t="s">
        <v>33</v>
      </c>
      <c r="Y463" t="s">
        <v>1582</v>
      </c>
      <c r="Z463" t="s">
        <v>80</v>
      </c>
    </row>
    <row r="464" spans="1:26">
      <c r="A464" t="s">
        <v>1754</v>
      </c>
      <c r="B464" t="s">
        <v>1754</v>
      </c>
      <c r="C464" s="4">
        <v>45955</v>
      </c>
      <c r="D464">
        <v>2025</v>
      </c>
      <c r="E464">
        <v>10</v>
      </c>
      <c r="F464" t="s">
        <v>26</v>
      </c>
      <c r="G464" t="s">
        <v>137</v>
      </c>
      <c r="H464" t="s">
        <v>96</v>
      </c>
      <c r="I464" t="s">
        <v>947</v>
      </c>
      <c r="J464" t="s">
        <v>181</v>
      </c>
      <c r="K464" t="s">
        <v>1755</v>
      </c>
      <c r="L464">
        <v>3</v>
      </c>
      <c r="M464" s="5">
        <v>464.41</v>
      </c>
      <c r="N464" s="6">
        <v>0</v>
      </c>
      <c r="O464" s="5">
        <v>0</v>
      </c>
      <c r="P464" s="5">
        <v>208.98</v>
      </c>
      <c r="Q464" s="5">
        <v>1602.21</v>
      </c>
      <c r="R464" s="5">
        <v>1193.07</v>
      </c>
      <c r="S464" s="5">
        <v>409.14</v>
      </c>
      <c r="T464" s="7">
        <v>0.255359784297938</v>
      </c>
      <c r="U464" t="s">
        <v>12</v>
      </c>
      <c r="V464" t="s">
        <v>50</v>
      </c>
      <c r="W464" t="s">
        <v>50</v>
      </c>
      <c r="X464" t="s">
        <v>33</v>
      </c>
      <c r="Y464" t="s">
        <v>1756</v>
      </c>
      <c r="Z464" t="s">
        <v>80</v>
      </c>
    </row>
    <row r="465" spans="1:26">
      <c r="A465" t="s">
        <v>1757</v>
      </c>
      <c r="B465" t="s">
        <v>1757</v>
      </c>
      <c r="C465" s="4">
        <v>45823</v>
      </c>
      <c r="D465">
        <v>2025</v>
      </c>
      <c r="E465">
        <v>6</v>
      </c>
      <c r="F465" t="s">
        <v>22</v>
      </c>
      <c r="G465" t="s">
        <v>74</v>
      </c>
      <c r="H465" t="s">
        <v>224</v>
      </c>
      <c r="I465" t="s">
        <v>362</v>
      </c>
      <c r="J465" t="s">
        <v>127</v>
      </c>
      <c r="K465" t="s">
        <v>128</v>
      </c>
      <c r="L465">
        <v>5</v>
      </c>
      <c r="M465" s="5">
        <v>329.69</v>
      </c>
      <c r="N465" s="6">
        <v>5</v>
      </c>
      <c r="O465" s="5">
        <v>82.42</v>
      </c>
      <c r="P465" s="5">
        <v>234.9</v>
      </c>
      <c r="Q465" s="5">
        <v>1800.93</v>
      </c>
      <c r="R465" s="5">
        <v>1236.25</v>
      </c>
      <c r="S465" s="5">
        <v>564.68</v>
      </c>
      <c r="T465" s="7">
        <v>0.31354911073723</v>
      </c>
      <c r="U465" t="s">
        <v>14</v>
      </c>
      <c r="V465" t="s">
        <v>50</v>
      </c>
      <c r="W465" t="s">
        <v>50</v>
      </c>
      <c r="X465" t="s">
        <v>33</v>
      </c>
      <c r="Y465" t="s">
        <v>1758</v>
      </c>
      <c r="Z465" t="s">
        <v>80</v>
      </c>
    </row>
    <row r="466" spans="1:26">
      <c r="A466" t="s">
        <v>1759</v>
      </c>
      <c r="B466" t="s">
        <v>1759</v>
      </c>
      <c r="C466" s="4">
        <v>45913</v>
      </c>
      <c r="D466">
        <v>2025</v>
      </c>
      <c r="E466">
        <v>9</v>
      </c>
      <c r="F466" t="s">
        <v>25</v>
      </c>
      <c r="G466" t="s">
        <v>89</v>
      </c>
      <c r="H466" t="s">
        <v>428</v>
      </c>
      <c r="I466" t="s">
        <v>587</v>
      </c>
      <c r="J466" t="s">
        <v>659</v>
      </c>
      <c r="K466" t="s">
        <v>264</v>
      </c>
      <c r="L466">
        <v>8</v>
      </c>
      <c r="M466" s="5">
        <v>404.88</v>
      </c>
      <c r="N466" s="6">
        <v>0</v>
      </c>
      <c r="O466" s="5">
        <v>0</v>
      </c>
      <c r="P466" s="5">
        <v>485.86</v>
      </c>
      <c r="Q466" s="5">
        <v>3724.9</v>
      </c>
      <c r="R466" s="5">
        <v>2205.36</v>
      </c>
      <c r="S466" s="5">
        <v>1519.54</v>
      </c>
      <c r="T466" s="7">
        <v>0.407941152782625</v>
      </c>
      <c r="U466" t="s">
        <v>9</v>
      </c>
      <c r="V466" t="s">
        <v>50</v>
      </c>
      <c r="W466" t="s">
        <v>50</v>
      </c>
      <c r="X466" t="s">
        <v>35</v>
      </c>
      <c r="Y466" t="s">
        <v>864</v>
      </c>
      <c r="Z466" t="s">
        <v>80</v>
      </c>
    </row>
    <row r="467" spans="1:26">
      <c r="A467" t="s">
        <v>1760</v>
      </c>
      <c r="B467" t="s">
        <v>1760</v>
      </c>
      <c r="C467" s="4">
        <v>45974</v>
      </c>
      <c r="D467">
        <v>2025</v>
      </c>
      <c r="E467">
        <v>11</v>
      </c>
      <c r="F467" t="s">
        <v>27</v>
      </c>
      <c r="G467" t="s">
        <v>137</v>
      </c>
      <c r="H467" t="s">
        <v>1761</v>
      </c>
      <c r="I467" t="s">
        <v>262</v>
      </c>
      <c r="J467" t="s">
        <v>1440</v>
      </c>
      <c r="K467" t="s">
        <v>1441</v>
      </c>
      <c r="L467">
        <v>5</v>
      </c>
      <c r="M467" s="5">
        <v>147.97</v>
      </c>
      <c r="N467" s="6">
        <v>0</v>
      </c>
      <c r="O467" s="5">
        <v>0</v>
      </c>
      <c r="P467" s="5">
        <v>110.98</v>
      </c>
      <c r="Q467" s="5">
        <v>739.85</v>
      </c>
      <c r="R467" s="5">
        <v>564</v>
      </c>
      <c r="S467" s="5">
        <v>175.85</v>
      </c>
      <c r="T467" s="7">
        <v>0.237683314185308</v>
      </c>
      <c r="U467" t="s">
        <v>9</v>
      </c>
      <c r="V467" t="s">
        <v>50</v>
      </c>
      <c r="W467" t="s">
        <v>50</v>
      </c>
      <c r="X467" t="s">
        <v>33</v>
      </c>
      <c r="Y467" t="s">
        <v>87</v>
      </c>
      <c r="Z467" t="s">
        <v>101</v>
      </c>
    </row>
    <row r="468" spans="1:26">
      <c r="A468" t="s">
        <v>1762</v>
      </c>
      <c r="B468" t="s">
        <v>1762</v>
      </c>
      <c r="C468" s="4">
        <v>46026</v>
      </c>
      <c r="D468">
        <v>2026</v>
      </c>
      <c r="E468">
        <v>1</v>
      </c>
      <c r="F468" t="s">
        <v>30</v>
      </c>
      <c r="G468" t="s">
        <v>82</v>
      </c>
      <c r="H468" t="s">
        <v>1763</v>
      </c>
      <c r="I468" t="s">
        <v>647</v>
      </c>
      <c r="J468" t="s">
        <v>665</v>
      </c>
      <c r="K468" t="s">
        <v>1165</v>
      </c>
      <c r="L468">
        <v>2</v>
      </c>
      <c r="M468" s="5">
        <v>75.68</v>
      </c>
      <c r="N468" s="6">
        <v>20</v>
      </c>
      <c r="O468" s="5">
        <v>30.27</v>
      </c>
      <c r="P468" s="5">
        <v>18.16</v>
      </c>
      <c r="Q468" s="5">
        <v>139.25</v>
      </c>
      <c r="R468" s="5">
        <v>124.28</v>
      </c>
      <c r="S468" s="5">
        <v>14.97</v>
      </c>
      <c r="T468" s="7">
        <v>0.107504488330341</v>
      </c>
      <c r="U468" t="s">
        <v>12</v>
      </c>
      <c r="V468" t="s">
        <v>50</v>
      </c>
      <c r="W468" t="s">
        <v>50</v>
      </c>
      <c r="X468" t="s">
        <v>33</v>
      </c>
      <c r="Y468" t="s">
        <v>1764</v>
      </c>
      <c r="Z468" t="s">
        <v>80</v>
      </c>
    </row>
    <row r="469" spans="1:26">
      <c r="A469" t="s">
        <v>1765</v>
      </c>
      <c r="B469" t="s">
        <v>1765</v>
      </c>
      <c r="C469" s="4">
        <v>46090</v>
      </c>
      <c r="D469">
        <v>2026</v>
      </c>
      <c r="E469">
        <v>3</v>
      </c>
      <c r="F469" t="s">
        <v>19</v>
      </c>
      <c r="G469" t="s">
        <v>82</v>
      </c>
      <c r="H469" t="s">
        <v>1766</v>
      </c>
      <c r="I469" t="s">
        <v>350</v>
      </c>
      <c r="J469" t="s">
        <v>46</v>
      </c>
      <c r="K469" t="s">
        <v>821</v>
      </c>
      <c r="L469">
        <v>5</v>
      </c>
      <c r="M469" s="5">
        <v>343.56</v>
      </c>
      <c r="N469" s="6">
        <v>0</v>
      </c>
      <c r="O469" s="5">
        <v>0</v>
      </c>
      <c r="P469" s="5">
        <v>257.67</v>
      </c>
      <c r="Q469" s="5">
        <v>1717.8</v>
      </c>
      <c r="R469" s="5">
        <v>1081.6</v>
      </c>
      <c r="S469" s="5">
        <v>636.2</v>
      </c>
      <c r="T469" s="7">
        <v>0.370357433927116</v>
      </c>
      <c r="U469" t="s">
        <v>14</v>
      </c>
      <c r="V469" t="s">
        <v>50</v>
      </c>
      <c r="W469" t="s">
        <v>50</v>
      </c>
      <c r="X469" t="s">
        <v>34</v>
      </c>
      <c r="Y469" t="s">
        <v>100</v>
      </c>
      <c r="Z469" t="s">
        <v>101</v>
      </c>
    </row>
    <row r="470" spans="1:26">
      <c r="A470" t="s">
        <v>1767</v>
      </c>
      <c r="B470" t="s">
        <v>1767</v>
      </c>
      <c r="C470" s="4">
        <v>45966</v>
      </c>
      <c r="D470">
        <v>2025</v>
      </c>
      <c r="E470">
        <v>11</v>
      </c>
      <c r="F470" t="s">
        <v>27</v>
      </c>
      <c r="G470" t="s">
        <v>137</v>
      </c>
      <c r="H470" t="s">
        <v>1768</v>
      </c>
      <c r="I470" t="s">
        <v>986</v>
      </c>
      <c r="J470" t="s">
        <v>170</v>
      </c>
      <c r="K470" t="s">
        <v>568</v>
      </c>
      <c r="L470">
        <v>3</v>
      </c>
      <c r="M470" s="5">
        <v>349.11</v>
      </c>
      <c r="N470" s="6">
        <v>0</v>
      </c>
      <c r="O470" s="5">
        <v>0</v>
      </c>
      <c r="P470" s="5">
        <v>157.1</v>
      </c>
      <c r="Q470" s="5">
        <v>1047.33</v>
      </c>
      <c r="R470" s="5">
        <v>715.29</v>
      </c>
      <c r="S470" s="5">
        <v>332.04</v>
      </c>
      <c r="T470" s="7">
        <v>0.317034745495689</v>
      </c>
      <c r="U470" t="s">
        <v>9</v>
      </c>
      <c r="V470" t="s">
        <v>50</v>
      </c>
      <c r="W470" t="s">
        <v>50</v>
      </c>
      <c r="X470" t="s">
        <v>33</v>
      </c>
      <c r="Y470" t="s">
        <v>1769</v>
      </c>
      <c r="Z470" t="s">
        <v>101</v>
      </c>
    </row>
    <row r="471" spans="1:26">
      <c r="A471" t="s">
        <v>1770</v>
      </c>
      <c r="B471" t="s">
        <v>1770</v>
      </c>
      <c r="C471" s="4">
        <v>46008</v>
      </c>
      <c r="D471">
        <v>2025</v>
      </c>
      <c r="E471">
        <v>12</v>
      </c>
      <c r="F471" t="s">
        <v>28</v>
      </c>
      <c r="G471" t="s">
        <v>137</v>
      </c>
      <c r="H471" t="s">
        <v>552</v>
      </c>
      <c r="I471" t="s">
        <v>1051</v>
      </c>
      <c r="J471" t="s">
        <v>1014</v>
      </c>
      <c r="K471" t="s">
        <v>1015</v>
      </c>
      <c r="L471">
        <v>3</v>
      </c>
      <c r="M471" s="5">
        <v>284.56</v>
      </c>
      <c r="N471" s="6">
        <v>20</v>
      </c>
      <c r="O471" s="5">
        <v>170.74</v>
      </c>
      <c r="P471" s="5">
        <v>102.44</v>
      </c>
      <c r="Q471" s="5">
        <v>682.94</v>
      </c>
      <c r="R471" s="5">
        <v>645.09</v>
      </c>
      <c r="S471" s="5">
        <v>37.85</v>
      </c>
      <c r="T471" s="7">
        <v>0.0554221454300524</v>
      </c>
      <c r="U471" t="s">
        <v>13</v>
      </c>
      <c r="V471" t="s">
        <v>50</v>
      </c>
      <c r="W471" t="s">
        <v>50</v>
      </c>
      <c r="X471" t="s">
        <v>35</v>
      </c>
      <c r="Y471" t="s">
        <v>1265</v>
      </c>
      <c r="Z471" t="s">
        <v>101</v>
      </c>
    </row>
    <row r="472" spans="1:26">
      <c r="A472" t="s">
        <v>1771</v>
      </c>
      <c r="B472" t="s">
        <v>1771</v>
      </c>
      <c r="C472" s="4">
        <v>46062</v>
      </c>
      <c r="D472">
        <v>2026</v>
      </c>
      <c r="E472">
        <v>2</v>
      </c>
      <c r="F472" t="s">
        <v>31</v>
      </c>
      <c r="G472" t="s">
        <v>82</v>
      </c>
      <c r="H472" t="s">
        <v>1034</v>
      </c>
      <c r="I472" t="s">
        <v>411</v>
      </c>
      <c r="J472" t="s">
        <v>998</v>
      </c>
      <c r="K472" t="s">
        <v>1772</v>
      </c>
      <c r="L472">
        <v>6</v>
      </c>
      <c r="M472" s="5">
        <v>464.87</v>
      </c>
      <c r="N472" s="6">
        <v>0</v>
      </c>
      <c r="O472" s="5">
        <v>0</v>
      </c>
      <c r="P472" s="5">
        <v>418.38</v>
      </c>
      <c r="Q472" s="5">
        <v>2789.22</v>
      </c>
      <c r="R472" s="5">
        <v>2321.34</v>
      </c>
      <c r="S472" s="5">
        <v>467.88</v>
      </c>
      <c r="T472" s="7">
        <v>0.167745821412438</v>
      </c>
      <c r="U472" t="s">
        <v>9</v>
      </c>
      <c r="V472" t="s">
        <v>50</v>
      </c>
      <c r="W472" t="s">
        <v>50</v>
      </c>
      <c r="X472" t="s">
        <v>35</v>
      </c>
      <c r="Y472" t="s">
        <v>1773</v>
      </c>
      <c r="Z472" t="s">
        <v>101</v>
      </c>
    </row>
    <row r="473" spans="1:26">
      <c r="A473" t="s">
        <v>1774</v>
      </c>
      <c r="B473" t="s">
        <v>1774</v>
      </c>
      <c r="C473" s="4">
        <v>45804</v>
      </c>
      <c r="D473">
        <v>2025</v>
      </c>
      <c r="E473">
        <v>5</v>
      </c>
      <c r="F473" t="s">
        <v>21</v>
      </c>
      <c r="G473" t="s">
        <v>74</v>
      </c>
      <c r="H473" t="s">
        <v>1376</v>
      </c>
      <c r="I473" t="s">
        <v>598</v>
      </c>
      <c r="J473" t="s">
        <v>92</v>
      </c>
      <c r="K473" t="s">
        <v>1775</v>
      </c>
      <c r="L473">
        <v>1</v>
      </c>
      <c r="M473" s="5">
        <v>491.81</v>
      </c>
      <c r="N473" s="6">
        <v>20</v>
      </c>
      <c r="O473" s="5">
        <v>98.36</v>
      </c>
      <c r="P473" s="5">
        <v>59.02</v>
      </c>
      <c r="Q473" s="5">
        <v>393.45</v>
      </c>
      <c r="R473" s="5">
        <v>365.57</v>
      </c>
      <c r="S473" s="5">
        <v>27.88</v>
      </c>
      <c r="T473" s="7">
        <v>0.0708603380353285</v>
      </c>
      <c r="U473" t="s">
        <v>11</v>
      </c>
      <c r="V473" t="s">
        <v>50</v>
      </c>
      <c r="W473" t="s">
        <v>50</v>
      </c>
      <c r="X473" t="s">
        <v>34</v>
      </c>
      <c r="Y473" t="s">
        <v>1776</v>
      </c>
      <c r="Z473" t="s">
        <v>101</v>
      </c>
    </row>
    <row r="474" spans="1:26">
      <c r="A474" t="s">
        <v>1777</v>
      </c>
      <c r="B474" t="s">
        <v>1777</v>
      </c>
      <c r="C474" s="4">
        <v>45812</v>
      </c>
      <c r="D474">
        <v>2025</v>
      </c>
      <c r="E474">
        <v>6</v>
      </c>
      <c r="F474" t="s">
        <v>22</v>
      </c>
      <c r="G474" t="s">
        <v>74</v>
      </c>
      <c r="H474" t="s">
        <v>1778</v>
      </c>
      <c r="I474" t="s">
        <v>157</v>
      </c>
      <c r="J474" t="s">
        <v>390</v>
      </c>
      <c r="K474" t="s">
        <v>391</v>
      </c>
      <c r="L474">
        <v>6</v>
      </c>
      <c r="M474" s="5">
        <v>66.93</v>
      </c>
      <c r="N474" s="6">
        <v>0</v>
      </c>
      <c r="O474" s="5">
        <v>0</v>
      </c>
      <c r="P474" s="5">
        <v>60.24</v>
      </c>
      <c r="Q474" s="5">
        <v>401.58</v>
      </c>
      <c r="R474" s="5">
        <v>288.9</v>
      </c>
      <c r="S474" s="5">
        <v>112.68</v>
      </c>
      <c r="T474" s="7">
        <v>0.280591662931421</v>
      </c>
      <c r="U474" t="s">
        <v>9</v>
      </c>
      <c r="V474" t="s">
        <v>50</v>
      </c>
      <c r="W474" t="s">
        <v>50</v>
      </c>
      <c r="X474" t="s">
        <v>35</v>
      </c>
      <c r="Y474" t="s">
        <v>1779</v>
      </c>
      <c r="Z474" t="s">
        <v>101</v>
      </c>
    </row>
    <row r="475" spans="1:26">
      <c r="A475" t="s">
        <v>1780</v>
      </c>
      <c r="B475" t="s">
        <v>1780</v>
      </c>
      <c r="C475" s="4">
        <v>45835</v>
      </c>
      <c r="D475">
        <v>2025</v>
      </c>
      <c r="E475">
        <v>6</v>
      </c>
      <c r="F475" t="s">
        <v>22</v>
      </c>
      <c r="G475" t="s">
        <v>74</v>
      </c>
      <c r="H475" t="s">
        <v>1092</v>
      </c>
      <c r="I475" t="s">
        <v>169</v>
      </c>
      <c r="J475" t="s">
        <v>1781</v>
      </c>
      <c r="K475" t="s">
        <v>1782</v>
      </c>
      <c r="L475">
        <v>1</v>
      </c>
      <c r="M475" s="5">
        <v>141.11</v>
      </c>
      <c r="N475" s="6">
        <v>5</v>
      </c>
      <c r="O475" s="5">
        <v>7.06</v>
      </c>
      <c r="P475" s="5">
        <v>20.11</v>
      </c>
      <c r="Q475" s="5">
        <v>134.05</v>
      </c>
      <c r="R475" s="5">
        <v>115.91</v>
      </c>
      <c r="S475" s="5">
        <v>18.14</v>
      </c>
      <c r="T475" s="7">
        <v>0.135322640805669</v>
      </c>
      <c r="U475" t="s">
        <v>10</v>
      </c>
      <c r="V475" t="s">
        <v>50</v>
      </c>
      <c r="W475" t="s">
        <v>50</v>
      </c>
      <c r="X475" t="s">
        <v>33</v>
      </c>
      <c r="Y475" t="s">
        <v>1783</v>
      </c>
      <c r="Z475" t="s">
        <v>101</v>
      </c>
    </row>
    <row r="476" spans="1:26">
      <c r="A476" t="s">
        <v>1784</v>
      </c>
      <c r="B476" t="s">
        <v>1784</v>
      </c>
      <c r="C476" s="4">
        <v>45959</v>
      </c>
      <c r="D476">
        <v>2025</v>
      </c>
      <c r="E476">
        <v>10</v>
      </c>
      <c r="F476" t="s">
        <v>26</v>
      </c>
      <c r="G476" t="s">
        <v>137</v>
      </c>
      <c r="H476" t="s">
        <v>893</v>
      </c>
      <c r="I476" t="s">
        <v>84</v>
      </c>
      <c r="J476" t="s">
        <v>390</v>
      </c>
      <c r="K476" t="s">
        <v>391</v>
      </c>
      <c r="L476">
        <v>1</v>
      </c>
      <c r="M476" s="5">
        <v>448.94</v>
      </c>
      <c r="N476" s="6">
        <v>20</v>
      </c>
      <c r="O476" s="5">
        <v>89.79</v>
      </c>
      <c r="P476" s="5">
        <v>53.87</v>
      </c>
      <c r="Q476" s="5">
        <v>359.15</v>
      </c>
      <c r="R476" s="5">
        <v>380.08</v>
      </c>
      <c r="S476" s="5">
        <v>-20.93</v>
      </c>
      <c r="T476" s="7">
        <v>-0.0582764861478491</v>
      </c>
      <c r="U476" t="s">
        <v>13</v>
      </c>
      <c r="V476" t="s">
        <v>50</v>
      </c>
      <c r="W476" t="s">
        <v>50</v>
      </c>
      <c r="X476" t="s">
        <v>33</v>
      </c>
      <c r="Y476" t="s">
        <v>959</v>
      </c>
      <c r="Z476" t="s">
        <v>101</v>
      </c>
    </row>
    <row r="477" spans="1:26">
      <c r="A477" t="s">
        <v>1785</v>
      </c>
      <c r="B477" t="s">
        <v>1785</v>
      </c>
      <c r="C477" s="4">
        <v>45858</v>
      </c>
      <c r="D477">
        <v>2025</v>
      </c>
      <c r="E477">
        <v>7</v>
      </c>
      <c r="F477" t="s">
        <v>23</v>
      </c>
      <c r="G477" t="s">
        <v>89</v>
      </c>
      <c r="H477" t="s">
        <v>1786</v>
      </c>
      <c r="I477" t="s">
        <v>454</v>
      </c>
      <c r="J477" t="s">
        <v>1122</v>
      </c>
      <c r="K477" t="s">
        <v>1123</v>
      </c>
      <c r="L477">
        <v>4</v>
      </c>
      <c r="M477" s="5">
        <v>343.97</v>
      </c>
      <c r="N477" s="6">
        <v>20</v>
      </c>
      <c r="O477" s="5">
        <v>275.18</v>
      </c>
      <c r="P477" s="5">
        <v>165.1</v>
      </c>
      <c r="Q477" s="5">
        <v>1265.81</v>
      </c>
      <c r="R477" s="5">
        <v>738.96</v>
      </c>
      <c r="S477" s="5">
        <v>526.85</v>
      </c>
      <c r="T477" s="7">
        <v>0.416215703778608</v>
      </c>
      <c r="U477" t="s">
        <v>11</v>
      </c>
      <c r="V477" t="s">
        <v>50</v>
      </c>
      <c r="W477" t="s">
        <v>50</v>
      </c>
      <c r="X477" t="s">
        <v>34</v>
      </c>
      <c r="Y477" t="s">
        <v>1787</v>
      </c>
      <c r="Z477" t="s">
        <v>80</v>
      </c>
    </row>
    <row r="478" spans="1:26">
      <c r="A478" t="s">
        <v>1788</v>
      </c>
      <c r="B478" t="s">
        <v>1788</v>
      </c>
      <c r="C478" s="4">
        <v>46061</v>
      </c>
      <c r="D478">
        <v>2026</v>
      </c>
      <c r="E478">
        <v>2</v>
      </c>
      <c r="F478" t="s">
        <v>31</v>
      </c>
      <c r="G478" t="s">
        <v>82</v>
      </c>
      <c r="H478" t="s">
        <v>843</v>
      </c>
      <c r="I478" t="s">
        <v>1233</v>
      </c>
      <c r="J478" t="s">
        <v>246</v>
      </c>
      <c r="K478" t="s">
        <v>736</v>
      </c>
      <c r="L478">
        <v>4</v>
      </c>
      <c r="M478" s="5">
        <v>109.69</v>
      </c>
      <c r="N478" s="6">
        <v>20</v>
      </c>
      <c r="O478" s="5">
        <v>87.75</v>
      </c>
      <c r="P478" s="5">
        <v>52.65</v>
      </c>
      <c r="Q478" s="5">
        <v>403.66</v>
      </c>
      <c r="R478" s="5">
        <v>371.84</v>
      </c>
      <c r="S478" s="5">
        <v>31.82</v>
      </c>
      <c r="T478" s="7">
        <v>0.0788287172372789</v>
      </c>
      <c r="U478" t="s">
        <v>14</v>
      </c>
      <c r="V478" t="s">
        <v>50</v>
      </c>
      <c r="W478" t="s">
        <v>50</v>
      </c>
      <c r="X478" t="s">
        <v>35</v>
      </c>
      <c r="Y478" t="s">
        <v>1789</v>
      </c>
      <c r="Z478" t="s">
        <v>80</v>
      </c>
    </row>
    <row r="479" spans="1:26">
      <c r="A479" t="s">
        <v>1790</v>
      </c>
      <c r="B479" t="s">
        <v>1790</v>
      </c>
      <c r="C479" s="4">
        <v>46011</v>
      </c>
      <c r="D479">
        <v>2025</v>
      </c>
      <c r="E479">
        <v>12</v>
      </c>
      <c r="F479" t="s">
        <v>28</v>
      </c>
      <c r="G479" t="s">
        <v>137</v>
      </c>
      <c r="H479" t="s">
        <v>985</v>
      </c>
      <c r="I479" t="s">
        <v>1419</v>
      </c>
      <c r="J479" t="s">
        <v>133</v>
      </c>
      <c r="K479" t="s">
        <v>1748</v>
      </c>
      <c r="L479">
        <v>8</v>
      </c>
      <c r="M479" s="5">
        <v>323.91</v>
      </c>
      <c r="N479" s="6">
        <v>0</v>
      </c>
      <c r="O479" s="5">
        <v>0</v>
      </c>
      <c r="P479" s="5">
        <v>388.69</v>
      </c>
      <c r="Q479" s="5">
        <v>2979.97</v>
      </c>
      <c r="R479" s="5">
        <v>1880.4</v>
      </c>
      <c r="S479" s="5">
        <v>1099.57</v>
      </c>
      <c r="T479" s="7">
        <v>0.368986936110095</v>
      </c>
      <c r="U479" t="s">
        <v>14</v>
      </c>
      <c r="V479" t="s">
        <v>50</v>
      </c>
      <c r="W479" t="s">
        <v>50</v>
      </c>
      <c r="X479" t="s">
        <v>33</v>
      </c>
      <c r="Y479" t="s">
        <v>1758</v>
      </c>
      <c r="Z479" t="s">
        <v>80</v>
      </c>
    </row>
    <row r="480" spans="1:26">
      <c r="A480" t="s">
        <v>1791</v>
      </c>
      <c r="B480" t="s">
        <v>1791</v>
      </c>
      <c r="C480" s="4">
        <v>45803</v>
      </c>
      <c r="D480">
        <v>2025</v>
      </c>
      <c r="E480">
        <v>5</v>
      </c>
      <c r="F480" t="s">
        <v>21</v>
      </c>
      <c r="G480" t="s">
        <v>74</v>
      </c>
      <c r="H480" t="s">
        <v>1792</v>
      </c>
      <c r="I480" t="s">
        <v>268</v>
      </c>
      <c r="J480" t="s">
        <v>121</v>
      </c>
      <c r="K480" t="s">
        <v>122</v>
      </c>
      <c r="L480">
        <v>4</v>
      </c>
      <c r="M480" s="5">
        <v>332.74</v>
      </c>
      <c r="N480" s="6">
        <v>0</v>
      </c>
      <c r="O480" s="5">
        <v>0</v>
      </c>
      <c r="P480" s="5">
        <v>199.64</v>
      </c>
      <c r="Q480" s="5">
        <v>1330.96</v>
      </c>
      <c r="R480" s="5">
        <v>821.08</v>
      </c>
      <c r="S480" s="5">
        <v>509.88</v>
      </c>
      <c r="T480" s="7">
        <v>0.383091903588387</v>
      </c>
      <c r="U480" t="s">
        <v>12</v>
      </c>
      <c r="V480" t="s">
        <v>50</v>
      </c>
      <c r="W480" t="s">
        <v>50</v>
      </c>
      <c r="X480" t="s">
        <v>33</v>
      </c>
      <c r="Y480" t="s">
        <v>511</v>
      </c>
      <c r="Z480" t="s">
        <v>101</v>
      </c>
    </row>
    <row r="481" spans="1:26">
      <c r="A481" t="s">
        <v>1793</v>
      </c>
      <c r="B481" t="s">
        <v>1793</v>
      </c>
      <c r="C481" s="4">
        <v>46019</v>
      </c>
      <c r="D481">
        <v>2025</v>
      </c>
      <c r="E481">
        <v>12</v>
      </c>
      <c r="F481" t="s">
        <v>28</v>
      </c>
      <c r="G481" t="s">
        <v>137</v>
      </c>
      <c r="H481" t="s">
        <v>1294</v>
      </c>
      <c r="I481" t="s">
        <v>1714</v>
      </c>
      <c r="J481" t="s">
        <v>548</v>
      </c>
      <c r="K481" t="s">
        <v>1671</v>
      </c>
      <c r="L481">
        <v>8</v>
      </c>
      <c r="M481" s="5">
        <v>357.49</v>
      </c>
      <c r="N481" s="6">
        <v>10</v>
      </c>
      <c r="O481" s="5">
        <v>285.99</v>
      </c>
      <c r="P481" s="5">
        <v>386.09</v>
      </c>
      <c r="Q481" s="5">
        <v>2960.02</v>
      </c>
      <c r="R481" s="5">
        <v>2128.8</v>
      </c>
      <c r="S481" s="5">
        <v>831.22</v>
      </c>
      <c r="T481" s="7">
        <v>0.280815670164391</v>
      </c>
      <c r="U481" t="s">
        <v>14</v>
      </c>
      <c r="V481" t="s">
        <v>50</v>
      </c>
      <c r="W481" t="s">
        <v>50</v>
      </c>
      <c r="X481" t="s">
        <v>33</v>
      </c>
      <c r="Y481" t="s">
        <v>1083</v>
      </c>
      <c r="Z481" t="s">
        <v>80</v>
      </c>
    </row>
    <row r="482" spans="1:26">
      <c r="A482" t="s">
        <v>1794</v>
      </c>
      <c r="B482" t="s">
        <v>1794</v>
      </c>
      <c r="C482" s="4">
        <v>46056</v>
      </c>
      <c r="D482">
        <v>2026</v>
      </c>
      <c r="E482">
        <v>2</v>
      </c>
      <c r="F482" t="s">
        <v>31</v>
      </c>
      <c r="G482" t="s">
        <v>82</v>
      </c>
      <c r="H482" t="s">
        <v>1294</v>
      </c>
      <c r="I482" t="s">
        <v>151</v>
      </c>
      <c r="J482" t="s">
        <v>833</v>
      </c>
      <c r="K482" t="s">
        <v>1795</v>
      </c>
      <c r="L482">
        <v>5</v>
      </c>
      <c r="M482" s="5">
        <v>444.12</v>
      </c>
      <c r="N482" s="6">
        <v>20</v>
      </c>
      <c r="O482" s="5">
        <v>444.12</v>
      </c>
      <c r="P482" s="5">
        <v>266.47</v>
      </c>
      <c r="Q482" s="5">
        <v>1776.48</v>
      </c>
      <c r="R482" s="5">
        <v>1758.15</v>
      </c>
      <c r="S482" s="5">
        <v>18.33</v>
      </c>
      <c r="T482" s="7">
        <v>0.010318157254796</v>
      </c>
      <c r="U482" t="s">
        <v>11</v>
      </c>
      <c r="V482" t="s">
        <v>50</v>
      </c>
      <c r="W482" t="s">
        <v>50</v>
      </c>
      <c r="X482" t="s">
        <v>33</v>
      </c>
      <c r="Y482" t="s">
        <v>1796</v>
      </c>
      <c r="Z482" t="s">
        <v>101</v>
      </c>
    </row>
    <row r="483" spans="1:26">
      <c r="A483" t="s">
        <v>1797</v>
      </c>
      <c r="B483" t="s">
        <v>1797</v>
      </c>
      <c r="C483" s="4">
        <v>46110</v>
      </c>
      <c r="D483">
        <v>2026</v>
      </c>
      <c r="E483">
        <v>3</v>
      </c>
      <c r="F483" t="s">
        <v>19</v>
      </c>
      <c r="G483" t="s">
        <v>82</v>
      </c>
      <c r="H483" t="s">
        <v>502</v>
      </c>
      <c r="I483" t="s">
        <v>1233</v>
      </c>
      <c r="J483" t="s">
        <v>1409</v>
      </c>
      <c r="K483" t="s">
        <v>1410</v>
      </c>
      <c r="L483">
        <v>3</v>
      </c>
      <c r="M483" s="5">
        <v>109.69</v>
      </c>
      <c r="N483" s="6">
        <v>10</v>
      </c>
      <c r="O483" s="5">
        <v>32.91</v>
      </c>
      <c r="P483" s="5">
        <v>44.42</v>
      </c>
      <c r="Q483" s="5">
        <v>340.58</v>
      </c>
      <c r="R483" s="5">
        <v>278.88</v>
      </c>
      <c r="S483" s="5">
        <v>61.7</v>
      </c>
      <c r="T483" s="7">
        <v>0.181161547947619</v>
      </c>
      <c r="U483" t="s">
        <v>12</v>
      </c>
      <c r="V483" t="s">
        <v>50</v>
      </c>
      <c r="W483" t="s">
        <v>50</v>
      </c>
      <c r="X483" t="s">
        <v>35</v>
      </c>
      <c r="Y483" t="s">
        <v>353</v>
      </c>
      <c r="Z483" t="s">
        <v>80</v>
      </c>
    </row>
    <row r="484" spans="1:26">
      <c r="A484" t="s">
        <v>1798</v>
      </c>
      <c r="B484" t="s">
        <v>1798</v>
      </c>
      <c r="C484" s="4">
        <v>45910</v>
      </c>
      <c r="D484">
        <v>2025</v>
      </c>
      <c r="E484">
        <v>9</v>
      </c>
      <c r="F484" t="s">
        <v>25</v>
      </c>
      <c r="G484" t="s">
        <v>89</v>
      </c>
      <c r="H484" t="s">
        <v>1279</v>
      </c>
      <c r="I484" t="s">
        <v>1228</v>
      </c>
      <c r="J484" t="s">
        <v>42</v>
      </c>
      <c r="K484" t="s">
        <v>619</v>
      </c>
      <c r="L484">
        <v>6</v>
      </c>
      <c r="M484" s="5">
        <v>200.08</v>
      </c>
      <c r="N484" s="6">
        <v>10</v>
      </c>
      <c r="O484" s="5">
        <v>120.05</v>
      </c>
      <c r="P484" s="5">
        <v>162.06</v>
      </c>
      <c r="Q484" s="5">
        <v>1080.43</v>
      </c>
      <c r="R484" s="5">
        <v>949.68</v>
      </c>
      <c r="S484" s="5">
        <v>130.75</v>
      </c>
      <c r="T484" s="7">
        <v>0.121016632266783</v>
      </c>
      <c r="U484" t="s">
        <v>9</v>
      </c>
      <c r="V484" t="s">
        <v>50</v>
      </c>
      <c r="W484" t="s">
        <v>50</v>
      </c>
      <c r="X484" t="s">
        <v>33</v>
      </c>
      <c r="Y484" t="s">
        <v>830</v>
      </c>
      <c r="Z484" t="s">
        <v>101</v>
      </c>
    </row>
    <row r="485" spans="1:26">
      <c r="A485" t="s">
        <v>1799</v>
      </c>
      <c r="B485" t="s">
        <v>1799</v>
      </c>
      <c r="C485" s="4">
        <v>46046</v>
      </c>
      <c r="D485">
        <v>2026</v>
      </c>
      <c r="E485">
        <v>1</v>
      </c>
      <c r="F485" t="s">
        <v>30</v>
      </c>
      <c r="G485" t="s">
        <v>82</v>
      </c>
      <c r="H485" t="s">
        <v>1556</v>
      </c>
      <c r="I485" t="s">
        <v>344</v>
      </c>
      <c r="J485" t="s">
        <v>877</v>
      </c>
      <c r="K485" t="s">
        <v>878</v>
      </c>
      <c r="L485">
        <v>2</v>
      </c>
      <c r="M485" s="5">
        <v>507.5</v>
      </c>
      <c r="N485" s="6">
        <v>0</v>
      </c>
      <c r="O485" s="5">
        <v>0</v>
      </c>
      <c r="P485" s="5">
        <v>152.25</v>
      </c>
      <c r="Q485" s="5">
        <v>1167.25</v>
      </c>
      <c r="R485" s="5">
        <v>726.58</v>
      </c>
      <c r="S485" s="5">
        <v>440.67</v>
      </c>
      <c r="T485" s="7">
        <v>0.377528378667809</v>
      </c>
      <c r="U485" t="s">
        <v>12</v>
      </c>
      <c r="V485" t="s">
        <v>50</v>
      </c>
      <c r="W485" t="s">
        <v>50</v>
      </c>
      <c r="X485" t="s">
        <v>35</v>
      </c>
      <c r="Y485" t="s">
        <v>1800</v>
      </c>
      <c r="Z485" t="s">
        <v>80</v>
      </c>
    </row>
    <row r="486" spans="1:26">
      <c r="A486" t="s">
        <v>1801</v>
      </c>
      <c r="B486" t="s">
        <v>1801</v>
      </c>
      <c r="C486" s="4">
        <v>45860</v>
      </c>
      <c r="D486">
        <v>2025</v>
      </c>
      <c r="E486">
        <v>7</v>
      </c>
      <c r="F486" t="s">
        <v>23</v>
      </c>
      <c r="G486" t="s">
        <v>89</v>
      </c>
      <c r="H486" t="s">
        <v>578</v>
      </c>
      <c r="I486" t="s">
        <v>1132</v>
      </c>
      <c r="J486" t="s">
        <v>889</v>
      </c>
      <c r="K486" t="s">
        <v>1727</v>
      </c>
      <c r="L486">
        <v>1</v>
      </c>
      <c r="M486" s="5">
        <v>297.32</v>
      </c>
      <c r="N486" s="6">
        <v>20</v>
      </c>
      <c r="O486" s="5">
        <v>59.46</v>
      </c>
      <c r="P486" s="5">
        <v>35.68</v>
      </c>
      <c r="Q486" s="5">
        <v>237.86</v>
      </c>
      <c r="R486" s="5">
        <v>225.28</v>
      </c>
      <c r="S486" s="5">
        <v>12.58</v>
      </c>
      <c r="T486" s="7">
        <v>0.0528882535945514</v>
      </c>
      <c r="U486" t="s">
        <v>11</v>
      </c>
      <c r="V486" t="s">
        <v>50</v>
      </c>
      <c r="W486" t="s">
        <v>50</v>
      </c>
      <c r="X486" t="s">
        <v>35</v>
      </c>
      <c r="Y486" t="s">
        <v>1358</v>
      </c>
      <c r="Z486" t="s">
        <v>101</v>
      </c>
    </row>
    <row r="487" spans="1:26">
      <c r="A487" t="s">
        <v>1802</v>
      </c>
      <c r="B487" t="s">
        <v>1802</v>
      </c>
      <c r="C487" s="4">
        <v>46081</v>
      </c>
      <c r="D487">
        <v>2026</v>
      </c>
      <c r="E487">
        <v>2</v>
      </c>
      <c r="F487" t="s">
        <v>31</v>
      </c>
      <c r="G487" t="s">
        <v>82</v>
      </c>
      <c r="H487" t="s">
        <v>389</v>
      </c>
      <c r="I487" t="s">
        <v>459</v>
      </c>
      <c r="J487" t="s">
        <v>1085</v>
      </c>
      <c r="K487" t="s">
        <v>1086</v>
      </c>
      <c r="L487">
        <v>4</v>
      </c>
      <c r="M487" s="5">
        <v>102.61</v>
      </c>
      <c r="N487" s="6">
        <v>20</v>
      </c>
      <c r="O487" s="5">
        <v>82.09</v>
      </c>
      <c r="P487" s="5">
        <v>49.25</v>
      </c>
      <c r="Q487" s="5">
        <v>377.6</v>
      </c>
      <c r="R487" s="5">
        <v>319.28</v>
      </c>
      <c r="S487" s="5">
        <v>58.32</v>
      </c>
      <c r="T487" s="7">
        <v>0.154449152542373</v>
      </c>
      <c r="U487" t="s">
        <v>11</v>
      </c>
      <c r="V487" t="s">
        <v>50</v>
      </c>
      <c r="W487" t="s">
        <v>50</v>
      </c>
      <c r="X487" t="s">
        <v>33</v>
      </c>
      <c r="Y487" t="s">
        <v>1803</v>
      </c>
      <c r="Z487" t="s">
        <v>80</v>
      </c>
    </row>
    <row r="488" spans="1:26">
      <c r="A488" t="s">
        <v>1804</v>
      </c>
      <c r="B488" t="s">
        <v>1804</v>
      </c>
      <c r="C488" s="4">
        <v>45975</v>
      </c>
      <c r="D488">
        <v>2025</v>
      </c>
      <c r="E488">
        <v>11</v>
      </c>
      <c r="F488" t="s">
        <v>27</v>
      </c>
      <c r="G488" t="s">
        <v>137</v>
      </c>
      <c r="H488" t="s">
        <v>1805</v>
      </c>
      <c r="I488" t="s">
        <v>476</v>
      </c>
      <c r="J488" t="s">
        <v>593</v>
      </c>
      <c r="K488" t="s">
        <v>1480</v>
      </c>
      <c r="L488">
        <v>2</v>
      </c>
      <c r="M488" s="5">
        <v>305.67</v>
      </c>
      <c r="N488" s="6">
        <v>0</v>
      </c>
      <c r="O488" s="5">
        <v>0</v>
      </c>
      <c r="P488" s="5">
        <v>91.7</v>
      </c>
      <c r="Q488" s="5">
        <v>611.34</v>
      </c>
      <c r="R488" s="5">
        <v>502.84</v>
      </c>
      <c r="S488" s="5">
        <v>108.5</v>
      </c>
      <c r="T488" s="7">
        <v>0.177478980599994</v>
      </c>
      <c r="U488" t="s">
        <v>12</v>
      </c>
      <c r="V488" t="s">
        <v>50</v>
      </c>
      <c r="W488" t="s">
        <v>50</v>
      </c>
      <c r="X488" t="s">
        <v>33</v>
      </c>
      <c r="Y488" t="s">
        <v>1313</v>
      </c>
      <c r="Z488" t="s">
        <v>101</v>
      </c>
    </row>
    <row r="489" spans="1:26">
      <c r="A489" t="s">
        <v>1806</v>
      </c>
      <c r="B489" t="s">
        <v>1806</v>
      </c>
      <c r="C489" s="4">
        <v>45980</v>
      </c>
      <c r="D489">
        <v>2025</v>
      </c>
      <c r="E489">
        <v>11</v>
      </c>
      <c r="F489" t="s">
        <v>27</v>
      </c>
      <c r="G489" t="s">
        <v>137</v>
      </c>
      <c r="H489" t="s">
        <v>1807</v>
      </c>
      <c r="I489" t="s">
        <v>411</v>
      </c>
      <c r="J489" t="s">
        <v>1347</v>
      </c>
      <c r="K489" t="s">
        <v>1808</v>
      </c>
      <c r="L489">
        <v>1</v>
      </c>
      <c r="M489" s="5">
        <v>459.58</v>
      </c>
      <c r="N489" s="6">
        <v>0</v>
      </c>
      <c r="O489" s="5">
        <v>0</v>
      </c>
      <c r="P489" s="5">
        <v>68.94</v>
      </c>
      <c r="Q489" s="5">
        <v>459.58</v>
      </c>
      <c r="R489" s="5">
        <v>386.89</v>
      </c>
      <c r="S489" s="5">
        <v>72.69</v>
      </c>
      <c r="T489" s="7">
        <v>0.158166151703729</v>
      </c>
      <c r="U489" t="s">
        <v>10</v>
      </c>
      <c r="V489" t="s">
        <v>50</v>
      </c>
      <c r="W489" t="s">
        <v>50</v>
      </c>
      <c r="X489" t="s">
        <v>33</v>
      </c>
      <c r="Y489" t="s">
        <v>1809</v>
      </c>
      <c r="Z489" t="s">
        <v>101</v>
      </c>
    </row>
    <row r="490" spans="1:26">
      <c r="A490" t="s">
        <v>1810</v>
      </c>
      <c r="B490" t="s">
        <v>1810</v>
      </c>
      <c r="C490" s="4">
        <v>45951</v>
      </c>
      <c r="D490">
        <v>2025</v>
      </c>
      <c r="E490">
        <v>10</v>
      </c>
      <c r="F490" t="s">
        <v>26</v>
      </c>
      <c r="G490" t="s">
        <v>137</v>
      </c>
      <c r="H490" t="s">
        <v>1811</v>
      </c>
      <c r="I490" t="s">
        <v>356</v>
      </c>
      <c r="J490" t="s">
        <v>914</v>
      </c>
      <c r="K490" t="s">
        <v>1812</v>
      </c>
      <c r="L490">
        <v>3</v>
      </c>
      <c r="M490" s="5">
        <v>512.71</v>
      </c>
      <c r="N490" s="6">
        <v>0</v>
      </c>
      <c r="O490" s="5">
        <v>0</v>
      </c>
      <c r="P490" s="5">
        <v>230.72</v>
      </c>
      <c r="Q490" s="5">
        <v>1538.13</v>
      </c>
      <c r="R490" s="5">
        <v>848.64</v>
      </c>
      <c r="S490" s="5">
        <v>689.49</v>
      </c>
      <c r="T490" s="7">
        <v>0.448265101129293</v>
      </c>
      <c r="U490" t="s">
        <v>13</v>
      </c>
      <c r="V490" t="s">
        <v>50</v>
      </c>
      <c r="W490" t="s">
        <v>50</v>
      </c>
      <c r="X490" t="s">
        <v>33</v>
      </c>
      <c r="Y490" t="s">
        <v>1329</v>
      </c>
      <c r="Z490" t="s">
        <v>101</v>
      </c>
    </row>
    <row r="491" spans="1:26">
      <c r="A491" t="s">
        <v>1813</v>
      </c>
      <c r="B491" t="s">
        <v>1813</v>
      </c>
      <c r="C491" s="4">
        <v>45994</v>
      </c>
      <c r="D491">
        <v>2025</v>
      </c>
      <c r="E491">
        <v>12</v>
      </c>
      <c r="F491" t="s">
        <v>28</v>
      </c>
      <c r="G491" t="s">
        <v>137</v>
      </c>
      <c r="H491" t="s">
        <v>1814</v>
      </c>
      <c r="I491" t="s">
        <v>1233</v>
      </c>
      <c r="J491" t="s">
        <v>44</v>
      </c>
      <c r="K491" t="s">
        <v>1286</v>
      </c>
      <c r="L491">
        <v>1</v>
      </c>
      <c r="M491" s="5">
        <v>109.69</v>
      </c>
      <c r="N491" s="6">
        <v>20</v>
      </c>
      <c r="O491" s="5">
        <v>21.94</v>
      </c>
      <c r="P491" s="5">
        <v>13.16</v>
      </c>
      <c r="Q491" s="5">
        <v>87.75</v>
      </c>
      <c r="R491" s="5">
        <v>92.96</v>
      </c>
      <c r="S491" s="5">
        <v>-5.21</v>
      </c>
      <c r="T491" s="7">
        <v>-0.0593732193732194</v>
      </c>
      <c r="U491" t="s">
        <v>13</v>
      </c>
      <c r="V491" t="s">
        <v>50</v>
      </c>
      <c r="W491" t="s">
        <v>50</v>
      </c>
      <c r="X491" t="s">
        <v>33</v>
      </c>
      <c r="Y491" t="s">
        <v>1815</v>
      </c>
      <c r="Z491" t="s">
        <v>101</v>
      </c>
    </row>
    <row r="492" spans="1:26">
      <c r="A492" t="s">
        <v>1816</v>
      </c>
      <c r="B492" t="s">
        <v>1816</v>
      </c>
      <c r="C492" s="4">
        <v>45749</v>
      </c>
      <c r="D492">
        <v>2025</v>
      </c>
      <c r="E492">
        <v>4</v>
      </c>
      <c r="F492" t="s">
        <v>20</v>
      </c>
      <c r="G492" t="s">
        <v>74</v>
      </c>
      <c r="H492" t="s">
        <v>1549</v>
      </c>
      <c r="I492" t="s">
        <v>543</v>
      </c>
      <c r="J492" t="s">
        <v>1272</v>
      </c>
      <c r="K492" t="s">
        <v>971</v>
      </c>
      <c r="L492">
        <v>6</v>
      </c>
      <c r="M492" s="5">
        <v>432.81</v>
      </c>
      <c r="N492" s="6">
        <v>10</v>
      </c>
      <c r="O492" s="5">
        <v>259.69</v>
      </c>
      <c r="P492" s="5">
        <v>350.58</v>
      </c>
      <c r="Q492" s="5">
        <v>2337.17</v>
      </c>
      <c r="R492" s="5">
        <v>2084.82</v>
      </c>
      <c r="S492" s="5">
        <v>252.35</v>
      </c>
      <c r="T492" s="7">
        <v>0.107972462422502</v>
      </c>
      <c r="U492" t="s">
        <v>14</v>
      </c>
      <c r="V492" t="s">
        <v>50</v>
      </c>
      <c r="W492" t="s">
        <v>50</v>
      </c>
      <c r="X492" t="s">
        <v>33</v>
      </c>
      <c r="Y492" t="s">
        <v>1241</v>
      </c>
      <c r="Z492" t="s">
        <v>101</v>
      </c>
    </row>
    <row r="493" spans="1:26">
      <c r="A493" t="s">
        <v>1817</v>
      </c>
      <c r="B493" t="s">
        <v>1817</v>
      </c>
      <c r="C493" s="4">
        <v>46012</v>
      </c>
      <c r="D493">
        <v>2025</v>
      </c>
      <c r="E493">
        <v>12</v>
      </c>
      <c r="F493" t="s">
        <v>28</v>
      </c>
      <c r="G493" t="s">
        <v>137</v>
      </c>
      <c r="H493" t="s">
        <v>985</v>
      </c>
      <c r="I493" t="s">
        <v>235</v>
      </c>
      <c r="J493" t="s">
        <v>948</v>
      </c>
      <c r="K493" t="s">
        <v>949</v>
      </c>
      <c r="L493">
        <v>7</v>
      </c>
      <c r="M493" s="5">
        <v>223.81</v>
      </c>
      <c r="N493" s="6">
        <v>10</v>
      </c>
      <c r="O493" s="5">
        <v>156.67</v>
      </c>
      <c r="P493" s="5">
        <v>211.5</v>
      </c>
      <c r="Q493" s="5">
        <v>1621.5</v>
      </c>
      <c r="R493" s="5">
        <v>1239.21</v>
      </c>
      <c r="S493" s="5">
        <v>382.29</v>
      </c>
      <c r="T493" s="7">
        <v>0.235763182238668</v>
      </c>
      <c r="U493" t="s">
        <v>13</v>
      </c>
      <c r="V493" t="s">
        <v>50</v>
      </c>
      <c r="W493" t="s">
        <v>50</v>
      </c>
      <c r="X493" t="s">
        <v>33</v>
      </c>
      <c r="Y493" t="s">
        <v>1652</v>
      </c>
      <c r="Z493" t="s">
        <v>80</v>
      </c>
    </row>
    <row r="494" spans="1:26">
      <c r="A494" t="s">
        <v>1818</v>
      </c>
      <c r="B494" t="s">
        <v>1818</v>
      </c>
      <c r="C494" s="4">
        <v>46096</v>
      </c>
      <c r="D494">
        <v>2026</v>
      </c>
      <c r="E494">
        <v>3</v>
      </c>
      <c r="F494" t="s">
        <v>19</v>
      </c>
      <c r="G494" t="s">
        <v>82</v>
      </c>
      <c r="H494" t="s">
        <v>1819</v>
      </c>
      <c r="I494" t="s">
        <v>374</v>
      </c>
      <c r="J494" t="s">
        <v>307</v>
      </c>
      <c r="K494" t="s">
        <v>308</v>
      </c>
      <c r="L494">
        <v>4</v>
      </c>
      <c r="M494" s="5">
        <v>400.33</v>
      </c>
      <c r="N494" s="6">
        <v>10</v>
      </c>
      <c r="O494" s="5">
        <v>160.13</v>
      </c>
      <c r="P494" s="5">
        <v>216.18</v>
      </c>
      <c r="Q494" s="5">
        <v>1657.37</v>
      </c>
      <c r="R494" s="5">
        <v>1363.6</v>
      </c>
      <c r="S494" s="5">
        <v>293.77</v>
      </c>
      <c r="T494" s="7">
        <v>0.177250704429307</v>
      </c>
      <c r="U494" t="s">
        <v>10</v>
      </c>
      <c r="V494" t="s">
        <v>50</v>
      </c>
      <c r="W494" t="s">
        <v>50</v>
      </c>
      <c r="X494" t="s">
        <v>33</v>
      </c>
      <c r="Y494" t="s">
        <v>1820</v>
      </c>
      <c r="Z494" t="s">
        <v>80</v>
      </c>
    </row>
    <row r="495" spans="1:26">
      <c r="A495" t="s">
        <v>1821</v>
      </c>
      <c r="B495" t="s">
        <v>1821</v>
      </c>
      <c r="C495" s="4">
        <v>46013</v>
      </c>
      <c r="D495">
        <v>2025</v>
      </c>
      <c r="E495">
        <v>12</v>
      </c>
      <c r="F495" t="s">
        <v>28</v>
      </c>
      <c r="G495" t="s">
        <v>137</v>
      </c>
      <c r="H495" t="s">
        <v>1041</v>
      </c>
      <c r="I495" t="s">
        <v>219</v>
      </c>
      <c r="J495" t="s">
        <v>158</v>
      </c>
      <c r="K495" t="s">
        <v>778</v>
      </c>
      <c r="L495">
        <v>1</v>
      </c>
      <c r="M495" s="5">
        <v>225.45</v>
      </c>
      <c r="N495" s="6">
        <v>15</v>
      </c>
      <c r="O495" s="5">
        <v>33.82</v>
      </c>
      <c r="P495" s="5">
        <v>28.74</v>
      </c>
      <c r="Q495" s="5">
        <v>191.63</v>
      </c>
      <c r="R495" s="5">
        <v>190.9</v>
      </c>
      <c r="S495" s="5">
        <v>0.73</v>
      </c>
      <c r="T495" s="7">
        <v>0.00380942441162657</v>
      </c>
      <c r="U495" t="s">
        <v>13</v>
      </c>
      <c r="V495" t="s">
        <v>50</v>
      </c>
      <c r="W495" t="s">
        <v>50</v>
      </c>
      <c r="X495" t="s">
        <v>35</v>
      </c>
      <c r="Y495" t="s">
        <v>148</v>
      </c>
      <c r="Z495" t="s">
        <v>101</v>
      </c>
    </row>
    <row r="496" spans="1:26">
      <c r="A496" t="s">
        <v>1822</v>
      </c>
      <c r="B496" t="s">
        <v>1822</v>
      </c>
      <c r="C496" s="4">
        <v>45802</v>
      </c>
      <c r="D496">
        <v>2025</v>
      </c>
      <c r="E496">
        <v>5</v>
      </c>
      <c r="F496" t="s">
        <v>21</v>
      </c>
      <c r="G496" t="s">
        <v>74</v>
      </c>
      <c r="H496" t="s">
        <v>1823</v>
      </c>
      <c r="I496" t="s">
        <v>454</v>
      </c>
      <c r="J496" t="s">
        <v>175</v>
      </c>
      <c r="K496" t="s">
        <v>455</v>
      </c>
      <c r="L496">
        <v>3</v>
      </c>
      <c r="M496" s="5">
        <v>299.73</v>
      </c>
      <c r="N496" s="6">
        <v>0</v>
      </c>
      <c r="O496" s="5">
        <v>0</v>
      </c>
      <c r="P496" s="5">
        <v>134.88</v>
      </c>
      <c r="Q496" s="5">
        <v>1034.07</v>
      </c>
      <c r="R496" s="5">
        <v>554.22</v>
      </c>
      <c r="S496" s="5">
        <v>479.85</v>
      </c>
      <c r="T496" s="7">
        <v>0.464040152020656</v>
      </c>
      <c r="U496" t="s">
        <v>13</v>
      </c>
      <c r="V496" t="s">
        <v>50</v>
      </c>
      <c r="W496" t="s">
        <v>50</v>
      </c>
      <c r="X496" t="s">
        <v>33</v>
      </c>
      <c r="Y496" t="s">
        <v>1824</v>
      </c>
      <c r="Z496" t="s">
        <v>80</v>
      </c>
    </row>
    <row r="497" spans="1:26">
      <c r="A497" t="s">
        <v>1825</v>
      </c>
      <c r="B497" t="s">
        <v>1825</v>
      </c>
      <c r="C497" s="4">
        <v>46061</v>
      </c>
      <c r="D497">
        <v>2026</v>
      </c>
      <c r="E497">
        <v>2</v>
      </c>
      <c r="F497" t="s">
        <v>31</v>
      </c>
      <c r="G497" t="s">
        <v>82</v>
      </c>
      <c r="H497" t="s">
        <v>1613</v>
      </c>
      <c r="I497" t="s">
        <v>750</v>
      </c>
      <c r="J497" t="s">
        <v>339</v>
      </c>
      <c r="K497" t="s">
        <v>1423</v>
      </c>
      <c r="L497">
        <v>3</v>
      </c>
      <c r="M497" s="5">
        <v>540.85</v>
      </c>
      <c r="N497" s="6">
        <v>0</v>
      </c>
      <c r="O497" s="5">
        <v>0</v>
      </c>
      <c r="P497" s="5">
        <v>243.38</v>
      </c>
      <c r="Q497" s="5">
        <v>1865.93</v>
      </c>
      <c r="R497" s="5">
        <v>1031.67</v>
      </c>
      <c r="S497" s="5">
        <v>834.26</v>
      </c>
      <c r="T497" s="7">
        <v>0.447101445391842</v>
      </c>
      <c r="U497" t="s">
        <v>11</v>
      </c>
      <c r="V497" t="s">
        <v>50</v>
      </c>
      <c r="W497" t="s">
        <v>50</v>
      </c>
      <c r="X497" t="s">
        <v>33</v>
      </c>
      <c r="Y497" t="s">
        <v>1826</v>
      </c>
      <c r="Z497" t="s">
        <v>80</v>
      </c>
    </row>
    <row r="498" spans="1:26">
      <c r="A498" t="s">
        <v>1827</v>
      </c>
      <c r="B498" t="s">
        <v>1827</v>
      </c>
      <c r="C498" s="4">
        <v>45823</v>
      </c>
      <c r="D498">
        <v>2025</v>
      </c>
      <c r="E498">
        <v>6</v>
      </c>
      <c r="F498" t="s">
        <v>22</v>
      </c>
      <c r="G498" t="s">
        <v>74</v>
      </c>
      <c r="H498" t="s">
        <v>373</v>
      </c>
      <c r="I498" t="s">
        <v>924</v>
      </c>
      <c r="J498" t="s">
        <v>197</v>
      </c>
      <c r="K498" t="s">
        <v>198</v>
      </c>
      <c r="L498">
        <v>3</v>
      </c>
      <c r="M498" s="5">
        <v>270.85</v>
      </c>
      <c r="N498" s="6">
        <v>0</v>
      </c>
      <c r="O498" s="5">
        <v>0</v>
      </c>
      <c r="P498" s="5">
        <v>121.88</v>
      </c>
      <c r="Q498" s="5">
        <v>934.43</v>
      </c>
      <c r="R498" s="5">
        <v>583.92</v>
      </c>
      <c r="S498" s="5">
        <v>350.51</v>
      </c>
      <c r="T498" s="7">
        <v>0.375105679398136</v>
      </c>
      <c r="U498" t="s">
        <v>14</v>
      </c>
      <c r="V498" t="s">
        <v>50</v>
      </c>
      <c r="W498" t="s">
        <v>50</v>
      </c>
      <c r="X498" t="s">
        <v>33</v>
      </c>
      <c r="Y498" t="s">
        <v>1828</v>
      </c>
      <c r="Z498" t="s">
        <v>80</v>
      </c>
    </row>
    <row r="499" spans="1:26">
      <c r="A499" t="s">
        <v>1829</v>
      </c>
      <c r="B499" t="s">
        <v>1829</v>
      </c>
      <c r="C499" s="4">
        <v>46030</v>
      </c>
      <c r="D499">
        <v>2026</v>
      </c>
      <c r="E499">
        <v>1</v>
      </c>
      <c r="F499" t="s">
        <v>30</v>
      </c>
      <c r="G499" t="s">
        <v>82</v>
      </c>
      <c r="H499" t="s">
        <v>224</v>
      </c>
      <c r="I499" t="s">
        <v>312</v>
      </c>
      <c r="J499" t="s">
        <v>77</v>
      </c>
      <c r="K499" t="s">
        <v>1830</v>
      </c>
      <c r="L499">
        <v>3</v>
      </c>
      <c r="M499" s="5">
        <v>383.51</v>
      </c>
      <c r="N499" s="6">
        <v>0</v>
      </c>
      <c r="O499" s="5">
        <v>0</v>
      </c>
      <c r="P499" s="5">
        <v>172.58</v>
      </c>
      <c r="Q499" s="5">
        <v>1150.53</v>
      </c>
      <c r="R499" s="5">
        <v>857.7</v>
      </c>
      <c r="S499" s="5">
        <v>292.83</v>
      </c>
      <c r="T499" s="7">
        <v>0.254517483246851</v>
      </c>
      <c r="U499" t="s">
        <v>13</v>
      </c>
      <c r="V499" t="s">
        <v>50</v>
      </c>
      <c r="W499" t="s">
        <v>50</v>
      </c>
      <c r="X499" t="s">
        <v>33</v>
      </c>
      <c r="Y499" t="s">
        <v>1831</v>
      </c>
      <c r="Z499" t="s">
        <v>101</v>
      </c>
    </row>
    <row r="500" spans="1:26">
      <c r="A500" t="s">
        <v>1832</v>
      </c>
      <c r="B500" t="s">
        <v>1832</v>
      </c>
      <c r="C500" s="4">
        <v>45940</v>
      </c>
      <c r="D500">
        <v>2025</v>
      </c>
      <c r="E500">
        <v>10</v>
      </c>
      <c r="F500" t="s">
        <v>26</v>
      </c>
      <c r="G500" t="s">
        <v>137</v>
      </c>
      <c r="H500" t="s">
        <v>1833</v>
      </c>
      <c r="I500" t="s">
        <v>937</v>
      </c>
      <c r="J500" t="s">
        <v>1834</v>
      </c>
      <c r="K500" t="s">
        <v>1835</v>
      </c>
      <c r="L500">
        <v>3</v>
      </c>
      <c r="M500" s="5">
        <v>438.7</v>
      </c>
      <c r="N500" s="6">
        <v>0</v>
      </c>
      <c r="O500" s="5">
        <v>0</v>
      </c>
      <c r="P500" s="5">
        <v>197.42</v>
      </c>
      <c r="Q500" s="5">
        <v>1316.1</v>
      </c>
      <c r="R500" s="5">
        <v>1110.54</v>
      </c>
      <c r="S500" s="5">
        <v>205.56</v>
      </c>
      <c r="T500" s="7">
        <v>0.156188739457488</v>
      </c>
      <c r="U500" t="s">
        <v>10</v>
      </c>
      <c r="V500" t="s">
        <v>50</v>
      </c>
      <c r="W500" t="s">
        <v>50</v>
      </c>
      <c r="X500" t="s">
        <v>33</v>
      </c>
      <c r="Y500" t="s">
        <v>1836</v>
      </c>
      <c r="Z500" t="s">
        <v>101</v>
      </c>
    </row>
    <row r="501" spans="1:26">
      <c r="A501" t="s">
        <v>1837</v>
      </c>
      <c r="B501" t="s">
        <v>1837</v>
      </c>
      <c r="C501" s="4">
        <v>45934</v>
      </c>
      <c r="D501">
        <v>2025</v>
      </c>
      <c r="E501">
        <v>10</v>
      </c>
      <c r="F501" t="s">
        <v>26</v>
      </c>
      <c r="G501" t="s">
        <v>137</v>
      </c>
      <c r="H501" t="s">
        <v>1838</v>
      </c>
      <c r="I501" t="s">
        <v>1839</v>
      </c>
      <c r="J501" t="s">
        <v>1718</v>
      </c>
      <c r="K501" t="s">
        <v>1610</v>
      </c>
      <c r="L501">
        <v>6</v>
      </c>
      <c r="M501" s="5">
        <v>46</v>
      </c>
      <c r="N501" s="6">
        <v>0</v>
      </c>
      <c r="O501" s="5">
        <v>0</v>
      </c>
      <c r="P501" s="5">
        <v>41.4</v>
      </c>
      <c r="Q501" s="5">
        <v>317.4</v>
      </c>
      <c r="R501" s="5">
        <v>219.54</v>
      </c>
      <c r="S501" s="5">
        <v>97.86</v>
      </c>
      <c r="T501" s="7">
        <v>0.308317580340265</v>
      </c>
      <c r="U501" t="s">
        <v>10</v>
      </c>
      <c r="V501" t="s">
        <v>50</v>
      </c>
      <c r="W501" t="s">
        <v>50</v>
      </c>
      <c r="X501" t="s">
        <v>35</v>
      </c>
      <c r="Y501" t="s">
        <v>1840</v>
      </c>
      <c r="Z501" t="s">
        <v>80</v>
      </c>
    </row>
    <row r="502" spans="1:26">
      <c r="A502" t="s">
        <v>1841</v>
      </c>
      <c r="B502" t="s">
        <v>1841</v>
      </c>
      <c r="C502" s="4">
        <v>45885</v>
      </c>
      <c r="D502">
        <v>2025</v>
      </c>
      <c r="E502">
        <v>8</v>
      </c>
      <c r="F502" t="s">
        <v>24</v>
      </c>
      <c r="G502" t="s">
        <v>89</v>
      </c>
      <c r="H502" t="s">
        <v>675</v>
      </c>
      <c r="I502" t="s">
        <v>986</v>
      </c>
      <c r="J502" t="s">
        <v>263</v>
      </c>
      <c r="K502" t="s">
        <v>264</v>
      </c>
      <c r="L502">
        <v>5</v>
      </c>
      <c r="M502" s="5">
        <v>333.54</v>
      </c>
      <c r="N502" s="6">
        <v>10</v>
      </c>
      <c r="O502" s="5">
        <v>166.77</v>
      </c>
      <c r="P502" s="5">
        <v>225.14</v>
      </c>
      <c r="Q502" s="5">
        <v>1726.07</v>
      </c>
      <c r="R502" s="5">
        <v>1192.15</v>
      </c>
      <c r="S502" s="5">
        <v>533.92</v>
      </c>
      <c r="T502" s="7">
        <v>0.309326968199436</v>
      </c>
      <c r="U502" t="s">
        <v>13</v>
      </c>
      <c r="V502" t="s">
        <v>50</v>
      </c>
      <c r="W502" t="s">
        <v>50</v>
      </c>
      <c r="X502" t="s">
        <v>33</v>
      </c>
      <c r="Y502" t="s">
        <v>1842</v>
      </c>
      <c r="Z502" t="s">
        <v>80</v>
      </c>
    </row>
    <row r="503" spans="1:26">
      <c r="A503" t="s">
        <v>1843</v>
      </c>
      <c r="B503" t="s">
        <v>1843</v>
      </c>
      <c r="C503" s="4">
        <v>45985</v>
      </c>
      <c r="D503">
        <v>2025</v>
      </c>
      <c r="E503">
        <v>11</v>
      </c>
      <c r="F503" t="s">
        <v>27</v>
      </c>
      <c r="G503" t="s">
        <v>137</v>
      </c>
      <c r="H503" t="s">
        <v>658</v>
      </c>
      <c r="I503" t="s">
        <v>1839</v>
      </c>
      <c r="J503" t="s">
        <v>412</v>
      </c>
      <c r="K503" t="s">
        <v>1010</v>
      </c>
      <c r="L503">
        <v>5</v>
      </c>
      <c r="M503" s="5">
        <v>42.97</v>
      </c>
      <c r="N503" s="6">
        <v>5</v>
      </c>
      <c r="O503" s="5">
        <v>10.74</v>
      </c>
      <c r="P503" s="5">
        <v>30.62</v>
      </c>
      <c r="Q503" s="5">
        <v>204.11</v>
      </c>
      <c r="R503" s="5">
        <v>182.95</v>
      </c>
      <c r="S503" s="5">
        <v>21.16</v>
      </c>
      <c r="T503" s="7">
        <v>0.103669589927</v>
      </c>
      <c r="U503" t="s">
        <v>10</v>
      </c>
      <c r="V503" t="s">
        <v>50</v>
      </c>
      <c r="W503" t="s">
        <v>50</v>
      </c>
      <c r="X503" t="s">
        <v>35</v>
      </c>
      <c r="Y503" t="s">
        <v>1413</v>
      </c>
      <c r="Z503" t="s">
        <v>101</v>
      </c>
    </row>
    <row r="504" spans="1:26">
      <c r="A504" t="s">
        <v>1844</v>
      </c>
      <c r="B504" t="s">
        <v>1844</v>
      </c>
      <c r="C504" s="4">
        <v>45887</v>
      </c>
      <c r="D504">
        <v>2025</v>
      </c>
      <c r="E504">
        <v>8</v>
      </c>
      <c r="F504" t="s">
        <v>24</v>
      </c>
      <c r="G504" t="s">
        <v>89</v>
      </c>
      <c r="H504" t="s">
        <v>1845</v>
      </c>
      <c r="I504" t="s">
        <v>384</v>
      </c>
      <c r="J504" t="s">
        <v>47</v>
      </c>
      <c r="K504" t="s">
        <v>1197</v>
      </c>
      <c r="L504">
        <v>3</v>
      </c>
      <c r="M504" s="5">
        <v>186.38</v>
      </c>
      <c r="N504" s="6">
        <v>5</v>
      </c>
      <c r="O504" s="5">
        <v>27.96</v>
      </c>
      <c r="P504" s="5">
        <v>79.68</v>
      </c>
      <c r="Q504" s="5">
        <v>531.18</v>
      </c>
      <c r="R504" s="5">
        <v>406.98</v>
      </c>
      <c r="S504" s="5">
        <v>124.2</v>
      </c>
      <c r="T504" s="7">
        <v>0.233819044391732</v>
      </c>
      <c r="U504" t="s">
        <v>9</v>
      </c>
      <c r="V504" t="s">
        <v>50</v>
      </c>
      <c r="W504" t="s">
        <v>50</v>
      </c>
      <c r="X504" t="s">
        <v>33</v>
      </c>
      <c r="Y504" t="s">
        <v>1846</v>
      </c>
      <c r="Z504" t="s">
        <v>101</v>
      </c>
    </row>
    <row r="505" spans="1:26">
      <c r="A505" t="s">
        <v>1847</v>
      </c>
      <c r="B505" t="s">
        <v>1847</v>
      </c>
      <c r="C505" s="4">
        <v>45853</v>
      </c>
      <c r="D505">
        <v>2025</v>
      </c>
      <c r="E505">
        <v>7</v>
      </c>
      <c r="F505" t="s">
        <v>23</v>
      </c>
      <c r="G505" t="s">
        <v>89</v>
      </c>
      <c r="H505" t="s">
        <v>1848</v>
      </c>
      <c r="I505" t="s">
        <v>553</v>
      </c>
      <c r="J505" t="s">
        <v>1468</v>
      </c>
      <c r="K505" t="s">
        <v>1473</v>
      </c>
      <c r="L505">
        <v>1</v>
      </c>
      <c r="M505" s="5">
        <v>291.93</v>
      </c>
      <c r="N505" s="6">
        <v>5</v>
      </c>
      <c r="O505" s="5">
        <v>14.6</v>
      </c>
      <c r="P505" s="5">
        <v>41.6</v>
      </c>
      <c r="Q505" s="5">
        <v>277.33</v>
      </c>
      <c r="R505" s="5">
        <v>253.7</v>
      </c>
      <c r="S505" s="5">
        <v>23.63</v>
      </c>
      <c r="T505" s="7">
        <v>0.0852053510258537</v>
      </c>
      <c r="U505" t="s">
        <v>13</v>
      </c>
      <c r="V505" t="s">
        <v>50</v>
      </c>
      <c r="W505" t="s">
        <v>50</v>
      </c>
      <c r="X505" t="s">
        <v>33</v>
      </c>
      <c r="Y505" t="s">
        <v>1454</v>
      </c>
      <c r="Z505" t="s">
        <v>101</v>
      </c>
    </row>
    <row r="506" spans="1:26">
      <c r="A506" t="s">
        <v>1849</v>
      </c>
      <c r="B506" t="s">
        <v>1849</v>
      </c>
      <c r="C506" s="4">
        <v>45760</v>
      </c>
      <c r="D506">
        <v>2025</v>
      </c>
      <c r="E506">
        <v>4</v>
      </c>
      <c r="F506" t="s">
        <v>20</v>
      </c>
      <c r="G506" t="s">
        <v>74</v>
      </c>
      <c r="H506" t="s">
        <v>693</v>
      </c>
      <c r="I506" t="s">
        <v>514</v>
      </c>
      <c r="J506" t="s">
        <v>631</v>
      </c>
      <c r="K506" t="s">
        <v>632</v>
      </c>
      <c r="L506">
        <v>5</v>
      </c>
      <c r="M506" s="5">
        <v>589.75</v>
      </c>
      <c r="N506" s="6">
        <v>0</v>
      </c>
      <c r="O506" s="5">
        <v>0</v>
      </c>
      <c r="P506" s="5">
        <v>442.31</v>
      </c>
      <c r="Q506" s="5">
        <v>3391.06</v>
      </c>
      <c r="R506" s="5">
        <v>1718.25</v>
      </c>
      <c r="S506" s="5">
        <v>1672.81</v>
      </c>
      <c r="T506" s="7">
        <v>0.49330003007909</v>
      </c>
      <c r="U506" t="s">
        <v>9</v>
      </c>
      <c r="V506" t="s">
        <v>50</v>
      </c>
      <c r="W506" t="s">
        <v>50</v>
      </c>
      <c r="X506" t="s">
        <v>33</v>
      </c>
      <c r="Y506" t="s">
        <v>753</v>
      </c>
      <c r="Z506" t="s">
        <v>80</v>
      </c>
    </row>
    <row r="507" spans="1:26">
      <c r="A507" t="s">
        <v>1850</v>
      </c>
      <c r="B507" t="s">
        <v>1850</v>
      </c>
      <c r="C507" s="4">
        <v>46013</v>
      </c>
      <c r="D507">
        <v>2025</v>
      </c>
      <c r="E507">
        <v>12</v>
      </c>
      <c r="F507" t="s">
        <v>28</v>
      </c>
      <c r="G507" t="s">
        <v>137</v>
      </c>
      <c r="H507" t="s">
        <v>1851</v>
      </c>
      <c r="I507" t="s">
        <v>503</v>
      </c>
      <c r="J507" t="s">
        <v>813</v>
      </c>
      <c r="K507" t="s">
        <v>814</v>
      </c>
      <c r="L507">
        <v>3</v>
      </c>
      <c r="M507" s="5">
        <v>71.29</v>
      </c>
      <c r="N507" s="6">
        <v>0</v>
      </c>
      <c r="O507" s="5">
        <v>0</v>
      </c>
      <c r="P507" s="5">
        <v>32.08</v>
      </c>
      <c r="Q507" s="5">
        <v>213.87</v>
      </c>
      <c r="R507" s="5">
        <v>178.11</v>
      </c>
      <c r="S507" s="5">
        <v>35.76</v>
      </c>
      <c r="T507" s="7">
        <v>0.167204376490391</v>
      </c>
      <c r="U507" t="s">
        <v>11</v>
      </c>
      <c r="V507" t="s">
        <v>50</v>
      </c>
      <c r="W507" t="s">
        <v>50</v>
      </c>
      <c r="X507" t="s">
        <v>33</v>
      </c>
      <c r="Y507" t="s">
        <v>1852</v>
      </c>
      <c r="Z507" t="s">
        <v>101</v>
      </c>
    </row>
    <row r="508" spans="1:26">
      <c r="A508" t="s">
        <v>1853</v>
      </c>
      <c r="B508" t="s">
        <v>1853</v>
      </c>
      <c r="C508" s="4">
        <v>45794</v>
      </c>
      <c r="D508">
        <v>2025</v>
      </c>
      <c r="E508">
        <v>5</v>
      </c>
      <c r="F508" t="s">
        <v>21</v>
      </c>
      <c r="G508" t="s">
        <v>74</v>
      </c>
      <c r="H508" t="s">
        <v>1506</v>
      </c>
      <c r="I508" t="s">
        <v>970</v>
      </c>
      <c r="J508" t="s">
        <v>40</v>
      </c>
      <c r="K508" t="s">
        <v>978</v>
      </c>
      <c r="L508">
        <v>8</v>
      </c>
      <c r="M508" s="5">
        <v>392.42</v>
      </c>
      <c r="N508" s="6">
        <v>0</v>
      </c>
      <c r="O508" s="5">
        <v>0</v>
      </c>
      <c r="P508" s="5">
        <v>470.9</v>
      </c>
      <c r="Q508" s="5">
        <v>3610.26</v>
      </c>
      <c r="R508" s="5">
        <v>2030.64</v>
      </c>
      <c r="S508" s="5">
        <v>1579.62</v>
      </c>
      <c r="T508" s="7">
        <v>0.437536354722375</v>
      </c>
      <c r="U508" t="s">
        <v>9</v>
      </c>
      <c r="V508" t="s">
        <v>50</v>
      </c>
      <c r="W508" t="s">
        <v>50</v>
      </c>
      <c r="X508" t="s">
        <v>33</v>
      </c>
      <c r="Y508" t="s">
        <v>624</v>
      </c>
      <c r="Z508" t="s">
        <v>80</v>
      </c>
    </row>
    <row r="509" spans="1:26">
      <c r="A509" t="s">
        <v>1854</v>
      </c>
      <c r="B509" t="s">
        <v>1854</v>
      </c>
      <c r="C509" s="4">
        <v>45938</v>
      </c>
      <c r="D509">
        <v>2025</v>
      </c>
      <c r="E509">
        <v>10</v>
      </c>
      <c r="F509" t="s">
        <v>26</v>
      </c>
      <c r="G509" t="s">
        <v>137</v>
      </c>
      <c r="H509" t="s">
        <v>449</v>
      </c>
      <c r="I509" t="s">
        <v>547</v>
      </c>
      <c r="J509" t="s">
        <v>1855</v>
      </c>
      <c r="K509" t="s">
        <v>1328</v>
      </c>
      <c r="L509">
        <v>3</v>
      </c>
      <c r="M509" s="5">
        <v>503.36</v>
      </c>
      <c r="N509" s="6">
        <v>20</v>
      </c>
      <c r="O509" s="5">
        <v>302.02</v>
      </c>
      <c r="P509" s="5">
        <v>181.21</v>
      </c>
      <c r="Q509" s="5">
        <v>1208.06</v>
      </c>
      <c r="R509" s="5">
        <v>1169.4</v>
      </c>
      <c r="S509" s="5">
        <v>38.66</v>
      </c>
      <c r="T509" s="7">
        <v>0.0320017217687863</v>
      </c>
      <c r="U509" t="s">
        <v>12</v>
      </c>
      <c r="V509" t="s">
        <v>50</v>
      </c>
      <c r="W509" t="s">
        <v>50</v>
      </c>
      <c r="X509" t="s">
        <v>34</v>
      </c>
      <c r="Y509" t="s">
        <v>1856</v>
      </c>
      <c r="Z509" t="s">
        <v>101</v>
      </c>
    </row>
    <row r="510" spans="1:26">
      <c r="A510" t="s">
        <v>1857</v>
      </c>
      <c r="B510" t="s">
        <v>1857</v>
      </c>
      <c r="C510" s="4">
        <v>45922</v>
      </c>
      <c r="D510">
        <v>2025</v>
      </c>
      <c r="E510">
        <v>9</v>
      </c>
      <c r="F510" t="s">
        <v>25</v>
      </c>
      <c r="G510" t="s">
        <v>89</v>
      </c>
      <c r="H510" t="s">
        <v>1054</v>
      </c>
      <c r="I510" t="s">
        <v>417</v>
      </c>
      <c r="J510" t="s">
        <v>1104</v>
      </c>
      <c r="K510" t="s">
        <v>1105</v>
      </c>
      <c r="L510">
        <v>6</v>
      </c>
      <c r="M510" s="5">
        <v>435.71</v>
      </c>
      <c r="N510" s="6">
        <v>10</v>
      </c>
      <c r="O510" s="5">
        <v>261.43</v>
      </c>
      <c r="P510" s="5">
        <v>352.92</v>
      </c>
      <c r="Q510" s="5">
        <v>2352.83</v>
      </c>
      <c r="R510" s="5">
        <v>1859.88</v>
      </c>
      <c r="S510" s="5">
        <v>492.95</v>
      </c>
      <c r="T510" s="7">
        <v>0.20951364951994</v>
      </c>
      <c r="U510" t="s">
        <v>14</v>
      </c>
      <c r="V510" t="s">
        <v>50</v>
      </c>
      <c r="W510" t="s">
        <v>50</v>
      </c>
      <c r="X510" t="s">
        <v>33</v>
      </c>
      <c r="Y510" t="s">
        <v>187</v>
      </c>
      <c r="Z510" t="s">
        <v>101</v>
      </c>
    </row>
    <row r="511" spans="1:26">
      <c r="A511" t="s">
        <v>1858</v>
      </c>
      <c r="B511" t="s">
        <v>1858</v>
      </c>
      <c r="C511" s="4">
        <v>45795</v>
      </c>
      <c r="D511">
        <v>2025</v>
      </c>
      <c r="E511">
        <v>5</v>
      </c>
      <c r="F511" t="s">
        <v>21</v>
      </c>
      <c r="G511" t="s">
        <v>74</v>
      </c>
      <c r="H511" t="s">
        <v>300</v>
      </c>
      <c r="I511" t="s">
        <v>207</v>
      </c>
      <c r="J511" t="s">
        <v>152</v>
      </c>
      <c r="K511" t="s">
        <v>153</v>
      </c>
      <c r="L511">
        <v>7</v>
      </c>
      <c r="M511" s="5">
        <v>327.68</v>
      </c>
      <c r="N511" s="6">
        <v>20</v>
      </c>
      <c r="O511" s="5">
        <v>458.75</v>
      </c>
      <c r="P511" s="5">
        <v>275.25</v>
      </c>
      <c r="Q511" s="5">
        <v>2110.26</v>
      </c>
      <c r="R511" s="5">
        <v>1819.51</v>
      </c>
      <c r="S511" s="5">
        <v>290.75</v>
      </c>
      <c r="T511" s="7">
        <v>0.137779230995233</v>
      </c>
      <c r="U511" t="s">
        <v>9</v>
      </c>
      <c r="V511" t="s">
        <v>50</v>
      </c>
      <c r="W511" t="s">
        <v>50</v>
      </c>
      <c r="X511" t="s">
        <v>33</v>
      </c>
      <c r="Y511" t="s">
        <v>1859</v>
      </c>
      <c r="Z511" t="s">
        <v>80</v>
      </c>
    </row>
    <row r="512" spans="1:26">
      <c r="A512" t="s">
        <v>1860</v>
      </c>
      <c r="B512" t="s">
        <v>1860</v>
      </c>
      <c r="C512" s="4">
        <v>45997</v>
      </c>
      <c r="D512">
        <v>2025</v>
      </c>
      <c r="E512">
        <v>12</v>
      </c>
      <c r="F512" t="s">
        <v>28</v>
      </c>
      <c r="G512" t="s">
        <v>137</v>
      </c>
      <c r="H512" t="s">
        <v>1861</v>
      </c>
      <c r="I512" t="s">
        <v>928</v>
      </c>
      <c r="J512" t="s">
        <v>240</v>
      </c>
      <c r="K512" t="s">
        <v>138</v>
      </c>
      <c r="L512">
        <v>1</v>
      </c>
      <c r="M512" s="5">
        <v>232.92</v>
      </c>
      <c r="N512" s="6">
        <v>10</v>
      </c>
      <c r="O512" s="5">
        <v>23.29</v>
      </c>
      <c r="P512" s="5">
        <v>31.44</v>
      </c>
      <c r="Q512" s="5">
        <v>241.07</v>
      </c>
      <c r="R512" s="5">
        <v>192.41</v>
      </c>
      <c r="S512" s="5">
        <v>48.66</v>
      </c>
      <c r="T512" s="7">
        <v>0.201850085037541</v>
      </c>
      <c r="U512" t="s">
        <v>13</v>
      </c>
      <c r="V512" t="s">
        <v>50</v>
      </c>
      <c r="W512" t="s">
        <v>50</v>
      </c>
      <c r="X512" t="s">
        <v>35</v>
      </c>
      <c r="Y512" t="s">
        <v>1241</v>
      </c>
      <c r="Z512" t="s">
        <v>80</v>
      </c>
    </row>
    <row r="513" spans="1:26">
      <c r="A513" t="s">
        <v>1862</v>
      </c>
      <c r="B513" t="s">
        <v>1862</v>
      </c>
      <c r="C513" s="4">
        <v>46069</v>
      </c>
      <c r="D513">
        <v>2026</v>
      </c>
      <c r="E513">
        <v>2</v>
      </c>
      <c r="F513" t="s">
        <v>31</v>
      </c>
      <c r="G513" t="s">
        <v>82</v>
      </c>
      <c r="H513" t="s">
        <v>1863</v>
      </c>
      <c r="I513" t="s">
        <v>279</v>
      </c>
      <c r="J513" t="s">
        <v>610</v>
      </c>
      <c r="K513" t="s">
        <v>1864</v>
      </c>
      <c r="L513">
        <v>4</v>
      </c>
      <c r="M513" s="5">
        <v>418.79</v>
      </c>
      <c r="N513" s="6">
        <v>5</v>
      </c>
      <c r="O513" s="5">
        <v>83.76</v>
      </c>
      <c r="P513" s="5">
        <v>238.71</v>
      </c>
      <c r="Q513" s="5">
        <v>1591.4</v>
      </c>
      <c r="R513" s="5">
        <v>1235.76</v>
      </c>
      <c r="S513" s="5">
        <v>355.64</v>
      </c>
      <c r="T513" s="7">
        <v>0.223476184491643</v>
      </c>
      <c r="U513" t="s">
        <v>12</v>
      </c>
      <c r="V513" t="s">
        <v>50</v>
      </c>
      <c r="W513" t="s">
        <v>50</v>
      </c>
      <c r="X513" t="s">
        <v>33</v>
      </c>
      <c r="Y513" t="s">
        <v>1250</v>
      </c>
      <c r="Z513" t="s">
        <v>101</v>
      </c>
    </row>
    <row r="514" spans="1:26">
      <c r="A514" t="s">
        <v>1865</v>
      </c>
      <c r="B514" t="s">
        <v>1865</v>
      </c>
      <c r="C514" s="4">
        <v>45849</v>
      </c>
      <c r="D514">
        <v>2025</v>
      </c>
      <c r="E514">
        <v>7</v>
      </c>
      <c r="F514" t="s">
        <v>23</v>
      </c>
      <c r="G514" t="s">
        <v>89</v>
      </c>
      <c r="H514" t="s">
        <v>103</v>
      </c>
      <c r="I514" t="s">
        <v>703</v>
      </c>
      <c r="J514" t="s">
        <v>111</v>
      </c>
      <c r="K514" t="s">
        <v>1280</v>
      </c>
      <c r="L514">
        <v>4</v>
      </c>
      <c r="M514" s="5">
        <v>240.9</v>
      </c>
      <c r="N514" s="6">
        <v>15</v>
      </c>
      <c r="O514" s="5">
        <v>144.54</v>
      </c>
      <c r="P514" s="5">
        <v>122.86</v>
      </c>
      <c r="Q514" s="5">
        <v>819.06</v>
      </c>
      <c r="R514" s="5">
        <v>769.56</v>
      </c>
      <c r="S514" s="5">
        <v>49.5</v>
      </c>
      <c r="T514" s="7">
        <v>0.0604351329572925</v>
      </c>
      <c r="U514" t="s">
        <v>9</v>
      </c>
      <c r="V514" t="s">
        <v>50</v>
      </c>
      <c r="W514" t="s">
        <v>50</v>
      </c>
      <c r="X514" t="s">
        <v>33</v>
      </c>
      <c r="Y514" t="s">
        <v>329</v>
      </c>
      <c r="Z514" t="s">
        <v>101</v>
      </c>
    </row>
    <row r="515" spans="1:26">
      <c r="A515" t="s">
        <v>1866</v>
      </c>
      <c r="B515" t="s">
        <v>1866</v>
      </c>
      <c r="C515" s="4">
        <v>45942</v>
      </c>
      <c r="D515">
        <v>2025</v>
      </c>
      <c r="E515">
        <v>10</v>
      </c>
      <c r="F515" t="s">
        <v>26</v>
      </c>
      <c r="G515" t="s">
        <v>137</v>
      </c>
      <c r="H515" t="s">
        <v>1867</v>
      </c>
      <c r="I515" t="s">
        <v>647</v>
      </c>
      <c r="J515" t="s">
        <v>837</v>
      </c>
      <c r="K515" t="s">
        <v>838</v>
      </c>
      <c r="L515">
        <v>1</v>
      </c>
      <c r="M515" s="5">
        <v>75.68</v>
      </c>
      <c r="N515" s="6">
        <v>15</v>
      </c>
      <c r="O515" s="5">
        <v>11.35</v>
      </c>
      <c r="P515" s="5">
        <v>9.65</v>
      </c>
      <c r="Q515" s="5">
        <v>73.98</v>
      </c>
      <c r="R515" s="5">
        <v>62.14</v>
      </c>
      <c r="S515" s="5">
        <v>11.84</v>
      </c>
      <c r="T515" s="7">
        <v>0.160043254933766</v>
      </c>
      <c r="U515" t="s">
        <v>11</v>
      </c>
      <c r="V515" t="s">
        <v>50</v>
      </c>
      <c r="W515" t="s">
        <v>50</v>
      </c>
      <c r="X515" t="s">
        <v>33</v>
      </c>
      <c r="Y515" t="s">
        <v>1692</v>
      </c>
      <c r="Z515" t="s">
        <v>80</v>
      </c>
    </row>
    <row r="516" spans="1:26">
      <c r="A516" t="s">
        <v>1868</v>
      </c>
      <c r="B516" t="s">
        <v>1868</v>
      </c>
      <c r="C516" s="4">
        <v>45983</v>
      </c>
      <c r="D516">
        <v>2025</v>
      </c>
      <c r="E516">
        <v>11</v>
      </c>
      <c r="F516" t="s">
        <v>27</v>
      </c>
      <c r="G516" t="s">
        <v>137</v>
      </c>
      <c r="H516" t="s">
        <v>337</v>
      </c>
      <c r="I516" t="s">
        <v>417</v>
      </c>
      <c r="J516" t="s">
        <v>1272</v>
      </c>
      <c r="K516" t="s">
        <v>1869</v>
      </c>
      <c r="L516">
        <v>6</v>
      </c>
      <c r="M516" s="5">
        <v>412.57</v>
      </c>
      <c r="N516" s="6">
        <v>0</v>
      </c>
      <c r="O516" s="5">
        <v>0</v>
      </c>
      <c r="P516" s="5">
        <v>371.31</v>
      </c>
      <c r="Q516" s="5">
        <v>2846.73</v>
      </c>
      <c r="R516" s="5">
        <v>1859.88</v>
      </c>
      <c r="S516" s="5">
        <v>986.85</v>
      </c>
      <c r="T516" s="7">
        <v>0.346660905670717</v>
      </c>
      <c r="U516" t="s">
        <v>14</v>
      </c>
      <c r="V516" t="s">
        <v>50</v>
      </c>
      <c r="W516" t="s">
        <v>50</v>
      </c>
      <c r="X516" t="s">
        <v>33</v>
      </c>
      <c r="Y516" t="s">
        <v>1870</v>
      </c>
      <c r="Z516" t="s">
        <v>80</v>
      </c>
    </row>
    <row r="517" spans="1:26">
      <c r="A517" t="s">
        <v>1871</v>
      </c>
      <c r="B517" t="s">
        <v>1871</v>
      </c>
      <c r="C517" s="4">
        <v>45949</v>
      </c>
      <c r="D517">
        <v>2025</v>
      </c>
      <c r="E517">
        <v>10</v>
      </c>
      <c r="F517" t="s">
        <v>26</v>
      </c>
      <c r="G517" t="s">
        <v>137</v>
      </c>
      <c r="H517" t="s">
        <v>622</v>
      </c>
      <c r="I517" t="s">
        <v>722</v>
      </c>
      <c r="J517" t="s">
        <v>1104</v>
      </c>
      <c r="K517" t="s">
        <v>1105</v>
      </c>
      <c r="L517">
        <v>6</v>
      </c>
      <c r="M517" s="5">
        <v>162.63</v>
      </c>
      <c r="N517" s="6">
        <v>0</v>
      </c>
      <c r="O517" s="5">
        <v>0</v>
      </c>
      <c r="P517" s="5">
        <v>146.37</v>
      </c>
      <c r="Q517" s="5">
        <v>1122.15</v>
      </c>
      <c r="R517" s="5">
        <v>827.7</v>
      </c>
      <c r="S517" s="5">
        <v>294.45</v>
      </c>
      <c r="T517" s="7">
        <v>0.262398075123646</v>
      </c>
      <c r="U517" t="s">
        <v>12</v>
      </c>
      <c r="V517" t="s">
        <v>50</v>
      </c>
      <c r="W517" t="s">
        <v>50</v>
      </c>
      <c r="X517" t="s">
        <v>33</v>
      </c>
      <c r="Y517" t="s">
        <v>1872</v>
      </c>
      <c r="Z517" t="s">
        <v>80</v>
      </c>
    </row>
    <row r="518" spans="1:26">
      <c r="A518" t="s">
        <v>1873</v>
      </c>
      <c r="B518" t="s">
        <v>1873</v>
      </c>
      <c r="C518" s="4">
        <v>45928</v>
      </c>
      <c r="D518">
        <v>2025</v>
      </c>
      <c r="E518">
        <v>9</v>
      </c>
      <c r="F518" t="s">
        <v>25</v>
      </c>
      <c r="G518" t="s">
        <v>89</v>
      </c>
      <c r="H518" t="s">
        <v>1617</v>
      </c>
      <c r="I518" t="s">
        <v>429</v>
      </c>
      <c r="J518" t="s">
        <v>390</v>
      </c>
      <c r="K518" t="s">
        <v>391</v>
      </c>
      <c r="L518">
        <v>2</v>
      </c>
      <c r="M518" s="5">
        <v>389.61</v>
      </c>
      <c r="N518" s="6">
        <v>10</v>
      </c>
      <c r="O518" s="5">
        <v>77.92</v>
      </c>
      <c r="P518" s="5">
        <v>105.2</v>
      </c>
      <c r="Q518" s="5">
        <v>806.5</v>
      </c>
      <c r="R518" s="5">
        <v>672.14</v>
      </c>
      <c r="S518" s="5">
        <v>134.36</v>
      </c>
      <c r="T518" s="7">
        <v>0.166596404215747</v>
      </c>
      <c r="U518" t="s">
        <v>12</v>
      </c>
      <c r="V518" t="s">
        <v>50</v>
      </c>
      <c r="W518" t="s">
        <v>50</v>
      </c>
      <c r="X518" t="s">
        <v>33</v>
      </c>
      <c r="Y518" t="s">
        <v>1874</v>
      </c>
      <c r="Z518" t="s">
        <v>80</v>
      </c>
    </row>
    <row r="519" spans="1:26">
      <c r="A519" t="s">
        <v>1875</v>
      </c>
      <c r="B519" t="s">
        <v>1875</v>
      </c>
      <c r="C519" s="4">
        <v>45985</v>
      </c>
      <c r="D519">
        <v>2025</v>
      </c>
      <c r="E519">
        <v>11</v>
      </c>
      <c r="F519" t="s">
        <v>27</v>
      </c>
      <c r="G519" t="s">
        <v>137</v>
      </c>
      <c r="H519" t="s">
        <v>1876</v>
      </c>
      <c r="I519" t="s">
        <v>219</v>
      </c>
      <c r="J519" t="s">
        <v>1834</v>
      </c>
      <c r="K519" t="s">
        <v>1835</v>
      </c>
      <c r="L519">
        <v>4</v>
      </c>
      <c r="M519" s="5">
        <v>225.45</v>
      </c>
      <c r="N519" s="6">
        <v>0</v>
      </c>
      <c r="O519" s="5">
        <v>0</v>
      </c>
      <c r="P519" s="5">
        <v>135.27</v>
      </c>
      <c r="Q519" s="5">
        <v>901.8</v>
      </c>
      <c r="R519" s="5">
        <v>763.6</v>
      </c>
      <c r="S519" s="5">
        <v>138.2</v>
      </c>
      <c r="T519" s="7">
        <v>0.153249057440674</v>
      </c>
      <c r="U519" t="s">
        <v>11</v>
      </c>
      <c r="V519" t="s">
        <v>50</v>
      </c>
      <c r="W519" t="s">
        <v>50</v>
      </c>
      <c r="X519" t="s">
        <v>34</v>
      </c>
      <c r="Y519" t="s">
        <v>1877</v>
      </c>
      <c r="Z519" t="s">
        <v>101</v>
      </c>
    </row>
    <row r="520" spans="1:26">
      <c r="A520" t="s">
        <v>1878</v>
      </c>
      <c r="B520" t="s">
        <v>1878</v>
      </c>
      <c r="C520" s="4">
        <v>45911</v>
      </c>
      <c r="D520">
        <v>2025</v>
      </c>
      <c r="E520">
        <v>9</v>
      </c>
      <c r="F520" t="s">
        <v>25</v>
      </c>
      <c r="G520" t="s">
        <v>89</v>
      </c>
      <c r="H520" t="s">
        <v>1096</v>
      </c>
      <c r="I520" t="s">
        <v>104</v>
      </c>
      <c r="J520" t="s">
        <v>465</v>
      </c>
      <c r="K520" t="s">
        <v>829</v>
      </c>
      <c r="L520">
        <v>3</v>
      </c>
      <c r="M520" s="5">
        <v>313.47</v>
      </c>
      <c r="N520" s="6">
        <v>0</v>
      </c>
      <c r="O520" s="5">
        <v>0</v>
      </c>
      <c r="P520" s="5">
        <v>141.06</v>
      </c>
      <c r="Q520" s="5">
        <v>940.41</v>
      </c>
      <c r="R520" s="5">
        <v>738.36</v>
      </c>
      <c r="S520" s="5">
        <v>202.05</v>
      </c>
      <c r="T520" s="7">
        <v>0.214853095990047</v>
      </c>
      <c r="U520" t="s">
        <v>10</v>
      </c>
      <c r="V520" t="s">
        <v>50</v>
      </c>
      <c r="W520" t="s">
        <v>50</v>
      </c>
      <c r="X520" t="s">
        <v>34</v>
      </c>
      <c r="Y520" t="s">
        <v>1879</v>
      </c>
      <c r="Z520" t="s">
        <v>101</v>
      </c>
    </row>
    <row r="521" spans="1:26">
      <c r="A521" t="s">
        <v>1880</v>
      </c>
      <c r="B521" t="s">
        <v>1880</v>
      </c>
      <c r="C521" s="4">
        <v>46109</v>
      </c>
      <c r="D521">
        <v>2026</v>
      </c>
      <c r="E521">
        <v>3</v>
      </c>
      <c r="F521" t="s">
        <v>19</v>
      </c>
      <c r="G521" t="s">
        <v>82</v>
      </c>
      <c r="H521" t="s">
        <v>1350</v>
      </c>
      <c r="I521" t="s">
        <v>708</v>
      </c>
      <c r="J521" t="s">
        <v>44</v>
      </c>
      <c r="K521" t="s">
        <v>1286</v>
      </c>
      <c r="L521">
        <v>3</v>
      </c>
      <c r="M521" s="5">
        <v>372.61</v>
      </c>
      <c r="N521" s="6">
        <v>0</v>
      </c>
      <c r="O521" s="5">
        <v>0</v>
      </c>
      <c r="P521" s="5">
        <v>167.67</v>
      </c>
      <c r="Q521" s="5">
        <v>1285.5</v>
      </c>
      <c r="R521" s="5">
        <v>959.73</v>
      </c>
      <c r="S521" s="5">
        <v>325.77</v>
      </c>
      <c r="T521" s="7">
        <v>0.253418903150525</v>
      </c>
      <c r="U521" t="s">
        <v>12</v>
      </c>
      <c r="V521" t="s">
        <v>50</v>
      </c>
      <c r="W521" t="s">
        <v>50</v>
      </c>
      <c r="X521" t="s">
        <v>33</v>
      </c>
      <c r="Y521" t="s">
        <v>1881</v>
      </c>
      <c r="Z521" t="s">
        <v>80</v>
      </c>
    </row>
    <row r="522" spans="1:26">
      <c r="A522" t="s">
        <v>1882</v>
      </c>
      <c r="B522" t="s">
        <v>1882</v>
      </c>
      <c r="C522" s="4">
        <v>45951</v>
      </c>
      <c r="D522">
        <v>2025</v>
      </c>
      <c r="E522">
        <v>10</v>
      </c>
      <c r="F522" t="s">
        <v>26</v>
      </c>
      <c r="G522" t="s">
        <v>137</v>
      </c>
      <c r="H522" t="s">
        <v>1883</v>
      </c>
      <c r="I522" t="s">
        <v>362</v>
      </c>
      <c r="J522" t="s">
        <v>435</v>
      </c>
      <c r="K522" t="s">
        <v>287</v>
      </c>
      <c r="L522">
        <v>5</v>
      </c>
      <c r="M522" s="5">
        <v>329.69</v>
      </c>
      <c r="N522" s="6">
        <v>20</v>
      </c>
      <c r="O522" s="5">
        <v>329.69</v>
      </c>
      <c r="P522" s="5">
        <v>197.81</v>
      </c>
      <c r="Q522" s="5">
        <v>1318.76</v>
      </c>
      <c r="R522" s="5">
        <v>1236.25</v>
      </c>
      <c r="S522" s="5">
        <v>82.51</v>
      </c>
      <c r="T522" s="7">
        <v>0.0625663502077709</v>
      </c>
      <c r="U522" t="s">
        <v>12</v>
      </c>
      <c r="V522" t="s">
        <v>50</v>
      </c>
      <c r="W522" t="s">
        <v>50</v>
      </c>
      <c r="X522" t="s">
        <v>35</v>
      </c>
      <c r="Y522" t="s">
        <v>1246</v>
      </c>
      <c r="Z522" t="s">
        <v>101</v>
      </c>
    </row>
    <row r="523" spans="1:26">
      <c r="A523" t="s">
        <v>1884</v>
      </c>
      <c r="B523" t="s">
        <v>1884</v>
      </c>
      <c r="C523" s="4">
        <v>45963</v>
      </c>
      <c r="D523">
        <v>2025</v>
      </c>
      <c r="E523">
        <v>11</v>
      </c>
      <c r="F523" t="s">
        <v>27</v>
      </c>
      <c r="G523" t="s">
        <v>137</v>
      </c>
      <c r="H523" t="s">
        <v>806</v>
      </c>
      <c r="I523" t="s">
        <v>583</v>
      </c>
      <c r="J523" t="s">
        <v>858</v>
      </c>
      <c r="K523" t="s">
        <v>1625</v>
      </c>
      <c r="L523">
        <v>3</v>
      </c>
      <c r="M523" s="5">
        <v>283.39</v>
      </c>
      <c r="N523" s="6">
        <v>0</v>
      </c>
      <c r="O523" s="5">
        <v>0</v>
      </c>
      <c r="P523" s="5">
        <v>127.53</v>
      </c>
      <c r="Q523" s="5">
        <v>977.7</v>
      </c>
      <c r="R523" s="5">
        <v>631.56</v>
      </c>
      <c r="S523" s="5">
        <v>346.14</v>
      </c>
      <c r="T523" s="7">
        <v>0.354034980055232</v>
      </c>
      <c r="U523" t="s">
        <v>13</v>
      </c>
      <c r="V523" t="s">
        <v>50</v>
      </c>
      <c r="W523" t="s">
        <v>50</v>
      </c>
      <c r="X523" t="s">
        <v>33</v>
      </c>
      <c r="Y523" t="s">
        <v>1181</v>
      </c>
      <c r="Z523" t="s">
        <v>80</v>
      </c>
    </row>
    <row r="524" spans="1:26">
      <c r="A524" t="s">
        <v>1885</v>
      </c>
      <c r="B524" t="s">
        <v>1885</v>
      </c>
      <c r="C524" s="4">
        <v>45920</v>
      </c>
      <c r="D524">
        <v>2025</v>
      </c>
      <c r="E524">
        <v>9</v>
      </c>
      <c r="F524" t="s">
        <v>25</v>
      </c>
      <c r="G524" t="s">
        <v>89</v>
      </c>
      <c r="H524" t="s">
        <v>1157</v>
      </c>
      <c r="I524" t="s">
        <v>151</v>
      </c>
      <c r="J524" t="s">
        <v>43</v>
      </c>
      <c r="K524" t="s">
        <v>934</v>
      </c>
      <c r="L524">
        <v>4</v>
      </c>
      <c r="M524" s="5">
        <v>487.95</v>
      </c>
      <c r="N524" s="6">
        <v>5</v>
      </c>
      <c r="O524" s="5">
        <v>97.59</v>
      </c>
      <c r="P524" s="5">
        <v>278.13</v>
      </c>
      <c r="Q524" s="5">
        <v>2132.34</v>
      </c>
      <c r="R524" s="5">
        <v>1406.52</v>
      </c>
      <c r="S524" s="5">
        <v>725.82</v>
      </c>
      <c r="T524" s="7">
        <v>0.340386617518782</v>
      </c>
      <c r="U524" t="s">
        <v>14</v>
      </c>
      <c r="V524" t="s">
        <v>50</v>
      </c>
      <c r="W524" t="s">
        <v>50</v>
      </c>
      <c r="X524" t="s">
        <v>33</v>
      </c>
      <c r="Y524" t="s">
        <v>1886</v>
      </c>
      <c r="Z524" t="s">
        <v>80</v>
      </c>
    </row>
    <row r="525" spans="1:26">
      <c r="A525" t="s">
        <v>1887</v>
      </c>
      <c r="B525" t="s">
        <v>1887</v>
      </c>
      <c r="C525" s="4">
        <v>45961</v>
      </c>
      <c r="D525">
        <v>2025</v>
      </c>
      <c r="E525">
        <v>10</v>
      </c>
      <c r="F525" t="s">
        <v>26</v>
      </c>
      <c r="G525" t="s">
        <v>137</v>
      </c>
      <c r="H525" t="s">
        <v>1888</v>
      </c>
      <c r="I525" t="s">
        <v>1051</v>
      </c>
      <c r="J525" t="s">
        <v>127</v>
      </c>
      <c r="K525" t="s">
        <v>128</v>
      </c>
      <c r="L525">
        <v>1</v>
      </c>
      <c r="M525" s="5">
        <v>261.55</v>
      </c>
      <c r="N525" s="6">
        <v>0</v>
      </c>
      <c r="O525" s="5">
        <v>0</v>
      </c>
      <c r="P525" s="5">
        <v>39.23</v>
      </c>
      <c r="Q525" s="5">
        <v>261.55</v>
      </c>
      <c r="R525" s="5">
        <v>215.03</v>
      </c>
      <c r="S525" s="5">
        <v>46.52</v>
      </c>
      <c r="T525" s="7">
        <v>0.177862741349646</v>
      </c>
      <c r="U525" t="s">
        <v>9</v>
      </c>
      <c r="V525" t="s">
        <v>51</v>
      </c>
      <c r="W525" t="s">
        <v>51</v>
      </c>
      <c r="X525" t="s">
        <v>33</v>
      </c>
      <c r="Y525" t="s">
        <v>1231</v>
      </c>
      <c r="Z525" t="s">
        <v>101</v>
      </c>
    </row>
    <row r="526" spans="1:26">
      <c r="A526" t="s">
        <v>1889</v>
      </c>
      <c r="B526" t="s">
        <v>1889</v>
      </c>
      <c r="C526" s="4">
        <v>45861</v>
      </c>
      <c r="D526">
        <v>2025</v>
      </c>
      <c r="E526">
        <v>7</v>
      </c>
      <c r="F526" t="s">
        <v>23</v>
      </c>
      <c r="G526" t="s">
        <v>89</v>
      </c>
      <c r="H526" t="s">
        <v>1890</v>
      </c>
      <c r="I526" t="s">
        <v>91</v>
      </c>
      <c r="J526" t="s">
        <v>723</v>
      </c>
      <c r="K526" t="s">
        <v>1891</v>
      </c>
      <c r="L526">
        <v>4</v>
      </c>
      <c r="M526" s="5">
        <v>234.86</v>
      </c>
      <c r="N526" s="6">
        <v>10</v>
      </c>
      <c r="O526" s="5">
        <v>93.94</v>
      </c>
      <c r="P526" s="5">
        <v>126.82</v>
      </c>
      <c r="Q526" s="5">
        <v>845.5</v>
      </c>
      <c r="R526" s="5">
        <v>852.92</v>
      </c>
      <c r="S526" s="5">
        <v>-7.42</v>
      </c>
      <c r="T526" s="7">
        <v>-0.00877587226493199</v>
      </c>
      <c r="U526" t="s">
        <v>9</v>
      </c>
      <c r="V526" t="s">
        <v>50</v>
      </c>
      <c r="W526" t="s">
        <v>50</v>
      </c>
      <c r="X526" t="s">
        <v>35</v>
      </c>
      <c r="Y526" t="s">
        <v>1892</v>
      </c>
      <c r="Z526" t="s">
        <v>101</v>
      </c>
    </row>
    <row r="527" spans="1:26">
      <c r="A527" t="s">
        <v>1893</v>
      </c>
      <c r="B527" t="s">
        <v>1893</v>
      </c>
      <c r="C527" s="4">
        <v>45846</v>
      </c>
      <c r="D527">
        <v>2025</v>
      </c>
      <c r="E527">
        <v>7</v>
      </c>
      <c r="F527" t="s">
        <v>23</v>
      </c>
      <c r="G527" t="s">
        <v>89</v>
      </c>
      <c r="H527" t="s">
        <v>439</v>
      </c>
      <c r="I527" t="s">
        <v>97</v>
      </c>
      <c r="J527" t="s">
        <v>482</v>
      </c>
      <c r="K527" t="s">
        <v>1894</v>
      </c>
      <c r="L527">
        <v>5</v>
      </c>
      <c r="M527" s="5">
        <v>398.25</v>
      </c>
      <c r="N527" s="6">
        <v>10</v>
      </c>
      <c r="O527" s="5">
        <v>199.12</v>
      </c>
      <c r="P527" s="5">
        <v>268.82</v>
      </c>
      <c r="Q527" s="5">
        <v>1792.13</v>
      </c>
      <c r="R527" s="5">
        <v>1182.7</v>
      </c>
      <c r="S527" s="5">
        <v>609.43</v>
      </c>
      <c r="T527" s="7">
        <v>0.340059035895833</v>
      </c>
      <c r="U527" t="s">
        <v>11</v>
      </c>
      <c r="V527" t="s">
        <v>50</v>
      </c>
      <c r="W527" t="s">
        <v>50</v>
      </c>
      <c r="X527" t="s">
        <v>35</v>
      </c>
      <c r="Y527" t="s">
        <v>1301</v>
      </c>
      <c r="Z527" t="s">
        <v>101</v>
      </c>
    </row>
    <row r="528" spans="1:26">
      <c r="A528" t="s">
        <v>1895</v>
      </c>
      <c r="B528" t="s">
        <v>1895</v>
      </c>
      <c r="C528" s="4">
        <v>45989</v>
      </c>
      <c r="D528">
        <v>2025</v>
      </c>
      <c r="E528">
        <v>11</v>
      </c>
      <c r="F528" t="s">
        <v>27</v>
      </c>
      <c r="G528" t="s">
        <v>137</v>
      </c>
      <c r="H528" t="s">
        <v>1896</v>
      </c>
      <c r="I528" t="s">
        <v>1190</v>
      </c>
      <c r="J528" t="s">
        <v>140</v>
      </c>
      <c r="K528" t="s">
        <v>141</v>
      </c>
      <c r="L528">
        <v>5</v>
      </c>
      <c r="M528" s="5">
        <v>468.94</v>
      </c>
      <c r="N528" s="6">
        <v>5</v>
      </c>
      <c r="O528" s="5">
        <v>117.23</v>
      </c>
      <c r="P528" s="5">
        <v>334.12</v>
      </c>
      <c r="Q528" s="5">
        <v>2227.47</v>
      </c>
      <c r="R528" s="5">
        <v>1684</v>
      </c>
      <c r="S528" s="5">
        <v>543.47</v>
      </c>
      <c r="T528" s="7">
        <v>0.243985328646401</v>
      </c>
      <c r="U528" t="s">
        <v>13</v>
      </c>
      <c r="V528" t="s">
        <v>50</v>
      </c>
      <c r="W528" t="s">
        <v>50</v>
      </c>
      <c r="X528" t="s">
        <v>33</v>
      </c>
      <c r="Y528" t="s">
        <v>1396</v>
      </c>
      <c r="Z528" t="s">
        <v>101</v>
      </c>
    </row>
    <row r="529" spans="1:26">
      <c r="A529" t="s">
        <v>1897</v>
      </c>
      <c r="B529" t="s">
        <v>1897</v>
      </c>
      <c r="C529" s="4">
        <v>45948</v>
      </c>
      <c r="D529">
        <v>2025</v>
      </c>
      <c r="E529">
        <v>10</v>
      </c>
      <c r="F529" t="s">
        <v>26</v>
      </c>
      <c r="G529" t="s">
        <v>137</v>
      </c>
      <c r="H529" t="s">
        <v>1898</v>
      </c>
      <c r="I529" t="s">
        <v>898</v>
      </c>
      <c r="J529" t="s">
        <v>197</v>
      </c>
      <c r="K529" t="s">
        <v>407</v>
      </c>
      <c r="L529">
        <v>3</v>
      </c>
      <c r="M529" s="5">
        <v>275.71</v>
      </c>
      <c r="N529" s="6">
        <v>15</v>
      </c>
      <c r="O529" s="5">
        <v>124.07</v>
      </c>
      <c r="P529" s="5">
        <v>105.46</v>
      </c>
      <c r="Q529" s="5">
        <v>808.52</v>
      </c>
      <c r="R529" s="5">
        <v>618.9</v>
      </c>
      <c r="S529" s="5">
        <v>189.62</v>
      </c>
      <c r="T529" s="7">
        <v>0.234527284420917</v>
      </c>
      <c r="U529" t="s">
        <v>12</v>
      </c>
      <c r="V529" t="s">
        <v>50</v>
      </c>
      <c r="W529" t="s">
        <v>50</v>
      </c>
      <c r="X529" t="s">
        <v>33</v>
      </c>
      <c r="Y529" t="s">
        <v>628</v>
      </c>
      <c r="Z529" t="s">
        <v>80</v>
      </c>
    </row>
    <row r="530" spans="1:26">
      <c r="A530" t="s">
        <v>1899</v>
      </c>
      <c r="B530" t="s">
        <v>1899</v>
      </c>
      <c r="C530" s="4">
        <v>46086</v>
      </c>
      <c r="D530">
        <v>2026</v>
      </c>
      <c r="E530">
        <v>3</v>
      </c>
      <c r="F530" t="s">
        <v>19</v>
      </c>
      <c r="G530" t="s">
        <v>82</v>
      </c>
      <c r="H530" t="s">
        <v>1613</v>
      </c>
      <c r="I530" t="s">
        <v>947</v>
      </c>
      <c r="J530" t="s">
        <v>1422</v>
      </c>
      <c r="K530" t="s">
        <v>1900</v>
      </c>
      <c r="L530">
        <v>7</v>
      </c>
      <c r="M530" s="5">
        <v>527.84</v>
      </c>
      <c r="N530" s="6">
        <v>0</v>
      </c>
      <c r="O530" s="5">
        <v>0</v>
      </c>
      <c r="P530" s="5">
        <v>554.23</v>
      </c>
      <c r="Q530" s="5">
        <v>3694.88</v>
      </c>
      <c r="R530" s="5">
        <v>2783.83</v>
      </c>
      <c r="S530" s="5">
        <v>911.05</v>
      </c>
      <c r="T530" s="7">
        <v>0.246570930585026</v>
      </c>
      <c r="U530" t="s">
        <v>14</v>
      </c>
      <c r="V530" t="s">
        <v>50</v>
      </c>
      <c r="W530" t="s">
        <v>50</v>
      </c>
      <c r="X530" t="s">
        <v>33</v>
      </c>
      <c r="Y530" t="s">
        <v>1546</v>
      </c>
      <c r="Z530" t="s">
        <v>101</v>
      </c>
    </row>
    <row r="531" spans="1:26">
      <c r="A531" t="s">
        <v>1901</v>
      </c>
      <c r="B531" t="s">
        <v>1901</v>
      </c>
      <c r="C531" s="4">
        <v>45973</v>
      </c>
      <c r="D531">
        <v>2025</v>
      </c>
      <c r="E531">
        <v>11</v>
      </c>
      <c r="F531" t="s">
        <v>27</v>
      </c>
      <c r="G531" t="s">
        <v>137</v>
      </c>
      <c r="H531" t="s">
        <v>1848</v>
      </c>
      <c r="I531" t="s">
        <v>262</v>
      </c>
      <c r="J531" t="s">
        <v>948</v>
      </c>
      <c r="K531" t="s">
        <v>949</v>
      </c>
      <c r="L531">
        <v>2</v>
      </c>
      <c r="M531" s="5">
        <v>147.97</v>
      </c>
      <c r="N531" s="6">
        <v>0</v>
      </c>
      <c r="O531" s="5">
        <v>0</v>
      </c>
      <c r="P531" s="5">
        <v>44.39</v>
      </c>
      <c r="Q531" s="5">
        <v>295.94</v>
      </c>
      <c r="R531" s="5">
        <v>225.6</v>
      </c>
      <c r="S531" s="5">
        <v>70.34</v>
      </c>
      <c r="T531" s="7">
        <v>0.237683314185308</v>
      </c>
      <c r="U531" t="s">
        <v>10</v>
      </c>
      <c r="V531" t="s">
        <v>50</v>
      </c>
      <c r="W531" t="s">
        <v>50</v>
      </c>
      <c r="X531" t="s">
        <v>35</v>
      </c>
      <c r="Y531" t="s">
        <v>1902</v>
      </c>
      <c r="Z531" t="s">
        <v>101</v>
      </c>
    </row>
    <row r="532" spans="1:26">
      <c r="A532" t="s">
        <v>1903</v>
      </c>
      <c r="B532" t="s">
        <v>1903</v>
      </c>
      <c r="C532" s="4">
        <v>45758</v>
      </c>
      <c r="D532">
        <v>2025</v>
      </c>
      <c r="E532">
        <v>4</v>
      </c>
      <c r="F532" t="s">
        <v>20</v>
      </c>
      <c r="G532" t="s">
        <v>74</v>
      </c>
      <c r="H532" t="s">
        <v>977</v>
      </c>
      <c r="I532" t="s">
        <v>1904</v>
      </c>
      <c r="J532" t="s">
        <v>42</v>
      </c>
      <c r="K532" t="s">
        <v>1191</v>
      </c>
      <c r="L532">
        <v>1</v>
      </c>
      <c r="M532" s="5">
        <v>108.97</v>
      </c>
      <c r="N532" s="6">
        <v>10</v>
      </c>
      <c r="O532" s="5">
        <v>10.9</v>
      </c>
      <c r="P532" s="5">
        <v>14.71</v>
      </c>
      <c r="Q532" s="5">
        <v>98.07</v>
      </c>
      <c r="R532" s="5">
        <v>83.33</v>
      </c>
      <c r="S532" s="5">
        <v>14.74</v>
      </c>
      <c r="T532" s="7">
        <v>0.150300805547058</v>
      </c>
      <c r="U532" t="s">
        <v>10</v>
      </c>
      <c r="V532" t="s">
        <v>50</v>
      </c>
      <c r="W532" t="s">
        <v>50</v>
      </c>
      <c r="X532" t="s">
        <v>33</v>
      </c>
      <c r="Y532" t="s">
        <v>1492</v>
      </c>
      <c r="Z532" t="s">
        <v>101</v>
      </c>
    </row>
    <row r="533" spans="1:26">
      <c r="A533" t="s">
        <v>1905</v>
      </c>
      <c r="B533" t="s">
        <v>1905</v>
      </c>
      <c r="C533" s="4">
        <v>45940</v>
      </c>
      <c r="D533">
        <v>2025</v>
      </c>
      <c r="E533">
        <v>10</v>
      </c>
      <c r="F533" t="s">
        <v>26</v>
      </c>
      <c r="G533" t="s">
        <v>137</v>
      </c>
      <c r="H533" t="s">
        <v>571</v>
      </c>
      <c r="I533" t="s">
        <v>498</v>
      </c>
      <c r="J533" t="s">
        <v>269</v>
      </c>
      <c r="K533" t="s">
        <v>128</v>
      </c>
      <c r="L533">
        <v>5</v>
      </c>
      <c r="M533" s="5">
        <v>365.92</v>
      </c>
      <c r="N533" s="6">
        <v>10</v>
      </c>
      <c r="O533" s="5">
        <v>182.96</v>
      </c>
      <c r="P533" s="5">
        <v>247</v>
      </c>
      <c r="Q533" s="5">
        <v>1646.64</v>
      </c>
      <c r="R533" s="5">
        <v>1551.9</v>
      </c>
      <c r="S533" s="5">
        <v>94.74</v>
      </c>
      <c r="T533" s="7">
        <v>0.0575353447019385</v>
      </c>
      <c r="U533" t="s">
        <v>13</v>
      </c>
      <c r="V533" t="s">
        <v>50</v>
      </c>
      <c r="W533" t="s">
        <v>50</v>
      </c>
      <c r="X533" t="s">
        <v>33</v>
      </c>
      <c r="Y533" t="s">
        <v>414</v>
      </c>
      <c r="Z533" t="s">
        <v>101</v>
      </c>
    </row>
    <row r="534" spans="1:26">
      <c r="A534" t="s">
        <v>1906</v>
      </c>
      <c r="B534" t="s">
        <v>1906</v>
      </c>
      <c r="C534" s="4">
        <v>46077</v>
      </c>
      <c r="D534">
        <v>2026</v>
      </c>
      <c r="E534">
        <v>2</v>
      </c>
      <c r="F534" t="s">
        <v>31</v>
      </c>
      <c r="G534" t="s">
        <v>82</v>
      </c>
      <c r="H534" t="s">
        <v>591</v>
      </c>
      <c r="I534" t="s">
        <v>285</v>
      </c>
      <c r="J534" t="s">
        <v>858</v>
      </c>
      <c r="K534" t="s">
        <v>1625</v>
      </c>
      <c r="L534">
        <v>8</v>
      </c>
      <c r="M534" s="5">
        <v>574.91</v>
      </c>
      <c r="N534" s="6">
        <v>15</v>
      </c>
      <c r="O534" s="5">
        <v>689.89</v>
      </c>
      <c r="P534" s="5">
        <v>586.41</v>
      </c>
      <c r="Q534" s="5">
        <v>3909.39</v>
      </c>
      <c r="R534" s="5">
        <v>2691.2</v>
      </c>
      <c r="S534" s="5">
        <v>1218.19</v>
      </c>
      <c r="T534" s="7">
        <v>0.311606158505547</v>
      </c>
      <c r="U534" t="s">
        <v>9</v>
      </c>
      <c r="V534" t="s">
        <v>50</v>
      </c>
      <c r="W534" t="s">
        <v>50</v>
      </c>
      <c r="X534" t="s">
        <v>35</v>
      </c>
      <c r="Y534" t="s">
        <v>1907</v>
      </c>
      <c r="Z534" t="s">
        <v>101</v>
      </c>
    </row>
    <row r="535" spans="1:26">
      <c r="A535" t="s">
        <v>1908</v>
      </c>
      <c r="B535" t="s">
        <v>1908</v>
      </c>
      <c r="C535" s="4">
        <v>45794</v>
      </c>
      <c r="D535">
        <v>2025</v>
      </c>
      <c r="E535">
        <v>5</v>
      </c>
      <c r="F535" t="s">
        <v>21</v>
      </c>
      <c r="G535" t="s">
        <v>74</v>
      </c>
      <c r="H535" t="s">
        <v>1037</v>
      </c>
      <c r="I535" t="s">
        <v>174</v>
      </c>
      <c r="J535" t="s">
        <v>751</v>
      </c>
      <c r="K535" t="s">
        <v>752</v>
      </c>
      <c r="L535">
        <v>4</v>
      </c>
      <c r="M535" s="5">
        <v>445.21</v>
      </c>
      <c r="N535" s="6">
        <v>0</v>
      </c>
      <c r="O535" s="5">
        <v>0</v>
      </c>
      <c r="P535" s="5">
        <v>267.13</v>
      </c>
      <c r="Q535" s="5">
        <v>2047.97</v>
      </c>
      <c r="R535" s="5">
        <v>1277.48</v>
      </c>
      <c r="S535" s="5">
        <v>770.49</v>
      </c>
      <c r="T535" s="7">
        <v>0.376221331367159</v>
      </c>
      <c r="U535" t="s">
        <v>14</v>
      </c>
      <c r="V535" t="s">
        <v>50</v>
      </c>
      <c r="W535" t="s">
        <v>50</v>
      </c>
      <c r="X535" t="s">
        <v>35</v>
      </c>
      <c r="Y535" t="s">
        <v>432</v>
      </c>
      <c r="Z535" t="s">
        <v>80</v>
      </c>
    </row>
    <row r="536" spans="1:26">
      <c r="A536" t="s">
        <v>1909</v>
      </c>
      <c r="B536" t="s">
        <v>1909</v>
      </c>
      <c r="C536" s="4">
        <v>45867</v>
      </c>
      <c r="D536">
        <v>2025</v>
      </c>
      <c r="E536">
        <v>7</v>
      </c>
      <c r="F536" t="s">
        <v>23</v>
      </c>
      <c r="G536" t="s">
        <v>89</v>
      </c>
      <c r="H536" t="s">
        <v>1587</v>
      </c>
      <c r="I536" t="s">
        <v>547</v>
      </c>
      <c r="J536" t="s">
        <v>465</v>
      </c>
      <c r="K536" t="s">
        <v>829</v>
      </c>
      <c r="L536">
        <v>3</v>
      </c>
      <c r="M536" s="5">
        <v>550.69</v>
      </c>
      <c r="N536" s="6">
        <v>10</v>
      </c>
      <c r="O536" s="5">
        <v>165.21</v>
      </c>
      <c r="P536" s="5">
        <v>223.03</v>
      </c>
      <c r="Q536" s="5">
        <v>1486.86</v>
      </c>
      <c r="R536" s="5">
        <v>1169.4</v>
      </c>
      <c r="S536" s="5">
        <v>317.46</v>
      </c>
      <c r="T536" s="7">
        <v>0.213510350671886</v>
      </c>
      <c r="U536" t="s">
        <v>9</v>
      </c>
      <c r="V536" t="s">
        <v>50</v>
      </c>
      <c r="W536" t="s">
        <v>50</v>
      </c>
      <c r="X536" t="s">
        <v>35</v>
      </c>
      <c r="Y536" t="s">
        <v>1309</v>
      </c>
      <c r="Z536" t="s">
        <v>101</v>
      </c>
    </row>
    <row r="537" spans="1:26">
      <c r="A537" t="s">
        <v>1910</v>
      </c>
      <c r="B537" t="s">
        <v>1910</v>
      </c>
      <c r="C537" s="4">
        <v>45923</v>
      </c>
      <c r="D537">
        <v>2025</v>
      </c>
      <c r="E537">
        <v>9</v>
      </c>
      <c r="F537" t="s">
        <v>25</v>
      </c>
      <c r="G537" t="s">
        <v>89</v>
      </c>
      <c r="H537" t="s">
        <v>1296</v>
      </c>
      <c r="I537" t="s">
        <v>1264</v>
      </c>
      <c r="J537" t="s">
        <v>263</v>
      </c>
      <c r="K537" t="s">
        <v>264</v>
      </c>
      <c r="L537">
        <v>5</v>
      </c>
      <c r="M537" s="5">
        <v>182.96</v>
      </c>
      <c r="N537" s="6">
        <v>0</v>
      </c>
      <c r="O537" s="5">
        <v>0</v>
      </c>
      <c r="P537" s="5">
        <v>137.22</v>
      </c>
      <c r="Q537" s="5">
        <v>914.8</v>
      </c>
      <c r="R537" s="5">
        <v>538</v>
      </c>
      <c r="S537" s="5">
        <v>376.8</v>
      </c>
      <c r="T537" s="7">
        <v>0.411893310013118</v>
      </c>
      <c r="U537" t="s">
        <v>13</v>
      </c>
      <c r="V537" t="s">
        <v>50</v>
      </c>
      <c r="W537" t="s">
        <v>50</v>
      </c>
      <c r="X537" t="s">
        <v>35</v>
      </c>
      <c r="Y537" t="s">
        <v>1911</v>
      </c>
      <c r="Z537" t="s">
        <v>101</v>
      </c>
    </row>
    <row r="538" spans="1:26">
      <c r="A538" t="s">
        <v>1912</v>
      </c>
      <c r="B538" t="s">
        <v>1912</v>
      </c>
      <c r="C538" s="4">
        <v>45977</v>
      </c>
      <c r="D538">
        <v>2025</v>
      </c>
      <c r="E538">
        <v>11</v>
      </c>
      <c r="F538" t="s">
        <v>27</v>
      </c>
      <c r="G538" t="s">
        <v>137</v>
      </c>
      <c r="H538" t="s">
        <v>1549</v>
      </c>
      <c r="I538" t="s">
        <v>1686</v>
      </c>
      <c r="J538" t="s">
        <v>286</v>
      </c>
      <c r="K538" t="s">
        <v>1913</v>
      </c>
      <c r="L538">
        <v>6</v>
      </c>
      <c r="M538" s="5">
        <v>243.38</v>
      </c>
      <c r="N538" s="6">
        <v>15</v>
      </c>
      <c r="O538" s="5">
        <v>219.04</v>
      </c>
      <c r="P538" s="5">
        <v>186.19</v>
      </c>
      <c r="Q538" s="5">
        <v>1427.43</v>
      </c>
      <c r="R538" s="5">
        <v>965.88</v>
      </c>
      <c r="S538" s="5">
        <v>461.55</v>
      </c>
      <c r="T538" s="7">
        <v>0.323343351337719</v>
      </c>
      <c r="U538" t="s">
        <v>11</v>
      </c>
      <c r="V538" t="s">
        <v>50</v>
      </c>
      <c r="W538" t="s">
        <v>50</v>
      </c>
      <c r="X538" t="s">
        <v>33</v>
      </c>
      <c r="Y538" t="s">
        <v>1914</v>
      </c>
      <c r="Z538" t="s">
        <v>80</v>
      </c>
    </row>
    <row r="539" spans="1:26">
      <c r="A539" t="s">
        <v>1915</v>
      </c>
      <c r="B539" t="s">
        <v>1915</v>
      </c>
      <c r="C539" s="4">
        <v>45774</v>
      </c>
      <c r="D539">
        <v>2025</v>
      </c>
      <c r="E539">
        <v>4</v>
      </c>
      <c r="F539" t="s">
        <v>20</v>
      </c>
      <c r="G539" t="s">
        <v>74</v>
      </c>
      <c r="H539" t="s">
        <v>1823</v>
      </c>
      <c r="I539" t="s">
        <v>598</v>
      </c>
      <c r="J539" t="s">
        <v>1347</v>
      </c>
      <c r="K539" t="s">
        <v>1916</v>
      </c>
      <c r="L539">
        <v>4</v>
      </c>
      <c r="M539" s="5">
        <v>491.81</v>
      </c>
      <c r="N539" s="6">
        <v>5</v>
      </c>
      <c r="O539" s="5">
        <v>98.36</v>
      </c>
      <c r="P539" s="5">
        <v>280.33</v>
      </c>
      <c r="Q539" s="5">
        <v>2149.21</v>
      </c>
      <c r="R539" s="5">
        <v>1462.28</v>
      </c>
      <c r="S539" s="5">
        <v>686.93</v>
      </c>
      <c r="T539" s="7">
        <v>0.31961976726332</v>
      </c>
      <c r="U539" t="s">
        <v>14</v>
      </c>
      <c r="V539" t="s">
        <v>50</v>
      </c>
      <c r="W539" t="s">
        <v>50</v>
      </c>
      <c r="X539" t="s">
        <v>35</v>
      </c>
      <c r="Y539" t="s">
        <v>437</v>
      </c>
      <c r="Z539" t="s">
        <v>80</v>
      </c>
    </row>
    <row r="540" spans="1:26">
      <c r="A540" t="s">
        <v>1917</v>
      </c>
      <c r="B540" t="s">
        <v>1917</v>
      </c>
      <c r="C540" s="4">
        <v>45859</v>
      </c>
      <c r="D540">
        <v>2025</v>
      </c>
      <c r="E540">
        <v>7</v>
      </c>
      <c r="F540" t="s">
        <v>23</v>
      </c>
      <c r="G540" t="s">
        <v>89</v>
      </c>
      <c r="H540" t="s">
        <v>1918</v>
      </c>
      <c r="I540" t="s">
        <v>937</v>
      </c>
      <c r="J540" t="s">
        <v>1107</v>
      </c>
      <c r="K540" t="s">
        <v>1108</v>
      </c>
      <c r="L540">
        <v>1</v>
      </c>
      <c r="M540" s="5">
        <v>438.7</v>
      </c>
      <c r="N540" s="6">
        <v>5</v>
      </c>
      <c r="O540" s="5">
        <v>21.93</v>
      </c>
      <c r="P540" s="5">
        <v>62.52</v>
      </c>
      <c r="Q540" s="5">
        <v>416.77</v>
      </c>
      <c r="R540" s="5">
        <v>370.18</v>
      </c>
      <c r="S540" s="5">
        <v>46.59</v>
      </c>
      <c r="T540" s="7">
        <v>0.111788276507426</v>
      </c>
      <c r="U540" t="s">
        <v>14</v>
      </c>
      <c r="V540" t="s">
        <v>50</v>
      </c>
      <c r="W540" t="s">
        <v>50</v>
      </c>
      <c r="X540" t="s">
        <v>33</v>
      </c>
      <c r="Y540" t="s">
        <v>1530</v>
      </c>
      <c r="Z540" t="s">
        <v>101</v>
      </c>
    </row>
    <row r="541" spans="1:26">
      <c r="A541" t="s">
        <v>1919</v>
      </c>
      <c r="B541" t="s">
        <v>1919</v>
      </c>
      <c r="C541" s="4">
        <v>45900</v>
      </c>
      <c r="D541">
        <v>2025</v>
      </c>
      <c r="E541">
        <v>8</v>
      </c>
      <c r="F541" t="s">
        <v>24</v>
      </c>
      <c r="G541" t="s">
        <v>89</v>
      </c>
      <c r="H541" t="s">
        <v>239</v>
      </c>
      <c r="I541" t="s">
        <v>807</v>
      </c>
      <c r="J541" t="s">
        <v>170</v>
      </c>
      <c r="K541" t="s">
        <v>1920</v>
      </c>
      <c r="L541">
        <v>1</v>
      </c>
      <c r="M541" s="5">
        <v>340.25</v>
      </c>
      <c r="N541" s="6">
        <v>0</v>
      </c>
      <c r="O541" s="5">
        <v>0</v>
      </c>
      <c r="P541" s="5">
        <v>51.04</v>
      </c>
      <c r="Q541" s="5">
        <v>391.29</v>
      </c>
      <c r="R541" s="5">
        <v>263.85</v>
      </c>
      <c r="S541" s="5">
        <v>127.44</v>
      </c>
      <c r="T541" s="7">
        <v>0.325691942037875</v>
      </c>
      <c r="U541" t="s">
        <v>10</v>
      </c>
      <c r="V541" t="s">
        <v>50</v>
      </c>
      <c r="W541" t="s">
        <v>50</v>
      </c>
      <c r="X541" t="s">
        <v>33</v>
      </c>
      <c r="Y541" t="s">
        <v>1921</v>
      </c>
      <c r="Z541" t="s">
        <v>80</v>
      </c>
    </row>
    <row r="542" spans="1:26">
      <c r="A542" t="s">
        <v>1922</v>
      </c>
      <c r="B542" t="s">
        <v>1922</v>
      </c>
      <c r="C542" s="4">
        <v>45832</v>
      </c>
      <c r="D542">
        <v>2025</v>
      </c>
      <c r="E542">
        <v>6</v>
      </c>
      <c r="F542" t="s">
        <v>22</v>
      </c>
      <c r="G542" t="s">
        <v>74</v>
      </c>
      <c r="H542" t="s">
        <v>1923</v>
      </c>
      <c r="I542" t="s">
        <v>774</v>
      </c>
      <c r="J542" t="s">
        <v>906</v>
      </c>
      <c r="K542" t="s">
        <v>1924</v>
      </c>
      <c r="L542">
        <v>3</v>
      </c>
      <c r="M542" s="5">
        <v>661.91</v>
      </c>
      <c r="N542" s="6">
        <v>15</v>
      </c>
      <c r="O542" s="5">
        <v>297.86</v>
      </c>
      <c r="P542" s="5">
        <v>253.18</v>
      </c>
      <c r="Q542" s="5">
        <v>1687.87</v>
      </c>
      <c r="R542" s="5">
        <v>1196.16</v>
      </c>
      <c r="S542" s="5">
        <v>491.71</v>
      </c>
      <c r="T542" s="7">
        <v>0.29131982913376</v>
      </c>
      <c r="U542" t="s">
        <v>12</v>
      </c>
      <c r="V542" t="s">
        <v>50</v>
      </c>
      <c r="W542" t="s">
        <v>50</v>
      </c>
      <c r="X542" t="s">
        <v>33</v>
      </c>
      <c r="Y542" t="s">
        <v>1925</v>
      </c>
      <c r="Z542" t="s">
        <v>101</v>
      </c>
    </row>
    <row r="543" spans="1:26">
      <c r="A543" t="s">
        <v>1926</v>
      </c>
      <c r="B543" t="s">
        <v>1926</v>
      </c>
      <c r="C543" s="4">
        <v>46014</v>
      </c>
      <c r="D543">
        <v>2025</v>
      </c>
      <c r="E543">
        <v>12</v>
      </c>
      <c r="F543" t="s">
        <v>28</v>
      </c>
      <c r="G543" t="s">
        <v>137</v>
      </c>
      <c r="H543" t="s">
        <v>1927</v>
      </c>
      <c r="I543" t="s">
        <v>139</v>
      </c>
      <c r="J543" t="s">
        <v>1928</v>
      </c>
      <c r="K543" t="s">
        <v>572</v>
      </c>
      <c r="L543">
        <v>2</v>
      </c>
      <c r="M543" s="5">
        <v>38.66</v>
      </c>
      <c r="N543" s="6">
        <v>0</v>
      </c>
      <c r="O543" s="5">
        <v>0</v>
      </c>
      <c r="P543" s="5">
        <v>11.6</v>
      </c>
      <c r="Q543" s="5">
        <v>77.32</v>
      </c>
      <c r="R543" s="5">
        <v>64.8</v>
      </c>
      <c r="S543" s="5">
        <v>12.52</v>
      </c>
      <c r="T543" s="7">
        <v>0.161924469736161</v>
      </c>
      <c r="U543" t="s">
        <v>12</v>
      </c>
      <c r="V543" t="s">
        <v>50</v>
      </c>
      <c r="W543" t="s">
        <v>50</v>
      </c>
      <c r="X543" t="s">
        <v>33</v>
      </c>
      <c r="Y543" t="s">
        <v>600</v>
      </c>
      <c r="Z543" t="s">
        <v>101</v>
      </c>
    </row>
    <row r="544" spans="1:26">
      <c r="A544" t="s">
        <v>1929</v>
      </c>
      <c r="B544" t="s">
        <v>1929</v>
      </c>
      <c r="C544" s="4">
        <v>46089</v>
      </c>
      <c r="D544">
        <v>2026</v>
      </c>
      <c r="E544">
        <v>3</v>
      </c>
      <c r="F544" t="s">
        <v>19</v>
      </c>
      <c r="G544" t="s">
        <v>82</v>
      </c>
      <c r="H544" t="s">
        <v>1930</v>
      </c>
      <c r="I544" t="s">
        <v>384</v>
      </c>
      <c r="J544" t="s">
        <v>998</v>
      </c>
      <c r="K544" t="s">
        <v>1931</v>
      </c>
      <c r="L544">
        <v>2</v>
      </c>
      <c r="M544" s="5">
        <v>186.38</v>
      </c>
      <c r="N544" s="6">
        <v>20</v>
      </c>
      <c r="O544" s="5">
        <v>74.55</v>
      </c>
      <c r="P544" s="5">
        <v>44.73</v>
      </c>
      <c r="Q544" s="5">
        <v>342.94</v>
      </c>
      <c r="R544" s="5">
        <v>271.32</v>
      </c>
      <c r="S544" s="5">
        <v>71.62</v>
      </c>
      <c r="T544" s="7">
        <v>0.208841196710795</v>
      </c>
      <c r="U544" t="s">
        <v>13</v>
      </c>
      <c r="V544" t="s">
        <v>50</v>
      </c>
      <c r="W544" t="s">
        <v>50</v>
      </c>
      <c r="X544" t="s">
        <v>34</v>
      </c>
      <c r="Y544" t="s">
        <v>1932</v>
      </c>
      <c r="Z544" t="s">
        <v>80</v>
      </c>
    </row>
    <row r="545" spans="1:26">
      <c r="A545" t="s">
        <v>1933</v>
      </c>
      <c r="B545" t="s">
        <v>1933</v>
      </c>
      <c r="C545" s="4">
        <v>46101</v>
      </c>
      <c r="D545">
        <v>2026</v>
      </c>
      <c r="E545">
        <v>3</v>
      </c>
      <c r="F545" t="s">
        <v>19</v>
      </c>
      <c r="G545" t="s">
        <v>82</v>
      </c>
      <c r="H545" t="s">
        <v>1245</v>
      </c>
      <c r="I545" t="s">
        <v>728</v>
      </c>
      <c r="J545" t="s">
        <v>127</v>
      </c>
      <c r="K545" t="s">
        <v>128</v>
      </c>
      <c r="L545">
        <v>1</v>
      </c>
      <c r="M545" s="5">
        <v>451.89</v>
      </c>
      <c r="N545" s="6">
        <v>0</v>
      </c>
      <c r="O545" s="5">
        <v>0</v>
      </c>
      <c r="P545" s="5">
        <v>67.78</v>
      </c>
      <c r="Q545" s="5">
        <v>451.89</v>
      </c>
      <c r="R545" s="5">
        <v>387.16</v>
      </c>
      <c r="S545" s="5">
        <v>64.73</v>
      </c>
      <c r="T545" s="7">
        <v>0.143242824581203</v>
      </c>
      <c r="U545" t="s">
        <v>13</v>
      </c>
      <c r="V545" t="s">
        <v>50</v>
      </c>
      <c r="W545" t="s">
        <v>50</v>
      </c>
      <c r="X545" t="s">
        <v>35</v>
      </c>
      <c r="Y545" t="s">
        <v>1298</v>
      </c>
      <c r="Z545" t="s">
        <v>101</v>
      </c>
    </row>
    <row r="546" spans="1:26">
      <c r="A546" t="s">
        <v>1934</v>
      </c>
      <c r="B546" t="s">
        <v>1934</v>
      </c>
      <c r="C546" s="4">
        <v>45871</v>
      </c>
      <c r="D546">
        <v>2025</v>
      </c>
      <c r="E546">
        <v>8</v>
      </c>
      <c r="F546" t="s">
        <v>24</v>
      </c>
      <c r="G546" t="s">
        <v>89</v>
      </c>
      <c r="H546" t="s">
        <v>513</v>
      </c>
      <c r="I546" t="s">
        <v>1137</v>
      </c>
      <c r="J546" t="s">
        <v>170</v>
      </c>
      <c r="K546" t="s">
        <v>1402</v>
      </c>
      <c r="L546">
        <v>5</v>
      </c>
      <c r="M546" s="5">
        <v>420.08</v>
      </c>
      <c r="N546" s="6">
        <v>10</v>
      </c>
      <c r="O546" s="5">
        <v>210.04</v>
      </c>
      <c r="P546" s="5">
        <v>283.55</v>
      </c>
      <c r="Q546" s="5">
        <v>2173.91</v>
      </c>
      <c r="R546" s="5">
        <v>1742.05</v>
      </c>
      <c r="S546" s="5">
        <v>431.86</v>
      </c>
      <c r="T546" s="7">
        <v>0.198655878118229</v>
      </c>
      <c r="U546" t="s">
        <v>13</v>
      </c>
      <c r="V546" t="s">
        <v>50</v>
      </c>
      <c r="W546" t="s">
        <v>50</v>
      </c>
      <c r="X546" t="s">
        <v>34</v>
      </c>
      <c r="Y546" t="s">
        <v>1756</v>
      </c>
      <c r="Z546" t="s">
        <v>80</v>
      </c>
    </row>
    <row r="547" spans="1:26">
      <c r="A547" t="s">
        <v>1935</v>
      </c>
      <c r="B547" t="s">
        <v>1935</v>
      </c>
      <c r="C547" s="4">
        <v>45966</v>
      </c>
      <c r="D547">
        <v>2025</v>
      </c>
      <c r="E547">
        <v>11</v>
      </c>
      <c r="F547" t="s">
        <v>27</v>
      </c>
      <c r="G547" t="s">
        <v>137</v>
      </c>
      <c r="H547" t="s">
        <v>1936</v>
      </c>
      <c r="I547" t="s">
        <v>1196</v>
      </c>
      <c r="J547" t="s">
        <v>286</v>
      </c>
      <c r="K547" t="s">
        <v>568</v>
      </c>
      <c r="L547">
        <v>7</v>
      </c>
      <c r="M547" s="5">
        <v>168.68</v>
      </c>
      <c r="N547" s="6">
        <v>10</v>
      </c>
      <c r="O547" s="5">
        <v>118.08</v>
      </c>
      <c r="P547" s="5">
        <v>159.4</v>
      </c>
      <c r="Q547" s="5">
        <v>1062.68</v>
      </c>
      <c r="R547" s="5">
        <v>764.47</v>
      </c>
      <c r="S547" s="5">
        <v>298.21</v>
      </c>
      <c r="T547" s="7">
        <v>0.280620694846991</v>
      </c>
      <c r="U547" t="s">
        <v>10</v>
      </c>
      <c r="V547" t="s">
        <v>50</v>
      </c>
      <c r="W547" t="s">
        <v>50</v>
      </c>
      <c r="X547" t="s">
        <v>33</v>
      </c>
      <c r="Y547" t="s">
        <v>565</v>
      </c>
      <c r="Z547" t="s">
        <v>101</v>
      </c>
    </row>
    <row r="548" spans="1:26">
      <c r="A548" t="s">
        <v>1937</v>
      </c>
      <c r="B548" t="s">
        <v>1937</v>
      </c>
      <c r="C548" s="4">
        <v>46015</v>
      </c>
      <c r="D548">
        <v>2025</v>
      </c>
      <c r="E548">
        <v>12</v>
      </c>
      <c r="F548" t="s">
        <v>28</v>
      </c>
      <c r="G548" t="s">
        <v>137</v>
      </c>
      <c r="H548" t="s">
        <v>1449</v>
      </c>
      <c r="I548" t="s">
        <v>970</v>
      </c>
      <c r="J548" t="s">
        <v>1938</v>
      </c>
      <c r="K548" t="s">
        <v>943</v>
      </c>
      <c r="L548">
        <v>1</v>
      </c>
      <c r="M548" s="5">
        <v>351.78</v>
      </c>
      <c r="N548" s="6">
        <v>10</v>
      </c>
      <c r="O548" s="5">
        <v>35.18</v>
      </c>
      <c r="P548" s="5">
        <v>47.49</v>
      </c>
      <c r="Q548" s="5">
        <v>316.6</v>
      </c>
      <c r="R548" s="5">
        <v>253.83</v>
      </c>
      <c r="S548" s="5">
        <v>62.77</v>
      </c>
      <c r="T548" s="7">
        <v>0.198262792166772</v>
      </c>
      <c r="U548" t="s">
        <v>10</v>
      </c>
      <c r="V548" t="s">
        <v>50</v>
      </c>
      <c r="W548" t="s">
        <v>50</v>
      </c>
      <c r="X548" t="s">
        <v>35</v>
      </c>
      <c r="Y548" t="s">
        <v>962</v>
      </c>
      <c r="Z548" t="s">
        <v>101</v>
      </c>
    </row>
    <row r="549" spans="1:26">
      <c r="A549" t="s">
        <v>1939</v>
      </c>
      <c r="B549" t="s">
        <v>1939</v>
      </c>
      <c r="C549" s="4">
        <v>46070</v>
      </c>
      <c r="D549">
        <v>2026</v>
      </c>
      <c r="E549">
        <v>2</v>
      </c>
      <c r="F549" t="s">
        <v>31</v>
      </c>
      <c r="G549" t="s">
        <v>82</v>
      </c>
      <c r="H549" t="s">
        <v>1157</v>
      </c>
      <c r="I549" t="s">
        <v>587</v>
      </c>
      <c r="J549" t="s">
        <v>1940</v>
      </c>
      <c r="K549" t="s">
        <v>270</v>
      </c>
      <c r="L549">
        <v>7</v>
      </c>
      <c r="M549" s="5">
        <v>411.56</v>
      </c>
      <c r="N549" s="6">
        <v>15</v>
      </c>
      <c r="O549" s="5">
        <v>432.14</v>
      </c>
      <c r="P549" s="5">
        <v>367.32</v>
      </c>
      <c r="Q549" s="5">
        <v>2448.78</v>
      </c>
      <c r="R549" s="5">
        <v>1929.69</v>
      </c>
      <c r="S549" s="5">
        <v>519.09</v>
      </c>
      <c r="T549" s="7">
        <v>0.211979026290643</v>
      </c>
      <c r="U549" t="s">
        <v>10</v>
      </c>
      <c r="V549" t="s">
        <v>50</v>
      </c>
      <c r="W549" t="s">
        <v>50</v>
      </c>
      <c r="X549" t="s">
        <v>35</v>
      </c>
      <c r="Y549" t="s">
        <v>1941</v>
      </c>
      <c r="Z549" t="s">
        <v>101</v>
      </c>
    </row>
    <row r="550" spans="1:26">
      <c r="A550" t="s">
        <v>1942</v>
      </c>
      <c r="B550" t="s">
        <v>1942</v>
      </c>
      <c r="C550" s="4">
        <v>45951</v>
      </c>
      <c r="D550">
        <v>2025</v>
      </c>
      <c r="E550">
        <v>10</v>
      </c>
      <c r="F550" t="s">
        <v>26</v>
      </c>
      <c r="G550" t="s">
        <v>137</v>
      </c>
      <c r="H550" t="s">
        <v>977</v>
      </c>
      <c r="I550" t="s">
        <v>728</v>
      </c>
      <c r="J550" t="s">
        <v>482</v>
      </c>
      <c r="K550" t="s">
        <v>1943</v>
      </c>
      <c r="L550">
        <v>1</v>
      </c>
      <c r="M550" s="5">
        <v>451.89</v>
      </c>
      <c r="N550" s="6">
        <v>20</v>
      </c>
      <c r="O550" s="5">
        <v>90.38</v>
      </c>
      <c r="P550" s="5">
        <v>54.23</v>
      </c>
      <c r="Q550" s="5">
        <v>361.51</v>
      </c>
      <c r="R550" s="5">
        <v>387.16</v>
      </c>
      <c r="S550" s="5">
        <v>-25.65</v>
      </c>
      <c r="T550" s="7">
        <v>-0.0709523941246439</v>
      </c>
      <c r="U550" t="s">
        <v>9</v>
      </c>
      <c r="V550" t="s">
        <v>50</v>
      </c>
      <c r="W550" t="s">
        <v>50</v>
      </c>
      <c r="X550" t="s">
        <v>33</v>
      </c>
      <c r="Y550" t="s">
        <v>1647</v>
      </c>
      <c r="Z550" t="s">
        <v>101</v>
      </c>
    </row>
    <row r="551" spans="1:26">
      <c r="A551" t="s">
        <v>1944</v>
      </c>
      <c r="B551" t="s">
        <v>1944</v>
      </c>
      <c r="C551" s="4">
        <v>45965</v>
      </c>
      <c r="D551">
        <v>2025</v>
      </c>
      <c r="E551">
        <v>11</v>
      </c>
      <c r="F551" t="s">
        <v>27</v>
      </c>
      <c r="G551" t="s">
        <v>137</v>
      </c>
      <c r="H551" t="s">
        <v>1685</v>
      </c>
      <c r="I551" t="s">
        <v>126</v>
      </c>
      <c r="J551" t="s">
        <v>882</v>
      </c>
      <c r="K551" t="s">
        <v>883</v>
      </c>
      <c r="L551">
        <v>3</v>
      </c>
      <c r="M551" s="5">
        <v>131.03</v>
      </c>
      <c r="N551" s="6">
        <v>20</v>
      </c>
      <c r="O551" s="5">
        <v>78.62</v>
      </c>
      <c r="P551" s="5">
        <v>47.17</v>
      </c>
      <c r="Q551" s="5">
        <v>314.47</v>
      </c>
      <c r="R551" s="5">
        <v>351.81</v>
      </c>
      <c r="S551" s="5">
        <v>-37.34</v>
      </c>
      <c r="T551" s="7">
        <v>-0.118739466403791</v>
      </c>
      <c r="U551" t="s">
        <v>10</v>
      </c>
      <c r="V551" t="s">
        <v>50</v>
      </c>
      <c r="W551" t="s">
        <v>50</v>
      </c>
      <c r="X551" t="s">
        <v>35</v>
      </c>
      <c r="Y551" t="s">
        <v>1945</v>
      </c>
      <c r="Z551" t="s">
        <v>101</v>
      </c>
    </row>
    <row r="552" spans="1:26">
      <c r="A552" t="s">
        <v>1946</v>
      </c>
      <c r="B552" t="s">
        <v>1946</v>
      </c>
      <c r="C552" s="4">
        <v>45859</v>
      </c>
      <c r="D552">
        <v>2025</v>
      </c>
      <c r="E552">
        <v>7</v>
      </c>
      <c r="F552" t="s">
        <v>23</v>
      </c>
      <c r="G552" t="s">
        <v>89</v>
      </c>
      <c r="H552" t="s">
        <v>1947</v>
      </c>
      <c r="I552" t="s">
        <v>110</v>
      </c>
      <c r="J552" t="s">
        <v>164</v>
      </c>
      <c r="K552" t="s">
        <v>165</v>
      </c>
      <c r="L552">
        <v>5</v>
      </c>
      <c r="M552" s="5">
        <v>342.46</v>
      </c>
      <c r="N552" s="6">
        <v>15</v>
      </c>
      <c r="O552" s="5">
        <v>256.85</v>
      </c>
      <c r="P552" s="5">
        <v>218.32</v>
      </c>
      <c r="Q552" s="5">
        <v>1455.45</v>
      </c>
      <c r="R552" s="5">
        <v>1358.9</v>
      </c>
      <c r="S552" s="5">
        <v>96.55</v>
      </c>
      <c r="T552" s="7">
        <v>0.0663368717578756</v>
      </c>
      <c r="U552" t="s">
        <v>11</v>
      </c>
      <c r="V552" t="s">
        <v>50</v>
      </c>
      <c r="W552" t="s">
        <v>50</v>
      </c>
      <c r="X552" t="s">
        <v>33</v>
      </c>
      <c r="Y552" t="s">
        <v>1948</v>
      </c>
      <c r="Z552" t="s">
        <v>101</v>
      </c>
    </row>
    <row r="553" spans="1:26">
      <c r="A553" t="s">
        <v>1949</v>
      </c>
      <c r="B553" t="s">
        <v>1949</v>
      </c>
      <c r="C553" s="4">
        <v>45914</v>
      </c>
      <c r="D553">
        <v>2025</v>
      </c>
      <c r="E553">
        <v>9</v>
      </c>
      <c r="F553" t="s">
        <v>25</v>
      </c>
      <c r="G553" t="s">
        <v>89</v>
      </c>
      <c r="H553" t="s">
        <v>1376</v>
      </c>
      <c r="I553" t="s">
        <v>756</v>
      </c>
      <c r="J553" t="s">
        <v>202</v>
      </c>
      <c r="K553" t="s">
        <v>203</v>
      </c>
      <c r="L553">
        <v>4</v>
      </c>
      <c r="M553" s="5">
        <v>161.03</v>
      </c>
      <c r="N553" s="6">
        <v>0</v>
      </c>
      <c r="O553" s="5">
        <v>0</v>
      </c>
      <c r="P553" s="5">
        <v>96.62</v>
      </c>
      <c r="Q553" s="5">
        <v>740.74</v>
      </c>
      <c r="R553" s="5">
        <v>496.96</v>
      </c>
      <c r="S553" s="5">
        <v>243.78</v>
      </c>
      <c r="T553" s="7">
        <v>0.329103329103329</v>
      </c>
      <c r="U553" t="s">
        <v>10</v>
      </c>
      <c r="V553" t="s">
        <v>50</v>
      </c>
      <c r="W553" t="s">
        <v>50</v>
      </c>
      <c r="X553" t="s">
        <v>33</v>
      </c>
      <c r="Y553" t="s">
        <v>1950</v>
      </c>
      <c r="Z553" t="s">
        <v>80</v>
      </c>
    </row>
    <row r="554" spans="1:26">
      <c r="A554" t="s">
        <v>1951</v>
      </c>
      <c r="B554" t="s">
        <v>1951</v>
      </c>
      <c r="C554" s="4">
        <v>45842</v>
      </c>
      <c r="D554">
        <v>2025</v>
      </c>
      <c r="E554">
        <v>7</v>
      </c>
      <c r="F554" t="s">
        <v>23</v>
      </c>
      <c r="G554" t="s">
        <v>89</v>
      </c>
      <c r="H554" t="s">
        <v>964</v>
      </c>
      <c r="I554" t="s">
        <v>110</v>
      </c>
      <c r="J554" t="s">
        <v>460</v>
      </c>
      <c r="K554" t="s">
        <v>1952</v>
      </c>
      <c r="L554">
        <v>4</v>
      </c>
      <c r="M554" s="5">
        <v>342.46</v>
      </c>
      <c r="N554" s="6">
        <v>5</v>
      </c>
      <c r="O554" s="5">
        <v>68.49</v>
      </c>
      <c r="P554" s="5">
        <v>195.2</v>
      </c>
      <c r="Q554" s="5">
        <v>1301.35</v>
      </c>
      <c r="R554" s="5">
        <v>1087.12</v>
      </c>
      <c r="S554" s="5">
        <v>214.23</v>
      </c>
      <c r="T554" s="7">
        <v>0.164621354746993</v>
      </c>
      <c r="U554" t="s">
        <v>13</v>
      </c>
      <c r="V554" t="s">
        <v>50</v>
      </c>
      <c r="W554" t="s">
        <v>50</v>
      </c>
      <c r="X554" t="s">
        <v>33</v>
      </c>
      <c r="Y554" t="s">
        <v>1953</v>
      </c>
      <c r="Z554" t="s">
        <v>101</v>
      </c>
    </row>
    <row r="555" spans="1:26">
      <c r="A555" t="s">
        <v>1954</v>
      </c>
      <c r="B555" t="s">
        <v>1954</v>
      </c>
      <c r="C555" s="4">
        <v>46004</v>
      </c>
      <c r="D555">
        <v>2025</v>
      </c>
      <c r="E555">
        <v>12</v>
      </c>
      <c r="F555" t="s">
        <v>28</v>
      </c>
      <c r="G555" t="s">
        <v>137</v>
      </c>
      <c r="H555" t="s">
        <v>1955</v>
      </c>
      <c r="I555" t="s">
        <v>1367</v>
      </c>
      <c r="J555" t="s">
        <v>1409</v>
      </c>
      <c r="K555" t="s">
        <v>1410</v>
      </c>
      <c r="L555">
        <v>3</v>
      </c>
      <c r="M555" s="5">
        <v>56.89</v>
      </c>
      <c r="N555" s="6">
        <v>0</v>
      </c>
      <c r="O555" s="5">
        <v>0</v>
      </c>
      <c r="P555" s="5">
        <v>25.6</v>
      </c>
      <c r="Q555" s="5">
        <v>196.27</v>
      </c>
      <c r="R555" s="5">
        <v>134.88</v>
      </c>
      <c r="S555" s="5">
        <v>61.39</v>
      </c>
      <c r="T555" s="7">
        <v>0.312783410607836</v>
      </c>
      <c r="U555" t="s">
        <v>9</v>
      </c>
      <c r="V555" t="s">
        <v>50</v>
      </c>
      <c r="W555" t="s">
        <v>50</v>
      </c>
      <c r="X555" t="s">
        <v>35</v>
      </c>
      <c r="Y555" t="s">
        <v>1144</v>
      </c>
      <c r="Z555" t="s">
        <v>80</v>
      </c>
    </row>
    <row r="556" spans="1:26">
      <c r="A556" t="s">
        <v>1956</v>
      </c>
      <c r="B556" t="s">
        <v>1956</v>
      </c>
      <c r="C556" s="4">
        <v>45930</v>
      </c>
      <c r="D556">
        <v>2025</v>
      </c>
      <c r="E556">
        <v>9</v>
      </c>
      <c r="F556" t="s">
        <v>25</v>
      </c>
      <c r="G556" t="s">
        <v>89</v>
      </c>
      <c r="H556" t="s">
        <v>1957</v>
      </c>
      <c r="I556" t="s">
        <v>344</v>
      </c>
      <c r="J556" t="s">
        <v>1009</v>
      </c>
      <c r="K556" t="s">
        <v>1775</v>
      </c>
      <c r="L556">
        <v>2</v>
      </c>
      <c r="M556" s="5">
        <v>507.5</v>
      </c>
      <c r="N556" s="6">
        <v>0</v>
      </c>
      <c r="O556" s="5">
        <v>0</v>
      </c>
      <c r="P556" s="5">
        <v>152.25</v>
      </c>
      <c r="Q556" s="5">
        <v>1015</v>
      </c>
      <c r="R556" s="5">
        <v>726.58</v>
      </c>
      <c r="S556" s="5">
        <v>288.42</v>
      </c>
      <c r="T556" s="7">
        <v>0.28415763546798</v>
      </c>
      <c r="U556" t="s">
        <v>11</v>
      </c>
      <c r="V556" t="s">
        <v>50</v>
      </c>
      <c r="W556" t="s">
        <v>50</v>
      </c>
      <c r="X556" t="s">
        <v>33</v>
      </c>
      <c r="Y556" t="s">
        <v>1374</v>
      </c>
      <c r="Z556" t="s">
        <v>101</v>
      </c>
    </row>
    <row r="557" spans="1:26">
      <c r="A557" t="s">
        <v>1958</v>
      </c>
      <c r="B557" t="s">
        <v>1958</v>
      </c>
      <c r="C557" s="4">
        <v>45955</v>
      </c>
      <c r="D557">
        <v>2025</v>
      </c>
      <c r="E557">
        <v>10</v>
      </c>
      <c r="F557" t="s">
        <v>26</v>
      </c>
      <c r="G557" t="s">
        <v>137</v>
      </c>
      <c r="H557" t="s">
        <v>735</v>
      </c>
      <c r="I557" t="s">
        <v>104</v>
      </c>
      <c r="J557" t="s">
        <v>522</v>
      </c>
      <c r="K557" t="s">
        <v>523</v>
      </c>
      <c r="L557">
        <v>5</v>
      </c>
      <c r="M557" s="5">
        <v>313.47</v>
      </c>
      <c r="N557" s="6">
        <v>0</v>
      </c>
      <c r="O557" s="5">
        <v>0</v>
      </c>
      <c r="P557" s="5">
        <v>235.1</v>
      </c>
      <c r="Q557" s="5">
        <v>1802.45</v>
      </c>
      <c r="R557" s="5">
        <v>1230.6</v>
      </c>
      <c r="S557" s="5">
        <v>571.85</v>
      </c>
      <c r="T557" s="7">
        <v>0.317262614774335</v>
      </c>
      <c r="U557" t="s">
        <v>10</v>
      </c>
      <c r="V557" t="s">
        <v>50</v>
      </c>
      <c r="W557" t="s">
        <v>50</v>
      </c>
      <c r="X557" t="s">
        <v>33</v>
      </c>
      <c r="Y557" t="s">
        <v>1551</v>
      </c>
      <c r="Z557" t="s">
        <v>80</v>
      </c>
    </row>
    <row r="558" spans="1:26">
      <c r="A558" t="s">
        <v>1959</v>
      </c>
      <c r="B558" t="s">
        <v>1959</v>
      </c>
      <c r="C558" s="4">
        <v>46012</v>
      </c>
      <c r="D558">
        <v>2025</v>
      </c>
      <c r="E558">
        <v>12</v>
      </c>
      <c r="F558" t="s">
        <v>28</v>
      </c>
      <c r="G558" t="s">
        <v>137</v>
      </c>
      <c r="H558" t="s">
        <v>897</v>
      </c>
      <c r="I558" t="s">
        <v>219</v>
      </c>
      <c r="J558" t="s">
        <v>642</v>
      </c>
      <c r="K558" t="s">
        <v>619</v>
      </c>
      <c r="L558">
        <v>7</v>
      </c>
      <c r="M558" s="5">
        <v>230.21</v>
      </c>
      <c r="N558" s="6">
        <v>0</v>
      </c>
      <c r="O558" s="5">
        <v>0</v>
      </c>
      <c r="P558" s="5">
        <v>241.72</v>
      </c>
      <c r="Q558" s="5">
        <v>1853.19</v>
      </c>
      <c r="R558" s="5">
        <v>1336.3</v>
      </c>
      <c r="S558" s="5">
        <v>516.89</v>
      </c>
      <c r="T558" s="7">
        <v>0.278919053092236</v>
      </c>
      <c r="U558" t="s">
        <v>9</v>
      </c>
      <c r="V558" t="s">
        <v>50</v>
      </c>
      <c r="W558" t="s">
        <v>50</v>
      </c>
      <c r="X558" t="s">
        <v>33</v>
      </c>
      <c r="Y558" t="s">
        <v>1960</v>
      </c>
      <c r="Z558" t="s">
        <v>80</v>
      </c>
    </row>
    <row r="559" spans="1:26">
      <c r="A559" t="s">
        <v>1961</v>
      </c>
      <c r="B559" t="s">
        <v>1961</v>
      </c>
      <c r="C559" s="4">
        <v>45923</v>
      </c>
      <c r="D559">
        <v>2025</v>
      </c>
      <c r="E559">
        <v>9</v>
      </c>
      <c r="F559" t="s">
        <v>25</v>
      </c>
      <c r="G559" t="s">
        <v>89</v>
      </c>
      <c r="H559" t="s">
        <v>727</v>
      </c>
      <c r="I559" t="s">
        <v>1233</v>
      </c>
      <c r="J559" t="s">
        <v>418</v>
      </c>
      <c r="K559" t="s">
        <v>419</v>
      </c>
      <c r="L559">
        <v>5</v>
      </c>
      <c r="M559" s="5">
        <v>121.56</v>
      </c>
      <c r="N559" s="6">
        <v>20</v>
      </c>
      <c r="O559" s="5">
        <v>121.56</v>
      </c>
      <c r="P559" s="5">
        <v>72.94</v>
      </c>
      <c r="Q559" s="5">
        <v>486.24</v>
      </c>
      <c r="R559" s="5">
        <v>464.8</v>
      </c>
      <c r="S559" s="5">
        <v>21.44</v>
      </c>
      <c r="T559" s="7">
        <v>0.0440934517933531</v>
      </c>
      <c r="U559" t="s">
        <v>9</v>
      </c>
      <c r="V559" t="s">
        <v>50</v>
      </c>
      <c r="W559" t="s">
        <v>50</v>
      </c>
      <c r="X559" t="s">
        <v>35</v>
      </c>
      <c r="Y559" t="s">
        <v>87</v>
      </c>
      <c r="Z559" t="s">
        <v>101</v>
      </c>
    </row>
    <row r="560" spans="1:26">
      <c r="A560" t="s">
        <v>1962</v>
      </c>
      <c r="B560" t="s">
        <v>1962</v>
      </c>
      <c r="C560" s="4">
        <v>46089</v>
      </c>
      <c r="D560">
        <v>2026</v>
      </c>
      <c r="E560">
        <v>3</v>
      </c>
      <c r="F560" t="s">
        <v>19</v>
      </c>
      <c r="G560" t="s">
        <v>82</v>
      </c>
      <c r="H560" t="s">
        <v>1963</v>
      </c>
      <c r="I560" t="s">
        <v>110</v>
      </c>
      <c r="J560" t="s">
        <v>770</v>
      </c>
      <c r="K560" t="s">
        <v>771</v>
      </c>
      <c r="L560">
        <v>6</v>
      </c>
      <c r="M560" s="5">
        <v>348.55</v>
      </c>
      <c r="N560" s="6">
        <v>0</v>
      </c>
      <c r="O560" s="5">
        <v>0</v>
      </c>
      <c r="P560" s="5">
        <v>313.7</v>
      </c>
      <c r="Q560" s="5">
        <v>2404.99</v>
      </c>
      <c r="R560" s="5">
        <v>1630.68</v>
      </c>
      <c r="S560" s="5">
        <v>774.31</v>
      </c>
      <c r="T560" s="7">
        <v>0.321959758668435</v>
      </c>
      <c r="U560" t="s">
        <v>10</v>
      </c>
      <c r="V560" t="s">
        <v>50</v>
      </c>
      <c r="W560" t="s">
        <v>50</v>
      </c>
      <c r="X560" t="s">
        <v>33</v>
      </c>
      <c r="Y560" t="s">
        <v>1964</v>
      </c>
      <c r="Z560" t="s">
        <v>80</v>
      </c>
    </row>
    <row r="561" spans="1:26">
      <c r="A561" t="s">
        <v>1965</v>
      </c>
      <c r="B561" t="s">
        <v>1965</v>
      </c>
      <c r="C561" s="4">
        <v>45845</v>
      </c>
      <c r="D561">
        <v>2025</v>
      </c>
      <c r="E561">
        <v>7</v>
      </c>
      <c r="F561" t="s">
        <v>23</v>
      </c>
      <c r="G561" t="s">
        <v>89</v>
      </c>
      <c r="H561" t="s">
        <v>1613</v>
      </c>
      <c r="I561" t="s">
        <v>139</v>
      </c>
      <c r="J561" t="s">
        <v>948</v>
      </c>
      <c r="K561" t="s">
        <v>949</v>
      </c>
      <c r="L561">
        <v>5</v>
      </c>
      <c r="M561" s="5">
        <v>44.12</v>
      </c>
      <c r="N561" s="6">
        <v>15</v>
      </c>
      <c r="O561" s="5">
        <v>33.09</v>
      </c>
      <c r="P561" s="5">
        <v>28.13</v>
      </c>
      <c r="Q561" s="5">
        <v>187.51</v>
      </c>
      <c r="R561" s="5">
        <v>162</v>
      </c>
      <c r="S561" s="5">
        <v>25.51</v>
      </c>
      <c r="T561" s="7">
        <v>0.136046077542531</v>
      </c>
      <c r="U561" t="s">
        <v>10</v>
      </c>
      <c r="V561" t="s">
        <v>51</v>
      </c>
      <c r="W561" t="s">
        <v>51</v>
      </c>
      <c r="X561" t="s">
        <v>34</v>
      </c>
      <c r="Y561" t="s">
        <v>1173</v>
      </c>
      <c r="Z561" t="s">
        <v>101</v>
      </c>
    </row>
    <row r="562" spans="1:26">
      <c r="A562" t="s">
        <v>1966</v>
      </c>
      <c r="B562" t="s">
        <v>1966</v>
      </c>
      <c r="C562" s="4">
        <v>46096</v>
      </c>
      <c r="D562">
        <v>2026</v>
      </c>
      <c r="E562">
        <v>3</v>
      </c>
      <c r="F562" t="s">
        <v>19</v>
      </c>
      <c r="G562" t="s">
        <v>82</v>
      </c>
      <c r="H562" t="s">
        <v>1184</v>
      </c>
      <c r="I562" t="s">
        <v>1704</v>
      </c>
      <c r="J562" t="s">
        <v>412</v>
      </c>
      <c r="K562" t="s">
        <v>1967</v>
      </c>
      <c r="L562">
        <v>1</v>
      </c>
      <c r="M562" s="5">
        <v>242.22</v>
      </c>
      <c r="N562" s="6">
        <v>5</v>
      </c>
      <c r="O562" s="5">
        <v>12.11</v>
      </c>
      <c r="P562" s="5">
        <v>34.52</v>
      </c>
      <c r="Q562" s="5">
        <v>264.63</v>
      </c>
      <c r="R562" s="5">
        <v>186.04</v>
      </c>
      <c r="S562" s="5">
        <v>78.59</v>
      </c>
      <c r="T562" s="7">
        <v>0.296980690020028</v>
      </c>
      <c r="U562" t="s">
        <v>13</v>
      </c>
      <c r="V562" t="s">
        <v>50</v>
      </c>
      <c r="W562" t="s">
        <v>50</v>
      </c>
      <c r="X562" t="s">
        <v>33</v>
      </c>
      <c r="Y562" t="s">
        <v>1968</v>
      </c>
      <c r="Z562" t="s">
        <v>80</v>
      </c>
    </row>
    <row r="563" spans="1:26">
      <c r="A563" t="s">
        <v>1969</v>
      </c>
      <c r="B563" t="s">
        <v>1969</v>
      </c>
      <c r="C563" s="4">
        <v>45819</v>
      </c>
      <c r="D563">
        <v>2025</v>
      </c>
      <c r="E563">
        <v>6</v>
      </c>
      <c r="F563" t="s">
        <v>22</v>
      </c>
      <c r="G563" t="s">
        <v>74</v>
      </c>
      <c r="H563" t="s">
        <v>230</v>
      </c>
      <c r="I563" t="s">
        <v>947</v>
      </c>
      <c r="J563" t="s">
        <v>882</v>
      </c>
      <c r="K563" t="s">
        <v>1500</v>
      </c>
      <c r="L563">
        <v>4</v>
      </c>
      <c r="M563" s="5">
        <v>522.07</v>
      </c>
      <c r="N563" s="6">
        <v>15</v>
      </c>
      <c r="O563" s="5">
        <v>313.24</v>
      </c>
      <c r="P563" s="5">
        <v>266.26</v>
      </c>
      <c r="Q563" s="5">
        <v>1775.04</v>
      </c>
      <c r="R563" s="5">
        <v>1590.76</v>
      </c>
      <c r="S563" s="5">
        <v>184.28</v>
      </c>
      <c r="T563" s="7">
        <v>0.103817378763295</v>
      </c>
      <c r="U563" t="s">
        <v>14</v>
      </c>
      <c r="V563" t="s">
        <v>50</v>
      </c>
      <c r="W563" t="s">
        <v>50</v>
      </c>
      <c r="X563" t="s">
        <v>33</v>
      </c>
      <c r="Y563" t="s">
        <v>644</v>
      </c>
      <c r="Z563" t="s">
        <v>101</v>
      </c>
    </row>
    <row r="564" spans="1:26">
      <c r="A564" t="s">
        <v>1970</v>
      </c>
      <c r="B564" t="s">
        <v>1970</v>
      </c>
      <c r="C564" s="4">
        <v>45767</v>
      </c>
      <c r="D564">
        <v>2025</v>
      </c>
      <c r="E564">
        <v>4</v>
      </c>
      <c r="F564" t="s">
        <v>20</v>
      </c>
      <c r="G564" t="s">
        <v>74</v>
      </c>
      <c r="H564" t="s">
        <v>1060</v>
      </c>
      <c r="I564" t="s">
        <v>1419</v>
      </c>
      <c r="J564" t="s">
        <v>1971</v>
      </c>
      <c r="K564" t="s">
        <v>1972</v>
      </c>
      <c r="L564">
        <v>3</v>
      </c>
      <c r="M564" s="5">
        <v>317.99</v>
      </c>
      <c r="N564" s="6">
        <v>5</v>
      </c>
      <c r="O564" s="5">
        <v>47.7</v>
      </c>
      <c r="P564" s="5">
        <v>135.94</v>
      </c>
      <c r="Q564" s="5">
        <v>1042.21</v>
      </c>
      <c r="R564" s="5">
        <v>705.15</v>
      </c>
      <c r="S564" s="5">
        <v>337.06</v>
      </c>
      <c r="T564" s="7">
        <v>0.32340890991259</v>
      </c>
      <c r="U564" t="s">
        <v>13</v>
      </c>
      <c r="V564" t="s">
        <v>50</v>
      </c>
      <c r="W564" t="s">
        <v>50</v>
      </c>
      <c r="X564" t="s">
        <v>35</v>
      </c>
      <c r="Y564" t="s">
        <v>683</v>
      </c>
      <c r="Z564" t="s">
        <v>80</v>
      </c>
    </row>
    <row r="565" spans="1:26">
      <c r="A565" t="s">
        <v>1973</v>
      </c>
      <c r="B565" t="s">
        <v>1973</v>
      </c>
      <c r="C565" s="4">
        <v>46006</v>
      </c>
      <c r="D565">
        <v>2025</v>
      </c>
      <c r="E565">
        <v>12</v>
      </c>
      <c r="F565" t="s">
        <v>28</v>
      </c>
      <c r="G565" t="s">
        <v>137</v>
      </c>
      <c r="H565" t="s">
        <v>557</v>
      </c>
      <c r="I565" t="s">
        <v>139</v>
      </c>
      <c r="J565" t="s">
        <v>1468</v>
      </c>
      <c r="K565" t="s">
        <v>1473</v>
      </c>
      <c r="L565">
        <v>3</v>
      </c>
      <c r="M565" s="5">
        <v>38.66</v>
      </c>
      <c r="N565" s="6">
        <v>0</v>
      </c>
      <c r="O565" s="5">
        <v>0</v>
      </c>
      <c r="P565" s="5">
        <v>17.4</v>
      </c>
      <c r="Q565" s="5">
        <v>115.98</v>
      </c>
      <c r="R565" s="5">
        <v>97.2</v>
      </c>
      <c r="S565" s="5">
        <v>18.78</v>
      </c>
      <c r="T565" s="7">
        <v>0.161924469736161</v>
      </c>
      <c r="U565" t="s">
        <v>11</v>
      </c>
      <c r="V565" t="s">
        <v>50</v>
      </c>
      <c r="W565" t="s">
        <v>50</v>
      </c>
      <c r="X565" t="s">
        <v>33</v>
      </c>
      <c r="Y565" t="s">
        <v>1974</v>
      </c>
      <c r="Z565" t="s">
        <v>101</v>
      </c>
    </row>
    <row r="566" spans="1:26">
      <c r="A566" t="s">
        <v>1975</v>
      </c>
      <c r="B566" t="s">
        <v>1975</v>
      </c>
      <c r="C566" s="4">
        <v>45945</v>
      </c>
      <c r="D566">
        <v>2025</v>
      </c>
      <c r="E566">
        <v>10</v>
      </c>
      <c r="F566" t="s">
        <v>26</v>
      </c>
      <c r="G566" t="s">
        <v>137</v>
      </c>
      <c r="H566" t="s">
        <v>1630</v>
      </c>
      <c r="I566" t="s">
        <v>537</v>
      </c>
      <c r="J566" t="s">
        <v>948</v>
      </c>
      <c r="K566" t="s">
        <v>949</v>
      </c>
      <c r="L566">
        <v>1</v>
      </c>
      <c r="M566" s="5">
        <v>232.58</v>
      </c>
      <c r="N566" s="6">
        <v>0</v>
      </c>
      <c r="O566" s="5">
        <v>0</v>
      </c>
      <c r="P566" s="5">
        <v>34.89</v>
      </c>
      <c r="Q566" s="5">
        <v>232.58</v>
      </c>
      <c r="R566" s="5">
        <v>191.2</v>
      </c>
      <c r="S566" s="5">
        <v>41.38</v>
      </c>
      <c r="T566" s="7">
        <v>0.177917275776077</v>
      </c>
      <c r="U566" t="s">
        <v>12</v>
      </c>
      <c r="V566" t="s">
        <v>50</v>
      </c>
      <c r="W566" t="s">
        <v>50</v>
      </c>
      <c r="X566" t="s">
        <v>33</v>
      </c>
      <c r="Y566" t="s">
        <v>1976</v>
      </c>
      <c r="Z566" t="s">
        <v>101</v>
      </c>
    </row>
    <row r="567" spans="1:26">
      <c r="A567" t="s">
        <v>1977</v>
      </c>
      <c r="B567" t="s">
        <v>1977</v>
      </c>
      <c r="C567" s="4">
        <v>46040</v>
      </c>
      <c r="D567">
        <v>2026</v>
      </c>
      <c r="E567">
        <v>1</v>
      </c>
      <c r="F567" t="s">
        <v>30</v>
      </c>
      <c r="G567" t="s">
        <v>82</v>
      </c>
      <c r="H567" t="s">
        <v>1978</v>
      </c>
      <c r="I567" t="s">
        <v>97</v>
      </c>
      <c r="J567" t="s">
        <v>676</v>
      </c>
      <c r="K567" t="s">
        <v>1894</v>
      </c>
      <c r="L567">
        <v>2</v>
      </c>
      <c r="M567" s="5">
        <v>398.25</v>
      </c>
      <c r="N567" s="6">
        <v>0</v>
      </c>
      <c r="O567" s="5">
        <v>0</v>
      </c>
      <c r="P567" s="5">
        <v>119.48</v>
      </c>
      <c r="Q567" s="5">
        <v>915.97</v>
      </c>
      <c r="R567" s="5">
        <v>473.08</v>
      </c>
      <c r="S567" s="5">
        <v>442.89</v>
      </c>
      <c r="T567" s="7">
        <v>0.483520202626724</v>
      </c>
      <c r="U567" t="s">
        <v>13</v>
      </c>
      <c r="V567" t="s">
        <v>50</v>
      </c>
      <c r="W567" t="s">
        <v>50</v>
      </c>
      <c r="X567" t="s">
        <v>35</v>
      </c>
      <c r="Y567" t="s">
        <v>600</v>
      </c>
      <c r="Z567" t="s">
        <v>80</v>
      </c>
    </row>
    <row r="568" spans="1:26">
      <c r="A568" t="s">
        <v>1979</v>
      </c>
      <c r="B568" t="s">
        <v>1979</v>
      </c>
      <c r="C568" s="4">
        <v>45834</v>
      </c>
      <c r="D568">
        <v>2025</v>
      </c>
      <c r="E568">
        <v>6</v>
      </c>
      <c r="F568" t="s">
        <v>22</v>
      </c>
      <c r="G568" t="s">
        <v>74</v>
      </c>
      <c r="H568" t="s">
        <v>1980</v>
      </c>
      <c r="I568" t="s">
        <v>1694</v>
      </c>
      <c r="J568" t="s">
        <v>695</v>
      </c>
      <c r="K568" t="s">
        <v>696</v>
      </c>
      <c r="L568">
        <v>5</v>
      </c>
      <c r="M568" s="5">
        <v>249.15</v>
      </c>
      <c r="N568" s="6">
        <v>0</v>
      </c>
      <c r="O568" s="5">
        <v>0</v>
      </c>
      <c r="P568" s="5">
        <v>186.86</v>
      </c>
      <c r="Q568" s="5">
        <v>1245.75</v>
      </c>
      <c r="R568" s="5">
        <v>944.9</v>
      </c>
      <c r="S568" s="5">
        <v>300.85</v>
      </c>
      <c r="T568" s="7">
        <v>0.241501103752759</v>
      </c>
      <c r="U568" t="s">
        <v>12</v>
      </c>
      <c r="V568" t="s">
        <v>51</v>
      </c>
      <c r="W568" t="s">
        <v>51</v>
      </c>
      <c r="X568" t="s">
        <v>35</v>
      </c>
      <c r="Y568" t="s">
        <v>1981</v>
      </c>
      <c r="Z568" t="s">
        <v>101</v>
      </c>
    </row>
    <row r="569" spans="1:26">
      <c r="A569" t="s">
        <v>1982</v>
      </c>
      <c r="B569" t="s">
        <v>1982</v>
      </c>
      <c r="C569" s="4">
        <v>45917</v>
      </c>
      <c r="D569">
        <v>2025</v>
      </c>
      <c r="E569">
        <v>9</v>
      </c>
      <c r="F569" t="s">
        <v>25</v>
      </c>
      <c r="G569" t="s">
        <v>89</v>
      </c>
      <c r="H569" t="s">
        <v>1983</v>
      </c>
      <c r="I569" t="s">
        <v>169</v>
      </c>
      <c r="J569" t="s">
        <v>39</v>
      </c>
      <c r="K569" t="s">
        <v>696</v>
      </c>
      <c r="L569">
        <v>8</v>
      </c>
      <c r="M569" s="5">
        <v>145.96</v>
      </c>
      <c r="N569" s="6">
        <v>0</v>
      </c>
      <c r="O569" s="5">
        <v>0</v>
      </c>
      <c r="P569" s="5">
        <v>175.15</v>
      </c>
      <c r="Q569" s="5">
        <v>1167.68</v>
      </c>
      <c r="R569" s="5">
        <v>927.28</v>
      </c>
      <c r="S569" s="5">
        <v>240.4</v>
      </c>
      <c r="T569" s="7">
        <v>0.205878322828172</v>
      </c>
      <c r="U569" t="s">
        <v>9</v>
      </c>
      <c r="V569" t="s">
        <v>50</v>
      </c>
      <c r="W569" t="s">
        <v>50</v>
      </c>
      <c r="X569" t="s">
        <v>33</v>
      </c>
      <c r="Y569" t="s">
        <v>1221</v>
      </c>
      <c r="Z569" t="s">
        <v>101</v>
      </c>
    </row>
    <row r="570" spans="1:26">
      <c r="A570" t="s">
        <v>1984</v>
      </c>
      <c r="B570" t="s">
        <v>1984</v>
      </c>
      <c r="C570" s="4">
        <v>45873</v>
      </c>
      <c r="D570">
        <v>2025</v>
      </c>
      <c r="E570">
        <v>8</v>
      </c>
      <c r="F570" t="s">
        <v>24</v>
      </c>
      <c r="G570" t="s">
        <v>89</v>
      </c>
      <c r="H570" t="s">
        <v>1184</v>
      </c>
      <c r="I570" t="s">
        <v>411</v>
      </c>
      <c r="J570" t="s">
        <v>158</v>
      </c>
      <c r="K570" t="s">
        <v>1985</v>
      </c>
      <c r="L570">
        <v>1</v>
      </c>
      <c r="M570" s="5">
        <v>459.58</v>
      </c>
      <c r="N570" s="6">
        <v>0</v>
      </c>
      <c r="O570" s="5">
        <v>0</v>
      </c>
      <c r="P570" s="5">
        <v>68.94</v>
      </c>
      <c r="Q570" s="5">
        <v>459.58</v>
      </c>
      <c r="R570" s="5">
        <v>386.89</v>
      </c>
      <c r="S570" s="5">
        <v>72.69</v>
      </c>
      <c r="T570" s="7">
        <v>0.158166151703729</v>
      </c>
      <c r="U570" t="s">
        <v>12</v>
      </c>
      <c r="V570" t="s">
        <v>50</v>
      </c>
      <c r="W570" t="s">
        <v>50</v>
      </c>
      <c r="X570" t="s">
        <v>33</v>
      </c>
      <c r="Y570" t="s">
        <v>1986</v>
      </c>
      <c r="Z570" t="s">
        <v>101</v>
      </c>
    </row>
    <row r="571" spans="1:26">
      <c r="A571" t="s">
        <v>1987</v>
      </c>
      <c r="B571" t="s">
        <v>1987</v>
      </c>
      <c r="C571" s="4">
        <v>45934</v>
      </c>
      <c r="D571">
        <v>2025</v>
      </c>
      <c r="E571">
        <v>10</v>
      </c>
      <c r="F571" t="s">
        <v>26</v>
      </c>
      <c r="G571" t="s">
        <v>137</v>
      </c>
      <c r="H571" t="s">
        <v>1988</v>
      </c>
      <c r="I571" t="s">
        <v>592</v>
      </c>
      <c r="J571" t="s">
        <v>593</v>
      </c>
      <c r="K571" t="s">
        <v>1480</v>
      </c>
      <c r="L571">
        <v>1</v>
      </c>
      <c r="M571" s="5">
        <v>221.61</v>
      </c>
      <c r="N571" s="6">
        <v>0</v>
      </c>
      <c r="O571" s="5">
        <v>0</v>
      </c>
      <c r="P571" s="5">
        <v>33.24</v>
      </c>
      <c r="Q571" s="5">
        <v>254.85</v>
      </c>
      <c r="R571" s="5">
        <v>182.17</v>
      </c>
      <c r="S571" s="5">
        <v>72.68</v>
      </c>
      <c r="T571" s="7">
        <v>0.285187365116735</v>
      </c>
      <c r="U571" t="s">
        <v>10</v>
      </c>
      <c r="V571" t="s">
        <v>50</v>
      </c>
      <c r="W571" t="s">
        <v>50</v>
      </c>
      <c r="X571" t="s">
        <v>35</v>
      </c>
      <c r="Y571" t="s">
        <v>1187</v>
      </c>
      <c r="Z571" t="s">
        <v>80</v>
      </c>
    </row>
    <row r="572" spans="1:26">
      <c r="A572" t="s">
        <v>1989</v>
      </c>
      <c r="B572" t="s">
        <v>1989</v>
      </c>
      <c r="C572" s="4">
        <v>46062</v>
      </c>
      <c r="D572">
        <v>2026</v>
      </c>
      <c r="E572">
        <v>2</v>
      </c>
      <c r="F572" t="s">
        <v>31</v>
      </c>
      <c r="G572" t="s">
        <v>82</v>
      </c>
      <c r="H572" t="s">
        <v>1990</v>
      </c>
      <c r="I572" t="s">
        <v>1264</v>
      </c>
      <c r="J572" t="s">
        <v>899</v>
      </c>
      <c r="K572" t="s">
        <v>171</v>
      </c>
      <c r="L572">
        <v>4</v>
      </c>
      <c r="M572" s="5">
        <v>182.3</v>
      </c>
      <c r="N572" s="6">
        <v>5</v>
      </c>
      <c r="O572" s="5">
        <v>36.46</v>
      </c>
      <c r="P572" s="5">
        <v>103.91</v>
      </c>
      <c r="Q572" s="5">
        <v>692.74</v>
      </c>
      <c r="R572" s="5">
        <v>430.4</v>
      </c>
      <c r="S572" s="5">
        <v>262.34</v>
      </c>
      <c r="T572" s="7">
        <v>0.378699079019546</v>
      </c>
      <c r="U572" t="s">
        <v>10</v>
      </c>
      <c r="V572" t="s">
        <v>50</v>
      </c>
      <c r="W572" t="s">
        <v>50</v>
      </c>
      <c r="X572" t="s">
        <v>33</v>
      </c>
      <c r="Y572" t="s">
        <v>1991</v>
      </c>
      <c r="Z572" t="s">
        <v>101</v>
      </c>
    </row>
    <row r="573" spans="1:26">
      <c r="A573" t="s">
        <v>1992</v>
      </c>
      <c r="B573" t="s">
        <v>1992</v>
      </c>
      <c r="C573" s="4">
        <v>46082</v>
      </c>
      <c r="D573">
        <v>2026</v>
      </c>
      <c r="E573">
        <v>3</v>
      </c>
      <c r="F573" t="s">
        <v>19</v>
      </c>
      <c r="G573" t="s">
        <v>82</v>
      </c>
      <c r="H573" t="s">
        <v>1993</v>
      </c>
      <c r="I573" t="s">
        <v>774</v>
      </c>
      <c r="J573" t="s">
        <v>1718</v>
      </c>
      <c r="K573" t="s">
        <v>1994</v>
      </c>
      <c r="L573">
        <v>1</v>
      </c>
      <c r="M573" s="5">
        <v>661.91</v>
      </c>
      <c r="N573" s="6">
        <v>0</v>
      </c>
      <c r="O573" s="5">
        <v>0</v>
      </c>
      <c r="P573" s="5">
        <v>99.29</v>
      </c>
      <c r="Q573" s="5">
        <v>761.2</v>
      </c>
      <c r="R573" s="5">
        <v>398.72</v>
      </c>
      <c r="S573" s="5">
        <v>362.48</v>
      </c>
      <c r="T573" s="7">
        <v>0.476195480819758</v>
      </c>
      <c r="U573" t="s">
        <v>11</v>
      </c>
      <c r="V573" t="s">
        <v>50</v>
      </c>
      <c r="W573" t="s">
        <v>50</v>
      </c>
      <c r="X573" t="s">
        <v>33</v>
      </c>
      <c r="Y573" t="s">
        <v>1995</v>
      </c>
      <c r="Z573" t="s">
        <v>80</v>
      </c>
    </row>
    <row r="574" spans="1:26">
      <c r="A574" t="s">
        <v>1996</v>
      </c>
      <c r="B574" t="s">
        <v>1996</v>
      </c>
      <c r="C574" s="4">
        <v>45803</v>
      </c>
      <c r="D574">
        <v>2025</v>
      </c>
      <c r="E574">
        <v>5</v>
      </c>
      <c r="F574" t="s">
        <v>21</v>
      </c>
      <c r="G574" t="s">
        <v>74</v>
      </c>
      <c r="H574" t="s">
        <v>1338</v>
      </c>
      <c r="I574" t="s">
        <v>459</v>
      </c>
      <c r="J574" t="s">
        <v>92</v>
      </c>
      <c r="K574" t="s">
        <v>1924</v>
      </c>
      <c r="L574">
        <v>1</v>
      </c>
      <c r="M574" s="5">
        <v>96.72</v>
      </c>
      <c r="N574" s="6">
        <v>0</v>
      </c>
      <c r="O574" s="5">
        <v>0</v>
      </c>
      <c r="P574" s="5">
        <v>14.51</v>
      </c>
      <c r="Q574" s="5">
        <v>96.72</v>
      </c>
      <c r="R574" s="5">
        <v>79.82</v>
      </c>
      <c r="S574" s="5">
        <v>16.9</v>
      </c>
      <c r="T574" s="7">
        <v>0.174731182795699</v>
      </c>
      <c r="U574" t="s">
        <v>9</v>
      </c>
      <c r="V574" t="s">
        <v>51</v>
      </c>
      <c r="W574" t="s">
        <v>51</v>
      </c>
      <c r="X574" t="s">
        <v>33</v>
      </c>
      <c r="Y574" t="s">
        <v>1796</v>
      </c>
      <c r="Z574" t="s">
        <v>101</v>
      </c>
    </row>
    <row r="575" spans="1:26">
      <c r="A575" t="s">
        <v>1997</v>
      </c>
      <c r="B575" t="s">
        <v>1997</v>
      </c>
      <c r="C575" s="4">
        <v>45949</v>
      </c>
      <c r="D575">
        <v>2025</v>
      </c>
      <c r="E575">
        <v>10</v>
      </c>
      <c r="F575" t="s">
        <v>26</v>
      </c>
      <c r="G575" t="s">
        <v>137</v>
      </c>
      <c r="H575" t="s">
        <v>1998</v>
      </c>
      <c r="I575" t="s">
        <v>537</v>
      </c>
      <c r="J575" t="s">
        <v>40</v>
      </c>
      <c r="K575" t="s">
        <v>978</v>
      </c>
      <c r="L575">
        <v>1</v>
      </c>
      <c r="M575" s="5">
        <v>232.58</v>
      </c>
      <c r="N575" s="6">
        <v>0</v>
      </c>
      <c r="O575" s="5">
        <v>0</v>
      </c>
      <c r="P575" s="5">
        <v>34.89</v>
      </c>
      <c r="Q575" s="5">
        <v>267.47</v>
      </c>
      <c r="R575" s="5">
        <v>191.2</v>
      </c>
      <c r="S575" s="5">
        <v>76.27</v>
      </c>
      <c r="T575" s="7">
        <v>0.285153475156092</v>
      </c>
      <c r="U575" t="s">
        <v>10</v>
      </c>
      <c r="V575" t="s">
        <v>50</v>
      </c>
      <c r="W575" t="s">
        <v>50</v>
      </c>
      <c r="X575" t="s">
        <v>35</v>
      </c>
      <c r="Y575" t="s">
        <v>628</v>
      </c>
      <c r="Z575" t="s">
        <v>80</v>
      </c>
    </row>
    <row r="576" spans="1:26">
      <c r="A576" t="s">
        <v>1999</v>
      </c>
      <c r="B576" t="s">
        <v>1999</v>
      </c>
      <c r="C576" s="4">
        <v>46083</v>
      </c>
      <c r="D576">
        <v>2026</v>
      </c>
      <c r="E576">
        <v>3</v>
      </c>
      <c r="F576" t="s">
        <v>19</v>
      </c>
      <c r="G576" t="s">
        <v>82</v>
      </c>
      <c r="H576" t="s">
        <v>400</v>
      </c>
      <c r="I576" t="s">
        <v>151</v>
      </c>
      <c r="J576" t="s">
        <v>152</v>
      </c>
      <c r="K576" t="s">
        <v>153</v>
      </c>
      <c r="L576">
        <v>5</v>
      </c>
      <c r="M576" s="5">
        <v>476.81</v>
      </c>
      <c r="N576" s="6">
        <v>10</v>
      </c>
      <c r="O576" s="5">
        <v>238.41</v>
      </c>
      <c r="P576" s="5">
        <v>321.85</v>
      </c>
      <c r="Q576" s="5">
        <v>2145.64</v>
      </c>
      <c r="R576" s="5">
        <v>1758.15</v>
      </c>
      <c r="S576" s="5">
        <v>387.49</v>
      </c>
      <c r="T576" s="7">
        <v>0.180594135083239</v>
      </c>
      <c r="U576" t="s">
        <v>13</v>
      </c>
      <c r="V576" t="s">
        <v>50</v>
      </c>
      <c r="W576" t="s">
        <v>50</v>
      </c>
      <c r="X576" t="s">
        <v>33</v>
      </c>
      <c r="Y576" t="s">
        <v>2000</v>
      </c>
      <c r="Z576" t="s">
        <v>101</v>
      </c>
    </row>
    <row r="577" spans="1:26">
      <c r="A577" t="s">
        <v>2001</v>
      </c>
      <c r="B577" t="s">
        <v>2001</v>
      </c>
      <c r="C577" s="4">
        <v>45784</v>
      </c>
      <c r="D577">
        <v>2025</v>
      </c>
      <c r="E577">
        <v>5</v>
      </c>
      <c r="F577" t="s">
        <v>21</v>
      </c>
      <c r="G577" t="s">
        <v>74</v>
      </c>
      <c r="H577" t="s">
        <v>2002</v>
      </c>
      <c r="I577" t="s">
        <v>274</v>
      </c>
      <c r="J577" t="s">
        <v>1450</v>
      </c>
      <c r="K577" t="s">
        <v>2003</v>
      </c>
      <c r="L577">
        <v>6</v>
      </c>
      <c r="M577" s="5">
        <v>351.37</v>
      </c>
      <c r="N577" s="6">
        <v>20</v>
      </c>
      <c r="O577" s="5">
        <v>421.64</v>
      </c>
      <c r="P577" s="5">
        <v>252.99</v>
      </c>
      <c r="Q577" s="5">
        <v>1686.58</v>
      </c>
      <c r="R577" s="5">
        <v>1330.32</v>
      </c>
      <c r="S577" s="5">
        <v>356.26</v>
      </c>
      <c r="T577" s="7">
        <v>0.211232197701858</v>
      </c>
      <c r="U577" t="s">
        <v>13</v>
      </c>
      <c r="V577" t="s">
        <v>50</v>
      </c>
      <c r="W577" t="s">
        <v>50</v>
      </c>
      <c r="X577" t="s">
        <v>33</v>
      </c>
      <c r="Y577" t="s">
        <v>2004</v>
      </c>
      <c r="Z577" t="s">
        <v>101</v>
      </c>
    </row>
    <row r="578" spans="1:26">
      <c r="A578" t="s">
        <v>2005</v>
      </c>
      <c r="B578" t="s">
        <v>2005</v>
      </c>
      <c r="C578" s="4">
        <v>45845</v>
      </c>
      <c r="D578">
        <v>2025</v>
      </c>
      <c r="E578">
        <v>7</v>
      </c>
      <c r="F578" t="s">
        <v>23</v>
      </c>
      <c r="G578" t="s">
        <v>89</v>
      </c>
      <c r="H578" t="s">
        <v>2006</v>
      </c>
      <c r="I578" t="s">
        <v>933</v>
      </c>
      <c r="J578" t="s">
        <v>713</v>
      </c>
      <c r="K578" t="s">
        <v>798</v>
      </c>
      <c r="L578">
        <v>1</v>
      </c>
      <c r="M578" s="5">
        <v>425.88</v>
      </c>
      <c r="N578" s="6">
        <v>5</v>
      </c>
      <c r="O578" s="5">
        <v>21.29</v>
      </c>
      <c r="P578" s="5">
        <v>60.69</v>
      </c>
      <c r="Q578" s="5">
        <v>404.59</v>
      </c>
      <c r="R578" s="5">
        <v>357.47</v>
      </c>
      <c r="S578" s="5">
        <v>47.12</v>
      </c>
      <c r="T578" s="7">
        <v>0.116463580414741</v>
      </c>
      <c r="U578" t="s">
        <v>13</v>
      </c>
      <c r="V578" t="s">
        <v>50</v>
      </c>
      <c r="W578" t="s">
        <v>50</v>
      </c>
      <c r="X578" t="s">
        <v>33</v>
      </c>
      <c r="Y578" t="s">
        <v>2007</v>
      </c>
      <c r="Z578" t="s">
        <v>101</v>
      </c>
    </row>
    <row r="579" spans="1:26">
      <c r="A579" t="s">
        <v>2008</v>
      </c>
      <c r="B579" t="s">
        <v>2008</v>
      </c>
      <c r="C579" s="4">
        <v>45949</v>
      </c>
      <c r="D579">
        <v>2025</v>
      </c>
      <c r="E579">
        <v>10</v>
      </c>
      <c r="F579" t="s">
        <v>26</v>
      </c>
      <c r="G579" t="s">
        <v>137</v>
      </c>
      <c r="H579" t="s">
        <v>311</v>
      </c>
      <c r="I579" t="s">
        <v>1071</v>
      </c>
      <c r="J579" t="s">
        <v>38</v>
      </c>
      <c r="K579" t="s">
        <v>236</v>
      </c>
      <c r="L579">
        <v>7</v>
      </c>
      <c r="M579" s="5">
        <v>315.37</v>
      </c>
      <c r="N579" s="6">
        <v>10</v>
      </c>
      <c r="O579" s="5">
        <v>220.76</v>
      </c>
      <c r="P579" s="5">
        <v>298.02</v>
      </c>
      <c r="Q579" s="5">
        <v>2284.85</v>
      </c>
      <c r="R579" s="5">
        <v>1394.12</v>
      </c>
      <c r="S579" s="5">
        <v>890.73</v>
      </c>
      <c r="T579" s="7">
        <v>0.389841783924546</v>
      </c>
      <c r="U579" t="s">
        <v>13</v>
      </c>
      <c r="V579" t="s">
        <v>50</v>
      </c>
      <c r="W579" t="s">
        <v>50</v>
      </c>
      <c r="X579" t="s">
        <v>33</v>
      </c>
      <c r="Y579" t="s">
        <v>2009</v>
      </c>
      <c r="Z579" t="s">
        <v>80</v>
      </c>
    </row>
    <row r="580" spans="1:26">
      <c r="A580" t="s">
        <v>2010</v>
      </c>
      <c r="B580" t="s">
        <v>2010</v>
      </c>
      <c r="C580" s="4">
        <v>46083</v>
      </c>
      <c r="D580">
        <v>2026</v>
      </c>
      <c r="E580">
        <v>3</v>
      </c>
      <c r="F580" t="s">
        <v>19</v>
      </c>
      <c r="G580" t="s">
        <v>82</v>
      </c>
      <c r="H580" t="s">
        <v>2011</v>
      </c>
      <c r="I580" t="s">
        <v>1511</v>
      </c>
      <c r="J580" t="s">
        <v>41</v>
      </c>
      <c r="K580" t="s">
        <v>588</v>
      </c>
      <c r="L580">
        <v>2</v>
      </c>
      <c r="M580" s="5">
        <v>183.39</v>
      </c>
      <c r="N580" s="6">
        <v>0</v>
      </c>
      <c r="O580" s="5">
        <v>0</v>
      </c>
      <c r="P580" s="5">
        <v>55.02</v>
      </c>
      <c r="Q580" s="5">
        <v>366.78</v>
      </c>
      <c r="R580" s="5">
        <v>316.86</v>
      </c>
      <c r="S580" s="5">
        <v>49.92</v>
      </c>
      <c r="T580" s="7">
        <v>0.136103386226076</v>
      </c>
      <c r="U580" t="s">
        <v>9</v>
      </c>
      <c r="V580" t="s">
        <v>50</v>
      </c>
      <c r="W580" t="s">
        <v>50</v>
      </c>
      <c r="X580" t="s">
        <v>35</v>
      </c>
      <c r="Y580" t="s">
        <v>1315</v>
      </c>
      <c r="Z580" t="s">
        <v>101</v>
      </c>
    </row>
    <row r="581" spans="1:26">
      <c r="A581" t="s">
        <v>2012</v>
      </c>
      <c r="B581" t="s">
        <v>2012</v>
      </c>
      <c r="C581" s="4">
        <v>45816</v>
      </c>
      <c r="D581">
        <v>2025</v>
      </c>
      <c r="E581">
        <v>6</v>
      </c>
      <c r="F581" t="s">
        <v>22</v>
      </c>
      <c r="G581" t="s">
        <v>74</v>
      </c>
      <c r="H581" t="s">
        <v>1258</v>
      </c>
      <c r="I581" t="s">
        <v>379</v>
      </c>
      <c r="J581" t="s">
        <v>191</v>
      </c>
      <c r="K581" t="s">
        <v>192</v>
      </c>
      <c r="L581">
        <v>3</v>
      </c>
      <c r="M581" s="5">
        <v>245.32</v>
      </c>
      <c r="N581" s="6">
        <v>15</v>
      </c>
      <c r="O581" s="5">
        <v>110.39</v>
      </c>
      <c r="P581" s="5">
        <v>93.84</v>
      </c>
      <c r="Q581" s="5">
        <v>719.41</v>
      </c>
      <c r="R581" s="5">
        <v>628.14</v>
      </c>
      <c r="S581" s="5">
        <v>91.27</v>
      </c>
      <c r="T581" s="7">
        <v>0.126867850043786</v>
      </c>
      <c r="U581" t="s">
        <v>14</v>
      </c>
      <c r="V581" t="s">
        <v>50</v>
      </c>
      <c r="W581" t="s">
        <v>50</v>
      </c>
      <c r="X581" t="s">
        <v>33</v>
      </c>
      <c r="Y581" t="s">
        <v>2013</v>
      </c>
      <c r="Z581" t="s">
        <v>80</v>
      </c>
    </row>
    <row r="582" spans="1:26">
      <c r="A582" t="s">
        <v>2014</v>
      </c>
      <c r="B582" t="s">
        <v>2014</v>
      </c>
      <c r="C582" s="4">
        <v>45811</v>
      </c>
      <c r="D582">
        <v>2025</v>
      </c>
      <c r="E582">
        <v>6</v>
      </c>
      <c r="F582" t="s">
        <v>22</v>
      </c>
      <c r="G582" t="s">
        <v>74</v>
      </c>
      <c r="H582" t="s">
        <v>586</v>
      </c>
      <c r="I582" t="s">
        <v>543</v>
      </c>
      <c r="J582" t="s">
        <v>1440</v>
      </c>
      <c r="K582" t="s">
        <v>1441</v>
      </c>
      <c r="L582">
        <v>3</v>
      </c>
      <c r="M582" s="5">
        <v>445.03</v>
      </c>
      <c r="N582" s="6">
        <v>10</v>
      </c>
      <c r="O582" s="5">
        <v>133.51</v>
      </c>
      <c r="P582" s="5">
        <v>180.24</v>
      </c>
      <c r="Q582" s="5">
        <v>1201.58</v>
      </c>
      <c r="R582" s="5">
        <v>1042.41</v>
      </c>
      <c r="S582" s="5">
        <v>159.17</v>
      </c>
      <c r="T582" s="7">
        <v>0.132467251452254</v>
      </c>
      <c r="U582" t="s">
        <v>12</v>
      </c>
      <c r="V582" t="s">
        <v>50</v>
      </c>
      <c r="W582" t="s">
        <v>50</v>
      </c>
      <c r="X582" t="s">
        <v>34</v>
      </c>
      <c r="Y582" t="s">
        <v>2015</v>
      </c>
      <c r="Z582" t="s">
        <v>101</v>
      </c>
    </row>
    <row r="583" spans="1:26">
      <c r="A583" t="s">
        <v>2016</v>
      </c>
      <c r="B583" t="s">
        <v>2016</v>
      </c>
      <c r="C583" s="4">
        <v>45997</v>
      </c>
      <c r="D583">
        <v>2025</v>
      </c>
      <c r="E583">
        <v>12</v>
      </c>
      <c r="F583" t="s">
        <v>28</v>
      </c>
      <c r="G583" t="s">
        <v>137</v>
      </c>
      <c r="H583" t="s">
        <v>1663</v>
      </c>
      <c r="I583" t="s">
        <v>323</v>
      </c>
      <c r="J583" t="s">
        <v>813</v>
      </c>
      <c r="K583" t="s">
        <v>611</v>
      </c>
      <c r="L583">
        <v>1</v>
      </c>
      <c r="M583" s="5">
        <v>51.33</v>
      </c>
      <c r="N583" s="6">
        <v>5</v>
      </c>
      <c r="O583" s="5">
        <v>2.57</v>
      </c>
      <c r="P583" s="5">
        <v>7.31</v>
      </c>
      <c r="Q583" s="5">
        <v>56.07</v>
      </c>
      <c r="R583" s="5">
        <v>37.48</v>
      </c>
      <c r="S583" s="5">
        <v>18.59</v>
      </c>
      <c r="T583" s="7">
        <v>0.331549848403781</v>
      </c>
      <c r="U583" t="s">
        <v>11</v>
      </c>
      <c r="V583" t="s">
        <v>50</v>
      </c>
      <c r="W583" t="s">
        <v>50</v>
      </c>
      <c r="X583" t="s">
        <v>35</v>
      </c>
      <c r="Y583" t="s">
        <v>839</v>
      </c>
      <c r="Z583" t="s">
        <v>80</v>
      </c>
    </row>
    <row r="584" spans="1:26">
      <c r="A584" t="s">
        <v>2017</v>
      </c>
      <c r="B584" t="s">
        <v>2017</v>
      </c>
      <c r="C584" s="4">
        <v>45773</v>
      </c>
      <c r="D584">
        <v>2025</v>
      </c>
      <c r="E584">
        <v>4</v>
      </c>
      <c r="F584" t="s">
        <v>20</v>
      </c>
      <c r="G584" t="s">
        <v>74</v>
      </c>
      <c r="H584" t="s">
        <v>250</v>
      </c>
      <c r="I584" t="s">
        <v>417</v>
      </c>
      <c r="J584" t="s">
        <v>396</v>
      </c>
      <c r="K584" t="s">
        <v>2018</v>
      </c>
      <c r="L584">
        <v>1</v>
      </c>
      <c r="M584" s="5">
        <v>380.12</v>
      </c>
      <c r="N584" s="6">
        <v>0</v>
      </c>
      <c r="O584" s="5">
        <v>0</v>
      </c>
      <c r="P584" s="5">
        <v>57.02</v>
      </c>
      <c r="Q584" s="5">
        <v>437.14</v>
      </c>
      <c r="R584" s="5">
        <v>309.98</v>
      </c>
      <c r="S584" s="5">
        <v>127.16</v>
      </c>
      <c r="T584" s="7">
        <v>0.290890790135883</v>
      </c>
      <c r="U584" t="s">
        <v>12</v>
      </c>
      <c r="V584" t="s">
        <v>50</v>
      </c>
      <c r="W584" t="s">
        <v>50</v>
      </c>
      <c r="X584" t="s">
        <v>33</v>
      </c>
      <c r="Y584" t="s">
        <v>1840</v>
      </c>
      <c r="Z584" t="s">
        <v>80</v>
      </c>
    </row>
    <row r="585" spans="1:26">
      <c r="A585" t="s">
        <v>2019</v>
      </c>
      <c r="B585" t="s">
        <v>2019</v>
      </c>
      <c r="C585" s="4">
        <v>46011</v>
      </c>
      <c r="D585">
        <v>2025</v>
      </c>
      <c r="E585">
        <v>12</v>
      </c>
      <c r="F585" t="s">
        <v>28</v>
      </c>
      <c r="G585" t="s">
        <v>137</v>
      </c>
      <c r="H585" t="s">
        <v>2020</v>
      </c>
      <c r="I585" t="s">
        <v>384</v>
      </c>
      <c r="J585" t="s">
        <v>121</v>
      </c>
      <c r="K585" t="s">
        <v>2021</v>
      </c>
      <c r="L585">
        <v>6</v>
      </c>
      <c r="M585" s="5">
        <v>188.94</v>
      </c>
      <c r="N585" s="6">
        <v>15</v>
      </c>
      <c r="O585" s="5">
        <v>170.05</v>
      </c>
      <c r="P585" s="5">
        <v>144.54</v>
      </c>
      <c r="Q585" s="5">
        <v>1108.13</v>
      </c>
      <c r="R585" s="5">
        <v>813.96</v>
      </c>
      <c r="S585" s="5">
        <v>294.17</v>
      </c>
      <c r="T585" s="7">
        <v>0.265465243247633</v>
      </c>
      <c r="U585" t="s">
        <v>14</v>
      </c>
      <c r="V585" t="s">
        <v>50</v>
      </c>
      <c r="W585" t="s">
        <v>50</v>
      </c>
      <c r="X585" t="s">
        <v>33</v>
      </c>
      <c r="Y585" t="s">
        <v>2022</v>
      </c>
      <c r="Z585" t="s">
        <v>80</v>
      </c>
    </row>
    <row r="586" spans="1:26">
      <c r="A586" t="s">
        <v>2023</v>
      </c>
      <c r="B586" t="s">
        <v>2023</v>
      </c>
      <c r="C586" s="4">
        <v>46040</v>
      </c>
      <c r="D586">
        <v>2026</v>
      </c>
      <c r="E586">
        <v>1</v>
      </c>
      <c r="F586" t="s">
        <v>30</v>
      </c>
      <c r="G586" t="s">
        <v>82</v>
      </c>
      <c r="H586" t="s">
        <v>602</v>
      </c>
      <c r="I586" t="s">
        <v>362</v>
      </c>
      <c r="J586" t="s">
        <v>813</v>
      </c>
      <c r="K586" t="s">
        <v>1255</v>
      </c>
      <c r="L586">
        <v>7</v>
      </c>
      <c r="M586" s="5">
        <v>337.13</v>
      </c>
      <c r="N586" s="6">
        <v>15</v>
      </c>
      <c r="O586" s="5">
        <v>353.99</v>
      </c>
      <c r="P586" s="5">
        <v>300.89</v>
      </c>
      <c r="Q586" s="5">
        <v>2306.81</v>
      </c>
      <c r="R586" s="5">
        <v>1730.75</v>
      </c>
      <c r="S586" s="5">
        <v>576.06</v>
      </c>
      <c r="T586" s="7">
        <v>0.249721476844647</v>
      </c>
      <c r="U586" t="s">
        <v>13</v>
      </c>
      <c r="V586" t="s">
        <v>50</v>
      </c>
      <c r="W586" t="s">
        <v>50</v>
      </c>
      <c r="X586" t="s">
        <v>34</v>
      </c>
      <c r="Y586" t="s">
        <v>1840</v>
      </c>
      <c r="Z586" t="s">
        <v>80</v>
      </c>
    </row>
    <row r="587" spans="1:26">
      <c r="A587" t="s">
        <v>2024</v>
      </c>
      <c r="B587" t="s">
        <v>2024</v>
      </c>
      <c r="C587" s="4">
        <v>45969</v>
      </c>
      <c r="D587">
        <v>2025</v>
      </c>
      <c r="E587">
        <v>11</v>
      </c>
      <c r="F587" t="s">
        <v>27</v>
      </c>
      <c r="G587" t="s">
        <v>137</v>
      </c>
      <c r="H587" t="s">
        <v>2025</v>
      </c>
      <c r="I587" t="s">
        <v>2026</v>
      </c>
      <c r="J587" t="s">
        <v>563</v>
      </c>
      <c r="K587" t="s">
        <v>564</v>
      </c>
      <c r="L587">
        <v>1</v>
      </c>
      <c r="M587" s="5">
        <v>352.51</v>
      </c>
      <c r="N587" s="6">
        <v>0</v>
      </c>
      <c r="O587" s="5">
        <v>0</v>
      </c>
      <c r="P587" s="5">
        <v>52.88</v>
      </c>
      <c r="Q587" s="5">
        <v>405.39</v>
      </c>
      <c r="R587" s="5">
        <v>260.06</v>
      </c>
      <c r="S587" s="5">
        <v>145.33</v>
      </c>
      <c r="T587" s="7">
        <v>0.358494289449666</v>
      </c>
      <c r="U587" t="s">
        <v>9</v>
      </c>
      <c r="V587" t="s">
        <v>50</v>
      </c>
      <c r="W587" t="s">
        <v>50</v>
      </c>
      <c r="X587" t="s">
        <v>33</v>
      </c>
      <c r="Y587" t="s">
        <v>2027</v>
      </c>
      <c r="Z587" t="s">
        <v>80</v>
      </c>
    </row>
    <row r="588" spans="1:26">
      <c r="A588" t="s">
        <v>2028</v>
      </c>
      <c r="B588" t="s">
        <v>2028</v>
      </c>
      <c r="C588" s="4">
        <v>45936</v>
      </c>
      <c r="D588">
        <v>2025</v>
      </c>
      <c r="E588">
        <v>10</v>
      </c>
      <c r="F588" t="s">
        <v>26</v>
      </c>
      <c r="G588" t="s">
        <v>137</v>
      </c>
      <c r="H588" t="s">
        <v>843</v>
      </c>
      <c r="I588" t="s">
        <v>1694</v>
      </c>
      <c r="J588" t="s">
        <v>269</v>
      </c>
      <c r="K588" t="s">
        <v>1240</v>
      </c>
      <c r="L588">
        <v>5</v>
      </c>
      <c r="M588" s="5">
        <v>233.47</v>
      </c>
      <c r="N588" s="6">
        <v>10</v>
      </c>
      <c r="O588" s="5">
        <v>116.73</v>
      </c>
      <c r="P588" s="5">
        <v>157.59</v>
      </c>
      <c r="Q588" s="5">
        <v>1050.62</v>
      </c>
      <c r="R588" s="5">
        <v>944.9</v>
      </c>
      <c r="S588" s="5">
        <v>105.72</v>
      </c>
      <c r="T588" s="7">
        <v>0.100626296853287</v>
      </c>
      <c r="U588" t="s">
        <v>10</v>
      </c>
      <c r="V588" t="s">
        <v>50</v>
      </c>
      <c r="W588" t="s">
        <v>50</v>
      </c>
      <c r="X588" t="s">
        <v>33</v>
      </c>
      <c r="Y588" t="s">
        <v>2029</v>
      </c>
      <c r="Z588" t="s">
        <v>101</v>
      </c>
    </row>
    <row r="589" spans="1:26">
      <c r="A589" t="s">
        <v>2030</v>
      </c>
      <c r="B589" t="s">
        <v>2030</v>
      </c>
      <c r="C589" s="4">
        <v>45997</v>
      </c>
      <c r="D589">
        <v>2025</v>
      </c>
      <c r="E589">
        <v>12</v>
      </c>
      <c r="F589" t="s">
        <v>28</v>
      </c>
      <c r="G589" t="s">
        <v>137</v>
      </c>
      <c r="H589" t="s">
        <v>2025</v>
      </c>
      <c r="I589" t="s">
        <v>151</v>
      </c>
      <c r="J589" t="s">
        <v>1940</v>
      </c>
      <c r="K589" t="s">
        <v>2031</v>
      </c>
      <c r="L589">
        <v>3</v>
      </c>
      <c r="M589" s="5">
        <v>434.65</v>
      </c>
      <c r="N589" s="6">
        <v>15</v>
      </c>
      <c r="O589" s="5">
        <v>195.59</v>
      </c>
      <c r="P589" s="5">
        <v>166.25</v>
      </c>
      <c r="Q589" s="5">
        <v>1274.61</v>
      </c>
      <c r="R589" s="5">
        <v>1054.89</v>
      </c>
      <c r="S589" s="5">
        <v>219.72</v>
      </c>
      <c r="T589" s="7">
        <v>0.172382140419422</v>
      </c>
      <c r="U589" t="s">
        <v>9</v>
      </c>
      <c r="V589" t="s">
        <v>50</v>
      </c>
      <c r="W589" t="s">
        <v>50</v>
      </c>
      <c r="X589" t="s">
        <v>34</v>
      </c>
      <c r="Y589" t="s">
        <v>2032</v>
      </c>
      <c r="Z589" t="s">
        <v>80</v>
      </c>
    </row>
    <row r="590" spans="1:26">
      <c r="A590" t="s">
        <v>2033</v>
      </c>
      <c r="B590" t="s">
        <v>2033</v>
      </c>
      <c r="C590" s="4">
        <v>45954</v>
      </c>
      <c r="D590">
        <v>2025</v>
      </c>
      <c r="E590">
        <v>10</v>
      </c>
      <c r="F590" t="s">
        <v>26</v>
      </c>
      <c r="G590" t="s">
        <v>137</v>
      </c>
      <c r="H590" t="s">
        <v>1766</v>
      </c>
      <c r="I590" t="s">
        <v>235</v>
      </c>
      <c r="J590" t="s">
        <v>899</v>
      </c>
      <c r="K590" t="s">
        <v>171</v>
      </c>
      <c r="L590">
        <v>5</v>
      </c>
      <c r="M590" s="5">
        <v>217.42</v>
      </c>
      <c r="N590" s="6">
        <v>0</v>
      </c>
      <c r="O590" s="5">
        <v>0</v>
      </c>
      <c r="P590" s="5">
        <v>163.06</v>
      </c>
      <c r="Q590" s="5">
        <v>1087.1</v>
      </c>
      <c r="R590" s="5">
        <v>885.15</v>
      </c>
      <c r="S590" s="5">
        <v>201.95</v>
      </c>
      <c r="T590" s="7">
        <v>0.185769478428847</v>
      </c>
      <c r="U590" t="s">
        <v>10</v>
      </c>
      <c r="V590" t="s">
        <v>50</v>
      </c>
      <c r="W590" t="s">
        <v>50</v>
      </c>
      <c r="X590" t="s">
        <v>33</v>
      </c>
      <c r="Y590" t="s">
        <v>2034</v>
      </c>
      <c r="Z590" t="s">
        <v>101</v>
      </c>
    </row>
    <row r="591" spans="1:26">
      <c r="A591" t="s">
        <v>2035</v>
      </c>
      <c r="B591" t="s">
        <v>2035</v>
      </c>
      <c r="C591" s="4">
        <v>45980</v>
      </c>
      <c r="D591">
        <v>2025</v>
      </c>
      <c r="E591">
        <v>11</v>
      </c>
      <c r="F591" t="s">
        <v>27</v>
      </c>
      <c r="G591" t="s">
        <v>137</v>
      </c>
      <c r="H591" t="s">
        <v>1805</v>
      </c>
      <c r="I591" t="s">
        <v>801</v>
      </c>
      <c r="J591" t="s">
        <v>1377</v>
      </c>
      <c r="K591" t="s">
        <v>2036</v>
      </c>
      <c r="L591">
        <v>4</v>
      </c>
      <c r="M591" s="5">
        <v>217.85</v>
      </c>
      <c r="N591" s="6">
        <v>0</v>
      </c>
      <c r="O591" s="5">
        <v>0</v>
      </c>
      <c r="P591" s="5">
        <v>130.71</v>
      </c>
      <c r="Q591" s="5">
        <v>871.4</v>
      </c>
      <c r="R591" s="5">
        <v>758.76</v>
      </c>
      <c r="S591" s="5">
        <v>112.64</v>
      </c>
      <c r="T591" s="7">
        <v>0.129263254532935</v>
      </c>
      <c r="U591" t="s">
        <v>12</v>
      </c>
      <c r="V591" t="s">
        <v>50</v>
      </c>
      <c r="W591" t="s">
        <v>50</v>
      </c>
      <c r="X591" t="s">
        <v>33</v>
      </c>
      <c r="Y591" t="s">
        <v>1277</v>
      </c>
      <c r="Z591" t="s">
        <v>101</v>
      </c>
    </row>
    <row r="592" spans="1:26">
      <c r="A592" t="s">
        <v>2037</v>
      </c>
      <c r="B592" t="s">
        <v>2037</v>
      </c>
      <c r="C592" s="4">
        <v>46009</v>
      </c>
      <c r="D592">
        <v>2025</v>
      </c>
      <c r="E592">
        <v>12</v>
      </c>
      <c r="F592" t="s">
        <v>28</v>
      </c>
      <c r="G592" t="s">
        <v>137</v>
      </c>
      <c r="H592" t="s">
        <v>2038</v>
      </c>
      <c r="I592" t="s">
        <v>126</v>
      </c>
      <c r="J592" t="s">
        <v>1718</v>
      </c>
      <c r="K592" t="s">
        <v>838</v>
      </c>
      <c r="L592">
        <v>2</v>
      </c>
      <c r="M592" s="5">
        <v>131.03</v>
      </c>
      <c r="N592" s="6">
        <v>10</v>
      </c>
      <c r="O592" s="5">
        <v>26.21</v>
      </c>
      <c r="P592" s="5">
        <v>35.38</v>
      </c>
      <c r="Q592" s="5">
        <v>235.85</v>
      </c>
      <c r="R592" s="5">
        <v>234.54</v>
      </c>
      <c r="S592" s="5">
        <v>1.31</v>
      </c>
      <c r="T592" s="7">
        <v>0.00555437778248887</v>
      </c>
      <c r="U592" t="s">
        <v>9</v>
      </c>
      <c r="V592" t="s">
        <v>50</v>
      </c>
      <c r="W592" t="s">
        <v>50</v>
      </c>
      <c r="X592" t="s">
        <v>33</v>
      </c>
      <c r="Y592" t="s">
        <v>1429</v>
      </c>
      <c r="Z592" t="s">
        <v>101</v>
      </c>
    </row>
    <row r="593" spans="1:26">
      <c r="A593" t="s">
        <v>2039</v>
      </c>
      <c r="B593" t="s">
        <v>2039</v>
      </c>
      <c r="C593" s="4">
        <v>45780</v>
      </c>
      <c r="D593">
        <v>2025</v>
      </c>
      <c r="E593">
        <v>5</v>
      </c>
      <c r="F593" t="s">
        <v>21</v>
      </c>
      <c r="G593" t="s">
        <v>74</v>
      </c>
      <c r="H593" t="s">
        <v>2040</v>
      </c>
      <c r="I593" t="s">
        <v>769</v>
      </c>
      <c r="J593" t="s">
        <v>631</v>
      </c>
      <c r="K593" t="s">
        <v>632</v>
      </c>
      <c r="L593">
        <v>1</v>
      </c>
      <c r="M593" s="5">
        <v>227</v>
      </c>
      <c r="N593" s="6">
        <v>0</v>
      </c>
      <c r="O593" s="5">
        <v>0</v>
      </c>
      <c r="P593" s="5">
        <v>34.05</v>
      </c>
      <c r="Q593" s="5">
        <v>261.05</v>
      </c>
      <c r="R593" s="5">
        <v>196.3</v>
      </c>
      <c r="S593" s="5">
        <v>64.75</v>
      </c>
      <c r="T593" s="7">
        <v>0.24803677456426</v>
      </c>
      <c r="U593" t="s">
        <v>9</v>
      </c>
      <c r="V593" t="s">
        <v>50</v>
      </c>
      <c r="W593" t="s">
        <v>50</v>
      </c>
      <c r="X593" t="s">
        <v>35</v>
      </c>
      <c r="Y593" t="s">
        <v>1945</v>
      </c>
      <c r="Z593" t="s">
        <v>80</v>
      </c>
    </row>
    <row r="594" spans="1:26">
      <c r="A594" t="s">
        <v>2041</v>
      </c>
      <c r="B594" t="s">
        <v>2041</v>
      </c>
      <c r="C594" s="4">
        <v>45896</v>
      </c>
      <c r="D594">
        <v>2025</v>
      </c>
      <c r="E594">
        <v>8</v>
      </c>
      <c r="F594" t="s">
        <v>24</v>
      </c>
      <c r="G594" t="s">
        <v>89</v>
      </c>
      <c r="H594" t="s">
        <v>1026</v>
      </c>
      <c r="I594" t="s">
        <v>609</v>
      </c>
      <c r="J594" t="s">
        <v>1003</v>
      </c>
      <c r="K594" t="s">
        <v>1004</v>
      </c>
      <c r="L594">
        <v>8</v>
      </c>
      <c r="M594" s="5">
        <v>348.67</v>
      </c>
      <c r="N594" s="6">
        <v>0</v>
      </c>
      <c r="O594" s="5">
        <v>0</v>
      </c>
      <c r="P594" s="5">
        <v>418.4</v>
      </c>
      <c r="Q594" s="5">
        <v>2789.36</v>
      </c>
      <c r="R594" s="5">
        <v>2043.92</v>
      </c>
      <c r="S594" s="5">
        <v>745.44</v>
      </c>
      <c r="T594" s="7">
        <v>0.26724409900479</v>
      </c>
      <c r="U594" t="s">
        <v>10</v>
      </c>
      <c r="V594" t="s">
        <v>50</v>
      </c>
      <c r="W594" t="s">
        <v>50</v>
      </c>
      <c r="X594" t="s">
        <v>33</v>
      </c>
      <c r="Y594" t="s">
        <v>2042</v>
      </c>
      <c r="Z594" t="s">
        <v>101</v>
      </c>
    </row>
    <row r="595" spans="1:26">
      <c r="A595" t="s">
        <v>2043</v>
      </c>
      <c r="B595" t="s">
        <v>2043</v>
      </c>
      <c r="C595" s="4">
        <v>45941</v>
      </c>
      <c r="D595">
        <v>2025</v>
      </c>
      <c r="E595">
        <v>10</v>
      </c>
      <c r="F595" t="s">
        <v>26</v>
      </c>
      <c r="G595" t="s">
        <v>137</v>
      </c>
      <c r="H595" t="s">
        <v>741</v>
      </c>
      <c r="I595" t="s">
        <v>350</v>
      </c>
      <c r="J595" t="s">
        <v>2044</v>
      </c>
      <c r="K595" t="s">
        <v>1209</v>
      </c>
      <c r="L595">
        <v>7</v>
      </c>
      <c r="M595" s="5">
        <v>369.9</v>
      </c>
      <c r="N595" s="6">
        <v>5</v>
      </c>
      <c r="O595" s="5">
        <v>129.46</v>
      </c>
      <c r="P595" s="5">
        <v>368.98</v>
      </c>
      <c r="Q595" s="5">
        <v>2828.82</v>
      </c>
      <c r="R595" s="5">
        <v>1514.24</v>
      </c>
      <c r="S595" s="5">
        <v>1314.58</v>
      </c>
      <c r="T595" s="7">
        <v>0.46470966692826</v>
      </c>
      <c r="U595" t="s">
        <v>11</v>
      </c>
      <c r="V595" t="s">
        <v>50</v>
      </c>
      <c r="W595" t="s">
        <v>50</v>
      </c>
      <c r="X595" t="s">
        <v>35</v>
      </c>
      <c r="Y595" t="s">
        <v>2045</v>
      </c>
      <c r="Z595" t="s">
        <v>80</v>
      </c>
    </row>
    <row r="596" spans="1:26">
      <c r="A596" t="s">
        <v>2046</v>
      </c>
      <c r="B596" t="s">
        <v>2046</v>
      </c>
      <c r="C596" s="4">
        <v>46095</v>
      </c>
      <c r="D596">
        <v>2026</v>
      </c>
      <c r="E596">
        <v>3</v>
      </c>
      <c r="F596" t="s">
        <v>19</v>
      </c>
      <c r="G596" t="s">
        <v>82</v>
      </c>
      <c r="H596" t="s">
        <v>1707</v>
      </c>
      <c r="I596" t="s">
        <v>664</v>
      </c>
      <c r="J596" t="s">
        <v>1718</v>
      </c>
      <c r="K596" t="s">
        <v>192</v>
      </c>
      <c r="L596">
        <v>3</v>
      </c>
      <c r="M596" s="5">
        <v>327.08</v>
      </c>
      <c r="N596" s="6">
        <v>15</v>
      </c>
      <c r="O596" s="5">
        <v>147.19</v>
      </c>
      <c r="P596" s="5">
        <v>125.11</v>
      </c>
      <c r="Q596" s="5">
        <v>959.16</v>
      </c>
      <c r="R596" s="5">
        <v>823.83</v>
      </c>
      <c r="S596" s="5">
        <v>135.33</v>
      </c>
      <c r="T596" s="7">
        <v>0.14109220567997</v>
      </c>
      <c r="U596" t="s">
        <v>9</v>
      </c>
      <c r="V596" t="s">
        <v>50</v>
      </c>
      <c r="W596" t="s">
        <v>50</v>
      </c>
      <c r="X596" t="s">
        <v>33</v>
      </c>
      <c r="Y596" t="s">
        <v>2047</v>
      </c>
      <c r="Z596" t="s">
        <v>80</v>
      </c>
    </row>
    <row r="597" spans="1:26">
      <c r="A597" t="s">
        <v>2048</v>
      </c>
      <c r="B597" t="s">
        <v>2048</v>
      </c>
      <c r="C597" s="4">
        <v>45793</v>
      </c>
      <c r="D597">
        <v>2025</v>
      </c>
      <c r="E597">
        <v>5</v>
      </c>
      <c r="F597" t="s">
        <v>21</v>
      </c>
      <c r="G597" t="s">
        <v>74</v>
      </c>
      <c r="H597" t="s">
        <v>2049</v>
      </c>
      <c r="I597" t="s">
        <v>664</v>
      </c>
      <c r="J597" t="s">
        <v>751</v>
      </c>
      <c r="K597" t="s">
        <v>752</v>
      </c>
      <c r="L597">
        <v>4</v>
      </c>
      <c r="M597" s="5">
        <v>327.08</v>
      </c>
      <c r="N597" s="6">
        <v>15</v>
      </c>
      <c r="O597" s="5">
        <v>196.25</v>
      </c>
      <c r="P597" s="5">
        <v>166.81</v>
      </c>
      <c r="Q597" s="5">
        <v>1112.07</v>
      </c>
      <c r="R597" s="5">
        <v>1098.44</v>
      </c>
      <c r="S597" s="5">
        <v>13.63</v>
      </c>
      <c r="T597" s="7">
        <v>0.0122564227072037</v>
      </c>
      <c r="U597" t="s">
        <v>9</v>
      </c>
      <c r="V597" t="s">
        <v>50</v>
      </c>
      <c r="W597" t="s">
        <v>50</v>
      </c>
      <c r="X597" t="s">
        <v>33</v>
      </c>
      <c r="Y597" t="s">
        <v>799</v>
      </c>
      <c r="Z597" t="s">
        <v>101</v>
      </c>
    </row>
    <row r="598" spans="1:26">
      <c r="A598" t="s">
        <v>2050</v>
      </c>
      <c r="B598" t="s">
        <v>2050</v>
      </c>
      <c r="C598" s="4">
        <v>45775</v>
      </c>
      <c r="D598">
        <v>2025</v>
      </c>
      <c r="E598">
        <v>4</v>
      </c>
      <c r="F598" t="s">
        <v>20</v>
      </c>
      <c r="G598" t="s">
        <v>74</v>
      </c>
      <c r="H598" t="s">
        <v>1936</v>
      </c>
      <c r="I598" t="s">
        <v>332</v>
      </c>
      <c r="J598" t="s">
        <v>676</v>
      </c>
      <c r="K598" t="s">
        <v>2051</v>
      </c>
      <c r="L598">
        <v>7</v>
      </c>
      <c r="M598" s="5">
        <v>75.44</v>
      </c>
      <c r="N598" s="6">
        <v>0</v>
      </c>
      <c r="O598" s="5">
        <v>0</v>
      </c>
      <c r="P598" s="5">
        <v>79.21</v>
      </c>
      <c r="Q598" s="5">
        <v>528.08</v>
      </c>
      <c r="R598" s="5">
        <v>380.24</v>
      </c>
      <c r="S598" s="5">
        <v>147.84</v>
      </c>
      <c r="T598" s="7">
        <v>0.279957582184517</v>
      </c>
      <c r="U598" t="s">
        <v>9</v>
      </c>
      <c r="V598" t="s">
        <v>50</v>
      </c>
      <c r="W598" t="s">
        <v>50</v>
      </c>
      <c r="X598" t="s">
        <v>33</v>
      </c>
      <c r="Y598" t="s">
        <v>2052</v>
      </c>
      <c r="Z598" t="s">
        <v>101</v>
      </c>
    </row>
    <row r="599" spans="1:26">
      <c r="A599" t="s">
        <v>2053</v>
      </c>
      <c r="B599" t="s">
        <v>2053</v>
      </c>
      <c r="C599" s="4">
        <v>45899</v>
      </c>
      <c r="D599">
        <v>2025</v>
      </c>
      <c r="E599">
        <v>8</v>
      </c>
      <c r="F599" t="s">
        <v>24</v>
      </c>
      <c r="G599" t="s">
        <v>89</v>
      </c>
      <c r="H599" t="s">
        <v>1044</v>
      </c>
      <c r="I599" t="s">
        <v>395</v>
      </c>
      <c r="J599" t="s">
        <v>723</v>
      </c>
      <c r="K599" t="s">
        <v>1055</v>
      </c>
      <c r="L599">
        <v>6</v>
      </c>
      <c r="M599" s="5">
        <v>488.1</v>
      </c>
      <c r="N599" s="6">
        <v>0</v>
      </c>
      <c r="O599" s="5">
        <v>0</v>
      </c>
      <c r="P599" s="5">
        <v>439.29</v>
      </c>
      <c r="Q599" s="5">
        <v>3367.89</v>
      </c>
      <c r="R599" s="5">
        <v>1953.66</v>
      </c>
      <c r="S599" s="5">
        <v>1414.23</v>
      </c>
      <c r="T599" s="7">
        <v>0.419915733589874</v>
      </c>
      <c r="U599" t="s">
        <v>12</v>
      </c>
      <c r="V599" t="s">
        <v>50</v>
      </c>
      <c r="W599" t="s">
        <v>50</v>
      </c>
      <c r="X599" t="s">
        <v>33</v>
      </c>
      <c r="Y599" t="s">
        <v>2054</v>
      </c>
      <c r="Z599" t="s">
        <v>80</v>
      </c>
    </row>
    <row r="600" spans="1:26">
      <c r="A600" t="s">
        <v>2055</v>
      </c>
      <c r="B600" t="s">
        <v>2055</v>
      </c>
      <c r="C600" s="4">
        <v>46063</v>
      </c>
      <c r="D600">
        <v>2026</v>
      </c>
      <c r="E600">
        <v>2</v>
      </c>
      <c r="F600" t="s">
        <v>31</v>
      </c>
      <c r="G600" t="s">
        <v>82</v>
      </c>
      <c r="H600" t="s">
        <v>1861</v>
      </c>
      <c r="I600" t="s">
        <v>756</v>
      </c>
      <c r="J600" t="s">
        <v>390</v>
      </c>
      <c r="K600" t="s">
        <v>391</v>
      </c>
      <c r="L600">
        <v>4</v>
      </c>
      <c r="M600" s="5">
        <v>161.03</v>
      </c>
      <c r="N600" s="6">
        <v>10</v>
      </c>
      <c r="O600" s="5">
        <v>64.41</v>
      </c>
      <c r="P600" s="5">
        <v>86.96</v>
      </c>
      <c r="Q600" s="5">
        <v>579.71</v>
      </c>
      <c r="R600" s="5">
        <v>496.96</v>
      </c>
      <c r="S600" s="5">
        <v>82.75</v>
      </c>
      <c r="T600" s="7">
        <v>0.142743785685946</v>
      </c>
      <c r="U600" t="s">
        <v>11</v>
      </c>
      <c r="V600" t="s">
        <v>50</v>
      </c>
      <c r="W600" t="s">
        <v>50</v>
      </c>
      <c r="X600" t="s">
        <v>35</v>
      </c>
      <c r="Y600" t="s">
        <v>725</v>
      </c>
      <c r="Z600" t="s">
        <v>101</v>
      </c>
    </row>
    <row r="601" spans="1:26">
      <c r="A601" t="s">
        <v>2056</v>
      </c>
      <c r="B601" t="s">
        <v>2056</v>
      </c>
      <c r="C601" s="4">
        <v>45781</v>
      </c>
      <c r="D601">
        <v>2025</v>
      </c>
      <c r="E601">
        <v>5</v>
      </c>
      <c r="F601" t="s">
        <v>21</v>
      </c>
      <c r="G601" t="s">
        <v>74</v>
      </c>
      <c r="H601" t="s">
        <v>828</v>
      </c>
      <c r="I601" t="s">
        <v>787</v>
      </c>
      <c r="J601" t="s">
        <v>676</v>
      </c>
      <c r="K601" t="s">
        <v>677</v>
      </c>
      <c r="L601">
        <v>1</v>
      </c>
      <c r="M601" s="5">
        <v>168.36</v>
      </c>
      <c r="N601" s="6">
        <v>10</v>
      </c>
      <c r="O601" s="5">
        <v>16.84</v>
      </c>
      <c r="P601" s="5">
        <v>22.73</v>
      </c>
      <c r="Q601" s="5">
        <v>174.25</v>
      </c>
      <c r="R601" s="5">
        <v>102.23</v>
      </c>
      <c r="S601" s="5">
        <v>72.02</v>
      </c>
      <c r="T601" s="7">
        <v>0.413314203730273</v>
      </c>
      <c r="U601" t="s">
        <v>10</v>
      </c>
      <c r="V601" t="s">
        <v>50</v>
      </c>
      <c r="W601" t="s">
        <v>50</v>
      </c>
      <c r="X601" t="s">
        <v>33</v>
      </c>
      <c r="Y601" t="s">
        <v>2057</v>
      </c>
      <c r="Z601" t="s">
        <v>80</v>
      </c>
    </row>
    <row r="602" spans="1:26">
      <c r="A602" t="s">
        <v>2058</v>
      </c>
      <c r="B602" t="s">
        <v>2058</v>
      </c>
      <c r="C602" s="4">
        <v>45953</v>
      </c>
      <c r="D602">
        <v>2025</v>
      </c>
      <c r="E602">
        <v>10</v>
      </c>
      <c r="F602" t="s">
        <v>26</v>
      </c>
      <c r="G602" t="s">
        <v>137</v>
      </c>
      <c r="H602" t="s">
        <v>2059</v>
      </c>
      <c r="I602" t="s">
        <v>543</v>
      </c>
      <c r="J602" t="s">
        <v>631</v>
      </c>
      <c r="K602" t="s">
        <v>632</v>
      </c>
      <c r="L602">
        <v>1</v>
      </c>
      <c r="M602" s="5">
        <v>401.06</v>
      </c>
      <c r="N602" s="6">
        <v>0</v>
      </c>
      <c r="O602" s="5">
        <v>0</v>
      </c>
      <c r="P602" s="5">
        <v>60.16</v>
      </c>
      <c r="Q602" s="5">
        <v>401.06</v>
      </c>
      <c r="R602" s="5">
        <v>347.47</v>
      </c>
      <c r="S602" s="5">
        <v>53.59</v>
      </c>
      <c r="T602" s="7">
        <v>0.133620904602803</v>
      </c>
      <c r="U602" t="s">
        <v>9</v>
      </c>
      <c r="V602" t="s">
        <v>50</v>
      </c>
      <c r="W602" t="s">
        <v>50</v>
      </c>
      <c r="X602" t="s">
        <v>33</v>
      </c>
      <c r="Y602" t="s">
        <v>2060</v>
      </c>
      <c r="Z602" t="s">
        <v>101</v>
      </c>
    </row>
    <row r="603" spans="1:26">
      <c r="A603" t="s">
        <v>2061</v>
      </c>
      <c r="B603" t="s">
        <v>2061</v>
      </c>
      <c r="C603" s="4">
        <v>45969</v>
      </c>
      <c r="D603">
        <v>2025</v>
      </c>
      <c r="E603">
        <v>11</v>
      </c>
      <c r="F603" t="s">
        <v>27</v>
      </c>
      <c r="G603" t="s">
        <v>137</v>
      </c>
      <c r="H603" t="s">
        <v>1271</v>
      </c>
      <c r="I603" t="s">
        <v>328</v>
      </c>
      <c r="J603" t="s">
        <v>1150</v>
      </c>
      <c r="K603" t="s">
        <v>2062</v>
      </c>
      <c r="L603">
        <v>4</v>
      </c>
      <c r="M603" s="5">
        <v>124.84</v>
      </c>
      <c r="N603" s="6">
        <v>15</v>
      </c>
      <c r="O603" s="5">
        <v>74.9</v>
      </c>
      <c r="P603" s="5">
        <v>63.67</v>
      </c>
      <c r="Q603" s="5">
        <v>488.13</v>
      </c>
      <c r="R603" s="5">
        <v>389.4</v>
      </c>
      <c r="S603" s="5">
        <v>98.73</v>
      </c>
      <c r="T603" s="7">
        <v>0.202261692581894</v>
      </c>
      <c r="U603" t="s">
        <v>14</v>
      </c>
      <c r="V603" t="s">
        <v>50</v>
      </c>
      <c r="W603" t="s">
        <v>50</v>
      </c>
      <c r="X603" t="s">
        <v>33</v>
      </c>
      <c r="Y603" t="s">
        <v>2063</v>
      </c>
      <c r="Z603" t="s">
        <v>80</v>
      </c>
    </row>
    <row r="604" spans="1:26">
      <c r="A604" t="s">
        <v>2064</v>
      </c>
      <c r="B604" t="s">
        <v>2064</v>
      </c>
      <c r="C604" s="4">
        <v>46011</v>
      </c>
      <c r="D604">
        <v>2025</v>
      </c>
      <c r="E604">
        <v>12</v>
      </c>
      <c r="F604" t="s">
        <v>28</v>
      </c>
      <c r="G604" t="s">
        <v>137</v>
      </c>
      <c r="H604" t="s">
        <v>2065</v>
      </c>
      <c r="I604" t="s">
        <v>174</v>
      </c>
      <c r="J604" t="s">
        <v>170</v>
      </c>
      <c r="K604" t="s">
        <v>515</v>
      </c>
      <c r="L604">
        <v>3</v>
      </c>
      <c r="M604" s="5">
        <v>397.22</v>
      </c>
      <c r="N604" s="6">
        <v>20</v>
      </c>
      <c r="O604" s="5">
        <v>238.33</v>
      </c>
      <c r="P604" s="5">
        <v>143</v>
      </c>
      <c r="Q604" s="5">
        <v>1096.33</v>
      </c>
      <c r="R604" s="5">
        <v>958.11</v>
      </c>
      <c r="S604" s="5">
        <v>138.22</v>
      </c>
      <c r="T604" s="7">
        <v>0.126075178094187</v>
      </c>
      <c r="U604" t="s">
        <v>10</v>
      </c>
      <c r="V604" t="s">
        <v>50</v>
      </c>
      <c r="W604" t="s">
        <v>50</v>
      </c>
      <c r="X604" t="s">
        <v>34</v>
      </c>
      <c r="Y604" t="s">
        <v>2066</v>
      </c>
      <c r="Z604" t="s">
        <v>80</v>
      </c>
    </row>
    <row r="605" spans="1:26">
      <c r="A605" t="s">
        <v>2067</v>
      </c>
      <c r="B605" t="s">
        <v>2067</v>
      </c>
      <c r="C605" s="4">
        <v>45956</v>
      </c>
      <c r="D605">
        <v>2025</v>
      </c>
      <c r="E605">
        <v>10</v>
      </c>
      <c r="F605" t="s">
        <v>26</v>
      </c>
      <c r="G605" t="s">
        <v>137</v>
      </c>
      <c r="H605" t="s">
        <v>2068</v>
      </c>
      <c r="I605" t="s">
        <v>476</v>
      </c>
      <c r="J605" t="s">
        <v>654</v>
      </c>
      <c r="K605" t="s">
        <v>2069</v>
      </c>
      <c r="L605">
        <v>8</v>
      </c>
      <c r="M605" s="5">
        <v>345.17</v>
      </c>
      <c r="N605" s="6">
        <v>10</v>
      </c>
      <c r="O605" s="5">
        <v>276.14</v>
      </c>
      <c r="P605" s="5">
        <v>372.78</v>
      </c>
      <c r="Q605" s="5">
        <v>2858</v>
      </c>
      <c r="R605" s="5">
        <v>2011.36</v>
      </c>
      <c r="S605" s="5">
        <v>846.64</v>
      </c>
      <c r="T605" s="7">
        <v>0.296235129461162</v>
      </c>
      <c r="U605" t="s">
        <v>13</v>
      </c>
      <c r="V605" t="s">
        <v>50</v>
      </c>
      <c r="W605" t="s">
        <v>50</v>
      </c>
      <c r="X605" t="s">
        <v>33</v>
      </c>
      <c r="Y605" t="s">
        <v>628</v>
      </c>
      <c r="Z605" t="s">
        <v>80</v>
      </c>
    </row>
    <row r="606" spans="1:26">
      <c r="A606" t="s">
        <v>2070</v>
      </c>
      <c r="B606" t="s">
        <v>2070</v>
      </c>
      <c r="C606" s="4">
        <v>45972</v>
      </c>
      <c r="D606">
        <v>2025</v>
      </c>
      <c r="E606">
        <v>11</v>
      </c>
      <c r="F606" t="s">
        <v>27</v>
      </c>
      <c r="G606" t="s">
        <v>137</v>
      </c>
      <c r="H606" t="s">
        <v>1963</v>
      </c>
      <c r="I606" t="s">
        <v>97</v>
      </c>
      <c r="J606" t="s">
        <v>45</v>
      </c>
      <c r="K606" t="s">
        <v>287</v>
      </c>
      <c r="L606">
        <v>5</v>
      </c>
      <c r="M606" s="5">
        <v>427.52</v>
      </c>
      <c r="N606" s="6">
        <v>5</v>
      </c>
      <c r="O606" s="5">
        <v>106.88</v>
      </c>
      <c r="P606" s="5">
        <v>304.61</v>
      </c>
      <c r="Q606" s="5">
        <v>2030.72</v>
      </c>
      <c r="R606" s="5">
        <v>1182.7</v>
      </c>
      <c r="S606" s="5">
        <v>848.02</v>
      </c>
      <c r="T606" s="7">
        <v>0.417595729593445</v>
      </c>
      <c r="U606" t="s">
        <v>11</v>
      </c>
      <c r="V606" t="s">
        <v>50</v>
      </c>
      <c r="W606" t="s">
        <v>50</v>
      </c>
      <c r="X606" t="s">
        <v>33</v>
      </c>
      <c r="Y606" t="s">
        <v>2071</v>
      </c>
      <c r="Z606" t="s">
        <v>101</v>
      </c>
    </row>
    <row r="607" spans="1:26">
      <c r="A607" t="s">
        <v>2072</v>
      </c>
      <c r="B607" t="s">
        <v>2072</v>
      </c>
      <c r="C607" s="4">
        <v>45926</v>
      </c>
      <c r="D607">
        <v>2025</v>
      </c>
      <c r="E607">
        <v>9</v>
      </c>
      <c r="F607" t="s">
        <v>25</v>
      </c>
      <c r="G607" t="s">
        <v>89</v>
      </c>
      <c r="H607" t="s">
        <v>586</v>
      </c>
      <c r="I607" t="s">
        <v>116</v>
      </c>
      <c r="J607" t="s">
        <v>1512</v>
      </c>
      <c r="K607" t="s">
        <v>2073</v>
      </c>
      <c r="L607">
        <v>7</v>
      </c>
      <c r="M607" s="5">
        <v>173.38</v>
      </c>
      <c r="N607" s="6">
        <v>0</v>
      </c>
      <c r="O607" s="5">
        <v>0</v>
      </c>
      <c r="P607" s="5">
        <v>182.05</v>
      </c>
      <c r="Q607" s="5">
        <v>1213.66</v>
      </c>
      <c r="R607" s="5">
        <v>994</v>
      </c>
      <c r="S607" s="5">
        <v>219.66</v>
      </c>
      <c r="T607" s="7">
        <v>0.180989733533279</v>
      </c>
      <c r="U607" t="s">
        <v>10</v>
      </c>
      <c r="V607" t="s">
        <v>50</v>
      </c>
      <c r="W607" t="s">
        <v>50</v>
      </c>
      <c r="X607" t="s">
        <v>33</v>
      </c>
      <c r="Y607" t="s">
        <v>2074</v>
      </c>
      <c r="Z607" t="s">
        <v>101</v>
      </c>
    </row>
    <row r="608" spans="1:26">
      <c r="A608" t="s">
        <v>2075</v>
      </c>
      <c r="B608" t="s">
        <v>2075</v>
      </c>
      <c r="C608" s="4">
        <v>45894</v>
      </c>
      <c r="D608">
        <v>2025</v>
      </c>
      <c r="E608">
        <v>8</v>
      </c>
      <c r="F608" t="s">
        <v>24</v>
      </c>
      <c r="G608" t="s">
        <v>89</v>
      </c>
      <c r="H608" t="s">
        <v>1267</v>
      </c>
      <c r="I608" t="s">
        <v>1360</v>
      </c>
      <c r="J608" t="s">
        <v>38</v>
      </c>
      <c r="K608" t="s">
        <v>236</v>
      </c>
      <c r="L608">
        <v>8</v>
      </c>
      <c r="M608" s="5">
        <v>239.78</v>
      </c>
      <c r="N608" s="6">
        <v>0</v>
      </c>
      <c r="O608" s="5">
        <v>0</v>
      </c>
      <c r="P608" s="5">
        <v>287.74</v>
      </c>
      <c r="Q608" s="5">
        <v>1918.24</v>
      </c>
      <c r="R608" s="5">
        <v>1665.76</v>
      </c>
      <c r="S608" s="5">
        <v>252.48</v>
      </c>
      <c r="T608" s="7">
        <v>0.131620652264576</v>
      </c>
      <c r="U608" t="s">
        <v>13</v>
      </c>
      <c r="V608" t="s">
        <v>50</v>
      </c>
      <c r="W608" t="s">
        <v>50</v>
      </c>
      <c r="X608" t="s">
        <v>33</v>
      </c>
      <c r="Y608" t="s">
        <v>1048</v>
      </c>
      <c r="Z608" t="s">
        <v>101</v>
      </c>
    </row>
    <row r="609" spans="1:26">
      <c r="A609" t="s">
        <v>2076</v>
      </c>
      <c r="B609" t="s">
        <v>2076</v>
      </c>
      <c r="C609" s="4">
        <v>46028</v>
      </c>
      <c r="D609">
        <v>2026</v>
      </c>
      <c r="E609">
        <v>1</v>
      </c>
      <c r="F609" t="s">
        <v>30</v>
      </c>
      <c r="G609" t="s">
        <v>82</v>
      </c>
      <c r="H609" t="s">
        <v>1271</v>
      </c>
      <c r="I609" t="s">
        <v>933</v>
      </c>
      <c r="J609" t="s">
        <v>252</v>
      </c>
      <c r="K609" t="s">
        <v>253</v>
      </c>
      <c r="L609">
        <v>1</v>
      </c>
      <c r="M609" s="5">
        <v>425.88</v>
      </c>
      <c r="N609" s="6">
        <v>0</v>
      </c>
      <c r="O609" s="5">
        <v>0</v>
      </c>
      <c r="P609" s="5">
        <v>63.88</v>
      </c>
      <c r="Q609" s="5">
        <v>425.88</v>
      </c>
      <c r="R609" s="5">
        <v>357.47</v>
      </c>
      <c r="S609" s="5">
        <v>68.41</v>
      </c>
      <c r="T609" s="7">
        <v>0.160632102939795</v>
      </c>
      <c r="U609" t="s">
        <v>10</v>
      </c>
      <c r="V609" t="s">
        <v>50</v>
      </c>
      <c r="W609" t="s">
        <v>50</v>
      </c>
      <c r="X609" t="s">
        <v>34</v>
      </c>
      <c r="Y609" t="s">
        <v>2077</v>
      </c>
      <c r="Z609" t="s">
        <v>101</v>
      </c>
    </row>
    <row r="610" spans="1:26">
      <c r="A610" t="s">
        <v>2078</v>
      </c>
      <c r="B610" t="s">
        <v>2078</v>
      </c>
      <c r="C610" s="4">
        <v>46091</v>
      </c>
      <c r="D610">
        <v>2026</v>
      </c>
      <c r="E610">
        <v>3</v>
      </c>
      <c r="F610" t="s">
        <v>19</v>
      </c>
      <c r="G610" t="s">
        <v>82</v>
      </c>
      <c r="H610" t="s">
        <v>2079</v>
      </c>
      <c r="I610" t="s">
        <v>598</v>
      </c>
      <c r="J610" t="s">
        <v>401</v>
      </c>
      <c r="K610" t="s">
        <v>402</v>
      </c>
      <c r="L610">
        <v>3</v>
      </c>
      <c r="M610" s="5">
        <v>491.81</v>
      </c>
      <c r="N610" s="6">
        <v>10</v>
      </c>
      <c r="O610" s="5">
        <v>147.54</v>
      </c>
      <c r="P610" s="5">
        <v>199.18</v>
      </c>
      <c r="Q610" s="5">
        <v>1327.89</v>
      </c>
      <c r="R610" s="5">
        <v>1096.71</v>
      </c>
      <c r="S610" s="5">
        <v>231.18</v>
      </c>
      <c r="T610" s="7">
        <v>0.174095745882566</v>
      </c>
      <c r="U610" t="s">
        <v>9</v>
      </c>
      <c r="V610" t="s">
        <v>50</v>
      </c>
      <c r="W610" t="s">
        <v>50</v>
      </c>
      <c r="X610" t="s">
        <v>33</v>
      </c>
      <c r="Y610" t="s">
        <v>2080</v>
      </c>
      <c r="Z610" t="s">
        <v>101</v>
      </c>
    </row>
    <row r="611" spans="1:26">
      <c r="A611" t="s">
        <v>2081</v>
      </c>
      <c r="B611" t="s">
        <v>2081</v>
      </c>
      <c r="C611" s="4">
        <v>46108</v>
      </c>
      <c r="D611">
        <v>2026</v>
      </c>
      <c r="E611">
        <v>3</v>
      </c>
      <c r="F611" t="s">
        <v>19</v>
      </c>
      <c r="G611" t="s">
        <v>82</v>
      </c>
      <c r="H611" t="s">
        <v>2082</v>
      </c>
      <c r="I611" t="s">
        <v>207</v>
      </c>
      <c r="J611" t="s">
        <v>1512</v>
      </c>
      <c r="K611" t="s">
        <v>1412</v>
      </c>
      <c r="L611">
        <v>4</v>
      </c>
      <c r="M611" s="5">
        <v>306.62</v>
      </c>
      <c r="N611" s="6">
        <v>0</v>
      </c>
      <c r="O611" s="5">
        <v>0</v>
      </c>
      <c r="P611" s="5">
        <v>183.97</v>
      </c>
      <c r="Q611" s="5">
        <v>1226.48</v>
      </c>
      <c r="R611" s="5">
        <v>1039.72</v>
      </c>
      <c r="S611" s="5">
        <v>186.76</v>
      </c>
      <c r="T611" s="7">
        <v>0.152273172004435</v>
      </c>
      <c r="U611" t="s">
        <v>9</v>
      </c>
      <c r="V611" t="s">
        <v>50</v>
      </c>
      <c r="W611" t="s">
        <v>50</v>
      </c>
      <c r="X611" t="s">
        <v>34</v>
      </c>
      <c r="Y611" t="s">
        <v>2083</v>
      </c>
      <c r="Z611" t="s">
        <v>101</v>
      </c>
    </row>
    <row r="612" spans="1:26">
      <c r="A612" t="s">
        <v>2084</v>
      </c>
      <c r="B612" t="s">
        <v>2084</v>
      </c>
      <c r="C612" s="4">
        <v>46104</v>
      </c>
      <c r="D612">
        <v>2026</v>
      </c>
      <c r="E612">
        <v>3</v>
      </c>
      <c r="F612" t="s">
        <v>19</v>
      </c>
      <c r="G612" t="s">
        <v>82</v>
      </c>
      <c r="H612" t="s">
        <v>2085</v>
      </c>
      <c r="I612" t="s">
        <v>1367</v>
      </c>
      <c r="J612" t="s">
        <v>2086</v>
      </c>
      <c r="K612" t="s">
        <v>2031</v>
      </c>
      <c r="L612">
        <v>7</v>
      </c>
      <c r="M612" s="5">
        <v>56.88</v>
      </c>
      <c r="N612" s="6">
        <v>20</v>
      </c>
      <c r="O612" s="5">
        <v>79.63</v>
      </c>
      <c r="P612" s="5">
        <v>47.78</v>
      </c>
      <c r="Q612" s="5">
        <v>318.53</v>
      </c>
      <c r="R612" s="5">
        <v>314.72</v>
      </c>
      <c r="S612" s="5">
        <v>3.81</v>
      </c>
      <c r="T612" s="7">
        <v>0.0119611967475591</v>
      </c>
      <c r="U612" t="s">
        <v>9</v>
      </c>
      <c r="V612" t="s">
        <v>50</v>
      </c>
      <c r="W612" t="s">
        <v>50</v>
      </c>
      <c r="X612" t="s">
        <v>33</v>
      </c>
      <c r="Y612" t="s">
        <v>2087</v>
      </c>
      <c r="Z612" t="s">
        <v>101</v>
      </c>
    </row>
    <row r="613" spans="1:26">
      <c r="A613" t="s">
        <v>2088</v>
      </c>
      <c r="B613" t="s">
        <v>2088</v>
      </c>
      <c r="C613" s="4">
        <v>45956</v>
      </c>
      <c r="D613">
        <v>2025</v>
      </c>
      <c r="E613">
        <v>10</v>
      </c>
      <c r="F613" t="s">
        <v>26</v>
      </c>
      <c r="G613" t="s">
        <v>137</v>
      </c>
      <c r="H613" t="s">
        <v>1532</v>
      </c>
      <c r="I613" t="s">
        <v>553</v>
      </c>
      <c r="J613" t="s">
        <v>820</v>
      </c>
      <c r="K613" t="s">
        <v>821</v>
      </c>
      <c r="L613">
        <v>5</v>
      </c>
      <c r="M613" s="5">
        <v>329.27</v>
      </c>
      <c r="N613" s="6">
        <v>15</v>
      </c>
      <c r="O613" s="5">
        <v>246.95</v>
      </c>
      <c r="P613" s="5">
        <v>209.91</v>
      </c>
      <c r="Q613" s="5">
        <v>1609.31</v>
      </c>
      <c r="R613" s="5">
        <v>1268.5</v>
      </c>
      <c r="S613" s="5">
        <v>340.81</v>
      </c>
      <c r="T613" s="7">
        <v>0.211773990095134</v>
      </c>
      <c r="U613" t="s">
        <v>13</v>
      </c>
      <c r="V613" t="s">
        <v>50</v>
      </c>
      <c r="W613" t="s">
        <v>50</v>
      </c>
      <c r="X613" t="s">
        <v>35</v>
      </c>
      <c r="Y613" t="s">
        <v>1710</v>
      </c>
      <c r="Z613" t="s">
        <v>80</v>
      </c>
    </row>
    <row r="614" spans="1:26">
      <c r="A614" t="s">
        <v>2089</v>
      </c>
      <c r="B614" t="s">
        <v>2089</v>
      </c>
      <c r="C614" s="4">
        <v>46092</v>
      </c>
      <c r="D614">
        <v>2026</v>
      </c>
      <c r="E614">
        <v>3</v>
      </c>
      <c r="F614" t="s">
        <v>19</v>
      </c>
      <c r="G614" t="s">
        <v>82</v>
      </c>
      <c r="H614" t="s">
        <v>513</v>
      </c>
      <c r="I614" t="s">
        <v>328</v>
      </c>
      <c r="J614" t="s">
        <v>41</v>
      </c>
      <c r="K614" t="s">
        <v>588</v>
      </c>
      <c r="L614">
        <v>7</v>
      </c>
      <c r="M614" s="5">
        <v>125.74</v>
      </c>
      <c r="N614" s="6">
        <v>10</v>
      </c>
      <c r="O614" s="5">
        <v>88.02</v>
      </c>
      <c r="P614" s="5">
        <v>118.82</v>
      </c>
      <c r="Q614" s="5">
        <v>792.16</v>
      </c>
      <c r="R614" s="5">
        <v>681.45</v>
      </c>
      <c r="S614" s="5">
        <v>110.71</v>
      </c>
      <c r="T614" s="7">
        <v>0.139757119773783</v>
      </c>
      <c r="U614" t="s">
        <v>11</v>
      </c>
      <c r="V614" t="s">
        <v>50</v>
      </c>
      <c r="W614" t="s">
        <v>50</v>
      </c>
      <c r="X614" t="s">
        <v>33</v>
      </c>
      <c r="Y614" t="s">
        <v>2090</v>
      </c>
      <c r="Z614" t="s">
        <v>101</v>
      </c>
    </row>
    <row r="615" spans="1:26">
      <c r="A615" t="s">
        <v>2091</v>
      </c>
      <c r="B615" t="s">
        <v>2091</v>
      </c>
      <c r="C615" s="4">
        <v>45860</v>
      </c>
      <c r="D615">
        <v>2025</v>
      </c>
      <c r="E615">
        <v>7</v>
      </c>
      <c r="F615" t="s">
        <v>23</v>
      </c>
      <c r="G615" t="s">
        <v>89</v>
      </c>
      <c r="H615" t="s">
        <v>2092</v>
      </c>
      <c r="I615" t="s">
        <v>2093</v>
      </c>
      <c r="J615" t="s">
        <v>465</v>
      </c>
      <c r="K615" t="s">
        <v>829</v>
      </c>
      <c r="L615">
        <v>2</v>
      </c>
      <c r="M615" s="5">
        <v>392.79</v>
      </c>
      <c r="N615" s="6">
        <v>10</v>
      </c>
      <c r="O615" s="5">
        <v>78.56</v>
      </c>
      <c r="P615" s="5">
        <v>106.05</v>
      </c>
      <c r="Q615" s="5">
        <v>707.02</v>
      </c>
      <c r="R615" s="5">
        <v>696.66</v>
      </c>
      <c r="S615" s="5">
        <v>10.36</v>
      </c>
      <c r="T615" s="7">
        <v>0.014653050833074</v>
      </c>
      <c r="U615" t="s">
        <v>11</v>
      </c>
      <c r="V615" t="s">
        <v>50</v>
      </c>
      <c r="W615" t="s">
        <v>50</v>
      </c>
      <c r="X615" t="s">
        <v>33</v>
      </c>
      <c r="Y615" t="s">
        <v>1598</v>
      </c>
      <c r="Z615" t="s">
        <v>101</v>
      </c>
    </row>
    <row r="616" spans="1:26">
      <c r="A616" t="s">
        <v>2094</v>
      </c>
      <c r="B616" t="s">
        <v>2094</v>
      </c>
      <c r="C616" s="4">
        <v>45940</v>
      </c>
      <c r="D616">
        <v>2025</v>
      </c>
      <c r="E616">
        <v>10</v>
      </c>
      <c r="F616" t="s">
        <v>26</v>
      </c>
      <c r="G616" t="s">
        <v>137</v>
      </c>
      <c r="H616" t="s">
        <v>1619</v>
      </c>
      <c r="I616" t="s">
        <v>933</v>
      </c>
      <c r="J616" t="s">
        <v>158</v>
      </c>
      <c r="K616" t="s">
        <v>724</v>
      </c>
      <c r="L616">
        <v>3</v>
      </c>
      <c r="M616" s="5">
        <v>425.88</v>
      </c>
      <c r="N616" s="6">
        <v>15</v>
      </c>
      <c r="O616" s="5">
        <v>191.65</v>
      </c>
      <c r="P616" s="5">
        <v>162.9</v>
      </c>
      <c r="Q616" s="5">
        <v>1085.99</v>
      </c>
      <c r="R616" s="5">
        <v>1072.41</v>
      </c>
      <c r="S616" s="5">
        <v>13.58</v>
      </c>
      <c r="T616" s="7">
        <v>0.0125047191963094</v>
      </c>
      <c r="U616" t="s">
        <v>13</v>
      </c>
      <c r="V616" t="s">
        <v>50</v>
      </c>
      <c r="W616" t="s">
        <v>50</v>
      </c>
      <c r="X616" t="s">
        <v>33</v>
      </c>
      <c r="Y616" t="s">
        <v>2095</v>
      </c>
      <c r="Z616" t="s">
        <v>101</v>
      </c>
    </row>
    <row r="617" spans="1:26">
      <c r="A617" t="s">
        <v>2096</v>
      </c>
      <c r="B617" t="s">
        <v>2096</v>
      </c>
      <c r="C617" s="4">
        <v>45905</v>
      </c>
      <c r="D617">
        <v>2025</v>
      </c>
      <c r="E617">
        <v>9</v>
      </c>
      <c r="F617" t="s">
        <v>25</v>
      </c>
      <c r="G617" t="s">
        <v>89</v>
      </c>
      <c r="H617" t="s">
        <v>2097</v>
      </c>
      <c r="I617" t="s">
        <v>157</v>
      </c>
      <c r="J617" t="s">
        <v>40</v>
      </c>
      <c r="K617" t="s">
        <v>426</v>
      </c>
      <c r="L617">
        <v>4</v>
      </c>
      <c r="M617" s="5">
        <v>59.92</v>
      </c>
      <c r="N617" s="6">
        <v>0</v>
      </c>
      <c r="O617" s="5">
        <v>0</v>
      </c>
      <c r="P617" s="5">
        <v>35.95</v>
      </c>
      <c r="Q617" s="5">
        <v>239.68</v>
      </c>
      <c r="R617" s="5">
        <v>192.6</v>
      </c>
      <c r="S617" s="5">
        <v>47.08</v>
      </c>
      <c r="T617" s="7">
        <v>0.196428571428571</v>
      </c>
      <c r="U617" t="s">
        <v>12</v>
      </c>
      <c r="V617" t="s">
        <v>50</v>
      </c>
      <c r="W617" t="s">
        <v>50</v>
      </c>
      <c r="X617" t="s">
        <v>35</v>
      </c>
      <c r="Y617" t="s">
        <v>2022</v>
      </c>
      <c r="Z617" t="s">
        <v>101</v>
      </c>
    </row>
    <row r="618" spans="1:26">
      <c r="A618" t="s">
        <v>2098</v>
      </c>
      <c r="B618" t="s">
        <v>2098</v>
      </c>
      <c r="C618" s="4">
        <v>46012</v>
      </c>
      <c r="D618">
        <v>2025</v>
      </c>
      <c r="E618">
        <v>12</v>
      </c>
      <c r="F618" t="s">
        <v>28</v>
      </c>
      <c r="G618" t="s">
        <v>137</v>
      </c>
      <c r="H618" t="s">
        <v>1054</v>
      </c>
      <c r="I618" t="s">
        <v>503</v>
      </c>
      <c r="J618" t="s">
        <v>440</v>
      </c>
      <c r="K618" t="s">
        <v>992</v>
      </c>
      <c r="L618">
        <v>8</v>
      </c>
      <c r="M618" s="5">
        <v>78.55</v>
      </c>
      <c r="N618" s="6">
        <v>0</v>
      </c>
      <c r="O618" s="5">
        <v>0</v>
      </c>
      <c r="P618" s="5">
        <v>94.26</v>
      </c>
      <c r="Q618" s="5">
        <v>722.66</v>
      </c>
      <c r="R618" s="5">
        <v>474.96</v>
      </c>
      <c r="S618" s="5">
        <v>247.7</v>
      </c>
      <c r="T618" s="7">
        <v>0.342761464589157</v>
      </c>
      <c r="U618" t="s">
        <v>13</v>
      </c>
      <c r="V618" t="s">
        <v>50</v>
      </c>
      <c r="W618" t="s">
        <v>50</v>
      </c>
      <c r="X618" t="s">
        <v>33</v>
      </c>
      <c r="Y618" t="s">
        <v>392</v>
      </c>
      <c r="Z618" t="s">
        <v>80</v>
      </c>
    </row>
    <row r="619" spans="1:26">
      <c r="A619" t="s">
        <v>2099</v>
      </c>
      <c r="B619" t="s">
        <v>2099</v>
      </c>
      <c r="C619" s="4">
        <v>46093</v>
      </c>
      <c r="D619">
        <v>2026</v>
      </c>
      <c r="E619">
        <v>3</v>
      </c>
      <c r="F619" t="s">
        <v>19</v>
      </c>
      <c r="G619" t="s">
        <v>82</v>
      </c>
      <c r="H619" t="s">
        <v>2100</v>
      </c>
      <c r="I619" t="s">
        <v>91</v>
      </c>
      <c r="J619" t="s">
        <v>713</v>
      </c>
      <c r="K619" t="s">
        <v>704</v>
      </c>
      <c r="L619">
        <v>5</v>
      </c>
      <c r="M619" s="5">
        <v>234.86</v>
      </c>
      <c r="N619" s="6">
        <v>0</v>
      </c>
      <c r="O619" s="5">
        <v>0</v>
      </c>
      <c r="P619" s="5">
        <v>176.14</v>
      </c>
      <c r="Q619" s="5">
        <v>1174.3</v>
      </c>
      <c r="R619" s="5">
        <v>1066.15</v>
      </c>
      <c r="S619" s="5">
        <v>108.15</v>
      </c>
      <c r="T619" s="7">
        <v>0.0920974197394192</v>
      </c>
      <c r="U619" t="s">
        <v>9</v>
      </c>
      <c r="V619" t="s">
        <v>50</v>
      </c>
      <c r="W619" t="s">
        <v>50</v>
      </c>
      <c r="X619" t="s">
        <v>33</v>
      </c>
      <c r="Y619" t="s">
        <v>1437</v>
      </c>
      <c r="Z619" t="s">
        <v>101</v>
      </c>
    </row>
    <row r="620" spans="1:26">
      <c r="A620" t="s">
        <v>2101</v>
      </c>
      <c r="B620" t="s">
        <v>2101</v>
      </c>
      <c r="C620" s="4">
        <v>45902</v>
      </c>
      <c r="D620">
        <v>2025</v>
      </c>
      <c r="E620">
        <v>9</v>
      </c>
      <c r="F620" t="s">
        <v>25</v>
      </c>
      <c r="G620" t="s">
        <v>89</v>
      </c>
      <c r="H620" t="s">
        <v>278</v>
      </c>
      <c r="I620" t="s">
        <v>623</v>
      </c>
      <c r="J620" t="s">
        <v>1405</v>
      </c>
      <c r="K620" t="s">
        <v>2102</v>
      </c>
      <c r="L620">
        <v>2</v>
      </c>
      <c r="M620" s="5">
        <v>139.21</v>
      </c>
      <c r="N620" s="6">
        <v>0</v>
      </c>
      <c r="O620" s="5">
        <v>0</v>
      </c>
      <c r="P620" s="5">
        <v>41.76</v>
      </c>
      <c r="Q620" s="5">
        <v>278.42</v>
      </c>
      <c r="R620" s="5">
        <v>213.98</v>
      </c>
      <c r="S620" s="5">
        <v>64.44</v>
      </c>
      <c r="T620" s="7">
        <v>0.231448890165936</v>
      </c>
      <c r="U620" t="s">
        <v>14</v>
      </c>
      <c r="V620" t="s">
        <v>50</v>
      </c>
      <c r="W620" t="s">
        <v>50</v>
      </c>
      <c r="X620" t="s">
        <v>35</v>
      </c>
      <c r="Y620" t="s">
        <v>314</v>
      </c>
      <c r="Z620" t="s">
        <v>101</v>
      </c>
    </row>
    <row r="621" spans="1:26">
      <c r="A621" t="s">
        <v>2103</v>
      </c>
      <c r="B621" t="s">
        <v>2103</v>
      </c>
      <c r="C621" s="4">
        <v>45929</v>
      </c>
      <c r="D621">
        <v>2025</v>
      </c>
      <c r="E621">
        <v>9</v>
      </c>
      <c r="F621" t="s">
        <v>25</v>
      </c>
      <c r="G621" t="s">
        <v>89</v>
      </c>
      <c r="H621" t="s">
        <v>2104</v>
      </c>
      <c r="I621" t="s">
        <v>708</v>
      </c>
      <c r="J621" t="s">
        <v>1718</v>
      </c>
      <c r="K621" t="s">
        <v>2105</v>
      </c>
      <c r="L621">
        <v>1</v>
      </c>
      <c r="M621" s="5">
        <v>372.61</v>
      </c>
      <c r="N621" s="6">
        <v>20</v>
      </c>
      <c r="O621" s="5">
        <v>74.52</v>
      </c>
      <c r="P621" s="5">
        <v>44.71</v>
      </c>
      <c r="Q621" s="5">
        <v>298.09</v>
      </c>
      <c r="R621" s="5">
        <v>319.91</v>
      </c>
      <c r="S621" s="5">
        <v>-21.82</v>
      </c>
      <c r="T621" s="7">
        <v>-0.0731993693179912</v>
      </c>
      <c r="U621" t="s">
        <v>14</v>
      </c>
      <c r="V621" t="s">
        <v>50</v>
      </c>
      <c r="W621" t="s">
        <v>50</v>
      </c>
      <c r="X621" t="s">
        <v>35</v>
      </c>
      <c r="Y621" t="s">
        <v>2106</v>
      </c>
      <c r="Z621" t="s">
        <v>101</v>
      </c>
    </row>
    <row r="622" spans="1:26">
      <c r="A622" t="s">
        <v>2107</v>
      </c>
      <c r="B622" t="s">
        <v>2107</v>
      </c>
      <c r="C622" s="4">
        <v>45947</v>
      </c>
      <c r="D622">
        <v>2025</v>
      </c>
      <c r="E622">
        <v>10</v>
      </c>
      <c r="F622" t="s">
        <v>26</v>
      </c>
      <c r="G622" t="s">
        <v>137</v>
      </c>
      <c r="H622" t="s">
        <v>502</v>
      </c>
      <c r="I622" t="s">
        <v>562</v>
      </c>
      <c r="J622" t="s">
        <v>181</v>
      </c>
      <c r="K622" t="s">
        <v>182</v>
      </c>
      <c r="L622">
        <v>0</v>
      </c>
      <c r="M622" s="5">
        <v>404.97</v>
      </c>
      <c r="N622" s="6">
        <v>0</v>
      </c>
      <c r="O622" s="5">
        <v>0</v>
      </c>
      <c r="P622" s="5">
        <v>0</v>
      </c>
      <c r="Q622" s="5">
        <v>1619.88</v>
      </c>
      <c r="R622" s="5">
        <v>1364.96</v>
      </c>
      <c r="S622" s="5">
        <v>254.92</v>
      </c>
      <c r="T622" s="7">
        <v>0.157369681704818</v>
      </c>
      <c r="U622" t="s">
        <v>10</v>
      </c>
      <c r="V622" t="s">
        <v>50</v>
      </c>
      <c r="W622" t="s">
        <v>50</v>
      </c>
      <c r="X622" t="s">
        <v>33</v>
      </c>
      <c r="Y622" t="s">
        <v>2108</v>
      </c>
      <c r="Z622" t="s">
        <v>101</v>
      </c>
    </row>
    <row r="623" spans="1:26">
      <c r="A623" t="s">
        <v>2109</v>
      </c>
      <c r="B623" t="s">
        <v>2109</v>
      </c>
      <c r="C623" s="4">
        <v>45927</v>
      </c>
      <c r="D623">
        <v>2025</v>
      </c>
      <c r="E623">
        <v>9</v>
      </c>
      <c r="F623" t="s">
        <v>25</v>
      </c>
      <c r="G623" t="s">
        <v>89</v>
      </c>
      <c r="H623" t="s">
        <v>2110</v>
      </c>
      <c r="I623" t="s">
        <v>1575</v>
      </c>
      <c r="J623" t="s">
        <v>175</v>
      </c>
      <c r="K623" t="s">
        <v>690</v>
      </c>
      <c r="L623">
        <v>3</v>
      </c>
      <c r="M623" s="5">
        <v>66.4</v>
      </c>
      <c r="N623" s="6">
        <v>15</v>
      </c>
      <c r="O623" s="5">
        <v>29.88</v>
      </c>
      <c r="P623" s="5">
        <v>25.4</v>
      </c>
      <c r="Q623" s="5">
        <v>194.72</v>
      </c>
      <c r="R623" s="5">
        <v>149.97</v>
      </c>
      <c r="S623" s="5">
        <v>44.75</v>
      </c>
      <c r="T623" s="7">
        <v>0.229817173377157</v>
      </c>
      <c r="U623" t="s">
        <v>9</v>
      </c>
      <c r="V623" t="s">
        <v>50</v>
      </c>
      <c r="W623" t="s">
        <v>50</v>
      </c>
      <c r="X623" t="s">
        <v>33</v>
      </c>
      <c r="Y623" t="s">
        <v>2111</v>
      </c>
      <c r="Z623" t="s">
        <v>80</v>
      </c>
    </row>
    <row r="624" spans="1:26">
      <c r="A624" t="s">
        <v>2112</v>
      </c>
      <c r="B624" t="s">
        <v>2112</v>
      </c>
      <c r="C624" s="4">
        <v>45969</v>
      </c>
      <c r="D624">
        <v>2025</v>
      </c>
      <c r="E624">
        <v>11</v>
      </c>
      <c r="F624" t="s">
        <v>27</v>
      </c>
      <c r="G624" t="s">
        <v>137</v>
      </c>
      <c r="H624" t="s">
        <v>1600</v>
      </c>
      <c r="I624" t="s">
        <v>444</v>
      </c>
      <c r="J624" t="s">
        <v>390</v>
      </c>
      <c r="K624" t="s">
        <v>287</v>
      </c>
      <c r="L624">
        <v>8</v>
      </c>
      <c r="M624" s="5">
        <v>108.86</v>
      </c>
      <c r="N624" s="6">
        <v>0</v>
      </c>
      <c r="O624" s="5">
        <v>0</v>
      </c>
      <c r="P624" s="5">
        <v>130.63</v>
      </c>
      <c r="Q624" s="5">
        <v>1001.51</v>
      </c>
      <c r="R624" s="5">
        <v>688.4</v>
      </c>
      <c r="S624" s="5">
        <v>313.11</v>
      </c>
      <c r="T624" s="7">
        <v>0.312637916745714</v>
      </c>
      <c r="U624" t="s">
        <v>12</v>
      </c>
      <c r="V624" t="s">
        <v>50</v>
      </c>
      <c r="W624" t="s">
        <v>50</v>
      </c>
      <c r="X624" t="s">
        <v>33</v>
      </c>
      <c r="Y624" t="s">
        <v>2113</v>
      </c>
      <c r="Z624" t="s">
        <v>80</v>
      </c>
    </row>
    <row r="625" spans="1:26">
      <c r="A625" t="s">
        <v>2114</v>
      </c>
      <c r="B625" t="s">
        <v>2114</v>
      </c>
      <c r="C625" s="4">
        <v>46041</v>
      </c>
      <c r="D625">
        <v>2026</v>
      </c>
      <c r="E625">
        <v>1</v>
      </c>
      <c r="F625" t="s">
        <v>30</v>
      </c>
      <c r="G625" t="s">
        <v>82</v>
      </c>
      <c r="H625" t="s">
        <v>1628</v>
      </c>
      <c r="I625" t="s">
        <v>219</v>
      </c>
      <c r="J625" t="s">
        <v>226</v>
      </c>
      <c r="K625" t="s">
        <v>380</v>
      </c>
      <c r="L625">
        <v>2</v>
      </c>
      <c r="M625" s="5">
        <v>225.45</v>
      </c>
      <c r="N625" s="6">
        <v>20</v>
      </c>
      <c r="O625" s="5">
        <v>90.18</v>
      </c>
      <c r="P625" s="5">
        <v>54.11</v>
      </c>
      <c r="Q625" s="5">
        <v>360.72</v>
      </c>
      <c r="R625" s="5">
        <v>381.8</v>
      </c>
      <c r="S625" s="5">
        <v>-21.08</v>
      </c>
      <c r="T625" s="7">
        <v>-0.0584386781991572</v>
      </c>
      <c r="U625" t="s">
        <v>14</v>
      </c>
      <c r="V625" t="s">
        <v>50</v>
      </c>
      <c r="W625" t="s">
        <v>50</v>
      </c>
      <c r="X625" t="s">
        <v>33</v>
      </c>
      <c r="Y625" t="s">
        <v>925</v>
      </c>
      <c r="Z625" t="s">
        <v>101</v>
      </c>
    </row>
    <row r="626" spans="1:26">
      <c r="A626" t="s">
        <v>2115</v>
      </c>
      <c r="B626" t="s">
        <v>2115</v>
      </c>
      <c r="C626" s="4">
        <v>46096</v>
      </c>
      <c r="D626">
        <v>2026</v>
      </c>
      <c r="E626">
        <v>3</v>
      </c>
      <c r="F626" t="s">
        <v>19</v>
      </c>
      <c r="G626" t="s">
        <v>82</v>
      </c>
      <c r="H626" t="s">
        <v>1735</v>
      </c>
      <c r="I626" t="s">
        <v>708</v>
      </c>
      <c r="J626" t="s">
        <v>746</v>
      </c>
      <c r="K626" t="s">
        <v>1753</v>
      </c>
      <c r="L626">
        <v>2</v>
      </c>
      <c r="M626" s="5">
        <v>372.61</v>
      </c>
      <c r="N626" s="6">
        <v>0</v>
      </c>
      <c r="O626" s="5">
        <v>0</v>
      </c>
      <c r="P626" s="5">
        <v>111.78</v>
      </c>
      <c r="Q626" s="5">
        <v>857</v>
      </c>
      <c r="R626" s="5">
        <v>639.82</v>
      </c>
      <c r="S626" s="5">
        <v>217.18</v>
      </c>
      <c r="T626" s="7">
        <v>0.253418903150525</v>
      </c>
      <c r="U626" t="s">
        <v>13</v>
      </c>
      <c r="V626" t="s">
        <v>50</v>
      </c>
      <c r="W626" t="s">
        <v>50</v>
      </c>
      <c r="X626" t="s">
        <v>35</v>
      </c>
      <c r="Y626" t="s">
        <v>2116</v>
      </c>
      <c r="Z626" t="s">
        <v>80</v>
      </c>
    </row>
    <row r="627" spans="1:26">
      <c r="A627" t="s">
        <v>2117</v>
      </c>
      <c r="B627" t="s">
        <v>2117</v>
      </c>
      <c r="C627" s="4">
        <v>45878</v>
      </c>
      <c r="D627">
        <v>2025</v>
      </c>
      <c r="E627">
        <v>8</v>
      </c>
      <c r="F627" t="s">
        <v>24</v>
      </c>
      <c r="G627" t="s">
        <v>89</v>
      </c>
      <c r="H627" t="s">
        <v>2118</v>
      </c>
      <c r="I627" t="s">
        <v>132</v>
      </c>
      <c r="J627" t="s">
        <v>175</v>
      </c>
      <c r="K627" t="s">
        <v>690</v>
      </c>
      <c r="L627">
        <v>2</v>
      </c>
      <c r="M627" s="5">
        <v>260.93</v>
      </c>
      <c r="N627" s="6">
        <v>0</v>
      </c>
      <c r="O627" s="5">
        <v>0</v>
      </c>
      <c r="P627" s="5">
        <v>78.28</v>
      </c>
      <c r="Q627" s="5">
        <v>600.14</v>
      </c>
      <c r="R627" s="5">
        <v>388.12</v>
      </c>
      <c r="S627" s="5">
        <v>212.02</v>
      </c>
      <c r="T627" s="7">
        <v>0.353284233678808</v>
      </c>
      <c r="U627" t="s">
        <v>12</v>
      </c>
      <c r="V627" t="s">
        <v>50</v>
      </c>
      <c r="W627" t="s">
        <v>50</v>
      </c>
      <c r="X627" t="s">
        <v>33</v>
      </c>
      <c r="Y627" t="s">
        <v>785</v>
      </c>
      <c r="Z627" t="s">
        <v>80</v>
      </c>
    </row>
    <row r="628" spans="1:26">
      <c r="A628" t="s">
        <v>2119</v>
      </c>
      <c r="B628" t="s">
        <v>2119</v>
      </c>
      <c r="C628" s="4">
        <v>45829</v>
      </c>
      <c r="D628">
        <v>2025</v>
      </c>
      <c r="E628">
        <v>6</v>
      </c>
      <c r="F628" t="s">
        <v>22</v>
      </c>
      <c r="G628" t="s">
        <v>74</v>
      </c>
      <c r="H628" t="s">
        <v>1391</v>
      </c>
      <c r="I628" t="s">
        <v>2120</v>
      </c>
      <c r="J628" t="s">
        <v>1150</v>
      </c>
      <c r="K628" t="s">
        <v>1151</v>
      </c>
      <c r="L628">
        <v>8</v>
      </c>
      <c r="M628" s="5">
        <v>425.06</v>
      </c>
      <c r="N628" s="6">
        <v>0</v>
      </c>
      <c r="O628" s="5">
        <v>0</v>
      </c>
      <c r="P628" s="5">
        <v>510.07</v>
      </c>
      <c r="Q628" s="5">
        <v>3910.55</v>
      </c>
      <c r="R628" s="5">
        <v>2552.4</v>
      </c>
      <c r="S628" s="5">
        <v>1358.15</v>
      </c>
      <c r="T628" s="7">
        <v>0.347304087660304</v>
      </c>
      <c r="U628" t="s">
        <v>13</v>
      </c>
      <c r="V628" t="s">
        <v>50</v>
      </c>
      <c r="W628" t="s">
        <v>50</v>
      </c>
      <c r="X628" t="s">
        <v>33</v>
      </c>
      <c r="Y628" t="s">
        <v>2121</v>
      </c>
      <c r="Z628" t="s">
        <v>80</v>
      </c>
    </row>
    <row r="629" spans="1:26">
      <c r="A629" t="s">
        <v>2122</v>
      </c>
      <c r="B629" t="s">
        <v>2122</v>
      </c>
      <c r="C629" s="4">
        <v>45800</v>
      </c>
      <c r="D629">
        <v>2025</v>
      </c>
      <c r="E629">
        <v>5</v>
      </c>
      <c r="F629" t="s">
        <v>21</v>
      </c>
      <c r="G629" t="s">
        <v>74</v>
      </c>
      <c r="H629" t="s">
        <v>781</v>
      </c>
      <c r="I629" t="s">
        <v>664</v>
      </c>
      <c r="J629" t="s">
        <v>1208</v>
      </c>
      <c r="K629" t="s">
        <v>1382</v>
      </c>
      <c r="L629">
        <v>2</v>
      </c>
      <c r="M629" s="5">
        <v>327.08</v>
      </c>
      <c r="N629" s="6">
        <v>0</v>
      </c>
      <c r="O629" s="5">
        <v>0</v>
      </c>
      <c r="P629" s="5">
        <v>98.12</v>
      </c>
      <c r="Q629" s="5">
        <v>654.16</v>
      </c>
      <c r="R629" s="5">
        <v>549.22</v>
      </c>
      <c r="S629" s="5">
        <v>104.94</v>
      </c>
      <c r="T629" s="7">
        <v>0.160419469242999</v>
      </c>
      <c r="U629" t="s">
        <v>10</v>
      </c>
      <c r="V629" t="s">
        <v>50</v>
      </c>
      <c r="W629" t="s">
        <v>50</v>
      </c>
      <c r="X629" t="s">
        <v>35</v>
      </c>
      <c r="Y629" t="s">
        <v>1746</v>
      </c>
      <c r="Z629" t="s">
        <v>101</v>
      </c>
    </row>
    <row r="630" spans="1:26">
      <c r="A630" t="s">
        <v>2123</v>
      </c>
      <c r="B630" t="s">
        <v>2123</v>
      </c>
      <c r="C630" s="4">
        <v>46006</v>
      </c>
      <c r="D630">
        <v>2025</v>
      </c>
      <c r="E630">
        <v>12</v>
      </c>
      <c r="F630" t="s">
        <v>28</v>
      </c>
      <c r="G630" t="s">
        <v>137</v>
      </c>
      <c r="H630" t="s">
        <v>1670</v>
      </c>
      <c r="I630" t="s">
        <v>854</v>
      </c>
      <c r="J630" t="s">
        <v>291</v>
      </c>
      <c r="K630" t="s">
        <v>287</v>
      </c>
      <c r="L630">
        <v>1</v>
      </c>
      <c r="M630" s="5">
        <v>530.16</v>
      </c>
      <c r="N630" s="6">
        <v>0</v>
      </c>
      <c r="O630" s="5">
        <v>0</v>
      </c>
      <c r="P630" s="5">
        <v>79.52</v>
      </c>
      <c r="Q630" s="5">
        <v>530.16</v>
      </c>
      <c r="R630" s="5">
        <v>379.19</v>
      </c>
      <c r="S630" s="5">
        <v>150.97</v>
      </c>
      <c r="T630" s="7">
        <v>0.284763090387807</v>
      </c>
      <c r="U630" t="s">
        <v>9</v>
      </c>
      <c r="V630" t="s">
        <v>50</v>
      </c>
      <c r="W630" t="s">
        <v>50</v>
      </c>
      <c r="X630" t="s">
        <v>33</v>
      </c>
      <c r="Y630" t="s">
        <v>967</v>
      </c>
      <c r="Z630" t="s">
        <v>101</v>
      </c>
    </row>
    <row r="631" spans="1:26">
      <c r="A631" t="s">
        <v>2124</v>
      </c>
      <c r="B631" t="s">
        <v>2124</v>
      </c>
      <c r="C631" s="4">
        <v>46018</v>
      </c>
      <c r="D631">
        <v>2025</v>
      </c>
      <c r="E631">
        <v>12</v>
      </c>
      <c r="F631" t="s">
        <v>28</v>
      </c>
      <c r="G631" t="s">
        <v>137</v>
      </c>
      <c r="H631" t="s">
        <v>1957</v>
      </c>
      <c r="I631" t="s">
        <v>434</v>
      </c>
      <c r="J631" t="s">
        <v>280</v>
      </c>
      <c r="K631" t="s">
        <v>1702</v>
      </c>
      <c r="L631">
        <v>3</v>
      </c>
      <c r="M631" s="5">
        <v>83.13</v>
      </c>
      <c r="N631" s="6">
        <v>0</v>
      </c>
      <c r="O631" s="5">
        <v>0</v>
      </c>
      <c r="P631" s="5">
        <v>37.41</v>
      </c>
      <c r="Q631" s="5">
        <v>286.8</v>
      </c>
      <c r="R631" s="5">
        <v>207.27</v>
      </c>
      <c r="S631" s="5">
        <v>79.53</v>
      </c>
      <c r="T631" s="7">
        <v>0.277301255230125</v>
      </c>
      <c r="U631" t="s">
        <v>11</v>
      </c>
      <c r="V631" t="s">
        <v>50</v>
      </c>
      <c r="W631" t="s">
        <v>50</v>
      </c>
      <c r="X631" t="s">
        <v>33</v>
      </c>
      <c r="Y631" t="s">
        <v>884</v>
      </c>
      <c r="Z631" t="s">
        <v>80</v>
      </c>
    </row>
    <row r="632" spans="1:26">
      <c r="A632" t="s">
        <v>2125</v>
      </c>
      <c r="B632" t="s">
        <v>2125</v>
      </c>
      <c r="C632" s="4">
        <v>45963</v>
      </c>
      <c r="D632">
        <v>2025</v>
      </c>
      <c r="E632">
        <v>11</v>
      </c>
      <c r="F632" t="s">
        <v>27</v>
      </c>
      <c r="G632" t="s">
        <v>137</v>
      </c>
      <c r="H632" t="s">
        <v>1296</v>
      </c>
      <c r="I632" t="s">
        <v>1196</v>
      </c>
      <c r="J632" t="s">
        <v>654</v>
      </c>
      <c r="K632" t="s">
        <v>2126</v>
      </c>
      <c r="L632">
        <v>6</v>
      </c>
      <c r="M632" s="5">
        <v>153.84</v>
      </c>
      <c r="N632" s="6">
        <v>20</v>
      </c>
      <c r="O632" s="5">
        <v>184.61</v>
      </c>
      <c r="P632" s="5">
        <v>110.76</v>
      </c>
      <c r="Q632" s="5">
        <v>849.19</v>
      </c>
      <c r="R632" s="5">
        <v>655.26</v>
      </c>
      <c r="S632" s="5">
        <v>193.93</v>
      </c>
      <c r="T632" s="7">
        <v>0.228370564891249</v>
      </c>
      <c r="U632" t="s">
        <v>12</v>
      </c>
      <c r="V632" t="s">
        <v>50</v>
      </c>
      <c r="W632" t="s">
        <v>50</v>
      </c>
      <c r="X632" t="s">
        <v>33</v>
      </c>
      <c r="Y632" t="s">
        <v>2127</v>
      </c>
      <c r="Z632" t="s">
        <v>80</v>
      </c>
    </row>
    <row r="633" spans="1:26">
      <c r="A633" t="s">
        <v>2128</v>
      </c>
      <c r="B633" t="s">
        <v>2128</v>
      </c>
      <c r="C633" s="4">
        <v>45809</v>
      </c>
      <c r="D633">
        <v>2025</v>
      </c>
      <c r="E633">
        <v>6</v>
      </c>
      <c r="F633" t="s">
        <v>22</v>
      </c>
      <c r="G633" t="s">
        <v>74</v>
      </c>
      <c r="H633" t="s">
        <v>1735</v>
      </c>
      <c r="I633" t="s">
        <v>423</v>
      </c>
      <c r="J633" t="s">
        <v>998</v>
      </c>
      <c r="K633" t="s">
        <v>999</v>
      </c>
      <c r="L633">
        <v>4</v>
      </c>
      <c r="M633" s="5">
        <v>53.39</v>
      </c>
      <c r="N633" s="6">
        <v>20</v>
      </c>
      <c r="O633" s="5">
        <v>42.71</v>
      </c>
      <c r="P633" s="5">
        <v>25.63</v>
      </c>
      <c r="Q633" s="5">
        <v>196.48</v>
      </c>
      <c r="R633" s="5">
        <v>172.04</v>
      </c>
      <c r="S633" s="5">
        <v>24.44</v>
      </c>
      <c r="T633" s="7">
        <v>0.124389250814332</v>
      </c>
      <c r="U633" t="s">
        <v>13</v>
      </c>
      <c r="V633" t="s">
        <v>50</v>
      </c>
      <c r="W633" t="s">
        <v>50</v>
      </c>
      <c r="X633" t="s">
        <v>33</v>
      </c>
      <c r="Y633" t="s">
        <v>1995</v>
      </c>
      <c r="Z633" t="s">
        <v>80</v>
      </c>
    </row>
    <row r="634" spans="1:26">
      <c r="A634" t="s">
        <v>2129</v>
      </c>
      <c r="B634" t="s">
        <v>2129</v>
      </c>
      <c r="C634" s="4">
        <v>45788</v>
      </c>
      <c r="D634">
        <v>2025</v>
      </c>
      <c r="E634">
        <v>5</v>
      </c>
      <c r="F634" t="s">
        <v>21</v>
      </c>
      <c r="G634" t="s">
        <v>74</v>
      </c>
      <c r="H634" t="s">
        <v>1370</v>
      </c>
      <c r="I634" t="s">
        <v>174</v>
      </c>
      <c r="J634" t="s">
        <v>665</v>
      </c>
      <c r="K634" t="s">
        <v>666</v>
      </c>
      <c r="L634">
        <v>1</v>
      </c>
      <c r="M634" s="5">
        <v>397.22</v>
      </c>
      <c r="N634" s="6">
        <v>15</v>
      </c>
      <c r="O634" s="5">
        <v>59.58</v>
      </c>
      <c r="P634" s="5">
        <v>50.65</v>
      </c>
      <c r="Q634" s="5">
        <v>388.29</v>
      </c>
      <c r="R634" s="5">
        <v>319.37</v>
      </c>
      <c r="S634" s="5">
        <v>68.92</v>
      </c>
      <c r="T634" s="7">
        <v>0.177496201292848</v>
      </c>
      <c r="U634" t="s">
        <v>9</v>
      </c>
      <c r="V634" t="s">
        <v>50</v>
      </c>
      <c r="W634" t="s">
        <v>50</v>
      </c>
      <c r="X634" t="s">
        <v>34</v>
      </c>
      <c r="Y634" t="s">
        <v>2130</v>
      </c>
      <c r="Z634" t="s">
        <v>80</v>
      </c>
    </row>
    <row r="635" spans="1:26">
      <c r="A635" t="s">
        <v>2131</v>
      </c>
      <c r="B635" t="s">
        <v>2131</v>
      </c>
      <c r="C635" s="4">
        <v>46021</v>
      </c>
      <c r="D635">
        <v>2025</v>
      </c>
      <c r="E635">
        <v>12</v>
      </c>
      <c r="F635" t="s">
        <v>28</v>
      </c>
      <c r="G635" t="s">
        <v>137</v>
      </c>
      <c r="H635" t="s">
        <v>1239</v>
      </c>
      <c r="I635" t="s">
        <v>423</v>
      </c>
      <c r="J635" t="s">
        <v>1490</v>
      </c>
      <c r="K635" t="s">
        <v>1491</v>
      </c>
      <c r="L635">
        <v>1</v>
      </c>
      <c r="M635" s="5">
        <v>53.39</v>
      </c>
      <c r="N635" s="6">
        <v>15</v>
      </c>
      <c r="O635" s="5">
        <v>8.01</v>
      </c>
      <c r="P635" s="5">
        <v>6.81</v>
      </c>
      <c r="Q635" s="5">
        <v>45.38</v>
      </c>
      <c r="R635" s="5">
        <v>43.01</v>
      </c>
      <c r="S635" s="5">
        <v>2.37</v>
      </c>
      <c r="T635" s="7">
        <v>0.0522256500661084</v>
      </c>
      <c r="U635" t="s">
        <v>9</v>
      </c>
      <c r="V635" t="s">
        <v>50</v>
      </c>
      <c r="W635" t="s">
        <v>50</v>
      </c>
      <c r="X635" t="s">
        <v>35</v>
      </c>
      <c r="Y635" t="s">
        <v>2132</v>
      </c>
      <c r="Z635" t="s">
        <v>101</v>
      </c>
    </row>
    <row r="636" spans="1:26">
      <c r="A636" t="s">
        <v>2133</v>
      </c>
      <c r="B636" t="s">
        <v>2133</v>
      </c>
      <c r="C636" s="4">
        <v>45965</v>
      </c>
      <c r="D636">
        <v>2025</v>
      </c>
      <c r="E636">
        <v>11</v>
      </c>
      <c r="F636" t="s">
        <v>27</v>
      </c>
      <c r="G636" t="s">
        <v>137</v>
      </c>
      <c r="H636" t="s">
        <v>2134</v>
      </c>
      <c r="I636" t="s">
        <v>350</v>
      </c>
      <c r="J636" t="s">
        <v>1327</v>
      </c>
      <c r="K636" t="s">
        <v>1406</v>
      </c>
      <c r="L636">
        <v>3</v>
      </c>
      <c r="M636" s="5">
        <v>343.56</v>
      </c>
      <c r="N636" s="6">
        <v>20</v>
      </c>
      <c r="O636" s="5">
        <v>206.14</v>
      </c>
      <c r="P636" s="5">
        <v>123.68</v>
      </c>
      <c r="Q636" s="5">
        <v>824.54</v>
      </c>
      <c r="R636" s="5">
        <v>648.96</v>
      </c>
      <c r="S636" s="5">
        <v>175.58</v>
      </c>
      <c r="T636" s="7">
        <v>0.212942974264438</v>
      </c>
      <c r="U636" t="s">
        <v>12</v>
      </c>
      <c r="V636" t="s">
        <v>50</v>
      </c>
      <c r="W636" t="s">
        <v>50</v>
      </c>
      <c r="X636" t="s">
        <v>33</v>
      </c>
      <c r="Y636" t="s">
        <v>2135</v>
      </c>
      <c r="Z636" t="s">
        <v>101</v>
      </c>
    </row>
    <row r="637" spans="1:26">
      <c r="A637" t="s">
        <v>2136</v>
      </c>
      <c r="B637" t="s">
        <v>2136</v>
      </c>
      <c r="C637" s="4">
        <v>45910</v>
      </c>
      <c r="D637">
        <v>2025</v>
      </c>
      <c r="E637">
        <v>9</v>
      </c>
      <c r="F637" t="s">
        <v>25</v>
      </c>
      <c r="G637" t="s">
        <v>89</v>
      </c>
      <c r="H637" t="s">
        <v>1630</v>
      </c>
      <c r="I637" t="s">
        <v>2026</v>
      </c>
      <c r="J637" t="s">
        <v>998</v>
      </c>
      <c r="K637" t="s">
        <v>1772</v>
      </c>
      <c r="L637">
        <v>4</v>
      </c>
      <c r="M637" s="5">
        <v>352.51</v>
      </c>
      <c r="N637" s="6">
        <v>10</v>
      </c>
      <c r="O637" s="5">
        <v>141</v>
      </c>
      <c r="P637" s="5">
        <v>190.36</v>
      </c>
      <c r="Q637" s="5">
        <v>1269.04</v>
      </c>
      <c r="R637" s="5">
        <v>1040.24</v>
      </c>
      <c r="S637" s="5">
        <v>228.8</v>
      </c>
      <c r="T637" s="7">
        <v>0.180293765365946</v>
      </c>
      <c r="U637" t="s">
        <v>14</v>
      </c>
      <c r="V637" t="s">
        <v>50</v>
      </c>
      <c r="W637" t="s">
        <v>50</v>
      </c>
      <c r="X637" t="s">
        <v>33</v>
      </c>
      <c r="Y637" t="s">
        <v>1914</v>
      </c>
      <c r="Z637" t="s">
        <v>101</v>
      </c>
    </row>
    <row r="638" spans="1:26">
      <c r="A638" t="s">
        <v>2137</v>
      </c>
      <c r="B638" t="s">
        <v>2137</v>
      </c>
      <c r="C638" s="4">
        <v>46040</v>
      </c>
      <c r="D638">
        <v>2026</v>
      </c>
      <c r="E638">
        <v>1</v>
      </c>
      <c r="F638" t="s">
        <v>30</v>
      </c>
      <c r="G638" t="s">
        <v>82</v>
      </c>
      <c r="H638" t="s">
        <v>2138</v>
      </c>
      <c r="I638" t="s">
        <v>84</v>
      </c>
      <c r="J638" t="s">
        <v>471</v>
      </c>
      <c r="K638" t="s">
        <v>472</v>
      </c>
      <c r="L638">
        <v>0</v>
      </c>
      <c r="M638" s="5">
        <v>483.96</v>
      </c>
      <c r="N638" s="6">
        <v>15</v>
      </c>
      <c r="O638" s="5">
        <v>508.16</v>
      </c>
      <c r="P638" s="5">
        <v>-76.22</v>
      </c>
      <c r="Q638" s="5">
        <v>3311.49</v>
      </c>
      <c r="R638" s="5">
        <v>2660.56</v>
      </c>
      <c r="S638" s="5">
        <v>650.93</v>
      </c>
      <c r="T638" s="7">
        <v>0.196567104234046</v>
      </c>
      <c r="U638" t="s">
        <v>12</v>
      </c>
      <c r="V638" t="s">
        <v>50</v>
      </c>
      <c r="W638" t="s">
        <v>50</v>
      </c>
      <c r="X638" t="s">
        <v>33</v>
      </c>
      <c r="Y638" t="s">
        <v>1315</v>
      </c>
      <c r="Z638" t="s">
        <v>80</v>
      </c>
    </row>
    <row r="639" spans="1:26">
      <c r="A639" t="s">
        <v>2139</v>
      </c>
      <c r="B639" t="s">
        <v>2139</v>
      </c>
      <c r="C639" s="4">
        <v>46017</v>
      </c>
      <c r="D639">
        <v>2025</v>
      </c>
      <c r="E639">
        <v>12</v>
      </c>
      <c r="F639" t="s">
        <v>28</v>
      </c>
      <c r="G639" t="s">
        <v>137</v>
      </c>
      <c r="H639" t="s">
        <v>1630</v>
      </c>
      <c r="I639" t="s">
        <v>913</v>
      </c>
      <c r="J639" t="s">
        <v>418</v>
      </c>
      <c r="K639" t="s">
        <v>419</v>
      </c>
      <c r="L639">
        <v>2</v>
      </c>
      <c r="M639" s="5">
        <v>214.04</v>
      </c>
      <c r="N639" s="6">
        <v>0</v>
      </c>
      <c r="O639" s="5">
        <v>0</v>
      </c>
      <c r="P639" s="5">
        <v>64.21</v>
      </c>
      <c r="Q639" s="5">
        <v>428.08</v>
      </c>
      <c r="R639" s="5">
        <v>316.12</v>
      </c>
      <c r="S639" s="5">
        <v>111.96</v>
      </c>
      <c r="T639" s="7">
        <v>0.261539899084283</v>
      </c>
      <c r="U639" t="s">
        <v>13</v>
      </c>
      <c r="V639" t="s">
        <v>50</v>
      </c>
      <c r="W639" t="s">
        <v>50</v>
      </c>
      <c r="X639" t="s">
        <v>33</v>
      </c>
      <c r="Y639" t="s">
        <v>359</v>
      </c>
      <c r="Z639" t="s">
        <v>101</v>
      </c>
    </row>
    <row r="640" spans="1:26">
      <c r="A640" t="s">
        <v>2140</v>
      </c>
      <c r="B640" t="s">
        <v>2140</v>
      </c>
      <c r="C640" s="4">
        <v>45813</v>
      </c>
      <c r="D640">
        <v>2025</v>
      </c>
      <c r="E640">
        <v>6</v>
      </c>
      <c r="F640" t="s">
        <v>22</v>
      </c>
      <c r="G640" t="s">
        <v>74</v>
      </c>
      <c r="H640" t="s">
        <v>2141</v>
      </c>
      <c r="I640" t="s">
        <v>498</v>
      </c>
      <c r="J640" t="s">
        <v>1409</v>
      </c>
      <c r="K640" t="s">
        <v>1410</v>
      </c>
      <c r="L640">
        <v>3</v>
      </c>
      <c r="M640" s="5">
        <v>365.92</v>
      </c>
      <c r="N640" s="6">
        <v>5</v>
      </c>
      <c r="O640" s="5">
        <v>54.89</v>
      </c>
      <c r="P640" s="5">
        <v>156.43</v>
      </c>
      <c r="Q640" s="5">
        <v>1042.87</v>
      </c>
      <c r="R640" s="5">
        <v>931.14</v>
      </c>
      <c r="S640" s="5">
        <v>111.73</v>
      </c>
      <c r="T640" s="7">
        <v>0.107137035296825</v>
      </c>
      <c r="U640" t="s">
        <v>14</v>
      </c>
      <c r="V640" t="s">
        <v>50</v>
      </c>
      <c r="W640" t="s">
        <v>50</v>
      </c>
      <c r="X640" t="s">
        <v>33</v>
      </c>
      <c r="Y640" t="s">
        <v>1914</v>
      </c>
      <c r="Z640" t="s">
        <v>101</v>
      </c>
    </row>
    <row r="641" spans="1:26">
      <c r="A641" t="s">
        <v>2142</v>
      </c>
      <c r="B641" t="s">
        <v>2142</v>
      </c>
      <c r="C641" s="4">
        <v>45772</v>
      </c>
      <c r="D641">
        <v>2025</v>
      </c>
      <c r="E641">
        <v>4</v>
      </c>
      <c r="F641" t="s">
        <v>20</v>
      </c>
      <c r="G641" t="s">
        <v>74</v>
      </c>
      <c r="H641" t="s">
        <v>1115</v>
      </c>
      <c r="I641" t="s">
        <v>750</v>
      </c>
      <c r="J641" t="s">
        <v>85</v>
      </c>
      <c r="K641" t="s">
        <v>86</v>
      </c>
      <c r="L641">
        <v>5</v>
      </c>
      <c r="M641" s="5">
        <v>474.19</v>
      </c>
      <c r="N641" s="6">
        <v>0</v>
      </c>
      <c r="O641" s="5">
        <v>0</v>
      </c>
      <c r="P641" s="5">
        <v>355.64</v>
      </c>
      <c r="Q641" s="5">
        <v>2370.95</v>
      </c>
      <c r="R641" s="5">
        <v>1719.45</v>
      </c>
      <c r="S641" s="5">
        <v>651.5</v>
      </c>
      <c r="T641" s="7">
        <v>0.274784369134735</v>
      </c>
      <c r="U641" t="s">
        <v>10</v>
      </c>
      <c r="V641" t="s">
        <v>50</v>
      </c>
      <c r="W641" t="s">
        <v>50</v>
      </c>
      <c r="X641" t="s">
        <v>35</v>
      </c>
      <c r="Y641" t="s">
        <v>725</v>
      </c>
      <c r="Z641" t="s">
        <v>101</v>
      </c>
    </row>
    <row r="642" spans="1:26">
      <c r="A642" t="s">
        <v>2143</v>
      </c>
      <c r="B642" t="s">
        <v>2143</v>
      </c>
      <c r="C642" s="4">
        <v>46063</v>
      </c>
      <c r="D642">
        <v>2026</v>
      </c>
      <c r="E642">
        <v>2</v>
      </c>
      <c r="F642" t="s">
        <v>31</v>
      </c>
      <c r="G642" t="s">
        <v>82</v>
      </c>
      <c r="H642" t="s">
        <v>853</v>
      </c>
      <c r="I642" t="s">
        <v>454</v>
      </c>
      <c r="J642" t="s">
        <v>42</v>
      </c>
      <c r="K642" t="s">
        <v>619</v>
      </c>
      <c r="L642">
        <v>2</v>
      </c>
      <c r="M642" s="5">
        <v>299.73</v>
      </c>
      <c r="N642" s="6">
        <v>5</v>
      </c>
      <c r="O642" s="5">
        <v>29.97</v>
      </c>
      <c r="P642" s="5">
        <v>85.42</v>
      </c>
      <c r="Q642" s="5">
        <v>569.49</v>
      </c>
      <c r="R642" s="5">
        <v>369.48</v>
      </c>
      <c r="S642" s="5">
        <v>200.01</v>
      </c>
      <c r="T642" s="7">
        <v>0.351208976452616</v>
      </c>
      <c r="U642" t="s">
        <v>11</v>
      </c>
      <c r="V642" t="s">
        <v>50</v>
      </c>
      <c r="W642" t="s">
        <v>50</v>
      </c>
      <c r="X642" t="s">
        <v>33</v>
      </c>
      <c r="Y642" t="s">
        <v>1635</v>
      </c>
      <c r="Z642" t="s">
        <v>101</v>
      </c>
    </row>
    <row r="643" spans="1:26">
      <c r="A643" t="s">
        <v>2144</v>
      </c>
      <c r="B643" t="s">
        <v>2144</v>
      </c>
      <c r="C643" s="4">
        <v>45997</v>
      </c>
      <c r="D643">
        <v>2025</v>
      </c>
      <c r="E643">
        <v>12</v>
      </c>
      <c r="F643" t="s">
        <v>28</v>
      </c>
      <c r="G643" t="s">
        <v>137</v>
      </c>
      <c r="H643" t="s">
        <v>2145</v>
      </c>
      <c r="I643" t="s">
        <v>1137</v>
      </c>
      <c r="J643" t="s">
        <v>202</v>
      </c>
      <c r="K643" t="s">
        <v>203</v>
      </c>
      <c r="L643">
        <v>4</v>
      </c>
      <c r="M643" s="5">
        <v>413.66</v>
      </c>
      <c r="N643" s="6">
        <v>5</v>
      </c>
      <c r="O643" s="5">
        <v>82.73</v>
      </c>
      <c r="P643" s="5">
        <v>235.79</v>
      </c>
      <c r="Q643" s="5">
        <v>1807.7</v>
      </c>
      <c r="R643" s="5">
        <v>1393.64</v>
      </c>
      <c r="S643" s="5">
        <v>414.06</v>
      </c>
      <c r="T643" s="7">
        <v>0.22905349338939</v>
      </c>
      <c r="U643" t="s">
        <v>11</v>
      </c>
      <c r="V643" t="s">
        <v>50</v>
      </c>
      <c r="W643" t="s">
        <v>50</v>
      </c>
      <c r="X643" t="s">
        <v>33</v>
      </c>
      <c r="Y643" t="s">
        <v>87</v>
      </c>
      <c r="Z643" t="s">
        <v>80</v>
      </c>
    </row>
    <row r="644" spans="1:26">
      <c r="A644" t="s">
        <v>2146</v>
      </c>
      <c r="B644" t="s">
        <v>2146</v>
      </c>
      <c r="C644" s="4">
        <v>46000</v>
      </c>
      <c r="D644">
        <v>2025</v>
      </c>
      <c r="E644">
        <v>12</v>
      </c>
      <c r="F644" t="s">
        <v>28</v>
      </c>
      <c r="G644" t="s">
        <v>137</v>
      </c>
      <c r="H644" t="s">
        <v>439</v>
      </c>
      <c r="I644" t="s">
        <v>986</v>
      </c>
      <c r="J644" t="s">
        <v>681</v>
      </c>
      <c r="K644" t="s">
        <v>2147</v>
      </c>
      <c r="L644">
        <v>1</v>
      </c>
      <c r="M644" s="5">
        <v>333.54</v>
      </c>
      <c r="N644" s="6">
        <v>20</v>
      </c>
      <c r="O644" s="5">
        <v>66.71</v>
      </c>
      <c r="P644" s="5">
        <v>40.02</v>
      </c>
      <c r="Q644" s="5">
        <v>266.83</v>
      </c>
      <c r="R644" s="5">
        <v>238.43</v>
      </c>
      <c r="S644" s="5">
        <v>28.4</v>
      </c>
      <c r="T644" s="7">
        <v>0.106434808679684</v>
      </c>
      <c r="U644" t="s">
        <v>12</v>
      </c>
      <c r="V644" t="s">
        <v>50</v>
      </c>
      <c r="W644" t="s">
        <v>50</v>
      </c>
      <c r="X644" t="s">
        <v>33</v>
      </c>
      <c r="Y644" t="s">
        <v>2148</v>
      </c>
      <c r="Z644" t="s">
        <v>101</v>
      </c>
    </row>
    <row r="645" spans="1:26">
      <c r="A645" t="s">
        <v>2149</v>
      </c>
      <c r="B645" t="s">
        <v>2149</v>
      </c>
      <c r="C645" s="4">
        <v>45839</v>
      </c>
      <c r="D645">
        <v>2025</v>
      </c>
      <c r="E645">
        <v>7</v>
      </c>
      <c r="F645" t="s">
        <v>23</v>
      </c>
      <c r="G645" t="s">
        <v>89</v>
      </c>
      <c r="H645" t="s">
        <v>2150</v>
      </c>
      <c r="I645" t="s">
        <v>819</v>
      </c>
      <c r="J645" t="s">
        <v>1450</v>
      </c>
      <c r="K645" t="s">
        <v>1864</v>
      </c>
      <c r="L645">
        <v>4</v>
      </c>
      <c r="M645" s="5">
        <v>87.74</v>
      </c>
      <c r="N645" s="6">
        <v>20</v>
      </c>
      <c r="O645" s="5">
        <v>70.19</v>
      </c>
      <c r="P645" s="5">
        <v>42.12</v>
      </c>
      <c r="Q645" s="5">
        <v>280.77</v>
      </c>
      <c r="R645" s="5">
        <v>272.68</v>
      </c>
      <c r="S645" s="5">
        <v>8.09</v>
      </c>
      <c r="T645" s="7">
        <v>0.0288136196887132</v>
      </c>
      <c r="U645" t="s">
        <v>11</v>
      </c>
      <c r="V645" t="s">
        <v>50</v>
      </c>
      <c r="W645" t="s">
        <v>50</v>
      </c>
      <c r="X645" t="s">
        <v>33</v>
      </c>
      <c r="Y645" t="s">
        <v>1722</v>
      </c>
      <c r="Z645" t="s">
        <v>101</v>
      </c>
    </row>
    <row r="646" spans="1:26">
      <c r="A646" t="s">
        <v>2151</v>
      </c>
      <c r="B646" t="s">
        <v>2151</v>
      </c>
      <c r="C646" s="4">
        <v>45999</v>
      </c>
      <c r="D646">
        <v>2025</v>
      </c>
      <c r="E646">
        <v>12</v>
      </c>
      <c r="F646" t="s">
        <v>28</v>
      </c>
      <c r="G646" t="s">
        <v>137</v>
      </c>
      <c r="H646" t="s">
        <v>389</v>
      </c>
      <c r="I646" t="s">
        <v>928</v>
      </c>
      <c r="J646" t="s">
        <v>257</v>
      </c>
      <c r="K646" t="s">
        <v>258</v>
      </c>
      <c r="L646">
        <v>5</v>
      </c>
      <c r="M646" s="5">
        <v>247.24</v>
      </c>
      <c r="N646" s="6">
        <v>0</v>
      </c>
      <c r="O646" s="5">
        <v>0</v>
      </c>
      <c r="P646" s="5">
        <v>185.43</v>
      </c>
      <c r="Q646" s="5">
        <v>1236.2</v>
      </c>
      <c r="R646" s="5">
        <v>962.05</v>
      </c>
      <c r="S646" s="5">
        <v>274.15</v>
      </c>
      <c r="T646" s="7">
        <v>0.221768322277948</v>
      </c>
      <c r="U646" t="s">
        <v>13</v>
      </c>
      <c r="V646" t="s">
        <v>50</v>
      </c>
      <c r="W646" t="s">
        <v>50</v>
      </c>
      <c r="X646" t="s">
        <v>35</v>
      </c>
      <c r="Y646" t="s">
        <v>1039</v>
      </c>
      <c r="Z646" t="s">
        <v>101</v>
      </c>
    </row>
    <row r="647" spans="1:26">
      <c r="A647" t="s">
        <v>2152</v>
      </c>
      <c r="B647" t="s">
        <v>2152</v>
      </c>
      <c r="C647" s="4">
        <v>45990</v>
      </c>
      <c r="D647">
        <v>2025</v>
      </c>
      <c r="E647">
        <v>11</v>
      </c>
      <c r="F647" t="s">
        <v>27</v>
      </c>
      <c r="G647" t="s">
        <v>137</v>
      </c>
      <c r="H647" t="s">
        <v>1561</v>
      </c>
      <c r="I647" t="s">
        <v>196</v>
      </c>
      <c r="J647" t="s">
        <v>1014</v>
      </c>
      <c r="K647" t="s">
        <v>1015</v>
      </c>
      <c r="L647">
        <v>3</v>
      </c>
      <c r="M647" s="5">
        <v>332.73</v>
      </c>
      <c r="N647" s="6">
        <v>0</v>
      </c>
      <c r="O647" s="5">
        <v>0</v>
      </c>
      <c r="P647" s="5">
        <v>149.73</v>
      </c>
      <c r="Q647" s="5">
        <v>1147.92</v>
      </c>
      <c r="R647" s="5">
        <v>783.66</v>
      </c>
      <c r="S647" s="5">
        <v>364.26</v>
      </c>
      <c r="T647" s="7">
        <v>0.317321764582898</v>
      </c>
      <c r="U647" t="s">
        <v>9</v>
      </c>
      <c r="V647" t="s">
        <v>50</v>
      </c>
      <c r="W647" t="s">
        <v>50</v>
      </c>
      <c r="X647" t="s">
        <v>33</v>
      </c>
      <c r="Y647" t="s">
        <v>1870</v>
      </c>
      <c r="Z647" t="s">
        <v>80</v>
      </c>
    </row>
    <row r="648" spans="1:26">
      <c r="A648" t="s">
        <v>2153</v>
      </c>
      <c r="B648" t="s">
        <v>2153</v>
      </c>
      <c r="C648" s="4">
        <v>45933</v>
      </c>
      <c r="D648">
        <v>2025</v>
      </c>
      <c r="E648">
        <v>10</v>
      </c>
      <c r="F648" t="s">
        <v>26</v>
      </c>
      <c r="G648" t="s">
        <v>137</v>
      </c>
      <c r="H648" t="s">
        <v>1506</v>
      </c>
      <c r="I648" t="s">
        <v>285</v>
      </c>
      <c r="J648" t="s">
        <v>357</v>
      </c>
      <c r="K648" t="s">
        <v>1540</v>
      </c>
      <c r="L648">
        <v>7</v>
      </c>
      <c r="M648" s="5">
        <v>616.4</v>
      </c>
      <c r="N648" s="6">
        <v>20</v>
      </c>
      <c r="O648" s="5">
        <v>862.96</v>
      </c>
      <c r="P648" s="5">
        <v>517.78</v>
      </c>
      <c r="Q648" s="5">
        <v>3451.84</v>
      </c>
      <c r="R648" s="5">
        <v>2354.8</v>
      </c>
      <c r="S648" s="5">
        <v>1097.04</v>
      </c>
      <c r="T648" s="7">
        <v>0.317813108371187</v>
      </c>
      <c r="U648" t="s">
        <v>11</v>
      </c>
      <c r="V648" t="s">
        <v>51</v>
      </c>
      <c r="W648" t="s">
        <v>51</v>
      </c>
      <c r="X648" t="s">
        <v>33</v>
      </c>
      <c r="Y648" t="s">
        <v>2154</v>
      </c>
      <c r="Z648" t="s">
        <v>101</v>
      </c>
    </row>
    <row r="649" spans="1:26">
      <c r="A649" t="s">
        <v>2155</v>
      </c>
      <c r="B649" t="s">
        <v>2155</v>
      </c>
      <c r="C649" s="4">
        <v>45992</v>
      </c>
      <c r="D649">
        <v>2025</v>
      </c>
      <c r="E649">
        <v>12</v>
      </c>
      <c r="F649" t="s">
        <v>28</v>
      </c>
      <c r="G649" t="s">
        <v>137</v>
      </c>
      <c r="H649" t="s">
        <v>218</v>
      </c>
      <c r="I649" t="s">
        <v>126</v>
      </c>
      <c r="J649" t="s">
        <v>1107</v>
      </c>
      <c r="K649" t="s">
        <v>1240</v>
      </c>
      <c r="L649">
        <v>4</v>
      </c>
      <c r="M649" s="5">
        <v>131.03</v>
      </c>
      <c r="N649" s="6">
        <v>20</v>
      </c>
      <c r="O649" s="5">
        <v>104.82</v>
      </c>
      <c r="P649" s="5">
        <v>62.9</v>
      </c>
      <c r="Q649" s="5">
        <v>419.3</v>
      </c>
      <c r="R649" s="5">
        <v>469.08</v>
      </c>
      <c r="S649" s="5">
        <v>-49.78</v>
      </c>
      <c r="T649" s="7">
        <v>-0.118721678988791</v>
      </c>
      <c r="U649" t="s">
        <v>9</v>
      </c>
      <c r="V649" t="s">
        <v>50</v>
      </c>
      <c r="W649" t="s">
        <v>50</v>
      </c>
      <c r="X649" t="s">
        <v>33</v>
      </c>
      <c r="Y649" t="s">
        <v>2156</v>
      </c>
      <c r="Z649" t="s">
        <v>101</v>
      </c>
    </row>
    <row r="650" spans="1:26">
      <c r="A650" t="s">
        <v>2157</v>
      </c>
      <c r="B650" t="s">
        <v>2157</v>
      </c>
      <c r="C650" s="4">
        <v>45927</v>
      </c>
      <c r="D650">
        <v>2025</v>
      </c>
      <c r="E650">
        <v>9</v>
      </c>
      <c r="F650" t="s">
        <v>25</v>
      </c>
      <c r="G650" t="s">
        <v>89</v>
      </c>
      <c r="H650" t="s">
        <v>1274</v>
      </c>
      <c r="I650" t="s">
        <v>332</v>
      </c>
      <c r="J650" t="s">
        <v>770</v>
      </c>
      <c r="K650" t="s">
        <v>771</v>
      </c>
      <c r="L650">
        <v>4</v>
      </c>
      <c r="M650" s="5">
        <v>73.83</v>
      </c>
      <c r="N650" s="6">
        <v>0</v>
      </c>
      <c r="O650" s="5">
        <v>0</v>
      </c>
      <c r="P650" s="5">
        <v>44.3</v>
      </c>
      <c r="Q650" s="5">
        <v>339.62</v>
      </c>
      <c r="R650" s="5">
        <v>217.28</v>
      </c>
      <c r="S650" s="5">
        <v>122.34</v>
      </c>
      <c r="T650" s="7">
        <v>0.360226135092162</v>
      </c>
      <c r="U650" t="s">
        <v>12</v>
      </c>
      <c r="V650" t="s">
        <v>50</v>
      </c>
      <c r="W650" t="s">
        <v>50</v>
      </c>
      <c r="X650" t="s">
        <v>33</v>
      </c>
      <c r="Y650" t="s">
        <v>2158</v>
      </c>
      <c r="Z650" t="s">
        <v>80</v>
      </c>
    </row>
    <row r="651" spans="1:26">
      <c r="A651" t="s">
        <v>2159</v>
      </c>
      <c r="B651" t="s">
        <v>2159</v>
      </c>
      <c r="C651" s="4">
        <v>45748</v>
      </c>
      <c r="D651">
        <v>2025</v>
      </c>
      <c r="E651">
        <v>4</v>
      </c>
      <c r="F651" t="s">
        <v>20</v>
      </c>
      <c r="G651" t="s">
        <v>74</v>
      </c>
      <c r="H651" t="s">
        <v>2160</v>
      </c>
      <c r="I651" t="s">
        <v>235</v>
      </c>
      <c r="J651" t="s">
        <v>208</v>
      </c>
      <c r="K651" t="s">
        <v>1681</v>
      </c>
      <c r="L651">
        <v>3</v>
      </c>
      <c r="M651" s="5">
        <v>217.42</v>
      </c>
      <c r="N651" s="6">
        <v>15</v>
      </c>
      <c r="O651" s="5">
        <v>97.84</v>
      </c>
      <c r="P651" s="5">
        <v>83.16</v>
      </c>
      <c r="Q651" s="5">
        <v>554.42</v>
      </c>
      <c r="R651" s="5">
        <v>531.09</v>
      </c>
      <c r="S651" s="5">
        <v>23.33</v>
      </c>
      <c r="T651" s="7">
        <v>0.0420800115435951</v>
      </c>
      <c r="U651" t="s">
        <v>14</v>
      </c>
      <c r="V651" t="s">
        <v>50</v>
      </c>
      <c r="W651" t="s">
        <v>50</v>
      </c>
      <c r="X651" t="s">
        <v>33</v>
      </c>
      <c r="Y651" t="s">
        <v>2161</v>
      </c>
      <c r="Z651" t="s">
        <v>101</v>
      </c>
    </row>
    <row r="652" spans="1:26">
      <c r="A652" t="s">
        <v>2162</v>
      </c>
      <c r="B652" t="s">
        <v>2162</v>
      </c>
      <c r="C652" s="4">
        <v>45938</v>
      </c>
      <c r="D652">
        <v>2025</v>
      </c>
      <c r="E652">
        <v>10</v>
      </c>
      <c r="F652" t="s">
        <v>26</v>
      </c>
      <c r="G652" t="s">
        <v>137</v>
      </c>
      <c r="H652" t="s">
        <v>2163</v>
      </c>
      <c r="I652" t="s">
        <v>312</v>
      </c>
      <c r="J652" t="s">
        <v>482</v>
      </c>
      <c r="K652" t="s">
        <v>141</v>
      </c>
      <c r="L652">
        <v>4</v>
      </c>
      <c r="M652" s="5">
        <v>429.38</v>
      </c>
      <c r="N652" s="6">
        <v>10</v>
      </c>
      <c r="O652" s="5">
        <v>171.75</v>
      </c>
      <c r="P652" s="5">
        <v>231.87</v>
      </c>
      <c r="Q652" s="5">
        <v>1545.77</v>
      </c>
      <c r="R652" s="5">
        <v>1143.6</v>
      </c>
      <c r="S652" s="5">
        <v>402.17</v>
      </c>
      <c r="T652" s="7">
        <v>0.260174540843722</v>
      </c>
      <c r="U652" t="s">
        <v>13</v>
      </c>
      <c r="V652" t="s">
        <v>50</v>
      </c>
      <c r="W652" t="s">
        <v>50</v>
      </c>
      <c r="X652" t="s">
        <v>33</v>
      </c>
      <c r="Y652" t="s">
        <v>1413</v>
      </c>
      <c r="Z652" t="s">
        <v>101</v>
      </c>
    </row>
    <row r="653" spans="1:26">
      <c r="A653" t="s">
        <v>2164</v>
      </c>
      <c r="B653" t="s">
        <v>2164</v>
      </c>
      <c r="C653" s="4">
        <v>45939</v>
      </c>
      <c r="D653">
        <v>2025</v>
      </c>
      <c r="E653">
        <v>10</v>
      </c>
      <c r="F653" t="s">
        <v>26</v>
      </c>
      <c r="G653" t="s">
        <v>137</v>
      </c>
      <c r="H653" t="s">
        <v>886</v>
      </c>
      <c r="I653" t="s">
        <v>913</v>
      </c>
      <c r="J653" t="s">
        <v>723</v>
      </c>
      <c r="K653" t="s">
        <v>505</v>
      </c>
      <c r="L653">
        <v>1</v>
      </c>
      <c r="M653" s="5">
        <v>214.04</v>
      </c>
      <c r="N653" s="6">
        <v>5</v>
      </c>
      <c r="O653" s="5">
        <v>10.7</v>
      </c>
      <c r="P653" s="5">
        <v>30.5</v>
      </c>
      <c r="Q653" s="5">
        <v>203.34</v>
      </c>
      <c r="R653" s="5">
        <v>158.06</v>
      </c>
      <c r="S653" s="5">
        <v>45.28</v>
      </c>
      <c r="T653" s="7">
        <v>0.22268122356644</v>
      </c>
      <c r="U653" t="s">
        <v>14</v>
      </c>
      <c r="V653" t="s">
        <v>50</v>
      </c>
      <c r="W653" t="s">
        <v>50</v>
      </c>
      <c r="X653" t="s">
        <v>33</v>
      </c>
      <c r="Y653" t="s">
        <v>2165</v>
      </c>
      <c r="Z653" t="s">
        <v>101</v>
      </c>
    </row>
    <row r="654" spans="1:26">
      <c r="A654" t="s">
        <v>2166</v>
      </c>
      <c r="B654" t="s">
        <v>2166</v>
      </c>
      <c r="C654" s="4">
        <v>45987</v>
      </c>
      <c r="D654">
        <v>2025</v>
      </c>
      <c r="E654">
        <v>11</v>
      </c>
      <c r="F654" t="s">
        <v>27</v>
      </c>
      <c r="G654" t="s">
        <v>137</v>
      </c>
      <c r="H654" t="s">
        <v>267</v>
      </c>
      <c r="I654" t="s">
        <v>323</v>
      </c>
      <c r="J654" t="s">
        <v>246</v>
      </c>
      <c r="K654" t="s">
        <v>247</v>
      </c>
      <c r="L654">
        <v>2</v>
      </c>
      <c r="M654" s="5">
        <v>51.33</v>
      </c>
      <c r="N654" s="6">
        <v>20</v>
      </c>
      <c r="O654" s="5">
        <v>20.53</v>
      </c>
      <c r="P654" s="5">
        <v>12.32</v>
      </c>
      <c r="Q654" s="5">
        <v>82.13</v>
      </c>
      <c r="R654" s="5">
        <v>74.96</v>
      </c>
      <c r="S654" s="5">
        <v>7.17</v>
      </c>
      <c r="T654" s="7">
        <v>0.08730062096676</v>
      </c>
      <c r="U654" t="s">
        <v>14</v>
      </c>
      <c r="V654" t="s">
        <v>50</v>
      </c>
      <c r="W654" t="s">
        <v>50</v>
      </c>
      <c r="X654" t="s">
        <v>33</v>
      </c>
      <c r="Y654" t="s">
        <v>1699</v>
      </c>
      <c r="Z654" t="s">
        <v>101</v>
      </c>
    </row>
    <row r="655" spans="1:26">
      <c r="A655" t="s">
        <v>2167</v>
      </c>
      <c r="B655" t="s">
        <v>2167</v>
      </c>
      <c r="C655" s="4">
        <v>45872</v>
      </c>
      <c r="D655">
        <v>2025</v>
      </c>
      <c r="E655">
        <v>8</v>
      </c>
      <c r="F655" t="s">
        <v>24</v>
      </c>
      <c r="G655" t="s">
        <v>89</v>
      </c>
      <c r="H655" t="s">
        <v>1070</v>
      </c>
      <c r="I655" t="s">
        <v>157</v>
      </c>
      <c r="J655" t="s">
        <v>1490</v>
      </c>
      <c r="K655" t="s">
        <v>1491</v>
      </c>
      <c r="L655">
        <v>6</v>
      </c>
      <c r="M655" s="5">
        <v>67.94</v>
      </c>
      <c r="N655" s="6">
        <v>0</v>
      </c>
      <c r="O655" s="5">
        <v>0</v>
      </c>
      <c r="P655" s="5">
        <v>61.15</v>
      </c>
      <c r="Q655" s="5">
        <v>468.79</v>
      </c>
      <c r="R655" s="5">
        <v>288.9</v>
      </c>
      <c r="S655" s="5">
        <v>179.89</v>
      </c>
      <c r="T655" s="7">
        <v>0.383732588152478</v>
      </c>
      <c r="U655" t="s">
        <v>14</v>
      </c>
      <c r="V655" t="s">
        <v>50</v>
      </c>
      <c r="W655" t="s">
        <v>50</v>
      </c>
      <c r="X655" t="s">
        <v>33</v>
      </c>
      <c r="Y655" t="s">
        <v>2168</v>
      </c>
      <c r="Z655" t="s">
        <v>80</v>
      </c>
    </row>
    <row r="656" spans="1:26">
      <c r="A656" t="s">
        <v>2169</v>
      </c>
      <c r="B656" t="s">
        <v>2169</v>
      </c>
      <c r="C656" s="4">
        <v>45852</v>
      </c>
      <c r="D656">
        <v>2025</v>
      </c>
      <c r="E656">
        <v>7</v>
      </c>
      <c r="F656" t="s">
        <v>23</v>
      </c>
      <c r="G656" t="s">
        <v>89</v>
      </c>
      <c r="H656" t="s">
        <v>1057</v>
      </c>
      <c r="I656" t="s">
        <v>2170</v>
      </c>
      <c r="J656" t="s">
        <v>2044</v>
      </c>
      <c r="K656" t="s">
        <v>2171</v>
      </c>
      <c r="L656">
        <v>6</v>
      </c>
      <c r="M656" s="5">
        <v>77.87</v>
      </c>
      <c r="N656" s="6">
        <v>10</v>
      </c>
      <c r="O656" s="5">
        <v>46.72</v>
      </c>
      <c r="P656" s="5">
        <v>63.08</v>
      </c>
      <c r="Q656" s="5">
        <v>420.5</v>
      </c>
      <c r="R656" s="5">
        <v>347.34</v>
      </c>
      <c r="S656" s="5">
        <v>73.16</v>
      </c>
      <c r="T656" s="7">
        <v>0.173983353151011</v>
      </c>
      <c r="U656" t="s">
        <v>13</v>
      </c>
      <c r="V656" t="s">
        <v>51</v>
      </c>
      <c r="W656" t="s">
        <v>51</v>
      </c>
      <c r="X656" t="s">
        <v>33</v>
      </c>
      <c r="Y656" t="s">
        <v>900</v>
      </c>
      <c r="Z656" t="s">
        <v>101</v>
      </c>
    </row>
    <row r="657" spans="1:26">
      <c r="A657" t="s">
        <v>2172</v>
      </c>
      <c r="B657" t="s">
        <v>2172</v>
      </c>
      <c r="C657" s="4">
        <v>45960</v>
      </c>
      <c r="D657">
        <v>2025</v>
      </c>
      <c r="E657">
        <v>10</v>
      </c>
      <c r="F657" t="s">
        <v>26</v>
      </c>
      <c r="G657" t="s">
        <v>137</v>
      </c>
      <c r="H657" t="s">
        <v>2173</v>
      </c>
      <c r="I657" t="s">
        <v>174</v>
      </c>
      <c r="J657" t="s">
        <v>681</v>
      </c>
      <c r="K657" t="s">
        <v>1067</v>
      </c>
      <c r="L657">
        <v>4</v>
      </c>
      <c r="M657" s="5">
        <v>429.82</v>
      </c>
      <c r="N657" s="6">
        <v>0</v>
      </c>
      <c r="O657" s="5">
        <v>0</v>
      </c>
      <c r="P657" s="5">
        <v>257.89</v>
      </c>
      <c r="Q657" s="5">
        <v>1719.28</v>
      </c>
      <c r="R657" s="5">
        <v>1277.48</v>
      </c>
      <c r="S657" s="5">
        <v>441.8</v>
      </c>
      <c r="T657" s="7">
        <v>0.256968033130147</v>
      </c>
      <c r="U657" t="s">
        <v>11</v>
      </c>
      <c r="V657" t="s">
        <v>50</v>
      </c>
      <c r="W657" t="s">
        <v>50</v>
      </c>
      <c r="X657" t="s">
        <v>33</v>
      </c>
      <c r="Y657" t="s">
        <v>2174</v>
      </c>
      <c r="Z657" t="s">
        <v>101</v>
      </c>
    </row>
    <row r="658" spans="1:26">
      <c r="A658" t="s">
        <v>2175</v>
      </c>
      <c r="B658" t="s">
        <v>2175</v>
      </c>
      <c r="C658" s="4">
        <v>45865</v>
      </c>
      <c r="D658">
        <v>2025</v>
      </c>
      <c r="E658">
        <v>7</v>
      </c>
      <c r="F658" t="s">
        <v>23</v>
      </c>
      <c r="G658" t="s">
        <v>89</v>
      </c>
      <c r="H658" t="s">
        <v>261</v>
      </c>
      <c r="I658" t="s">
        <v>97</v>
      </c>
      <c r="J658" t="s">
        <v>1107</v>
      </c>
      <c r="K658" t="s">
        <v>2176</v>
      </c>
      <c r="L658">
        <v>4</v>
      </c>
      <c r="M658" s="5">
        <v>398.25</v>
      </c>
      <c r="N658" s="6">
        <v>0</v>
      </c>
      <c r="O658" s="5">
        <v>0</v>
      </c>
      <c r="P658" s="5">
        <v>238.95</v>
      </c>
      <c r="Q658" s="5">
        <v>1831.95</v>
      </c>
      <c r="R658" s="5">
        <v>946.16</v>
      </c>
      <c r="S658" s="5">
        <v>885.79</v>
      </c>
      <c r="T658" s="7">
        <v>0.483523021916537</v>
      </c>
      <c r="U658" t="s">
        <v>14</v>
      </c>
      <c r="V658" t="s">
        <v>50</v>
      </c>
      <c r="W658" t="s">
        <v>50</v>
      </c>
      <c r="X658" t="s">
        <v>33</v>
      </c>
      <c r="Y658" t="s">
        <v>1932</v>
      </c>
      <c r="Z658" t="s">
        <v>80</v>
      </c>
    </row>
    <row r="659" spans="1:26">
      <c r="A659" t="s">
        <v>2177</v>
      </c>
      <c r="B659" t="s">
        <v>2177</v>
      </c>
      <c r="C659" s="4">
        <v>45997</v>
      </c>
      <c r="D659">
        <v>2025</v>
      </c>
      <c r="E659">
        <v>12</v>
      </c>
      <c r="F659" t="s">
        <v>28</v>
      </c>
      <c r="G659" t="s">
        <v>137</v>
      </c>
      <c r="H659" t="s">
        <v>2178</v>
      </c>
      <c r="I659" t="s">
        <v>196</v>
      </c>
      <c r="J659" t="s">
        <v>105</v>
      </c>
      <c r="K659" t="s">
        <v>778</v>
      </c>
      <c r="L659">
        <v>2</v>
      </c>
      <c r="M659" s="5">
        <v>332.73</v>
      </c>
      <c r="N659" s="6">
        <v>10</v>
      </c>
      <c r="O659" s="5">
        <v>66.55</v>
      </c>
      <c r="P659" s="5">
        <v>89.84</v>
      </c>
      <c r="Q659" s="5">
        <v>688.75</v>
      </c>
      <c r="R659" s="5">
        <v>522.44</v>
      </c>
      <c r="S659" s="5">
        <v>166.31</v>
      </c>
      <c r="T659" s="7">
        <v>0.241466424682396</v>
      </c>
      <c r="U659" t="s">
        <v>10</v>
      </c>
      <c r="V659" t="s">
        <v>50</v>
      </c>
      <c r="W659" t="s">
        <v>50</v>
      </c>
      <c r="X659" t="s">
        <v>33</v>
      </c>
      <c r="Y659" t="s">
        <v>2179</v>
      </c>
      <c r="Z659" t="s">
        <v>80</v>
      </c>
    </row>
    <row r="660" spans="1:26">
      <c r="A660" t="s">
        <v>2180</v>
      </c>
      <c r="B660" t="s">
        <v>2180</v>
      </c>
      <c r="C660" s="4">
        <v>46102</v>
      </c>
      <c r="D660">
        <v>2026</v>
      </c>
      <c r="E660">
        <v>3</v>
      </c>
      <c r="F660" t="s">
        <v>19</v>
      </c>
      <c r="G660" t="s">
        <v>82</v>
      </c>
      <c r="H660" t="s">
        <v>162</v>
      </c>
      <c r="I660" t="s">
        <v>180</v>
      </c>
      <c r="J660" t="s">
        <v>1150</v>
      </c>
      <c r="K660" t="s">
        <v>2062</v>
      </c>
      <c r="L660">
        <v>3</v>
      </c>
      <c r="M660" s="5">
        <v>379.12</v>
      </c>
      <c r="N660" s="6">
        <v>15</v>
      </c>
      <c r="O660" s="5">
        <v>170.6</v>
      </c>
      <c r="P660" s="5">
        <v>145.01</v>
      </c>
      <c r="Q660" s="5">
        <v>1111.77</v>
      </c>
      <c r="R660" s="5">
        <v>879.15</v>
      </c>
      <c r="S660" s="5">
        <v>232.62</v>
      </c>
      <c r="T660" s="7">
        <v>0.2092339242829</v>
      </c>
      <c r="U660" t="s">
        <v>9</v>
      </c>
      <c r="V660" t="s">
        <v>50</v>
      </c>
      <c r="W660" t="s">
        <v>50</v>
      </c>
      <c r="X660" t="s">
        <v>33</v>
      </c>
      <c r="Y660" t="s">
        <v>1743</v>
      </c>
      <c r="Z660" t="s">
        <v>80</v>
      </c>
    </row>
    <row r="661" spans="1:26">
      <c r="A661" t="s">
        <v>2181</v>
      </c>
      <c r="B661" t="s">
        <v>2181</v>
      </c>
      <c r="C661" s="4">
        <v>46078</v>
      </c>
      <c r="D661">
        <v>2026</v>
      </c>
      <c r="E661">
        <v>2</v>
      </c>
      <c r="F661" t="s">
        <v>31</v>
      </c>
      <c r="G661" t="s">
        <v>82</v>
      </c>
      <c r="H661" t="s">
        <v>1131</v>
      </c>
      <c r="I661" t="s">
        <v>295</v>
      </c>
      <c r="J661" t="s">
        <v>39</v>
      </c>
      <c r="K661" t="s">
        <v>539</v>
      </c>
      <c r="L661">
        <v>6</v>
      </c>
      <c r="M661" s="5">
        <v>322.24</v>
      </c>
      <c r="N661" s="6">
        <v>15</v>
      </c>
      <c r="O661" s="5">
        <v>290.02</v>
      </c>
      <c r="P661" s="5">
        <v>246.51</v>
      </c>
      <c r="Q661" s="5">
        <v>1643.42</v>
      </c>
      <c r="R661" s="5">
        <v>1629.18</v>
      </c>
      <c r="S661" s="5">
        <v>14.24</v>
      </c>
      <c r="T661" s="7">
        <v>0.00866485743145392</v>
      </c>
      <c r="U661" t="s">
        <v>9</v>
      </c>
      <c r="V661" t="s">
        <v>50</v>
      </c>
      <c r="W661" t="s">
        <v>50</v>
      </c>
      <c r="X661" t="s">
        <v>35</v>
      </c>
      <c r="Y661" t="s">
        <v>1158</v>
      </c>
      <c r="Z661" t="s">
        <v>101</v>
      </c>
    </row>
    <row r="662" spans="1:26">
      <c r="A662" t="s">
        <v>2182</v>
      </c>
      <c r="B662" t="s">
        <v>2182</v>
      </c>
      <c r="C662" s="4">
        <v>45875</v>
      </c>
      <c r="D662">
        <v>2025</v>
      </c>
      <c r="E662">
        <v>8</v>
      </c>
      <c r="F662" t="s">
        <v>24</v>
      </c>
      <c r="G662" t="s">
        <v>89</v>
      </c>
      <c r="H662" t="s">
        <v>685</v>
      </c>
      <c r="I662" t="s">
        <v>207</v>
      </c>
      <c r="J662" t="s">
        <v>302</v>
      </c>
      <c r="K662" t="s">
        <v>303</v>
      </c>
      <c r="L662">
        <v>4</v>
      </c>
      <c r="M662" s="5">
        <v>306.62</v>
      </c>
      <c r="N662" s="6">
        <v>15</v>
      </c>
      <c r="O662" s="5">
        <v>183.97</v>
      </c>
      <c r="P662" s="5">
        <v>156.38</v>
      </c>
      <c r="Q662" s="5">
        <v>1042.51</v>
      </c>
      <c r="R662" s="5">
        <v>1039.72</v>
      </c>
      <c r="S662" s="5">
        <v>2.79</v>
      </c>
      <c r="T662" s="7">
        <v>0.00267623332150291</v>
      </c>
      <c r="U662" t="s">
        <v>12</v>
      </c>
      <c r="V662" t="s">
        <v>50</v>
      </c>
      <c r="W662" t="s">
        <v>50</v>
      </c>
      <c r="X662" t="s">
        <v>33</v>
      </c>
      <c r="Y662" t="s">
        <v>1388</v>
      </c>
      <c r="Z662" t="s">
        <v>101</v>
      </c>
    </row>
    <row r="663" spans="1:26">
      <c r="A663" t="s">
        <v>2183</v>
      </c>
      <c r="B663" t="s">
        <v>2183</v>
      </c>
      <c r="C663" s="4">
        <v>45830</v>
      </c>
      <c r="D663">
        <v>2025</v>
      </c>
      <c r="E663">
        <v>6</v>
      </c>
      <c r="F663" t="s">
        <v>22</v>
      </c>
      <c r="G663" t="s">
        <v>74</v>
      </c>
      <c r="H663" t="s">
        <v>608</v>
      </c>
      <c r="I663" t="s">
        <v>947</v>
      </c>
      <c r="J663" t="s">
        <v>1104</v>
      </c>
      <c r="K663" t="s">
        <v>1105</v>
      </c>
      <c r="L663">
        <v>4</v>
      </c>
      <c r="M663" s="5">
        <v>477.11</v>
      </c>
      <c r="N663" s="6">
        <v>0</v>
      </c>
      <c r="O663" s="5">
        <v>0</v>
      </c>
      <c r="P663" s="5">
        <v>286.27</v>
      </c>
      <c r="Q663" s="5">
        <v>2194.71</v>
      </c>
      <c r="R663" s="5">
        <v>1590.76</v>
      </c>
      <c r="S663" s="5">
        <v>603.95</v>
      </c>
      <c r="T663" s="7">
        <v>0.275184420720733</v>
      </c>
      <c r="U663" t="s">
        <v>12</v>
      </c>
      <c r="V663" t="s">
        <v>50</v>
      </c>
      <c r="W663" t="s">
        <v>50</v>
      </c>
      <c r="X663" t="s">
        <v>34</v>
      </c>
      <c r="Y663" t="s">
        <v>2184</v>
      </c>
      <c r="Z663" t="s">
        <v>80</v>
      </c>
    </row>
    <row r="664" spans="1:26">
      <c r="A664" t="s">
        <v>2185</v>
      </c>
      <c r="B664" t="s">
        <v>2185</v>
      </c>
      <c r="C664" s="4">
        <v>45837</v>
      </c>
      <c r="D664">
        <v>2025</v>
      </c>
      <c r="E664">
        <v>6</v>
      </c>
      <c r="F664" t="s">
        <v>22</v>
      </c>
      <c r="G664" t="s">
        <v>74</v>
      </c>
      <c r="H664" t="s">
        <v>2186</v>
      </c>
      <c r="I664" t="s">
        <v>344</v>
      </c>
      <c r="J664" t="s">
        <v>226</v>
      </c>
      <c r="K664" t="s">
        <v>227</v>
      </c>
      <c r="L664">
        <v>3</v>
      </c>
      <c r="M664" s="5">
        <v>507.5</v>
      </c>
      <c r="N664" s="6">
        <v>20</v>
      </c>
      <c r="O664" s="5">
        <v>304.5</v>
      </c>
      <c r="P664" s="5">
        <v>182.7</v>
      </c>
      <c r="Q664" s="5">
        <v>1400.7</v>
      </c>
      <c r="R664" s="5">
        <v>1089.87</v>
      </c>
      <c r="S664" s="5">
        <v>310.83</v>
      </c>
      <c r="T664" s="7">
        <v>0.221910473334761</v>
      </c>
      <c r="U664" t="s">
        <v>14</v>
      </c>
      <c r="V664" t="s">
        <v>50</v>
      </c>
      <c r="W664" t="s">
        <v>50</v>
      </c>
      <c r="X664" t="s">
        <v>33</v>
      </c>
      <c r="Y664" t="s">
        <v>2187</v>
      </c>
      <c r="Z664" t="s">
        <v>80</v>
      </c>
    </row>
    <row r="665" spans="1:26">
      <c r="A665" t="s">
        <v>2188</v>
      </c>
      <c r="B665" t="s">
        <v>2188</v>
      </c>
      <c r="C665" s="4">
        <v>45932</v>
      </c>
      <c r="D665">
        <v>2025</v>
      </c>
      <c r="E665">
        <v>10</v>
      </c>
      <c r="F665" t="s">
        <v>26</v>
      </c>
      <c r="G665" t="s">
        <v>137</v>
      </c>
      <c r="H665" t="s">
        <v>2189</v>
      </c>
      <c r="I665" t="s">
        <v>225</v>
      </c>
      <c r="J665" t="s">
        <v>226</v>
      </c>
      <c r="K665" t="s">
        <v>380</v>
      </c>
      <c r="L665">
        <v>4</v>
      </c>
      <c r="M665" s="5">
        <v>355.64</v>
      </c>
      <c r="N665" s="6">
        <v>0</v>
      </c>
      <c r="O665" s="5">
        <v>0</v>
      </c>
      <c r="P665" s="5">
        <v>213.38</v>
      </c>
      <c r="Q665" s="5">
        <v>1422.56</v>
      </c>
      <c r="R665" s="5">
        <v>1213.64</v>
      </c>
      <c r="S665" s="5">
        <v>208.92</v>
      </c>
      <c r="T665" s="7">
        <v>0.146861995276122</v>
      </c>
      <c r="U665" t="s">
        <v>13</v>
      </c>
      <c r="V665" t="s">
        <v>50</v>
      </c>
      <c r="W665" t="s">
        <v>50</v>
      </c>
      <c r="X665" t="s">
        <v>35</v>
      </c>
      <c r="Y665" t="s">
        <v>1246</v>
      </c>
      <c r="Z665" t="s">
        <v>101</v>
      </c>
    </row>
    <row r="666" spans="1:26">
      <c r="A666" t="s">
        <v>2190</v>
      </c>
      <c r="B666" t="s">
        <v>2190</v>
      </c>
      <c r="C666" s="4">
        <v>46012</v>
      </c>
      <c r="D666">
        <v>2025</v>
      </c>
      <c r="E666">
        <v>12</v>
      </c>
      <c r="F666" t="s">
        <v>28</v>
      </c>
      <c r="G666" t="s">
        <v>137</v>
      </c>
      <c r="H666" t="s">
        <v>738</v>
      </c>
      <c r="I666" t="s">
        <v>947</v>
      </c>
      <c r="J666" t="s">
        <v>140</v>
      </c>
      <c r="K666" t="s">
        <v>141</v>
      </c>
      <c r="L666">
        <v>3</v>
      </c>
      <c r="M666" s="5">
        <v>528.04</v>
      </c>
      <c r="N666" s="6">
        <v>15</v>
      </c>
      <c r="O666" s="5">
        <v>237.62</v>
      </c>
      <c r="P666" s="5">
        <v>201.98</v>
      </c>
      <c r="Q666" s="5">
        <v>1548.47</v>
      </c>
      <c r="R666" s="5">
        <v>1193.07</v>
      </c>
      <c r="S666" s="5">
        <v>355.4</v>
      </c>
      <c r="T666" s="7">
        <v>0.229516877950493</v>
      </c>
      <c r="U666" t="s">
        <v>9</v>
      </c>
      <c r="V666" t="s">
        <v>50</v>
      </c>
      <c r="W666" t="s">
        <v>50</v>
      </c>
      <c r="X666" t="s">
        <v>34</v>
      </c>
      <c r="Y666" t="s">
        <v>2191</v>
      </c>
      <c r="Z666" t="s">
        <v>80</v>
      </c>
    </row>
    <row r="667" spans="1:26">
      <c r="A667" t="s">
        <v>2192</v>
      </c>
      <c r="B667" t="s">
        <v>2192</v>
      </c>
      <c r="C667" s="4">
        <v>45955</v>
      </c>
      <c r="D667">
        <v>2025</v>
      </c>
      <c r="E667">
        <v>10</v>
      </c>
      <c r="F667" t="s">
        <v>26</v>
      </c>
      <c r="G667" t="s">
        <v>137</v>
      </c>
      <c r="H667" t="s">
        <v>1587</v>
      </c>
      <c r="I667" t="s">
        <v>2193</v>
      </c>
      <c r="J667" t="s">
        <v>1347</v>
      </c>
      <c r="K667" t="s">
        <v>1015</v>
      </c>
      <c r="L667">
        <v>8</v>
      </c>
      <c r="M667" s="5">
        <v>91.78</v>
      </c>
      <c r="N667" s="6">
        <v>15</v>
      </c>
      <c r="O667" s="5">
        <v>110.14</v>
      </c>
      <c r="P667" s="5">
        <v>93.62</v>
      </c>
      <c r="Q667" s="5">
        <v>717.71</v>
      </c>
      <c r="R667" s="5">
        <v>565.6</v>
      </c>
      <c r="S667" s="5">
        <v>152.11</v>
      </c>
      <c r="T667" s="7">
        <v>0.211937969374817</v>
      </c>
      <c r="U667" t="s">
        <v>12</v>
      </c>
      <c r="V667" t="s">
        <v>50</v>
      </c>
      <c r="W667" t="s">
        <v>50</v>
      </c>
      <c r="X667" t="s">
        <v>33</v>
      </c>
      <c r="Y667" t="s">
        <v>2194</v>
      </c>
      <c r="Z667" t="s">
        <v>80</v>
      </c>
    </row>
    <row r="668" spans="1:26">
      <c r="A668" t="s">
        <v>2195</v>
      </c>
      <c r="B668" t="s">
        <v>2195</v>
      </c>
      <c r="C668" s="4">
        <v>45934</v>
      </c>
      <c r="D668">
        <v>2025</v>
      </c>
      <c r="E668">
        <v>10</v>
      </c>
      <c r="F668" t="s">
        <v>26</v>
      </c>
      <c r="G668" t="s">
        <v>137</v>
      </c>
      <c r="H668" t="s">
        <v>2196</v>
      </c>
      <c r="I668" t="s">
        <v>196</v>
      </c>
      <c r="J668" t="s">
        <v>92</v>
      </c>
      <c r="K668" t="s">
        <v>568</v>
      </c>
      <c r="L668">
        <v>2</v>
      </c>
      <c r="M668" s="5">
        <v>332.73</v>
      </c>
      <c r="N668" s="6">
        <v>15</v>
      </c>
      <c r="O668" s="5">
        <v>99.82</v>
      </c>
      <c r="P668" s="5">
        <v>84.85</v>
      </c>
      <c r="Q668" s="5">
        <v>650.49</v>
      </c>
      <c r="R668" s="5">
        <v>522.44</v>
      </c>
      <c r="S668" s="5">
        <v>128.05</v>
      </c>
      <c r="T668" s="7">
        <v>0.196851604175314</v>
      </c>
      <c r="U668" t="s">
        <v>11</v>
      </c>
      <c r="V668" t="s">
        <v>50</v>
      </c>
      <c r="W668" t="s">
        <v>50</v>
      </c>
      <c r="X668" t="s">
        <v>33</v>
      </c>
      <c r="Y668" t="s">
        <v>2197</v>
      </c>
      <c r="Z668" t="s">
        <v>80</v>
      </c>
    </row>
    <row r="669" spans="1:26">
      <c r="A669" t="s">
        <v>2198</v>
      </c>
      <c r="B669" t="s">
        <v>2198</v>
      </c>
      <c r="C669" s="4">
        <v>45963</v>
      </c>
      <c r="D669">
        <v>2025</v>
      </c>
      <c r="E669">
        <v>11</v>
      </c>
      <c r="F669" t="s">
        <v>27</v>
      </c>
      <c r="G669" t="s">
        <v>137</v>
      </c>
      <c r="H669" t="s">
        <v>2199</v>
      </c>
      <c r="I669" t="s">
        <v>694</v>
      </c>
      <c r="J669" t="s">
        <v>280</v>
      </c>
      <c r="K669" t="s">
        <v>1172</v>
      </c>
      <c r="L669">
        <v>1</v>
      </c>
      <c r="M669" s="5">
        <v>331.35</v>
      </c>
      <c r="N669" s="6">
        <v>5</v>
      </c>
      <c r="O669" s="5">
        <v>16.57</v>
      </c>
      <c r="P669" s="5">
        <v>47.22</v>
      </c>
      <c r="Q669" s="5">
        <v>362</v>
      </c>
      <c r="R669" s="5">
        <v>290.33</v>
      </c>
      <c r="S669" s="5">
        <v>71.67</v>
      </c>
      <c r="T669" s="7">
        <v>0.197983425414365</v>
      </c>
      <c r="U669" t="s">
        <v>13</v>
      </c>
      <c r="V669" t="s">
        <v>50</v>
      </c>
      <c r="W669" t="s">
        <v>50</v>
      </c>
      <c r="X669" t="s">
        <v>33</v>
      </c>
      <c r="Y669" t="s">
        <v>2200</v>
      </c>
      <c r="Z669" t="s">
        <v>80</v>
      </c>
    </row>
    <row r="670" spans="1:26">
      <c r="A670" t="s">
        <v>2201</v>
      </c>
      <c r="B670" t="s">
        <v>2201</v>
      </c>
      <c r="C670" s="4">
        <v>45780</v>
      </c>
      <c r="D670">
        <v>2025</v>
      </c>
      <c r="E670">
        <v>5</v>
      </c>
      <c r="F670" t="s">
        <v>21</v>
      </c>
      <c r="G670" t="s">
        <v>74</v>
      </c>
      <c r="H670" t="s">
        <v>2011</v>
      </c>
      <c r="I670" t="s">
        <v>374</v>
      </c>
      <c r="J670" t="s">
        <v>610</v>
      </c>
      <c r="K670" t="s">
        <v>138</v>
      </c>
      <c r="L670">
        <v>4</v>
      </c>
      <c r="M670" s="5">
        <v>400.33</v>
      </c>
      <c r="N670" s="6">
        <v>15</v>
      </c>
      <c r="O670" s="5">
        <v>240.2</v>
      </c>
      <c r="P670" s="5">
        <v>204.17</v>
      </c>
      <c r="Q670" s="5">
        <v>1565.29</v>
      </c>
      <c r="R670" s="5">
        <v>1363.6</v>
      </c>
      <c r="S670" s="5">
        <v>201.69</v>
      </c>
      <c r="T670" s="7">
        <v>0.128851522721029</v>
      </c>
      <c r="U670" t="s">
        <v>13</v>
      </c>
      <c r="V670" t="s">
        <v>50</v>
      </c>
      <c r="W670" t="s">
        <v>50</v>
      </c>
      <c r="X670" t="s">
        <v>33</v>
      </c>
      <c r="Y670" t="s">
        <v>2202</v>
      </c>
      <c r="Z670" t="s">
        <v>80</v>
      </c>
    </row>
    <row r="671" spans="1:26">
      <c r="A671" t="s">
        <v>2203</v>
      </c>
      <c r="B671" t="s">
        <v>2203</v>
      </c>
      <c r="C671" s="4">
        <v>45861</v>
      </c>
      <c r="D671">
        <v>2025</v>
      </c>
      <c r="E671">
        <v>7</v>
      </c>
      <c r="F671" t="s">
        <v>23</v>
      </c>
      <c r="G671" t="s">
        <v>89</v>
      </c>
      <c r="H671" t="s">
        <v>2025</v>
      </c>
      <c r="I671" t="s">
        <v>1264</v>
      </c>
      <c r="J671" t="s">
        <v>181</v>
      </c>
      <c r="K671" t="s">
        <v>182</v>
      </c>
      <c r="L671">
        <v>2</v>
      </c>
      <c r="M671" s="5">
        <v>182.3</v>
      </c>
      <c r="N671" s="6">
        <v>15</v>
      </c>
      <c r="O671" s="5">
        <v>54.69</v>
      </c>
      <c r="P671" s="5">
        <v>46.49</v>
      </c>
      <c r="Q671" s="5">
        <v>309.91</v>
      </c>
      <c r="R671" s="5">
        <v>215.2</v>
      </c>
      <c r="S671" s="5">
        <v>94.71</v>
      </c>
      <c r="T671" s="7">
        <v>0.305604853021845</v>
      </c>
      <c r="U671" t="s">
        <v>10</v>
      </c>
      <c r="V671" t="s">
        <v>50</v>
      </c>
      <c r="W671" t="s">
        <v>50</v>
      </c>
      <c r="X671" t="s">
        <v>33</v>
      </c>
      <c r="Y671" t="s">
        <v>2204</v>
      </c>
      <c r="Z671" t="s">
        <v>101</v>
      </c>
    </row>
    <row r="672" spans="1:26">
      <c r="A672" t="s">
        <v>2205</v>
      </c>
      <c r="B672" t="s">
        <v>2205</v>
      </c>
      <c r="C672" s="4">
        <v>45748</v>
      </c>
      <c r="D672">
        <v>2025</v>
      </c>
      <c r="E672">
        <v>4</v>
      </c>
      <c r="F672" t="s">
        <v>20</v>
      </c>
      <c r="G672" t="s">
        <v>74</v>
      </c>
      <c r="H672" t="s">
        <v>2206</v>
      </c>
      <c r="I672" t="s">
        <v>1264</v>
      </c>
      <c r="J672" t="s">
        <v>164</v>
      </c>
      <c r="K672" t="s">
        <v>575</v>
      </c>
      <c r="L672">
        <v>4</v>
      </c>
      <c r="M672" s="5">
        <v>182.3</v>
      </c>
      <c r="N672" s="6">
        <v>5</v>
      </c>
      <c r="O672" s="5">
        <v>36.46</v>
      </c>
      <c r="P672" s="5">
        <v>103.91</v>
      </c>
      <c r="Q672" s="5">
        <v>692.74</v>
      </c>
      <c r="R672" s="5">
        <v>430.4</v>
      </c>
      <c r="S672" s="5">
        <v>262.34</v>
      </c>
      <c r="T672" s="7">
        <v>0.378699079019546</v>
      </c>
      <c r="U672" t="s">
        <v>10</v>
      </c>
      <c r="V672" t="s">
        <v>50</v>
      </c>
      <c r="W672" t="s">
        <v>50</v>
      </c>
      <c r="X672" t="s">
        <v>33</v>
      </c>
      <c r="Y672" t="s">
        <v>2207</v>
      </c>
      <c r="Z672" t="s">
        <v>101</v>
      </c>
    </row>
    <row r="673" spans="1:26">
      <c r="A673" t="s">
        <v>2208</v>
      </c>
      <c r="B673" t="s">
        <v>2208</v>
      </c>
      <c r="C673" s="4">
        <v>45913</v>
      </c>
      <c r="D673">
        <v>2025</v>
      </c>
      <c r="E673">
        <v>9</v>
      </c>
      <c r="F673" t="s">
        <v>25</v>
      </c>
      <c r="G673" t="s">
        <v>89</v>
      </c>
      <c r="H673" t="s">
        <v>1070</v>
      </c>
      <c r="I673" t="s">
        <v>598</v>
      </c>
      <c r="J673" t="s">
        <v>121</v>
      </c>
      <c r="K673" t="s">
        <v>2021</v>
      </c>
      <c r="L673">
        <v>5</v>
      </c>
      <c r="M673" s="5">
        <v>510.63</v>
      </c>
      <c r="N673" s="6">
        <v>5</v>
      </c>
      <c r="O673" s="5">
        <v>127.66</v>
      </c>
      <c r="P673" s="5">
        <v>363.82</v>
      </c>
      <c r="Q673" s="5">
        <v>2789.31</v>
      </c>
      <c r="R673" s="5">
        <v>1827.85</v>
      </c>
      <c r="S673" s="5">
        <v>961.46</v>
      </c>
      <c r="T673" s="7">
        <v>0.34469456603963</v>
      </c>
      <c r="U673" t="s">
        <v>10</v>
      </c>
      <c r="V673" t="s">
        <v>50</v>
      </c>
      <c r="W673" t="s">
        <v>50</v>
      </c>
      <c r="X673" t="s">
        <v>33</v>
      </c>
      <c r="Y673" t="s">
        <v>2066</v>
      </c>
      <c r="Z673" t="s">
        <v>80</v>
      </c>
    </row>
    <row r="674" spans="1:26">
      <c r="A674" t="s">
        <v>2209</v>
      </c>
      <c r="B674" t="s">
        <v>2209</v>
      </c>
      <c r="C674" s="4">
        <v>45846</v>
      </c>
      <c r="D674">
        <v>2025</v>
      </c>
      <c r="E674">
        <v>7</v>
      </c>
      <c r="F674" t="s">
        <v>23</v>
      </c>
      <c r="G674" t="s">
        <v>89</v>
      </c>
      <c r="H674" t="s">
        <v>1459</v>
      </c>
      <c r="I674" t="s">
        <v>1153</v>
      </c>
      <c r="J674" t="s">
        <v>435</v>
      </c>
      <c r="K674" t="s">
        <v>863</v>
      </c>
      <c r="L674">
        <v>3</v>
      </c>
      <c r="M674" s="5">
        <v>360.52</v>
      </c>
      <c r="N674" s="6">
        <v>0</v>
      </c>
      <c r="O674" s="5">
        <v>0</v>
      </c>
      <c r="P674" s="5">
        <v>162.23</v>
      </c>
      <c r="Q674" s="5">
        <v>1081.56</v>
      </c>
      <c r="R674" s="5">
        <v>973.44</v>
      </c>
      <c r="S674" s="5">
        <v>108.12</v>
      </c>
      <c r="T674" s="7">
        <v>0.0999667147453678</v>
      </c>
      <c r="U674" t="s">
        <v>9</v>
      </c>
      <c r="V674" t="s">
        <v>50</v>
      </c>
      <c r="W674" t="s">
        <v>50</v>
      </c>
      <c r="X674" t="s">
        <v>35</v>
      </c>
      <c r="Y674" t="s">
        <v>2210</v>
      </c>
      <c r="Z674" t="s">
        <v>101</v>
      </c>
    </row>
    <row r="675" spans="1:26">
      <c r="A675" t="s">
        <v>2211</v>
      </c>
      <c r="B675" t="s">
        <v>2211</v>
      </c>
      <c r="C675" s="4">
        <v>46049</v>
      </c>
      <c r="D675">
        <v>2026</v>
      </c>
      <c r="E675">
        <v>1</v>
      </c>
      <c r="F675" t="s">
        <v>30</v>
      </c>
      <c r="G675" t="s">
        <v>82</v>
      </c>
      <c r="H675" t="s">
        <v>2150</v>
      </c>
      <c r="I675" t="s">
        <v>615</v>
      </c>
      <c r="J675" t="s">
        <v>170</v>
      </c>
      <c r="K675" t="s">
        <v>1209</v>
      </c>
      <c r="L675">
        <v>5</v>
      </c>
      <c r="M675" s="5">
        <v>48.47</v>
      </c>
      <c r="N675" s="6">
        <v>15</v>
      </c>
      <c r="O675" s="5">
        <v>36.35</v>
      </c>
      <c r="P675" s="5">
        <v>30.9</v>
      </c>
      <c r="Q675" s="5">
        <v>206</v>
      </c>
      <c r="R675" s="5">
        <v>183.25</v>
      </c>
      <c r="S675" s="5">
        <v>22.75</v>
      </c>
      <c r="T675" s="7">
        <v>0.110436893203884</v>
      </c>
      <c r="U675" t="s">
        <v>12</v>
      </c>
      <c r="V675" t="s">
        <v>50</v>
      </c>
      <c r="W675" t="s">
        <v>50</v>
      </c>
      <c r="X675" t="s">
        <v>33</v>
      </c>
      <c r="Y675" t="s">
        <v>1647</v>
      </c>
      <c r="Z675" t="s">
        <v>101</v>
      </c>
    </row>
    <row r="676" spans="1:26">
      <c r="A676" t="s">
        <v>2212</v>
      </c>
      <c r="B676" t="s">
        <v>2212</v>
      </c>
      <c r="C676" s="4">
        <v>46011</v>
      </c>
      <c r="D676">
        <v>2025</v>
      </c>
      <c r="E676">
        <v>12</v>
      </c>
      <c r="F676" t="s">
        <v>28</v>
      </c>
      <c r="G676" t="s">
        <v>137</v>
      </c>
      <c r="H676" t="s">
        <v>2213</v>
      </c>
      <c r="I676" t="s">
        <v>356</v>
      </c>
      <c r="J676" t="s">
        <v>1855</v>
      </c>
      <c r="K676" t="s">
        <v>1328</v>
      </c>
      <c r="L676">
        <v>1</v>
      </c>
      <c r="M676" s="5">
        <v>455.79</v>
      </c>
      <c r="N676" s="6">
        <v>0</v>
      </c>
      <c r="O676" s="5">
        <v>0</v>
      </c>
      <c r="P676" s="5">
        <v>68.37</v>
      </c>
      <c r="Q676" s="5">
        <v>524.16</v>
      </c>
      <c r="R676" s="5">
        <v>282.88</v>
      </c>
      <c r="S676" s="5">
        <v>241.28</v>
      </c>
      <c r="T676" s="7">
        <v>0.46031746031746</v>
      </c>
      <c r="U676" t="s">
        <v>14</v>
      </c>
      <c r="V676" t="s">
        <v>50</v>
      </c>
      <c r="W676" t="s">
        <v>50</v>
      </c>
      <c r="X676" t="s">
        <v>34</v>
      </c>
      <c r="Y676" t="s">
        <v>2214</v>
      </c>
      <c r="Z676" t="s">
        <v>80</v>
      </c>
    </row>
    <row r="677" spans="1:26">
      <c r="A677" t="s">
        <v>2215</v>
      </c>
      <c r="B677" t="s">
        <v>2215</v>
      </c>
      <c r="C677" s="4">
        <v>45872</v>
      </c>
      <c r="D677">
        <v>2025</v>
      </c>
      <c r="E677">
        <v>8</v>
      </c>
      <c r="F677" t="s">
        <v>24</v>
      </c>
      <c r="G677" t="s">
        <v>89</v>
      </c>
      <c r="H677" t="s">
        <v>973</v>
      </c>
      <c r="I677" t="s">
        <v>434</v>
      </c>
      <c r="J677" t="s">
        <v>45</v>
      </c>
      <c r="K677" t="s">
        <v>1351</v>
      </c>
      <c r="L677">
        <v>4</v>
      </c>
      <c r="M677" s="5">
        <v>90.53</v>
      </c>
      <c r="N677" s="6">
        <v>10</v>
      </c>
      <c r="O677" s="5">
        <v>36.21</v>
      </c>
      <c r="P677" s="5">
        <v>48.89</v>
      </c>
      <c r="Q677" s="5">
        <v>374.8</v>
      </c>
      <c r="R677" s="5">
        <v>276.36</v>
      </c>
      <c r="S677" s="5">
        <v>98.44</v>
      </c>
      <c r="T677" s="7">
        <v>0.26264674493063</v>
      </c>
      <c r="U677" t="s">
        <v>13</v>
      </c>
      <c r="V677" t="s">
        <v>50</v>
      </c>
      <c r="W677" t="s">
        <v>50</v>
      </c>
      <c r="X677" t="s">
        <v>33</v>
      </c>
      <c r="Y677" t="s">
        <v>2216</v>
      </c>
      <c r="Z677" t="s">
        <v>80</v>
      </c>
    </row>
    <row r="678" spans="1:26">
      <c r="A678" t="s">
        <v>2217</v>
      </c>
      <c r="B678" t="s">
        <v>2217</v>
      </c>
      <c r="C678" s="4">
        <v>45892</v>
      </c>
      <c r="D678">
        <v>2025</v>
      </c>
      <c r="E678">
        <v>8</v>
      </c>
      <c r="F678" t="s">
        <v>24</v>
      </c>
      <c r="G678" t="s">
        <v>89</v>
      </c>
      <c r="H678" t="s">
        <v>2097</v>
      </c>
      <c r="I678" t="s">
        <v>562</v>
      </c>
      <c r="J678" t="s">
        <v>345</v>
      </c>
      <c r="K678" t="s">
        <v>1753</v>
      </c>
      <c r="L678">
        <v>2</v>
      </c>
      <c r="M678" s="5">
        <v>404.97</v>
      </c>
      <c r="N678" s="6">
        <v>5</v>
      </c>
      <c r="O678" s="5">
        <v>40.5</v>
      </c>
      <c r="P678" s="5">
        <v>115.42</v>
      </c>
      <c r="Q678" s="5">
        <v>884.86</v>
      </c>
      <c r="R678" s="5">
        <v>682.48</v>
      </c>
      <c r="S678" s="5">
        <v>202.38</v>
      </c>
      <c r="T678" s="7">
        <v>0.228714146870691</v>
      </c>
      <c r="U678" t="s">
        <v>11</v>
      </c>
      <c r="V678" t="s">
        <v>50</v>
      </c>
      <c r="W678" t="s">
        <v>50</v>
      </c>
      <c r="X678" t="s">
        <v>33</v>
      </c>
      <c r="Y678" t="s">
        <v>1501</v>
      </c>
      <c r="Z678" t="s">
        <v>80</v>
      </c>
    </row>
    <row r="679" spans="1:26">
      <c r="A679" t="s">
        <v>2218</v>
      </c>
      <c r="B679" t="s">
        <v>2218</v>
      </c>
      <c r="C679" s="4">
        <v>45839</v>
      </c>
      <c r="D679">
        <v>2025</v>
      </c>
      <c r="E679">
        <v>7</v>
      </c>
      <c r="F679" t="s">
        <v>23</v>
      </c>
      <c r="G679" t="s">
        <v>89</v>
      </c>
      <c r="H679" t="s">
        <v>1740</v>
      </c>
      <c r="I679" t="s">
        <v>574</v>
      </c>
      <c r="J679" t="s">
        <v>1272</v>
      </c>
      <c r="K679" t="s">
        <v>890</v>
      </c>
      <c r="L679">
        <v>1</v>
      </c>
      <c r="M679" s="5">
        <v>125.15</v>
      </c>
      <c r="N679" s="6">
        <v>0</v>
      </c>
      <c r="O679" s="5">
        <v>0</v>
      </c>
      <c r="P679" s="5">
        <v>18.77</v>
      </c>
      <c r="Q679" s="5">
        <v>125.15</v>
      </c>
      <c r="R679" s="5">
        <v>95.7</v>
      </c>
      <c r="S679" s="5">
        <v>29.45</v>
      </c>
      <c r="T679" s="7">
        <v>0.235317618857371</v>
      </c>
      <c r="U679" t="s">
        <v>11</v>
      </c>
      <c r="V679" t="s">
        <v>50</v>
      </c>
      <c r="W679" t="s">
        <v>50</v>
      </c>
      <c r="X679" t="s">
        <v>33</v>
      </c>
      <c r="Y679" t="s">
        <v>451</v>
      </c>
      <c r="Z679" t="s">
        <v>101</v>
      </c>
    </row>
    <row r="680" spans="1:26">
      <c r="A680" t="s">
        <v>2219</v>
      </c>
      <c r="B680" t="s">
        <v>2219</v>
      </c>
      <c r="C680" s="4">
        <v>45873</v>
      </c>
      <c r="D680">
        <v>2025</v>
      </c>
      <c r="E680">
        <v>8</v>
      </c>
      <c r="F680" t="s">
        <v>24</v>
      </c>
      <c r="G680" t="s">
        <v>89</v>
      </c>
      <c r="H680" t="s">
        <v>2220</v>
      </c>
      <c r="I680" t="s">
        <v>328</v>
      </c>
      <c r="J680" t="s">
        <v>140</v>
      </c>
      <c r="K680" t="s">
        <v>141</v>
      </c>
      <c r="L680">
        <v>2</v>
      </c>
      <c r="M680" s="5">
        <v>124.84</v>
      </c>
      <c r="N680" s="6">
        <v>0</v>
      </c>
      <c r="O680" s="5">
        <v>0</v>
      </c>
      <c r="P680" s="5">
        <v>37.45</v>
      </c>
      <c r="Q680" s="5">
        <v>249.68</v>
      </c>
      <c r="R680" s="5">
        <v>194.7</v>
      </c>
      <c r="S680" s="5">
        <v>54.98</v>
      </c>
      <c r="T680" s="7">
        <v>0.220201858378725</v>
      </c>
      <c r="U680" t="s">
        <v>11</v>
      </c>
      <c r="V680" t="s">
        <v>50</v>
      </c>
      <c r="W680" t="s">
        <v>50</v>
      </c>
      <c r="X680" t="s">
        <v>33</v>
      </c>
      <c r="Y680" t="s">
        <v>1309</v>
      </c>
      <c r="Z680" t="s">
        <v>101</v>
      </c>
    </row>
    <row r="681" spans="1:26">
      <c r="A681" t="s">
        <v>2221</v>
      </c>
      <c r="B681" t="s">
        <v>2221</v>
      </c>
      <c r="C681" s="4">
        <v>46005</v>
      </c>
      <c r="D681">
        <v>2025</v>
      </c>
      <c r="E681">
        <v>12</v>
      </c>
      <c r="F681" t="s">
        <v>28</v>
      </c>
      <c r="G681" t="s">
        <v>137</v>
      </c>
      <c r="H681" t="s">
        <v>2222</v>
      </c>
      <c r="I681" t="s">
        <v>312</v>
      </c>
      <c r="J681" t="s">
        <v>899</v>
      </c>
      <c r="K681" t="s">
        <v>171</v>
      </c>
      <c r="L681">
        <v>2</v>
      </c>
      <c r="M681" s="5">
        <v>383.51</v>
      </c>
      <c r="N681" s="6">
        <v>10</v>
      </c>
      <c r="O681" s="5">
        <v>76.7</v>
      </c>
      <c r="P681" s="5">
        <v>103.55</v>
      </c>
      <c r="Q681" s="5">
        <v>793.87</v>
      </c>
      <c r="R681" s="5">
        <v>571.8</v>
      </c>
      <c r="S681" s="5">
        <v>222.07</v>
      </c>
      <c r="T681" s="7">
        <v>0.279730938314837</v>
      </c>
      <c r="U681" t="s">
        <v>11</v>
      </c>
      <c r="V681" t="s">
        <v>50</v>
      </c>
      <c r="W681" t="s">
        <v>50</v>
      </c>
      <c r="X681" t="s">
        <v>33</v>
      </c>
      <c r="Y681" t="s">
        <v>678</v>
      </c>
      <c r="Z681" t="s">
        <v>80</v>
      </c>
    </row>
    <row r="682" spans="1:26">
      <c r="A682" t="s">
        <v>2223</v>
      </c>
      <c r="B682" t="s">
        <v>2223</v>
      </c>
      <c r="C682" s="4">
        <v>46087</v>
      </c>
      <c r="D682">
        <v>2026</v>
      </c>
      <c r="E682">
        <v>3</v>
      </c>
      <c r="F682" t="s">
        <v>19</v>
      </c>
      <c r="G682" t="s">
        <v>82</v>
      </c>
      <c r="H682" t="s">
        <v>109</v>
      </c>
      <c r="I682" t="s">
        <v>2120</v>
      </c>
      <c r="J682" t="s">
        <v>522</v>
      </c>
      <c r="K682" t="s">
        <v>1869</v>
      </c>
      <c r="L682">
        <v>3</v>
      </c>
      <c r="M682" s="5">
        <v>415.16</v>
      </c>
      <c r="N682" s="6">
        <v>10</v>
      </c>
      <c r="O682" s="5">
        <v>124.55</v>
      </c>
      <c r="P682" s="5">
        <v>168.14</v>
      </c>
      <c r="Q682" s="5">
        <v>1120.93</v>
      </c>
      <c r="R682" s="5">
        <v>957.15</v>
      </c>
      <c r="S682" s="5">
        <v>163.78</v>
      </c>
      <c r="T682" s="7">
        <v>0.146110818695191</v>
      </c>
      <c r="U682" t="s">
        <v>9</v>
      </c>
      <c r="V682" t="s">
        <v>50</v>
      </c>
      <c r="W682" t="s">
        <v>50</v>
      </c>
      <c r="X682" t="s">
        <v>35</v>
      </c>
      <c r="Y682" t="s">
        <v>1626</v>
      </c>
      <c r="Z682" t="s">
        <v>101</v>
      </c>
    </row>
    <row r="683" spans="1:26">
      <c r="A683" t="s">
        <v>2224</v>
      </c>
      <c r="B683" t="s">
        <v>2224</v>
      </c>
      <c r="C683" s="4">
        <v>45903</v>
      </c>
      <c r="D683">
        <v>2025</v>
      </c>
      <c r="E683">
        <v>9</v>
      </c>
      <c r="F683" t="s">
        <v>25</v>
      </c>
      <c r="G683" t="s">
        <v>89</v>
      </c>
      <c r="H683" t="s">
        <v>1446</v>
      </c>
      <c r="I683" t="s">
        <v>317</v>
      </c>
      <c r="J683" t="s">
        <v>642</v>
      </c>
      <c r="K683" t="s">
        <v>375</v>
      </c>
      <c r="L683">
        <v>6</v>
      </c>
      <c r="M683" s="5">
        <v>169.75</v>
      </c>
      <c r="N683" s="6">
        <v>0</v>
      </c>
      <c r="O683" s="5">
        <v>0</v>
      </c>
      <c r="P683" s="5">
        <v>152.78</v>
      </c>
      <c r="Q683" s="5">
        <v>1018.5</v>
      </c>
      <c r="R683" s="5">
        <v>825.84</v>
      </c>
      <c r="S683" s="5">
        <v>192.66</v>
      </c>
      <c r="T683" s="7">
        <v>0.189160530191458</v>
      </c>
      <c r="U683" t="s">
        <v>12</v>
      </c>
      <c r="V683" t="s">
        <v>50</v>
      </c>
      <c r="W683" t="s">
        <v>50</v>
      </c>
      <c r="X683" t="s">
        <v>33</v>
      </c>
      <c r="Y683" t="s">
        <v>2225</v>
      </c>
      <c r="Z683" t="s">
        <v>101</v>
      </c>
    </row>
    <row r="684" spans="1:26">
      <c r="A684" t="s">
        <v>2226</v>
      </c>
      <c r="B684" t="s">
        <v>2226</v>
      </c>
      <c r="C684" s="4">
        <v>45989</v>
      </c>
      <c r="D684">
        <v>2025</v>
      </c>
      <c r="E684">
        <v>11</v>
      </c>
      <c r="F684" t="s">
        <v>27</v>
      </c>
      <c r="G684" t="s">
        <v>137</v>
      </c>
      <c r="H684" t="s">
        <v>201</v>
      </c>
      <c r="I684" t="s">
        <v>647</v>
      </c>
      <c r="J684" t="s">
        <v>676</v>
      </c>
      <c r="K684" t="s">
        <v>677</v>
      </c>
      <c r="L684">
        <v>6</v>
      </c>
      <c r="M684" s="5">
        <v>77.52</v>
      </c>
      <c r="N684" s="6">
        <v>0</v>
      </c>
      <c r="O684" s="5">
        <v>0</v>
      </c>
      <c r="P684" s="5">
        <v>69.77</v>
      </c>
      <c r="Q684" s="5">
        <v>465.12</v>
      </c>
      <c r="R684" s="5">
        <v>372.84</v>
      </c>
      <c r="S684" s="5">
        <v>92.28</v>
      </c>
      <c r="T684" s="7">
        <v>0.198400412796698</v>
      </c>
      <c r="U684" t="s">
        <v>10</v>
      </c>
      <c r="V684" t="s">
        <v>50</v>
      </c>
      <c r="W684" t="s">
        <v>50</v>
      </c>
      <c r="X684" t="s">
        <v>33</v>
      </c>
      <c r="Y684" t="s">
        <v>1789</v>
      </c>
      <c r="Z684" t="s">
        <v>101</v>
      </c>
    </row>
    <row r="685" spans="1:26">
      <c r="A685" t="s">
        <v>2227</v>
      </c>
      <c r="B685" t="s">
        <v>2227</v>
      </c>
      <c r="C685" s="4">
        <v>45871</v>
      </c>
      <c r="D685">
        <v>2025</v>
      </c>
      <c r="E685">
        <v>8</v>
      </c>
      <c r="F685" t="s">
        <v>24</v>
      </c>
      <c r="G685" t="s">
        <v>89</v>
      </c>
      <c r="H685" t="s">
        <v>1018</v>
      </c>
      <c r="I685" t="s">
        <v>854</v>
      </c>
      <c r="J685" t="s">
        <v>445</v>
      </c>
      <c r="K685" t="s">
        <v>446</v>
      </c>
      <c r="L685">
        <v>5</v>
      </c>
      <c r="M685" s="5">
        <v>537.21</v>
      </c>
      <c r="N685" s="6">
        <v>0</v>
      </c>
      <c r="O685" s="5">
        <v>0</v>
      </c>
      <c r="P685" s="5">
        <v>402.91</v>
      </c>
      <c r="Q685" s="5">
        <v>3088.96</v>
      </c>
      <c r="R685" s="5">
        <v>1895.95</v>
      </c>
      <c r="S685" s="5">
        <v>1193.01</v>
      </c>
      <c r="T685" s="7">
        <v>0.386217367657723</v>
      </c>
      <c r="U685" t="s">
        <v>13</v>
      </c>
      <c r="V685" t="s">
        <v>50</v>
      </c>
      <c r="W685" t="s">
        <v>50</v>
      </c>
      <c r="X685" t="s">
        <v>33</v>
      </c>
      <c r="Y685" t="s">
        <v>432</v>
      </c>
      <c r="Z685" t="s">
        <v>80</v>
      </c>
    </row>
    <row r="686" spans="1:26">
      <c r="A686" t="s">
        <v>2228</v>
      </c>
      <c r="B686" t="s">
        <v>2228</v>
      </c>
      <c r="C686" s="4">
        <v>45791</v>
      </c>
      <c r="D686">
        <v>2025</v>
      </c>
      <c r="E686">
        <v>5</v>
      </c>
      <c r="F686" t="s">
        <v>21</v>
      </c>
      <c r="G686" t="s">
        <v>74</v>
      </c>
      <c r="H686" t="s">
        <v>918</v>
      </c>
      <c r="I686" t="s">
        <v>797</v>
      </c>
      <c r="J686" t="s">
        <v>46</v>
      </c>
      <c r="K686" t="s">
        <v>2229</v>
      </c>
      <c r="L686">
        <v>5</v>
      </c>
      <c r="M686" s="5">
        <v>480.43</v>
      </c>
      <c r="N686" s="6">
        <v>15</v>
      </c>
      <c r="O686" s="5">
        <v>360.32</v>
      </c>
      <c r="P686" s="5">
        <v>306.27</v>
      </c>
      <c r="Q686" s="5">
        <v>2041.83</v>
      </c>
      <c r="R686" s="5">
        <v>1759.35</v>
      </c>
      <c r="S686" s="5">
        <v>282.48</v>
      </c>
      <c r="T686" s="7">
        <v>0.138346483301744</v>
      </c>
      <c r="U686" t="s">
        <v>10</v>
      </c>
      <c r="V686" t="s">
        <v>50</v>
      </c>
      <c r="W686" t="s">
        <v>50</v>
      </c>
      <c r="X686" t="s">
        <v>33</v>
      </c>
      <c r="Y686" t="s">
        <v>2032</v>
      </c>
      <c r="Z686" t="s">
        <v>101</v>
      </c>
    </row>
    <row r="687" spans="1:26">
      <c r="A687" t="s">
        <v>2230</v>
      </c>
      <c r="B687" t="s">
        <v>2230</v>
      </c>
      <c r="C687" s="4">
        <v>45928</v>
      </c>
      <c r="D687">
        <v>2025</v>
      </c>
      <c r="E687">
        <v>9</v>
      </c>
      <c r="F687" t="s">
        <v>25</v>
      </c>
      <c r="G687" t="s">
        <v>89</v>
      </c>
      <c r="H687" t="s">
        <v>1070</v>
      </c>
      <c r="I687" t="s">
        <v>854</v>
      </c>
      <c r="J687" t="s">
        <v>43</v>
      </c>
      <c r="K687" t="s">
        <v>375</v>
      </c>
      <c r="L687">
        <v>4</v>
      </c>
      <c r="M687" s="5">
        <v>540.54</v>
      </c>
      <c r="N687" s="6">
        <v>5</v>
      </c>
      <c r="O687" s="5">
        <v>108.11</v>
      </c>
      <c r="P687" s="5">
        <v>308.11</v>
      </c>
      <c r="Q687" s="5">
        <v>2362.16</v>
      </c>
      <c r="R687" s="5">
        <v>1516.76</v>
      </c>
      <c r="S687" s="5">
        <v>845.4</v>
      </c>
      <c r="T687" s="7">
        <v>0.357892776103228</v>
      </c>
      <c r="U687" t="s">
        <v>13</v>
      </c>
      <c r="V687" t="s">
        <v>50</v>
      </c>
      <c r="W687" t="s">
        <v>50</v>
      </c>
      <c r="X687" t="s">
        <v>34</v>
      </c>
      <c r="Y687" t="s">
        <v>2231</v>
      </c>
      <c r="Z687" t="s">
        <v>80</v>
      </c>
    </row>
    <row r="688" spans="1:26">
      <c r="A688" t="s">
        <v>2232</v>
      </c>
      <c r="B688" t="s">
        <v>2232</v>
      </c>
      <c r="C688" s="4">
        <v>45902</v>
      </c>
      <c r="D688">
        <v>2025</v>
      </c>
      <c r="E688">
        <v>9</v>
      </c>
      <c r="F688" t="s">
        <v>25</v>
      </c>
      <c r="G688" t="s">
        <v>89</v>
      </c>
      <c r="H688" t="s">
        <v>234</v>
      </c>
      <c r="I688" t="s">
        <v>1190</v>
      </c>
      <c r="J688" t="s">
        <v>1347</v>
      </c>
      <c r="K688" t="s">
        <v>808</v>
      </c>
      <c r="L688">
        <v>4</v>
      </c>
      <c r="M688" s="5">
        <v>504.35</v>
      </c>
      <c r="N688" s="6">
        <v>5</v>
      </c>
      <c r="O688" s="5">
        <v>100.87</v>
      </c>
      <c r="P688" s="5">
        <v>287.48</v>
      </c>
      <c r="Q688" s="5">
        <v>1916.53</v>
      </c>
      <c r="R688" s="5">
        <v>1347.2</v>
      </c>
      <c r="S688" s="5">
        <v>569.33</v>
      </c>
      <c r="T688" s="7">
        <v>0.297062921008281</v>
      </c>
      <c r="U688" t="s">
        <v>11</v>
      </c>
      <c r="V688" t="s">
        <v>50</v>
      </c>
      <c r="W688" t="s">
        <v>50</v>
      </c>
      <c r="X688" t="s">
        <v>33</v>
      </c>
      <c r="Y688" t="s">
        <v>2233</v>
      </c>
      <c r="Z688" t="s">
        <v>101</v>
      </c>
    </row>
    <row r="689" spans="1:26">
      <c r="A689" t="s">
        <v>2234</v>
      </c>
      <c r="B689" t="s">
        <v>2234</v>
      </c>
      <c r="C689" s="4">
        <v>45930</v>
      </c>
      <c r="D689">
        <v>2025</v>
      </c>
      <c r="E689">
        <v>9</v>
      </c>
      <c r="F689" t="s">
        <v>25</v>
      </c>
      <c r="G689" t="s">
        <v>89</v>
      </c>
      <c r="H689" t="s">
        <v>685</v>
      </c>
      <c r="I689" t="s">
        <v>722</v>
      </c>
      <c r="J689" t="s">
        <v>133</v>
      </c>
      <c r="K689" t="s">
        <v>2235</v>
      </c>
      <c r="L689">
        <v>4</v>
      </c>
      <c r="M689" s="5">
        <v>157.98</v>
      </c>
      <c r="N689" s="6">
        <v>5</v>
      </c>
      <c r="O689" s="5">
        <v>31.6</v>
      </c>
      <c r="P689" s="5">
        <v>90.05</v>
      </c>
      <c r="Q689" s="5">
        <v>600.32</v>
      </c>
      <c r="R689" s="5">
        <v>551.8</v>
      </c>
      <c r="S689" s="5">
        <v>48.52</v>
      </c>
      <c r="T689" s="7">
        <v>0.0808235607675906</v>
      </c>
      <c r="U689" t="s">
        <v>11</v>
      </c>
      <c r="V689" t="s">
        <v>50</v>
      </c>
      <c r="W689" t="s">
        <v>50</v>
      </c>
      <c r="X689" t="s">
        <v>33</v>
      </c>
      <c r="Y689" t="s">
        <v>2236</v>
      </c>
      <c r="Z689" t="s">
        <v>101</v>
      </c>
    </row>
    <row r="690" spans="1:26">
      <c r="A690" t="s">
        <v>2237</v>
      </c>
      <c r="B690" t="s">
        <v>2237</v>
      </c>
      <c r="C690" s="4">
        <v>45780</v>
      </c>
      <c r="D690">
        <v>2025</v>
      </c>
      <c r="E690">
        <v>5</v>
      </c>
      <c r="F690" t="s">
        <v>21</v>
      </c>
      <c r="G690" t="s">
        <v>74</v>
      </c>
      <c r="H690" t="s">
        <v>2238</v>
      </c>
      <c r="I690" t="s">
        <v>769</v>
      </c>
      <c r="J690" t="s">
        <v>92</v>
      </c>
      <c r="K690" t="s">
        <v>86</v>
      </c>
      <c r="L690">
        <v>4</v>
      </c>
      <c r="M690" s="5">
        <v>227</v>
      </c>
      <c r="N690" s="6">
        <v>15</v>
      </c>
      <c r="O690" s="5">
        <v>136.2</v>
      </c>
      <c r="P690" s="5">
        <v>115.77</v>
      </c>
      <c r="Q690" s="5">
        <v>887.57</v>
      </c>
      <c r="R690" s="5">
        <v>785.2</v>
      </c>
      <c r="S690" s="5">
        <v>102.37</v>
      </c>
      <c r="T690" s="7">
        <v>0.115337381840306</v>
      </c>
      <c r="U690" t="s">
        <v>14</v>
      </c>
      <c r="V690" t="s">
        <v>50</v>
      </c>
      <c r="W690" t="s">
        <v>50</v>
      </c>
      <c r="X690" t="s">
        <v>33</v>
      </c>
      <c r="Y690" t="s">
        <v>2239</v>
      </c>
      <c r="Z690" t="s">
        <v>80</v>
      </c>
    </row>
    <row r="691" spans="1:26">
      <c r="A691" t="s">
        <v>2240</v>
      </c>
      <c r="B691" t="s">
        <v>2240</v>
      </c>
      <c r="C691" s="4">
        <v>45888</v>
      </c>
      <c r="D691">
        <v>2025</v>
      </c>
      <c r="E691">
        <v>8</v>
      </c>
      <c r="F691" t="s">
        <v>24</v>
      </c>
      <c r="G691" t="s">
        <v>89</v>
      </c>
      <c r="H691" t="s">
        <v>2241</v>
      </c>
      <c r="I691" t="s">
        <v>444</v>
      </c>
      <c r="J691" t="s">
        <v>45</v>
      </c>
      <c r="K691" t="s">
        <v>1351</v>
      </c>
      <c r="L691">
        <v>7</v>
      </c>
      <c r="M691" s="5">
        <v>103.2</v>
      </c>
      <c r="N691" s="6">
        <v>20</v>
      </c>
      <c r="O691" s="5">
        <v>144.48</v>
      </c>
      <c r="P691" s="5">
        <v>86.69</v>
      </c>
      <c r="Q691" s="5">
        <v>577.92</v>
      </c>
      <c r="R691" s="5">
        <v>602.35</v>
      </c>
      <c r="S691" s="5">
        <v>-24.43</v>
      </c>
      <c r="T691" s="7">
        <v>-0.0422722868217054</v>
      </c>
      <c r="U691" t="s">
        <v>9</v>
      </c>
      <c r="V691" t="s">
        <v>50</v>
      </c>
      <c r="W691" t="s">
        <v>50</v>
      </c>
      <c r="X691" t="s">
        <v>35</v>
      </c>
      <c r="Y691" t="s">
        <v>809</v>
      </c>
      <c r="Z691" t="s">
        <v>101</v>
      </c>
    </row>
    <row r="692" spans="1:26">
      <c r="A692" t="s">
        <v>2242</v>
      </c>
      <c r="B692" t="s">
        <v>2242</v>
      </c>
      <c r="C692" s="4">
        <v>45997</v>
      </c>
      <c r="D692">
        <v>2025</v>
      </c>
      <c r="E692">
        <v>12</v>
      </c>
      <c r="F692" t="s">
        <v>28</v>
      </c>
      <c r="G692" t="s">
        <v>137</v>
      </c>
      <c r="H692" t="s">
        <v>1267</v>
      </c>
      <c r="I692" t="s">
        <v>587</v>
      </c>
      <c r="J692" t="s">
        <v>742</v>
      </c>
      <c r="K692" t="s">
        <v>1517</v>
      </c>
      <c r="L692">
        <v>4</v>
      </c>
      <c r="M692" s="5">
        <v>419.04</v>
      </c>
      <c r="N692" s="6">
        <v>20</v>
      </c>
      <c r="O692" s="5">
        <v>335.23</v>
      </c>
      <c r="P692" s="5">
        <v>201.14</v>
      </c>
      <c r="Q692" s="5">
        <v>1542.07</v>
      </c>
      <c r="R692" s="5">
        <v>1102.68</v>
      </c>
      <c r="S692" s="5">
        <v>439.39</v>
      </c>
      <c r="T692" s="7">
        <v>0.284935184524697</v>
      </c>
      <c r="U692" t="s">
        <v>10</v>
      </c>
      <c r="V692" t="s">
        <v>50</v>
      </c>
      <c r="W692" t="s">
        <v>50</v>
      </c>
      <c r="X692" t="s">
        <v>33</v>
      </c>
      <c r="Y692" t="s">
        <v>1498</v>
      </c>
      <c r="Z692" t="s">
        <v>80</v>
      </c>
    </row>
    <row r="693" spans="1:26">
      <c r="A693" t="s">
        <v>2243</v>
      </c>
      <c r="B693" t="s">
        <v>2243</v>
      </c>
      <c r="C693" s="4">
        <v>46018</v>
      </c>
      <c r="D693">
        <v>2025</v>
      </c>
      <c r="E693">
        <v>12</v>
      </c>
      <c r="F693" t="s">
        <v>28</v>
      </c>
      <c r="G693" t="s">
        <v>137</v>
      </c>
      <c r="H693" t="s">
        <v>2244</v>
      </c>
      <c r="I693" t="s">
        <v>1526</v>
      </c>
      <c r="J693" t="s">
        <v>418</v>
      </c>
      <c r="K693" t="s">
        <v>419</v>
      </c>
      <c r="L693">
        <v>4</v>
      </c>
      <c r="M693" s="5">
        <v>102.51</v>
      </c>
      <c r="N693" s="6">
        <v>20</v>
      </c>
      <c r="O693" s="5">
        <v>82.01</v>
      </c>
      <c r="P693" s="5">
        <v>49.2</v>
      </c>
      <c r="Q693" s="5">
        <v>377.23</v>
      </c>
      <c r="R693" s="5">
        <v>354.88</v>
      </c>
      <c r="S693" s="5">
        <v>22.35</v>
      </c>
      <c r="T693" s="7">
        <v>0.0592476738329401</v>
      </c>
      <c r="U693" t="s">
        <v>13</v>
      </c>
      <c r="V693" t="s">
        <v>50</v>
      </c>
      <c r="W693" t="s">
        <v>50</v>
      </c>
      <c r="X693" t="s">
        <v>35</v>
      </c>
      <c r="Y693" t="s">
        <v>1828</v>
      </c>
      <c r="Z693" t="s">
        <v>80</v>
      </c>
    </row>
    <row r="694" spans="1:26">
      <c r="A694" t="s">
        <v>2245</v>
      </c>
      <c r="B694" t="s">
        <v>2245</v>
      </c>
      <c r="C694" s="4">
        <v>45827</v>
      </c>
      <c r="D694">
        <v>2025</v>
      </c>
      <c r="E694">
        <v>6</v>
      </c>
      <c r="F694" t="s">
        <v>22</v>
      </c>
      <c r="G694" t="s">
        <v>74</v>
      </c>
      <c r="H694" t="s">
        <v>2246</v>
      </c>
      <c r="I694" t="s">
        <v>924</v>
      </c>
      <c r="J694" t="s">
        <v>40</v>
      </c>
      <c r="K694" t="s">
        <v>2247</v>
      </c>
      <c r="L694">
        <v>4</v>
      </c>
      <c r="M694" s="5">
        <v>262.77</v>
      </c>
      <c r="N694" s="6">
        <v>0</v>
      </c>
      <c r="O694" s="5">
        <v>0</v>
      </c>
      <c r="P694" s="5">
        <v>157.66</v>
      </c>
      <c r="Q694" s="5">
        <v>1051.08</v>
      </c>
      <c r="R694" s="5">
        <v>778.56</v>
      </c>
      <c r="S694" s="5">
        <v>272.52</v>
      </c>
      <c r="T694" s="7">
        <v>0.259276173079119</v>
      </c>
      <c r="U694" t="s">
        <v>11</v>
      </c>
      <c r="V694" t="s">
        <v>50</v>
      </c>
      <c r="W694" t="s">
        <v>50</v>
      </c>
      <c r="X694" t="s">
        <v>33</v>
      </c>
      <c r="Y694" t="s">
        <v>259</v>
      </c>
      <c r="Z694" t="s">
        <v>101</v>
      </c>
    </row>
    <row r="695" spans="1:26">
      <c r="A695" t="s">
        <v>2248</v>
      </c>
      <c r="B695" t="s">
        <v>2248</v>
      </c>
      <c r="C695" s="4">
        <v>46067</v>
      </c>
      <c r="D695">
        <v>2026</v>
      </c>
      <c r="E695">
        <v>2</v>
      </c>
      <c r="F695" t="s">
        <v>31</v>
      </c>
      <c r="G695" t="s">
        <v>82</v>
      </c>
      <c r="H695" t="s">
        <v>1126</v>
      </c>
      <c r="I695" t="s">
        <v>97</v>
      </c>
      <c r="J695" t="s">
        <v>919</v>
      </c>
      <c r="K695" t="s">
        <v>920</v>
      </c>
      <c r="L695">
        <v>6</v>
      </c>
      <c r="M695" s="5">
        <v>456.77</v>
      </c>
      <c r="N695" s="6">
        <v>15</v>
      </c>
      <c r="O695" s="5">
        <v>411.09</v>
      </c>
      <c r="P695" s="5">
        <v>349.43</v>
      </c>
      <c r="Q695" s="5">
        <v>2678.96</v>
      </c>
      <c r="R695" s="5">
        <v>1419.24</v>
      </c>
      <c r="S695" s="5">
        <v>1259.72</v>
      </c>
      <c r="T695" s="7">
        <v>0.47022725236659</v>
      </c>
      <c r="U695" t="s">
        <v>11</v>
      </c>
      <c r="V695" t="s">
        <v>50</v>
      </c>
      <c r="W695" t="s">
        <v>50</v>
      </c>
      <c r="X695" t="s">
        <v>33</v>
      </c>
      <c r="Y695" t="s">
        <v>839</v>
      </c>
      <c r="Z695" t="s">
        <v>80</v>
      </c>
    </row>
    <row r="696" spans="1:26">
      <c r="A696" t="s">
        <v>2249</v>
      </c>
      <c r="B696" t="s">
        <v>2249</v>
      </c>
      <c r="C696" s="4">
        <v>45951</v>
      </c>
      <c r="D696">
        <v>2025</v>
      </c>
      <c r="E696">
        <v>10</v>
      </c>
      <c r="F696" t="s">
        <v>26</v>
      </c>
      <c r="G696" t="s">
        <v>137</v>
      </c>
      <c r="H696" t="s">
        <v>300</v>
      </c>
      <c r="I696" t="s">
        <v>163</v>
      </c>
      <c r="J696" t="s">
        <v>1718</v>
      </c>
      <c r="K696" t="s">
        <v>579</v>
      </c>
      <c r="L696">
        <v>4</v>
      </c>
      <c r="M696" s="5">
        <v>270.33</v>
      </c>
      <c r="N696" s="6">
        <v>0</v>
      </c>
      <c r="O696" s="5">
        <v>0</v>
      </c>
      <c r="P696" s="5">
        <v>162.2</v>
      </c>
      <c r="Q696" s="5">
        <v>1081.32</v>
      </c>
      <c r="R696" s="5">
        <v>762.96</v>
      </c>
      <c r="S696" s="5">
        <v>318.36</v>
      </c>
      <c r="T696" s="7">
        <v>0.294417933636666</v>
      </c>
      <c r="U696" t="s">
        <v>10</v>
      </c>
      <c r="V696" t="s">
        <v>50</v>
      </c>
      <c r="W696" t="s">
        <v>50</v>
      </c>
      <c r="X696" t="s">
        <v>33</v>
      </c>
      <c r="Y696" t="s">
        <v>1551</v>
      </c>
      <c r="Z696" t="s">
        <v>101</v>
      </c>
    </row>
    <row r="697" spans="1:26">
      <c r="A697" t="s">
        <v>2250</v>
      </c>
      <c r="B697" t="s">
        <v>2250</v>
      </c>
      <c r="C697" s="4">
        <v>46018</v>
      </c>
      <c r="D697">
        <v>2025</v>
      </c>
      <c r="E697">
        <v>12</v>
      </c>
      <c r="F697" t="s">
        <v>28</v>
      </c>
      <c r="G697" t="s">
        <v>137</v>
      </c>
      <c r="H697" t="s">
        <v>1532</v>
      </c>
      <c r="I697" t="s">
        <v>411</v>
      </c>
      <c r="J697" t="s">
        <v>357</v>
      </c>
      <c r="K697" t="s">
        <v>358</v>
      </c>
      <c r="L697">
        <v>8</v>
      </c>
      <c r="M697" s="5">
        <v>483.26</v>
      </c>
      <c r="N697" s="6">
        <v>15</v>
      </c>
      <c r="O697" s="5">
        <v>579.91</v>
      </c>
      <c r="P697" s="5">
        <v>492.93</v>
      </c>
      <c r="Q697" s="5">
        <v>3779.1</v>
      </c>
      <c r="R697" s="5">
        <v>3095.12</v>
      </c>
      <c r="S697" s="5">
        <v>683.98</v>
      </c>
      <c r="T697" s="7">
        <v>0.180990182847768</v>
      </c>
      <c r="U697" t="s">
        <v>12</v>
      </c>
      <c r="V697" t="s">
        <v>50</v>
      </c>
      <c r="W697" t="s">
        <v>50</v>
      </c>
      <c r="X697" t="s">
        <v>33</v>
      </c>
      <c r="Y697" t="s">
        <v>1331</v>
      </c>
      <c r="Z697" t="s">
        <v>80</v>
      </c>
    </row>
    <row r="698" spans="1:26">
      <c r="A698" t="s">
        <v>2251</v>
      </c>
      <c r="B698" t="s">
        <v>2251</v>
      </c>
      <c r="C698" s="4">
        <v>46112</v>
      </c>
      <c r="D698">
        <v>2026</v>
      </c>
      <c r="E698">
        <v>3</v>
      </c>
      <c r="F698" t="s">
        <v>19</v>
      </c>
      <c r="G698" t="s">
        <v>82</v>
      </c>
      <c r="H698" t="s">
        <v>1271</v>
      </c>
      <c r="I698" t="s">
        <v>1839</v>
      </c>
      <c r="J698" t="s">
        <v>882</v>
      </c>
      <c r="K698" t="s">
        <v>883</v>
      </c>
      <c r="L698">
        <v>5</v>
      </c>
      <c r="M698" s="5">
        <v>42.97</v>
      </c>
      <c r="N698" s="6">
        <v>0</v>
      </c>
      <c r="O698" s="5">
        <v>0</v>
      </c>
      <c r="P698" s="5">
        <v>32.23</v>
      </c>
      <c r="Q698" s="5">
        <v>214.85</v>
      </c>
      <c r="R698" s="5">
        <v>182.95</v>
      </c>
      <c r="S698" s="5">
        <v>31.9</v>
      </c>
      <c r="T698" s="7">
        <v>0.14847568070747</v>
      </c>
      <c r="U698" t="s">
        <v>14</v>
      </c>
      <c r="V698" t="s">
        <v>50</v>
      </c>
      <c r="W698" t="s">
        <v>50</v>
      </c>
      <c r="X698" t="s">
        <v>33</v>
      </c>
      <c r="Y698" t="s">
        <v>2252</v>
      </c>
      <c r="Z698" t="s">
        <v>101</v>
      </c>
    </row>
    <row r="699" spans="1:26">
      <c r="A699" t="s">
        <v>2253</v>
      </c>
      <c r="B699" t="s">
        <v>2253</v>
      </c>
      <c r="C699" s="4">
        <v>46000</v>
      </c>
      <c r="D699">
        <v>2025</v>
      </c>
      <c r="E699">
        <v>12</v>
      </c>
      <c r="F699" t="s">
        <v>28</v>
      </c>
      <c r="G699" t="s">
        <v>137</v>
      </c>
      <c r="H699" t="s">
        <v>109</v>
      </c>
      <c r="I699" t="s">
        <v>104</v>
      </c>
      <c r="J699" t="s">
        <v>1122</v>
      </c>
      <c r="K699" t="s">
        <v>1123</v>
      </c>
      <c r="L699">
        <v>4</v>
      </c>
      <c r="M699" s="5">
        <v>347.33</v>
      </c>
      <c r="N699" s="6">
        <v>0</v>
      </c>
      <c r="O699" s="5">
        <v>0</v>
      </c>
      <c r="P699" s="5">
        <v>208.4</v>
      </c>
      <c r="Q699" s="5">
        <v>1389.32</v>
      </c>
      <c r="R699" s="5">
        <v>984.48</v>
      </c>
      <c r="S699" s="5">
        <v>404.84</v>
      </c>
      <c r="T699" s="7">
        <v>0.29139435119339</v>
      </c>
      <c r="U699" t="s">
        <v>13</v>
      </c>
      <c r="V699" t="s">
        <v>50</v>
      </c>
      <c r="W699" t="s">
        <v>50</v>
      </c>
      <c r="X699" t="s">
        <v>33</v>
      </c>
      <c r="Y699" t="s">
        <v>1941</v>
      </c>
      <c r="Z699" t="s">
        <v>101</v>
      </c>
    </row>
    <row r="700" spans="1:26">
      <c r="A700" t="s">
        <v>2254</v>
      </c>
      <c r="B700" t="s">
        <v>2254</v>
      </c>
      <c r="C700" s="4">
        <v>45938</v>
      </c>
      <c r="D700">
        <v>2025</v>
      </c>
      <c r="E700">
        <v>10</v>
      </c>
      <c r="F700" t="s">
        <v>26</v>
      </c>
      <c r="G700" t="s">
        <v>137</v>
      </c>
      <c r="H700" t="s">
        <v>571</v>
      </c>
      <c r="I700" t="s">
        <v>1137</v>
      </c>
      <c r="J700" t="s">
        <v>351</v>
      </c>
      <c r="K700" t="s">
        <v>258</v>
      </c>
      <c r="L700">
        <v>2</v>
      </c>
      <c r="M700" s="5">
        <v>405.1</v>
      </c>
      <c r="N700" s="6">
        <v>0</v>
      </c>
      <c r="O700" s="5">
        <v>0</v>
      </c>
      <c r="P700" s="5">
        <v>121.53</v>
      </c>
      <c r="Q700" s="5">
        <v>810.2</v>
      </c>
      <c r="R700" s="5">
        <v>696.82</v>
      </c>
      <c r="S700" s="5">
        <v>113.38</v>
      </c>
      <c r="T700" s="7">
        <v>0.139940755369045</v>
      </c>
      <c r="U700" t="s">
        <v>9</v>
      </c>
      <c r="V700" t="s">
        <v>50</v>
      </c>
      <c r="W700" t="s">
        <v>50</v>
      </c>
      <c r="X700" t="s">
        <v>33</v>
      </c>
      <c r="Y700" t="s">
        <v>329</v>
      </c>
      <c r="Z700" t="s">
        <v>101</v>
      </c>
    </row>
    <row r="701" spans="1:26">
      <c r="A701" t="s">
        <v>2255</v>
      </c>
      <c r="B701" t="s">
        <v>2255</v>
      </c>
      <c r="C701" s="4">
        <v>45942</v>
      </c>
      <c r="D701">
        <v>2025</v>
      </c>
      <c r="E701">
        <v>10</v>
      </c>
      <c r="F701" t="s">
        <v>26</v>
      </c>
      <c r="G701" t="s">
        <v>137</v>
      </c>
      <c r="H701" t="s">
        <v>2256</v>
      </c>
      <c r="I701" t="s">
        <v>207</v>
      </c>
      <c r="J701" t="s">
        <v>296</v>
      </c>
      <c r="K701" t="s">
        <v>297</v>
      </c>
      <c r="L701">
        <v>4</v>
      </c>
      <c r="M701" s="5">
        <v>306.62</v>
      </c>
      <c r="N701" s="6">
        <v>20</v>
      </c>
      <c r="O701" s="5">
        <v>245.3</v>
      </c>
      <c r="P701" s="5">
        <v>147.18</v>
      </c>
      <c r="Q701" s="5">
        <v>1128.36</v>
      </c>
      <c r="R701" s="5">
        <v>1039.72</v>
      </c>
      <c r="S701" s="5">
        <v>88.64</v>
      </c>
      <c r="T701" s="7">
        <v>0.078556489063774</v>
      </c>
      <c r="U701" t="s">
        <v>14</v>
      </c>
      <c r="V701" t="s">
        <v>50</v>
      </c>
      <c r="W701" t="s">
        <v>50</v>
      </c>
      <c r="X701" t="s">
        <v>33</v>
      </c>
      <c r="Y701" t="s">
        <v>1803</v>
      </c>
      <c r="Z701" t="s">
        <v>80</v>
      </c>
    </row>
    <row r="702" spans="1:26">
      <c r="A702" t="s">
        <v>2257</v>
      </c>
      <c r="B702" t="s">
        <v>2257</v>
      </c>
      <c r="C702" s="4">
        <v>45954</v>
      </c>
      <c r="D702">
        <v>2025</v>
      </c>
      <c r="E702">
        <v>10</v>
      </c>
      <c r="F702" t="s">
        <v>26</v>
      </c>
      <c r="G702" t="s">
        <v>137</v>
      </c>
      <c r="H702" t="s">
        <v>2258</v>
      </c>
      <c r="I702" t="s">
        <v>384</v>
      </c>
      <c r="J702" t="s">
        <v>2259</v>
      </c>
      <c r="K702" t="s">
        <v>1141</v>
      </c>
      <c r="L702">
        <v>3</v>
      </c>
      <c r="M702" s="5">
        <v>186.38</v>
      </c>
      <c r="N702" s="6">
        <v>0</v>
      </c>
      <c r="O702" s="5">
        <v>0</v>
      </c>
      <c r="P702" s="5">
        <v>83.87</v>
      </c>
      <c r="Q702" s="5">
        <v>559.14</v>
      </c>
      <c r="R702" s="5">
        <v>406.98</v>
      </c>
      <c r="S702" s="5">
        <v>152.16</v>
      </c>
      <c r="T702" s="7">
        <v>0.272132203026076</v>
      </c>
      <c r="U702" t="s">
        <v>11</v>
      </c>
      <c r="V702" t="s">
        <v>50</v>
      </c>
      <c r="W702" t="s">
        <v>50</v>
      </c>
      <c r="X702" t="s">
        <v>33</v>
      </c>
      <c r="Y702" t="s">
        <v>815</v>
      </c>
      <c r="Z702" t="s">
        <v>101</v>
      </c>
    </row>
    <row r="703" spans="1:26">
      <c r="A703" t="s">
        <v>2260</v>
      </c>
      <c r="B703" t="s">
        <v>2260</v>
      </c>
      <c r="C703" s="4">
        <v>46094</v>
      </c>
      <c r="D703">
        <v>2026</v>
      </c>
      <c r="E703">
        <v>3</v>
      </c>
      <c r="F703" t="s">
        <v>19</v>
      </c>
      <c r="G703" t="s">
        <v>82</v>
      </c>
      <c r="H703" t="s">
        <v>306</v>
      </c>
      <c r="I703" t="s">
        <v>1137</v>
      </c>
      <c r="J703" t="s">
        <v>42</v>
      </c>
      <c r="K703" t="s">
        <v>883</v>
      </c>
      <c r="L703">
        <v>3</v>
      </c>
      <c r="M703" s="5">
        <v>431.28</v>
      </c>
      <c r="N703" s="6">
        <v>0</v>
      </c>
      <c r="O703" s="5">
        <v>0</v>
      </c>
      <c r="P703" s="5">
        <v>194.08</v>
      </c>
      <c r="Q703" s="5">
        <v>1293.84</v>
      </c>
      <c r="R703" s="5">
        <v>1045.23</v>
      </c>
      <c r="S703" s="5">
        <v>248.61</v>
      </c>
      <c r="T703" s="7">
        <v>0.192148951956965</v>
      </c>
      <c r="U703" t="s">
        <v>10</v>
      </c>
      <c r="V703" t="s">
        <v>50</v>
      </c>
      <c r="W703" t="s">
        <v>50</v>
      </c>
      <c r="X703" t="s">
        <v>33</v>
      </c>
      <c r="Y703" t="s">
        <v>1523</v>
      </c>
      <c r="Z703" t="s">
        <v>101</v>
      </c>
    </row>
    <row r="704" spans="1:26">
      <c r="A704" t="s">
        <v>2261</v>
      </c>
      <c r="B704" t="s">
        <v>2261</v>
      </c>
      <c r="C704" s="4">
        <v>45941</v>
      </c>
      <c r="D704">
        <v>2025</v>
      </c>
      <c r="E704">
        <v>10</v>
      </c>
      <c r="F704" t="s">
        <v>26</v>
      </c>
      <c r="G704" t="s">
        <v>137</v>
      </c>
      <c r="H704" t="s">
        <v>355</v>
      </c>
      <c r="I704" t="s">
        <v>694</v>
      </c>
      <c r="J704" t="s">
        <v>648</v>
      </c>
      <c r="K704" t="s">
        <v>672</v>
      </c>
      <c r="L704">
        <v>4</v>
      </c>
      <c r="M704" s="5">
        <v>369.14</v>
      </c>
      <c r="N704" s="6">
        <v>10</v>
      </c>
      <c r="O704" s="5">
        <v>147.66</v>
      </c>
      <c r="P704" s="5">
        <v>199.33</v>
      </c>
      <c r="Q704" s="5">
        <v>1528.23</v>
      </c>
      <c r="R704" s="5">
        <v>1161.32</v>
      </c>
      <c r="S704" s="5">
        <v>366.91</v>
      </c>
      <c r="T704" s="7">
        <v>0.240088206618114</v>
      </c>
      <c r="U704" t="s">
        <v>10</v>
      </c>
      <c r="V704" t="s">
        <v>50</v>
      </c>
      <c r="W704" t="s">
        <v>50</v>
      </c>
      <c r="X704" t="s">
        <v>34</v>
      </c>
      <c r="Y704" t="s">
        <v>2262</v>
      </c>
      <c r="Z704" t="s">
        <v>80</v>
      </c>
    </row>
    <row r="705" spans="1:26">
      <c r="A705" t="s">
        <v>2263</v>
      </c>
      <c r="B705" t="s">
        <v>2263</v>
      </c>
      <c r="C705" s="4">
        <v>45931</v>
      </c>
      <c r="D705">
        <v>2025</v>
      </c>
      <c r="E705">
        <v>10</v>
      </c>
      <c r="F705" t="s">
        <v>26</v>
      </c>
      <c r="G705" t="s">
        <v>137</v>
      </c>
      <c r="H705" t="s">
        <v>1136</v>
      </c>
      <c r="I705" t="s">
        <v>537</v>
      </c>
      <c r="J705" t="s">
        <v>1229</v>
      </c>
      <c r="K705" t="s">
        <v>1230</v>
      </c>
      <c r="L705">
        <v>3</v>
      </c>
      <c r="M705" s="5">
        <v>232.58</v>
      </c>
      <c r="N705" s="6">
        <v>0</v>
      </c>
      <c r="O705" s="5">
        <v>0</v>
      </c>
      <c r="P705" s="5">
        <v>104.66</v>
      </c>
      <c r="Q705" s="5">
        <v>697.74</v>
      </c>
      <c r="R705" s="5">
        <v>573.6</v>
      </c>
      <c r="S705" s="5">
        <v>124.14</v>
      </c>
      <c r="T705" s="7">
        <v>0.177917275776077</v>
      </c>
      <c r="U705" t="s">
        <v>10</v>
      </c>
      <c r="V705" t="s">
        <v>50</v>
      </c>
      <c r="W705" t="s">
        <v>50</v>
      </c>
      <c r="X705" t="s">
        <v>35</v>
      </c>
      <c r="Y705" t="s">
        <v>1683</v>
      </c>
      <c r="Z705" t="s">
        <v>101</v>
      </c>
    </row>
    <row r="706" spans="1:26">
      <c r="A706" t="s">
        <v>2264</v>
      </c>
      <c r="B706" t="s">
        <v>2264</v>
      </c>
      <c r="C706" s="4">
        <v>45932</v>
      </c>
      <c r="D706">
        <v>2025</v>
      </c>
      <c r="E706">
        <v>10</v>
      </c>
      <c r="F706" t="s">
        <v>26</v>
      </c>
      <c r="G706" t="s">
        <v>137</v>
      </c>
      <c r="H706" t="s">
        <v>1532</v>
      </c>
      <c r="I706" t="s">
        <v>301</v>
      </c>
      <c r="J706" t="s">
        <v>111</v>
      </c>
      <c r="K706" t="s">
        <v>1300</v>
      </c>
      <c r="L706">
        <v>5</v>
      </c>
      <c r="M706" s="5">
        <v>240.8</v>
      </c>
      <c r="N706" s="6">
        <v>10</v>
      </c>
      <c r="O706" s="5">
        <v>120.4</v>
      </c>
      <c r="P706" s="5">
        <v>162.54</v>
      </c>
      <c r="Q706" s="5">
        <v>1083.6</v>
      </c>
      <c r="R706" s="5">
        <v>977.2</v>
      </c>
      <c r="S706" s="5">
        <v>106.4</v>
      </c>
      <c r="T706" s="7">
        <v>0.0981912144702843</v>
      </c>
      <c r="U706" t="s">
        <v>10</v>
      </c>
      <c r="V706" t="s">
        <v>50</v>
      </c>
      <c r="W706" t="s">
        <v>50</v>
      </c>
      <c r="X706" t="s">
        <v>35</v>
      </c>
      <c r="Y706" t="s">
        <v>1447</v>
      </c>
      <c r="Z706" t="s">
        <v>101</v>
      </c>
    </row>
    <row r="707" spans="1:26">
      <c r="A707" t="s">
        <v>2265</v>
      </c>
      <c r="B707" t="s">
        <v>2265</v>
      </c>
      <c r="C707" s="4">
        <v>45923</v>
      </c>
      <c r="D707">
        <v>2025</v>
      </c>
      <c r="E707">
        <v>9</v>
      </c>
      <c r="F707" t="s">
        <v>25</v>
      </c>
      <c r="G707" t="s">
        <v>89</v>
      </c>
      <c r="H707" t="s">
        <v>531</v>
      </c>
      <c r="I707" t="s">
        <v>609</v>
      </c>
      <c r="J707" t="s">
        <v>899</v>
      </c>
      <c r="K707" t="s">
        <v>171</v>
      </c>
      <c r="L707">
        <v>6</v>
      </c>
      <c r="M707" s="5">
        <v>356.52</v>
      </c>
      <c r="N707" s="6">
        <v>0</v>
      </c>
      <c r="O707" s="5">
        <v>0</v>
      </c>
      <c r="P707" s="5">
        <v>320.87</v>
      </c>
      <c r="Q707" s="5">
        <v>2139.12</v>
      </c>
      <c r="R707" s="5">
        <v>1532.94</v>
      </c>
      <c r="S707" s="5">
        <v>606.18</v>
      </c>
      <c r="T707" s="7">
        <v>0.283378211601032</v>
      </c>
      <c r="U707" t="s">
        <v>14</v>
      </c>
      <c r="V707" t="s">
        <v>50</v>
      </c>
      <c r="W707" t="s">
        <v>50</v>
      </c>
      <c r="X707" t="s">
        <v>33</v>
      </c>
      <c r="Y707" t="s">
        <v>935</v>
      </c>
      <c r="Z707" t="s">
        <v>101</v>
      </c>
    </row>
    <row r="708" spans="1:26">
      <c r="A708" t="s">
        <v>2266</v>
      </c>
      <c r="B708" t="s">
        <v>2266</v>
      </c>
      <c r="C708" s="4">
        <v>45991</v>
      </c>
      <c r="D708">
        <v>2025</v>
      </c>
      <c r="E708">
        <v>11</v>
      </c>
      <c r="F708" t="s">
        <v>27</v>
      </c>
      <c r="G708" t="s">
        <v>137</v>
      </c>
      <c r="H708" t="s">
        <v>294</v>
      </c>
      <c r="I708" t="s">
        <v>1511</v>
      </c>
      <c r="J708" t="s">
        <v>445</v>
      </c>
      <c r="K708" t="s">
        <v>446</v>
      </c>
      <c r="L708">
        <v>4</v>
      </c>
      <c r="M708" s="5">
        <v>187.3</v>
      </c>
      <c r="N708" s="6">
        <v>0</v>
      </c>
      <c r="O708" s="5">
        <v>0</v>
      </c>
      <c r="P708" s="5">
        <v>112.38</v>
      </c>
      <c r="Q708" s="5">
        <v>861.58</v>
      </c>
      <c r="R708" s="5">
        <v>633.72</v>
      </c>
      <c r="S708" s="5">
        <v>227.86</v>
      </c>
      <c r="T708" s="7">
        <v>0.264467606026138</v>
      </c>
      <c r="U708" t="s">
        <v>9</v>
      </c>
      <c r="V708" t="s">
        <v>50</v>
      </c>
      <c r="W708" t="s">
        <v>50</v>
      </c>
      <c r="X708" t="s">
        <v>33</v>
      </c>
      <c r="Y708" t="s">
        <v>2267</v>
      </c>
      <c r="Z708" t="s">
        <v>80</v>
      </c>
    </row>
    <row r="709" spans="1:26">
      <c r="A709" t="s">
        <v>2268</v>
      </c>
      <c r="B709" t="s">
        <v>2268</v>
      </c>
      <c r="C709" s="4">
        <v>45876</v>
      </c>
      <c r="D709">
        <v>2025</v>
      </c>
      <c r="E709">
        <v>8</v>
      </c>
      <c r="F709" t="s">
        <v>24</v>
      </c>
      <c r="G709" t="s">
        <v>89</v>
      </c>
      <c r="H709" t="s">
        <v>1489</v>
      </c>
      <c r="I709" t="s">
        <v>145</v>
      </c>
      <c r="J709" t="s">
        <v>746</v>
      </c>
      <c r="K709" t="s">
        <v>1755</v>
      </c>
      <c r="L709">
        <v>3</v>
      </c>
      <c r="M709" s="5">
        <v>522.78</v>
      </c>
      <c r="N709" s="6">
        <v>15</v>
      </c>
      <c r="O709" s="5">
        <v>235.25</v>
      </c>
      <c r="P709" s="5">
        <v>199.96</v>
      </c>
      <c r="Q709" s="5">
        <v>1333.09</v>
      </c>
      <c r="R709" s="5">
        <v>1187.61</v>
      </c>
      <c r="S709" s="5">
        <v>145.48</v>
      </c>
      <c r="T709" s="7">
        <v>0.109129916209708</v>
      </c>
      <c r="U709" t="s">
        <v>10</v>
      </c>
      <c r="V709" t="s">
        <v>50</v>
      </c>
      <c r="W709" t="s">
        <v>50</v>
      </c>
      <c r="X709" t="s">
        <v>34</v>
      </c>
      <c r="Y709" t="s">
        <v>1589</v>
      </c>
      <c r="Z709" t="s">
        <v>101</v>
      </c>
    </row>
    <row r="710" spans="1:26">
      <c r="A710" t="s">
        <v>2269</v>
      </c>
      <c r="B710" t="s">
        <v>2269</v>
      </c>
      <c r="C710" s="4">
        <v>46088</v>
      </c>
      <c r="D710">
        <v>2026</v>
      </c>
      <c r="E710">
        <v>3</v>
      </c>
      <c r="F710" t="s">
        <v>19</v>
      </c>
      <c r="G710" t="s">
        <v>82</v>
      </c>
      <c r="H710" t="s">
        <v>2270</v>
      </c>
      <c r="I710" t="s">
        <v>937</v>
      </c>
      <c r="J710" t="s">
        <v>1229</v>
      </c>
      <c r="K710" t="s">
        <v>1230</v>
      </c>
      <c r="L710">
        <v>8</v>
      </c>
      <c r="M710" s="5">
        <v>502.19</v>
      </c>
      <c r="N710" s="6">
        <v>20</v>
      </c>
      <c r="O710" s="5">
        <v>803.5</v>
      </c>
      <c r="P710" s="5">
        <v>482.1</v>
      </c>
      <c r="Q710" s="5">
        <v>3696.12</v>
      </c>
      <c r="R710" s="5">
        <v>2961.44</v>
      </c>
      <c r="S710" s="5">
        <v>734.68</v>
      </c>
      <c r="T710" s="7">
        <v>0.19877060268606</v>
      </c>
      <c r="U710" t="s">
        <v>14</v>
      </c>
      <c r="V710" t="s">
        <v>50</v>
      </c>
      <c r="W710" t="s">
        <v>50</v>
      </c>
      <c r="X710" t="s">
        <v>33</v>
      </c>
      <c r="Y710" t="s">
        <v>950</v>
      </c>
      <c r="Z710" t="s">
        <v>80</v>
      </c>
    </row>
    <row r="711" spans="1:26">
      <c r="A711" t="s">
        <v>2271</v>
      </c>
      <c r="B711" t="s">
        <v>2271</v>
      </c>
      <c r="C711" s="4">
        <v>45846</v>
      </c>
      <c r="D711">
        <v>2025</v>
      </c>
      <c r="E711">
        <v>7</v>
      </c>
      <c r="F711" t="s">
        <v>23</v>
      </c>
      <c r="G711" t="s">
        <v>89</v>
      </c>
      <c r="H711" t="s">
        <v>2272</v>
      </c>
      <c r="I711" t="s">
        <v>1511</v>
      </c>
      <c r="J711" t="s">
        <v>46</v>
      </c>
      <c r="K711" t="s">
        <v>1691</v>
      </c>
      <c r="L711">
        <v>4</v>
      </c>
      <c r="M711" s="5">
        <v>183.39</v>
      </c>
      <c r="N711" s="6">
        <v>5</v>
      </c>
      <c r="O711" s="5">
        <v>36.68</v>
      </c>
      <c r="P711" s="5">
        <v>104.53</v>
      </c>
      <c r="Q711" s="5">
        <v>696.88</v>
      </c>
      <c r="R711" s="5">
        <v>633.72</v>
      </c>
      <c r="S711" s="5">
        <v>63.16</v>
      </c>
      <c r="T711" s="7">
        <v>0.0906325335782344</v>
      </c>
      <c r="U711" t="s">
        <v>10</v>
      </c>
      <c r="V711" t="s">
        <v>50</v>
      </c>
      <c r="W711" t="s">
        <v>50</v>
      </c>
      <c r="X711" t="s">
        <v>33</v>
      </c>
      <c r="Y711" t="s">
        <v>686</v>
      </c>
      <c r="Z711" t="s">
        <v>101</v>
      </c>
    </row>
    <row r="712" spans="1:26">
      <c r="A712" t="s">
        <v>2273</v>
      </c>
      <c r="B712" t="s">
        <v>2273</v>
      </c>
      <c r="C712" s="4">
        <v>45955</v>
      </c>
      <c r="D712">
        <v>2025</v>
      </c>
      <c r="E712">
        <v>10</v>
      </c>
      <c r="F712" t="s">
        <v>26</v>
      </c>
      <c r="G712" t="s">
        <v>137</v>
      </c>
      <c r="H712" t="s">
        <v>2150</v>
      </c>
      <c r="I712" t="s">
        <v>450</v>
      </c>
      <c r="J712" t="s">
        <v>291</v>
      </c>
      <c r="K712" t="s">
        <v>287</v>
      </c>
      <c r="L712">
        <v>8</v>
      </c>
      <c r="M712" s="5">
        <v>486.77</v>
      </c>
      <c r="N712" s="6">
        <v>20</v>
      </c>
      <c r="O712" s="5">
        <v>778.83</v>
      </c>
      <c r="P712" s="5">
        <v>467.3</v>
      </c>
      <c r="Q712" s="5">
        <v>3582.63</v>
      </c>
      <c r="R712" s="5">
        <v>2032.4</v>
      </c>
      <c r="S712" s="5">
        <v>1550.23</v>
      </c>
      <c r="T712" s="7">
        <v>0.432707256959273</v>
      </c>
      <c r="U712" t="s">
        <v>10</v>
      </c>
      <c r="V712" t="s">
        <v>50</v>
      </c>
      <c r="W712" t="s">
        <v>50</v>
      </c>
      <c r="X712" t="s">
        <v>34</v>
      </c>
      <c r="Y712" t="s">
        <v>2274</v>
      </c>
      <c r="Z712" t="s">
        <v>80</v>
      </c>
    </row>
    <row r="713" spans="1:26">
      <c r="A713" t="s">
        <v>2275</v>
      </c>
      <c r="B713" t="s">
        <v>2275</v>
      </c>
      <c r="C713" s="4">
        <v>45779</v>
      </c>
      <c r="D713">
        <v>2025</v>
      </c>
      <c r="E713">
        <v>5</v>
      </c>
      <c r="F713" t="s">
        <v>21</v>
      </c>
      <c r="G713" t="s">
        <v>74</v>
      </c>
      <c r="H713" t="s">
        <v>2276</v>
      </c>
      <c r="I713" t="s">
        <v>498</v>
      </c>
      <c r="J713" t="s">
        <v>837</v>
      </c>
      <c r="K713" t="s">
        <v>1032</v>
      </c>
      <c r="L713">
        <v>2</v>
      </c>
      <c r="M713" s="5">
        <v>365.92</v>
      </c>
      <c r="N713" s="6">
        <v>0</v>
      </c>
      <c r="O713" s="5">
        <v>0</v>
      </c>
      <c r="P713" s="5">
        <v>109.78</v>
      </c>
      <c r="Q713" s="5">
        <v>731.84</v>
      </c>
      <c r="R713" s="5">
        <v>620.76</v>
      </c>
      <c r="S713" s="5">
        <v>111.08</v>
      </c>
      <c r="T713" s="7">
        <v>0.151781810231745</v>
      </c>
      <c r="U713" t="s">
        <v>11</v>
      </c>
      <c r="V713" t="s">
        <v>50</v>
      </c>
      <c r="W713" t="s">
        <v>50</v>
      </c>
      <c r="X713" t="s">
        <v>33</v>
      </c>
      <c r="Y713" t="s">
        <v>298</v>
      </c>
      <c r="Z713" t="s">
        <v>101</v>
      </c>
    </row>
    <row r="714" spans="1:26">
      <c r="A714" t="s">
        <v>2277</v>
      </c>
      <c r="B714" t="s">
        <v>2277</v>
      </c>
      <c r="C714" s="4">
        <v>45863</v>
      </c>
      <c r="D714">
        <v>2025</v>
      </c>
      <c r="E714">
        <v>7</v>
      </c>
      <c r="F714" t="s">
        <v>23</v>
      </c>
      <c r="G714" t="s">
        <v>89</v>
      </c>
      <c r="H714" t="s">
        <v>1089</v>
      </c>
      <c r="I714" t="s">
        <v>434</v>
      </c>
      <c r="J714" t="s">
        <v>1072</v>
      </c>
      <c r="K714" t="s">
        <v>1073</v>
      </c>
      <c r="L714">
        <v>4</v>
      </c>
      <c r="M714" s="5">
        <v>83.13</v>
      </c>
      <c r="N714" s="6">
        <v>10</v>
      </c>
      <c r="O714" s="5">
        <v>33.25</v>
      </c>
      <c r="P714" s="5">
        <v>44.89</v>
      </c>
      <c r="Q714" s="5">
        <v>299.27</v>
      </c>
      <c r="R714" s="5">
        <v>276.36</v>
      </c>
      <c r="S714" s="5">
        <v>22.91</v>
      </c>
      <c r="T714" s="7">
        <v>0.0765529455007184</v>
      </c>
      <c r="U714" t="s">
        <v>14</v>
      </c>
      <c r="V714" t="s">
        <v>50</v>
      </c>
      <c r="W714" t="s">
        <v>50</v>
      </c>
      <c r="X714" t="s">
        <v>33</v>
      </c>
      <c r="Y714" t="s">
        <v>616</v>
      </c>
      <c r="Z714" t="s">
        <v>101</v>
      </c>
    </row>
    <row r="715" spans="1:26">
      <c r="A715" t="s">
        <v>2278</v>
      </c>
      <c r="B715" t="s">
        <v>2278</v>
      </c>
      <c r="C715" s="4">
        <v>45973</v>
      </c>
      <c r="D715">
        <v>2025</v>
      </c>
      <c r="E715">
        <v>11</v>
      </c>
      <c r="F715" t="s">
        <v>27</v>
      </c>
      <c r="G715" t="s">
        <v>137</v>
      </c>
      <c r="H715" t="s">
        <v>597</v>
      </c>
      <c r="I715" t="s">
        <v>219</v>
      </c>
      <c r="J715" t="s">
        <v>648</v>
      </c>
      <c r="K715" t="s">
        <v>672</v>
      </c>
      <c r="L715">
        <v>5</v>
      </c>
      <c r="M715" s="5">
        <v>225.45</v>
      </c>
      <c r="N715" s="6">
        <v>20</v>
      </c>
      <c r="O715" s="5">
        <v>225.45</v>
      </c>
      <c r="P715" s="5">
        <v>135.27</v>
      </c>
      <c r="Q715" s="5">
        <v>901.8</v>
      </c>
      <c r="R715" s="5">
        <v>954.5</v>
      </c>
      <c r="S715" s="5">
        <v>-52.7</v>
      </c>
      <c r="T715" s="7">
        <v>-0.0584386781991572</v>
      </c>
      <c r="U715" t="s">
        <v>13</v>
      </c>
      <c r="V715" t="s">
        <v>50</v>
      </c>
      <c r="W715" t="s">
        <v>50</v>
      </c>
      <c r="X715" t="s">
        <v>35</v>
      </c>
      <c r="Y715" t="s">
        <v>2279</v>
      </c>
      <c r="Z715" t="s">
        <v>101</v>
      </c>
    </row>
    <row r="716" spans="1:26">
      <c r="A716" t="s">
        <v>2280</v>
      </c>
      <c r="B716" t="s">
        <v>2280</v>
      </c>
      <c r="C716" s="4">
        <v>45966</v>
      </c>
      <c r="D716">
        <v>2025</v>
      </c>
      <c r="E716">
        <v>11</v>
      </c>
      <c r="F716" t="s">
        <v>27</v>
      </c>
      <c r="G716" t="s">
        <v>137</v>
      </c>
      <c r="H716" t="s">
        <v>2281</v>
      </c>
      <c r="I716" t="s">
        <v>169</v>
      </c>
      <c r="J716" t="s">
        <v>98</v>
      </c>
      <c r="K716" t="s">
        <v>99</v>
      </c>
      <c r="L716">
        <v>5</v>
      </c>
      <c r="M716" s="5">
        <v>141.11</v>
      </c>
      <c r="N716" s="6">
        <v>0</v>
      </c>
      <c r="O716" s="5">
        <v>0</v>
      </c>
      <c r="P716" s="5">
        <v>105.83</v>
      </c>
      <c r="Q716" s="5">
        <v>705.55</v>
      </c>
      <c r="R716" s="5">
        <v>579.55</v>
      </c>
      <c r="S716" s="5">
        <v>126</v>
      </c>
      <c r="T716" s="7">
        <v>0.178584083339239</v>
      </c>
      <c r="U716" t="s">
        <v>14</v>
      </c>
      <c r="V716" t="s">
        <v>50</v>
      </c>
      <c r="W716" t="s">
        <v>50</v>
      </c>
      <c r="X716" t="s">
        <v>34</v>
      </c>
      <c r="Y716" t="s">
        <v>2282</v>
      </c>
      <c r="Z716" t="s">
        <v>101</v>
      </c>
    </row>
    <row r="717" spans="1:26">
      <c r="A717" t="s">
        <v>2283</v>
      </c>
      <c r="B717" t="s">
        <v>2283</v>
      </c>
      <c r="C717" s="4">
        <v>45898</v>
      </c>
      <c r="D717">
        <v>2025</v>
      </c>
      <c r="E717">
        <v>8</v>
      </c>
      <c r="F717" t="s">
        <v>24</v>
      </c>
      <c r="G717" t="s">
        <v>89</v>
      </c>
      <c r="H717" t="s">
        <v>2284</v>
      </c>
      <c r="I717" t="s">
        <v>854</v>
      </c>
      <c r="J717" t="s">
        <v>318</v>
      </c>
      <c r="K717" t="s">
        <v>159</v>
      </c>
      <c r="L717">
        <v>5</v>
      </c>
      <c r="M717" s="5">
        <v>530.16</v>
      </c>
      <c r="N717" s="6">
        <v>0</v>
      </c>
      <c r="O717" s="5">
        <v>0</v>
      </c>
      <c r="P717" s="5">
        <v>397.62</v>
      </c>
      <c r="Q717" s="5">
        <v>2650.8</v>
      </c>
      <c r="R717" s="5">
        <v>1895.95</v>
      </c>
      <c r="S717" s="5">
        <v>754.85</v>
      </c>
      <c r="T717" s="7">
        <v>0.284763090387807</v>
      </c>
      <c r="U717" t="s">
        <v>9</v>
      </c>
      <c r="V717" t="s">
        <v>50</v>
      </c>
      <c r="W717" t="s">
        <v>50</v>
      </c>
      <c r="X717" t="s">
        <v>35</v>
      </c>
      <c r="Y717" t="s">
        <v>1005</v>
      </c>
      <c r="Z717" t="s">
        <v>101</v>
      </c>
    </row>
    <row r="718" spans="1:26">
      <c r="A718" t="s">
        <v>2285</v>
      </c>
      <c r="B718" t="s">
        <v>2285</v>
      </c>
      <c r="C718" s="4">
        <v>45914</v>
      </c>
      <c r="D718">
        <v>2025</v>
      </c>
      <c r="E718">
        <v>9</v>
      </c>
      <c r="F718" t="s">
        <v>25</v>
      </c>
      <c r="G718" t="s">
        <v>89</v>
      </c>
      <c r="H718" t="s">
        <v>1386</v>
      </c>
      <c r="I718" t="s">
        <v>1307</v>
      </c>
      <c r="J718" t="s">
        <v>369</v>
      </c>
      <c r="K718" t="s">
        <v>370</v>
      </c>
      <c r="L718">
        <v>1</v>
      </c>
      <c r="M718" s="5">
        <v>236.56</v>
      </c>
      <c r="N718" s="6">
        <v>10</v>
      </c>
      <c r="O718" s="5">
        <v>23.66</v>
      </c>
      <c r="P718" s="5">
        <v>31.94</v>
      </c>
      <c r="Q718" s="5">
        <v>244.83</v>
      </c>
      <c r="R718" s="5">
        <v>211.73</v>
      </c>
      <c r="S718" s="5">
        <v>33.1</v>
      </c>
      <c r="T718" s="7">
        <v>0.135195850181759</v>
      </c>
      <c r="U718" t="s">
        <v>11</v>
      </c>
      <c r="V718" t="s">
        <v>50</v>
      </c>
      <c r="W718" t="s">
        <v>50</v>
      </c>
      <c r="X718" t="s">
        <v>33</v>
      </c>
      <c r="Y718" t="s">
        <v>2267</v>
      </c>
      <c r="Z718" t="s">
        <v>80</v>
      </c>
    </row>
    <row r="719" spans="1:26">
      <c r="A719" t="s">
        <v>2286</v>
      </c>
      <c r="B719" t="s">
        <v>2286</v>
      </c>
      <c r="C719" s="4">
        <v>45882</v>
      </c>
      <c r="D719">
        <v>2025</v>
      </c>
      <c r="E719">
        <v>8</v>
      </c>
      <c r="F719" t="s">
        <v>24</v>
      </c>
      <c r="G719" t="s">
        <v>89</v>
      </c>
      <c r="H719" t="s">
        <v>2287</v>
      </c>
      <c r="I719" t="s">
        <v>251</v>
      </c>
      <c r="J719" t="s">
        <v>659</v>
      </c>
      <c r="K719" t="s">
        <v>287</v>
      </c>
      <c r="L719">
        <v>1</v>
      </c>
      <c r="M719" s="5">
        <v>205.93</v>
      </c>
      <c r="N719" s="6">
        <v>20</v>
      </c>
      <c r="O719" s="5">
        <v>41.19</v>
      </c>
      <c r="P719" s="5">
        <v>24.71</v>
      </c>
      <c r="Q719" s="5">
        <v>164.74</v>
      </c>
      <c r="R719" s="5">
        <v>170.2</v>
      </c>
      <c r="S719" s="5">
        <v>-5.46</v>
      </c>
      <c r="T719" s="7">
        <v>-0.0331431346363968</v>
      </c>
      <c r="U719" t="s">
        <v>12</v>
      </c>
      <c r="V719" t="s">
        <v>50</v>
      </c>
      <c r="W719" t="s">
        <v>50</v>
      </c>
      <c r="X719" t="s">
        <v>35</v>
      </c>
      <c r="Y719" t="s">
        <v>2288</v>
      </c>
      <c r="Z719" t="s">
        <v>101</v>
      </c>
    </row>
    <row r="720" spans="1:26">
      <c r="A720" t="s">
        <v>2289</v>
      </c>
      <c r="B720" t="s">
        <v>2289</v>
      </c>
      <c r="C720" s="4">
        <v>45900</v>
      </c>
      <c r="D720">
        <v>2025</v>
      </c>
      <c r="E720">
        <v>8</v>
      </c>
      <c r="F720" t="s">
        <v>24</v>
      </c>
      <c r="G720" t="s">
        <v>89</v>
      </c>
      <c r="H720" t="s">
        <v>2290</v>
      </c>
      <c r="I720" t="s">
        <v>362</v>
      </c>
      <c r="J720" t="s">
        <v>654</v>
      </c>
      <c r="K720" t="s">
        <v>2291</v>
      </c>
      <c r="L720">
        <v>5</v>
      </c>
      <c r="M720" s="5">
        <v>329.69</v>
      </c>
      <c r="N720" s="6">
        <v>0</v>
      </c>
      <c r="O720" s="5">
        <v>0</v>
      </c>
      <c r="P720" s="5">
        <v>247.27</v>
      </c>
      <c r="Q720" s="5">
        <v>1895.72</v>
      </c>
      <c r="R720" s="5">
        <v>1236.25</v>
      </c>
      <c r="S720" s="5">
        <v>659.47</v>
      </c>
      <c r="T720" s="7">
        <v>0.347873103622898</v>
      </c>
      <c r="U720" t="s">
        <v>12</v>
      </c>
      <c r="V720" t="s">
        <v>50</v>
      </c>
      <c r="W720" t="s">
        <v>50</v>
      </c>
      <c r="X720" t="s">
        <v>33</v>
      </c>
      <c r="Y720" t="s">
        <v>2292</v>
      </c>
      <c r="Z720" t="s">
        <v>80</v>
      </c>
    </row>
    <row r="721" spans="1:26">
      <c r="A721" t="s">
        <v>2293</v>
      </c>
      <c r="B721" t="s">
        <v>2293</v>
      </c>
      <c r="C721" s="4">
        <v>46076</v>
      </c>
      <c r="D721">
        <v>2026</v>
      </c>
      <c r="E721">
        <v>2</v>
      </c>
      <c r="F721" t="s">
        <v>31</v>
      </c>
      <c r="G721" t="s">
        <v>82</v>
      </c>
      <c r="H721" t="s">
        <v>2294</v>
      </c>
      <c r="I721" t="s">
        <v>924</v>
      </c>
      <c r="J721" t="s">
        <v>435</v>
      </c>
      <c r="K721" t="s">
        <v>436</v>
      </c>
      <c r="L721">
        <v>3</v>
      </c>
      <c r="M721" s="5">
        <v>262.77</v>
      </c>
      <c r="N721" s="6">
        <v>20</v>
      </c>
      <c r="O721" s="5">
        <v>157.66</v>
      </c>
      <c r="P721" s="5">
        <v>94.6</v>
      </c>
      <c r="Q721" s="5">
        <v>630.65</v>
      </c>
      <c r="R721" s="5">
        <v>583.92</v>
      </c>
      <c r="S721" s="5">
        <v>46.73</v>
      </c>
      <c r="T721" s="7">
        <v>0.0740981526995957</v>
      </c>
      <c r="U721" t="s">
        <v>13</v>
      </c>
      <c r="V721" t="s">
        <v>50</v>
      </c>
      <c r="W721" t="s">
        <v>50</v>
      </c>
      <c r="X721" t="s">
        <v>33</v>
      </c>
      <c r="Y721" t="s">
        <v>2295</v>
      </c>
      <c r="Z721" t="s">
        <v>101</v>
      </c>
    </row>
    <row r="722" spans="1:26">
      <c r="A722" t="s">
        <v>2296</v>
      </c>
      <c r="B722" t="s">
        <v>2296</v>
      </c>
      <c r="C722" s="4">
        <v>45923</v>
      </c>
      <c r="D722">
        <v>2025</v>
      </c>
      <c r="E722">
        <v>9</v>
      </c>
      <c r="F722" t="s">
        <v>25</v>
      </c>
      <c r="G722" t="s">
        <v>89</v>
      </c>
      <c r="H722" t="s">
        <v>2297</v>
      </c>
      <c r="I722" t="s">
        <v>592</v>
      </c>
      <c r="J722" t="s">
        <v>1347</v>
      </c>
      <c r="K722" t="s">
        <v>949</v>
      </c>
      <c r="L722">
        <v>2</v>
      </c>
      <c r="M722" s="5">
        <v>221.61</v>
      </c>
      <c r="N722" s="6">
        <v>0</v>
      </c>
      <c r="O722" s="5">
        <v>0</v>
      </c>
      <c r="P722" s="5">
        <v>66.48</v>
      </c>
      <c r="Q722" s="5">
        <v>443.22</v>
      </c>
      <c r="R722" s="5">
        <v>364.34</v>
      </c>
      <c r="S722" s="5">
        <v>78.88</v>
      </c>
      <c r="T722" s="7">
        <v>0.177970308199088</v>
      </c>
      <c r="U722" t="s">
        <v>14</v>
      </c>
      <c r="V722" t="s">
        <v>50</v>
      </c>
      <c r="W722" t="s">
        <v>50</v>
      </c>
      <c r="X722" t="s">
        <v>33</v>
      </c>
      <c r="Y722" t="s">
        <v>2298</v>
      </c>
      <c r="Z722" t="s">
        <v>101</v>
      </c>
    </row>
    <row r="723" spans="1:26">
      <c r="A723" t="s">
        <v>2299</v>
      </c>
      <c r="B723" t="s">
        <v>2299</v>
      </c>
      <c r="C723" s="4">
        <v>45881</v>
      </c>
      <c r="D723">
        <v>2025</v>
      </c>
      <c r="E723">
        <v>8</v>
      </c>
      <c r="F723" t="s">
        <v>24</v>
      </c>
      <c r="G723" t="s">
        <v>89</v>
      </c>
      <c r="H723" t="s">
        <v>973</v>
      </c>
      <c r="I723" t="s">
        <v>574</v>
      </c>
      <c r="J723" t="s">
        <v>1940</v>
      </c>
      <c r="K723" t="s">
        <v>1351</v>
      </c>
      <c r="L723">
        <v>8</v>
      </c>
      <c r="M723" s="5">
        <v>141.26</v>
      </c>
      <c r="N723" s="6">
        <v>10</v>
      </c>
      <c r="O723" s="5">
        <v>113.01</v>
      </c>
      <c r="P723" s="5">
        <v>152.56</v>
      </c>
      <c r="Q723" s="5">
        <v>1017.07</v>
      </c>
      <c r="R723" s="5">
        <v>765.6</v>
      </c>
      <c r="S723" s="5">
        <v>251.47</v>
      </c>
      <c r="T723" s="7">
        <v>0.247249451856804</v>
      </c>
      <c r="U723" t="s">
        <v>10</v>
      </c>
      <c r="V723" t="s">
        <v>50</v>
      </c>
      <c r="W723" t="s">
        <v>50</v>
      </c>
      <c r="X723" t="s">
        <v>33</v>
      </c>
      <c r="Y723" t="s">
        <v>2300</v>
      </c>
      <c r="Z723" t="s">
        <v>101</v>
      </c>
    </row>
    <row r="724" spans="1:26">
      <c r="A724" t="s">
        <v>2301</v>
      </c>
      <c r="B724" t="s">
        <v>2301</v>
      </c>
      <c r="C724" s="4">
        <v>45990</v>
      </c>
      <c r="D724">
        <v>2025</v>
      </c>
      <c r="E724">
        <v>11</v>
      </c>
      <c r="F724" t="s">
        <v>27</v>
      </c>
      <c r="G724" t="s">
        <v>137</v>
      </c>
      <c r="H724" t="s">
        <v>389</v>
      </c>
      <c r="I724" t="s">
        <v>947</v>
      </c>
      <c r="J724" t="s">
        <v>296</v>
      </c>
      <c r="K724" t="s">
        <v>297</v>
      </c>
      <c r="L724">
        <v>7</v>
      </c>
      <c r="M724" s="5">
        <v>533.58</v>
      </c>
      <c r="N724" s="6">
        <v>0</v>
      </c>
      <c r="O724" s="5">
        <v>0</v>
      </c>
      <c r="P724" s="5">
        <v>560.26</v>
      </c>
      <c r="Q724" s="5">
        <v>4295.32</v>
      </c>
      <c r="R724" s="5">
        <v>2783.83</v>
      </c>
      <c r="S724" s="5">
        <v>1511.49</v>
      </c>
      <c r="T724" s="7">
        <v>0.351892292076027</v>
      </c>
      <c r="U724" t="s">
        <v>10</v>
      </c>
      <c r="V724" t="s">
        <v>50</v>
      </c>
      <c r="W724" t="s">
        <v>50</v>
      </c>
      <c r="X724" t="s">
        <v>33</v>
      </c>
      <c r="Y724" t="s">
        <v>2302</v>
      </c>
      <c r="Z724" t="s">
        <v>80</v>
      </c>
    </row>
    <row r="725" spans="1:26">
      <c r="A725" t="s">
        <v>2303</v>
      </c>
      <c r="B725" t="s">
        <v>2303</v>
      </c>
      <c r="C725" s="4">
        <v>45933</v>
      </c>
      <c r="D725">
        <v>2025</v>
      </c>
      <c r="E725">
        <v>10</v>
      </c>
      <c r="F725" t="s">
        <v>26</v>
      </c>
      <c r="G725" t="s">
        <v>137</v>
      </c>
      <c r="H725" t="s">
        <v>1587</v>
      </c>
      <c r="I725" t="s">
        <v>703</v>
      </c>
      <c r="J725" t="s">
        <v>471</v>
      </c>
      <c r="K725" t="s">
        <v>766</v>
      </c>
      <c r="L725">
        <v>3</v>
      </c>
      <c r="M725" s="5">
        <v>242.16</v>
      </c>
      <c r="N725" s="6">
        <v>0</v>
      </c>
      <c r="O725" s="5">
        <v>0</v>
      </c>
      <c r="P725" s="5">
        <v>108.97</v>
      </c>
      <c r="Q725" s="5">
        <v>726.48</v>
      </c>
      <c r="R725" s="5">
        <v>577.17</v>
      </c>
      <c r="S725" s="5">
        <v>149.31</v>
      </c>
      <c r="T725" s="7">
        <v>0.205525272547076</v>
      </c>
      <c r="U725" t="s">
        <v>13</v>
      </c>
      <c r="V725" t="s">
        <v>50</v>
      </c>
      <c r="W725" t="s">
        <v>50</v>
      </c>
      <c r="X725" t="s">
        <v>33</v>
      </c>
      <c r="Y725" t="s">
        <v>2304</v>
      </c>
      <c r="Z725" t="s">
        <v>101</v>
      </c>
    </row>
    <row r="726" spans="1:26">
      <c r="A726" t="s">
        <v>2305</v>
      </c>
      <c r="B726" t="s">
        <v>2305</v>
      </c>
      <c r="C726" s="4">
        <v>45928</v>
      </c>
      <c r="D726">
        <v>2025</v>
      </c>
      <c r="E726">
        <v>9</v>
      </c>
      <c r="F726" t="s">
        <v>25</v>
      </c>
      <c r="G726" t="s">
        <v>89</v>
      </c>
      <c r="H726" t="s">
        <v>2306</v>
      </c>
      <c r="I726" t="s">
        <v>1742</v>
      </c>
      <c r="J726" t="s">
        <v>659</v>
      </c>
      <c r="K726" t="s">
        <v>287</v>
      </c>
      <c r="L726">
        <v>3</v>
      </c>
      <c r="M726" s="5">
        <v>268.32</v>
      </c>
      <c r="N726" s="6">
        <v>20</v>
      </c>
      <c r="O726" s="5">
        <v>160.99</v>
      </c>
      <c r="P726" s="5">
        <v>96.6</v>
      </c>
      <c r="Q726" s="5">
        <v>740.57</v>
      </c>
      <c r="R726" s="5">
        <v>724.32</v>
      </c>
      <c r="S726" s="5">
        <v>16.25</v>
      </c>
      <c r="T726" s="7">
        <v>0.0219425577595636</v>
      </c>
      <c r="U726" t="s">
        <v>9</v>
      </c>
      <c r="V726" t="s">
        <v>50</v>
      </c>
      <c r="W726" t="s">
        <v>50</v>
      </c>
      <c r="X726" t="s">
        <v>33</v>
      </c>
      <c r="Y726" t="s">
        <v>2307</v>
      </c>
      <c r="Z726" t="s">
        <v>80</v>
      </c>
    </row>
    <row r="727" spans="1:26">
      <c r="A727" t="s">
        <v>2308</v>
      </c>
      <c r="B727" t="s">
        <v>2308</v>
      </c>
      <c r="C727" s="4">
        <v>45882</v>
      </c>
      <c r="D727">
        <v>2025</v>
      </c>
      <c r="E727">
        <v>8</v>
      </c>
      <c r="F727" t="s">
        <v>24</v>
      </c>
      <c r="G727" t="s">
        <v>89</v>
      </c>
      <c r="H727" t="s">
        <v>439</v>
      </c>
      <c r="I727" t="s">
        <v>196</v>
      </c>
      <c r="J727" t="s">
        <v>2044</v>
      </c>
      <c r="K727" t="s">
        <v>1209</v>
      </c>
      <c r="L727">
        <v>5</v>
      </c>
      <c r="M727" s="5">
        <v>332.73</v>
      </c>
      <c r="N727" s="6">
        <v>20</v>
      </c>
      <c r="O727" s="5">
        <v>332.73</v>
      </c>
      <c r="P727" s="5">
        <v>199.64</v>
      </c>
      <c r="Q727" s="5">
        <v>1330.92</v>
      </c>
      <c r="R727" s="5">
        <v>1306.1</v>
      </c>
      <c r="S727" s="5">
        <v>24.82</v>
      </c>
      <c r="T727" s="7">
        <v>0.0186487542451838</v>
      </c>
      <c r="U727" t="s">
        <v>11</v>
      </c>
      <c r="V727" t="s">
        <v>50</v>
      </c>
      <c r="W727" t="s">
        <v>50</v>
      </c>
      <c r="X727" t="s">
        <v>33</v>
      </c>
      <c r="Y727" t="s">
        <v>1563</v>
      </c>
      <c r="Z727" t="s">
        <v>101</v>
      </c>
    </row>
    <row r="728" spans="1:26">
      <c r="A728" t="s">
        <v>2309</v>
      </c>
      <c r="B728" t="s">
        <v>2309</v>
      </c>
      <c r="C728" s="4">
        <v>45956</v>
      </c>
      <c r="D728">
        <v>2025</v>
      </c>
      <c r="E728">
        <v>10</v>
      </c>
      <c r="F728" t="s">
        <v>26</v>
      </c>
      <c r="G728" t="s">
        <v>137</v>
      </c>
      <c r="H728" t="s">
        <v>2138</v>
      </c>
      <c r="I728" t="s">
        <v>395</v>
      </c>
      <c r="J728" t="s">
        <v>42</v>
      </c>
      <c r="K728" t="s">
        <v>1191</v>
      </c>
      <c r="L728">
        <v>6</v>
      </c>
      <c r="M728" s="5">
        <v>449.18</v>
      </c>
      <c r="N728" s="6">
        <v>0</v>
      </c>
      <c r="O728" s="5">
        <v>0</v>
      </c>
      <c r="P728" s="5">
        <v>404.26</v>
      </c>
      <c r="Q728" s="5">
        <v>3099.34</v>
      </c>
      <c r="R728" s="5">
        <v>1953.66</v>
      </c>
      <c r="S728" s="5">
        <v>1145.68</v>
      </c>
      <c r="T728" s="7">
        <v>0.369652893841915</v>
      </c>
      <c r="U728" t="s">
        <v>11</v>
      </c>
      <c r="V728" t="s">
        <v>50</v>
      </c>
      <c r="W728" t="s">
        <v>50</v>
      </c>
      <c r="X728" t="s">
        <v>35</v>
      </c>
      <c r="Y728" t="s">
        <v>1315</v>
      </c>
      <c r="Z728" t="s">
        <v>80</v>
      </c>
    </row>
    <row r="729" spans="1:26">
      <c r="A729" t="s">
        <v>2310</v>
      </c>
      <c r="B729" t="s">
        <v>2310</v>
      </c>
      <c r="C729" s="4">
        <v>46046</v>
      </c>
      <c r="D729">
        <v>2026</v>
      </c>
      <c r="E729">
        <v>1</v>
      </c>
      <c r="F729" t="s">
        <v>30</v>
      </c>
      <c r="G729" t="s">
        <v>82</v>
      </c>
      <c r="H729" t="s">
        <v>2138</v>
      </c>
      <c r="I729" t="s">
        <v>268</v>
      </c>
      <c r="J729" t="s">
        <v>955</v>
      </c>
      <c r="K729" t="s">
        <v>2311</v>
      </c>
      <c r="L729">
        <v>5</v>
      </c>
      <c r="M729" s="5">
        <v>336.33</v>
      </c>
      <c r="N729" s="6">
        <v>10</v>
      </c>
      <c r="O729" s="5">
        <v>168.16</v>
      </c>
      <c r="P729" s="5">
        <v>227.02</v>
      </c>
      <c r="Q729" s="5">
        <v>1740.51</v>
      </c>
      <c r="R729" s="5">
        <v>1026.35</v>
      </c>
      <c r="S729" s="5">
        <v>714.16</v>
      </c>
      <c r="T729" s="7">
        <v>0.410316516423347</v>
      </c>
      <c r="U729" t="s">
        <v>14</v>
      </c>
      <c r="V729" t="s">
        <v>50</v>
      </c>
      <c r="W729" t="s">
        <v>50</v>
      </c>
      <c r="X729" t="s">
        <v>33</v>
      </c>
      <c r="Y729" t="s">
        <v>2210</v>
      </c>
      <c r="Z729" t="s">
        <v>80</v>
      </c>
    </row>
    <row r="730" spans="1:26">
      <c r="A730" t="s">
        <v>2312</v>
      </c>
      <c r="B730" t="s">
        <v>2312</v>
      </c>
      <c r="C730" s="4">
        <v>46010</v>
      </c>
      <c r="D730">
        <v>2025</v>
      </c>
      <c r="E730">
        <v>12</v>
      </c>
      <c r="F730" t="s">
        <v>28</v>
      </c>
      <c r="G730" t="s">
        <v>137</v>
      </c>
      <c r="H730" t="s">
        <v>2313</v>
      </c>
      <c r="I730" t="s">
        <v>180</v>
      </c>
      <c r="J730" t="s">
        <v>1347</v>
      </c>
      <c r="K730" t="s">
        <v>564</v>
      </c>
      <c r="L730">
        <v>3</v>
      </c>
      <c r="M730" s="5">
        <v>379.12</v>
      </c>
      <c r="N730" s="6">
        <v>5</v>
      </c>
      <c r="O730" s="5">
        <v>56.87</v>
      </c>
      <c r="P730" s="5">
        <v>162.07</v>
      </c>
      <c r="Q730" s="5">
        <v>1080.49</v>
      </c>
      <c r="R730" s="5">
        <v>879.15</v>
      </c>
      <c r="S730" s="5">
        <v>201.34</v>
      </c>
      <c r="T730" s="7">
        <v>0.186341382150691</v>
      </c>
      <c r="U730" t="s">
        <v>12</v>
      </c>
      <c r="V730" t="s">
        <v>50</v>
      </c>
      <c r="W730" t="s">
        <v>50</v>
      </c>
      <c r="X730" t="s">
        <v>35</v>
      </c>
      <c r="Y730" t="s">
        <v>1644</v>
      </c>
      <c r="Z730" t="s">
        <v>101</v>
      </c>
    </row>
    <row r="731" spans="1:26">
      <c r="A731" t="s">
        <v>2314</v>
      </c>
      <c r="B731" t="s">
        <v>2314</v>
      </c>
      <c r="C731" s="4">
        <v>45883</v>
      </c>
      <c r="D731">
        <v>2025</v>
      </c>
      <c r="E731">
        <v>8</v>
      </c>
      <c r="F731" t="s">
        <v>24</v>
      </c>
      <c r="G731" t="s">
        <v>89</v>
      </c>
      <c r="H731" t="s">
        <v>2315</v>
      </c>
      <c r="I731" t="s">
        <v>769</v>
      </c>
      <c r="J731" t="s">
        <v>1468</v>
      </c>
      <c r="K731" t="s">
        <v>287</v>
      </c>
      <c r="L731">
        <v>1</v>
      </c>
      <c r="M731" s="5">
        <v>227</v>
      </c>
      <c r="N731" s="6">
        <v>0</v>
      </c>
      <c r="O731" s="5">
        <v>0</v>
      </c>
      <c r="P731" s="5">
        <v>34.05</v>
      </c>
      <c r="Q731" s="5">
        <v>227</v>
      </c>
      <c r="R731" s="5">
        <v>196.3</v>
      </c>
      <c r="S731" s="5">
        <v>30.7</v>
      </c>
      <c r="T731" s="7">
        <v>0.135242290748899</v>
      </c>
      <c r="U731" t="s">
        <v>12</v>
      </c>
      <c r="V731" t="s">
        <v>50</v>
      </c>
      <c r="W731" t="s">
        <v>50</v>
      </c>
      <c r="X731" t="s">
        <v>33</v>
      </c>
      <c r="Y731" t="s">
        <v>1569</v>
      </c>
      <c r="Z731" t="s">
        <v>101</v>
      </c>
    </row>
    <row r="732" spans="1:26">
      <c r="A732" t="s">
        <v>2316</v>
      </c>
      <c r="B732" t="s">
        <v>2316</v>
      </c>
      <c r="C732" s="4">
        <v>45914</v>
      </c>
      <c r="D732">
        <v>2025</v>
      </c>
      <c r="E732">
        <v>9</v>
      </c>
      <c r="F732" t="s">
        <v>25</v>
      </c>
      <c r="G732" t="s">
        <v>89</v>
      </c>
      <c r="H732" t="s">
        <v>2317</v>
      </c>
      <c r="I732" t="s">
        <v>163</v>
      </c>
      <c r="J732" t="s">
        <v>45</v>
      </c>
      <c r="K732" t="s">
        <v>1351</v>
      </c>
      <c r="L732">
        <v>4</v>
      </c>
      <c r="M732" s="5">
        <v>253.11</v>
      </c>
      <c r="N732" s="6">
        <v>5</v>
      </c>
      <c r="O732" s="5">
        <v>50.62</v>
      </c>
      <c r="P732" s="5">
        <v>144.27</v>
      </c>
      <c r="Q732" s="5">
        <v>1106.09</v>
      </c>
      <c r="R732" s="5">
        <v>762.96</v>
      </c>
      <c r="S732" s="5">
        <v>343.13</v>
      </c>
      <c r="T732" s="7">
        <v>0.31021887911472</v>
      </c>
      <c r="U732" t="s">
        <v>12</v>
      </c>
      <c r="V732" t="s">
        <v>50</v>
      </c>
      <c r="W732" t="s">
        <v>50</v>
      </c>
      <c r="X732" t="s">
        <v>33</v>
      </c>
      <c r="Y732" t="s">
        <v>2210</v>
      </c>
      <c r="Z732" t="s">
        <v>80</v>
      </c>
    </row>
    <row r="733" spans="1:26">
      <c r="A733" t="s">
        <v>2318</v>
      </c>
      <c r="B733" t="s">
        <v>2318</v>
      </c>
      <c r="C733" s="4">
        <v>45883</v>
      </c>
      <c r="D733">
        <v>2025</v>
      </c>
      <c r="E733">
        <v>8</v>
      </c>
      <c r="F733" t="s">
        <v>24</v>
      </c>
      <c r="G733" t="s">
        <v>89</v>
      </c>
      <c r="H733" t="s">
        <v>1745</v>
      </c>
      <c r="I733" t="s">
        <v>411</v>
      </c>
      <c r="J733" t="s">
        <v>257</v>
      </c>
      <c r="K733" t="s">
        <v>258</v>
      </c>
      <c r="L733">
        <v>6</v>
      </c>
      <c r="M733" s="5">
        <v>475.53</v>
      </c>
      <c r="N733" s="6">
        <v>20</v>
      </c>
      <c r="O733" s="5">
        <v>570.64</v>
      </c>
      <c r="P733" s="5">
        <v>342.38</v>
      </c>
      <c r="Q733" s="5">
        <v>2282.54</v>
      </c>
      <c r="R733" s="5">
        <v>2321.34</v>
      </c>
      <c r="S733" s="5">
        <v>-38.8</v>
      </c>
      <c r="T733" s="7">
        <v>-0.0169986068152146</v>
      </c>
      <c r="U733" t="s">
        <v>12</v>
      </c>
      <c r="V733" t="s">
        <v>50</v>
      </c>
      <c r="W733" t="s">
        <v>50</v>
      </c>
      <c r="X733" t="s">
        <v>33</v>
      </c>
      <c r="Y733" t="s">
        <v>794</v>
      </c>
      <c r="Z733" t="s">
        <v>101</v>
      </c>
    </row>
    <row r="734" spans="1:26">
      <c r="A734" t="s">
        <v>2319</v>
      </c>
      <c r="B734" t="s">
        <v>2319</v>
      </c>
      <c r="C734" s="4">
        <v>45762</v>
      </c>
      <c r="D734">
        <v>2025</v>
      </c>
      <c r="E734">
        <v>4</v>
      </c>
      <c r="F734" t="s">
        <v>20</v>
      </c>
      <c r="G734" t="s">
        <v>74</v>
      </c>
      <c r="H734" t="s">
        <v>2320</v>
      </c>
      <c r="I734" t="s">
        <v>91</v>
      </c>
      <c r="J734" t="s">
        <v>1718</v>
      </c>
      <c r="K734" t="s">
        <v>1473</v>
      </c>
      <c r="L734">
        <v>4</v>
      </c>
      <c r="M734" s="5">
        <v>234.86</v>
      </c>
      <c r="N734" s="6">
        <v>15</v>
      </c>
      <c r="O734" s="5">
        <v>140.92</v>
      </c>
      <c r="P734" s="5">
        <v>119.78</v>
      </c>
      <c r="Q734" s="5">
        <v>798.52</v>
      </c>
      <c r="R734" s="5">
        <v>852.92</v>
      </c>
      <c r="S734" s="5">
        <v>-54.4</v>
      </c>
      <c r="T734" s="7">
        <v>-0.0681260331613485</v>
      </c>
      <c r="U734" t="s">
        <v>12</v>
      </c>
      <c r="V734" t="s">
        <v>50</v>
      </c>
      <c r="W734" t="s">
        <v>50</v>
      </c>
      <c r="X734" t="s">
        <v>33</v>
      </c>
      <c r="Y734" t="s">
        <v>1674</v>
      </c>
      <c r="Z734" t="s">
        <v>101</v>
      </c>
    </row>
    <row r="735" spans="1:26">
      <c r="A735" t="s">
        <v>2321</v>
      </c>
      <c r="B735" t="s">
        <v>2321</v>
      </c>
      <c r="C735" s="4">
        <v>45829</v>
      </c>
      <c r="D735">
        <v>2025</v>
      </c>
      <c r="E735">
        <v>6</v>
      </c>
      <c r="F735" t="s">
        <v>22</v>
      </c>
      <c r="G735" t="s">
        <v>74</v>
      </c>
      <c r="H735" t="s">
        <v>1176</v>
      </c>
      <c r="I735" t="s">
        <v>1704</v>
      </c>
      <c r="J735" t="s">
        <v>894</v>
      </c>
      <c r="K735" t="s">
        <v>895</v>
      </c>
      <c r="L735">
        <v>4</v>
      </c>
      <c r="M735" s="5">
        <v>242.22</v>
      </c>
      <c r="N735" s="6">
        <v>0</v>
      </c>
      <c r="O735" s="5">
        <v>0</v>
      </c>
      <c r="P735" s="5">
        <v>145.33</v>
      </c>
      <c r="Q735" s="5">
        <v>1114.21</v>
      </c>
      <c r="R735" s="5">
        <v>744.16</v>
      </c>
      <c r="S735" s="5">
        <v>370.05</v>
      </c>
      <c r="T735" s="7">
        <v>0.332118720887445</v>
      </c>
      <c r="U735" t="s">
        <v>11</v>
      </c>
      <c r="V735" t="s">
        <v>50</v>
      </c>
      <c r="W735" t="s">
        <v>50</v>
      </c>
      <c r="X735" t="s">
        <v>34</v>
      </c>
      <c r="Y735" t="s">
        <v>2060</v>
      </c>
      <c r="Z735" t="s">
        <v>80</v>
      </c>
    </row>
    <row r="736" spans="1:26">
      <c r="A736" t="s">
        <v>2322</v>
      </c>
      <c r="B736" t="s">
        <v>2322</v>
      </c>
      <c r="C736" s="4">
        <v>45871</v>
      </c>
      <c r="D736">
        <v>2025</v>
      </c>
      <c r="E736">
        <v>8</v>
      </c>
      <c r="F736" t="s">
        <v>24</v>
      </c>
      <c r="G736" t="s">
        <v>89</v>
      </c>
      <c r="H736" t="s">
        <v>2323</v>
      </c>
      <c r="I736" t="s">
        <v>190</v>
      </c>
      <c r="J736" t="s">
        <v>1219</v>
      </c>
      <c r="K736" t="s">
        <v>1753</v>
      </c>
      <c r="L736">
        <v>2</v>
      </c>
      <c r="M736" s="5">
        <v>437.49</v>
      </c>
      <c r="N736" s="6">
        <v>0</v>
      </c>
      <c r="O736" s="5">
        <v>0</v>
      </c>
      <c r="P736" s="5">
        <v>131.25</v>
      </c>
      <c r="Q736" s="5">
        <v>1006.23</v>
      </c>
      <c r="R736" s="5">
        <v>530.88</v>
      </c>
      <c r="S736" s="5">
        <v>475.35</v>
      </c>
      <c r="T736" s="7">
        <v>0.472406904981962</v>
      </c>
      <c r="U736" t="s">
        <v>12</v>
      </c>
      <c r="V736" t="s">
        <v>50</v>
      </c>
      <c r="W736" t="s">
        <v>50</v>
      </c>
      <c r="X736" t="s">
        <v>35</v>
      </c>
      <c r="Y736" t="s">
        <v>2154</v>
      </c>
      <c r="Z736" t="s">
        <v>80</v>
      </c>
    </row>
    <row r="737" spans="1:26">
      <c r="A737" t="s">
        <v>2324</v>
      </c>
      <c r="B737" t="s">
        <v>2324</v>
      </c>
      <c r="C737" s="4">
        <v>45949</v>
      </c>
      <c r="D737">
        <v>2025</v>
      </c>
      <c r="E737">
        <v>10</v>
      </c>
      <c r="F737" t="s">
        <v>26</v>
      </c>
      <c r="G737" t="s">
        <v>137</v>
      </c>
      <c r="H737" t="s">
        <v>1660</v>
      </c>
      <c r="I737" t="s">
        <v>196</v>
      </c>
      <c r="J737" t="s">
        <v>1405</v>
      </c>
      <c r="K737" t="s">
        <v>2102</v>
      </c>
      <c r="L737">
        <v>8</v>
      </c>
      <c r="M737" s="5">
        <v>355.49</v>
      </c>
      <c r="N737" s="6">
        <v>0</v>
      </c>
      <c r="O737" s="5">
        <v>0</v>
      </c>
      <c r="P737" s="5">
        <v>426.59</v>
      </c>
      <c r="Q737" s="5">
        <v>3270.51</v>
      </c>
      <c r="R737" s="5">
        <v>2089.76</v>
      </c>
      <c r="S737" s="5">
        <v>1180.75</v>
      </c>
      <c r="T737" s="7">
        <v>0.361029319586242</v>
      </c>
      <c r="U737" t="s">
        <v>13</v>
      </c>
      <c r="V737" t="s">
        <v>51</v>
      </c>
      <c r="W737" t="s">
        <v>51</v>
      </c>
      <c r="X737" t="s">
        <v>33</v>
      </c>
      <c r="Y737" t="s">
        <v>2325</v>
      </c>
      <c r="Z737" t="s">
        <v>80</v>
      </c>
    </row>
    <row r="738" spans="1:26">
      <c r="A738" t="s">
        <v>2326</v>
      </c>
      <c r="B738" t="s">
        <v>2326</v>
      </c>
      <c r="C738" s="4">
        <v>45979</v>
      </c>
      <c r="D738">
        <v>2025</v>
      </c>
      <c r="E738">
        <v>11</v>
      </c>
      <c r="F738" t="s">
        <v>27</v>
      </c>
      <c r="G738" t="s">
        <v>137</v>
      </c>
      <c r="H738" t="s">
        <v>764</v>
      </c>
      <c r="I738" t="s">
        <v>163</v>
      </c>
      <c r="J738" t="s">
        <v>1100</v>
      </c>
      <c r="K738" t="s">
        <v>352</v>
      </c>
      <c r="L738">
        <v>6</v>
      </c>
      <c r="M738" s="5">
        <v>271.96</v>
      </c>
      <c r="N738" s="6">
        <v>0</v>
      </c>
      <c r="O738" s="5">
        <v>0</v>
      </c>
      <c r="P738" s="5">
        <v>244.76</v>
      </c>
      <c r="Q738" s="5">
        <v>1631.76</v>
      </c>
      <c r="R738" s="5">
        <v>1144.44</v>
      </c>
      <c r="S738" s="5">
        <v>487.32</v>
      </c>
      <c r="T738" s="7">
        <v>0.298646859832328</v>
      </c>
      <c r="U738" t="s">
        <v>12</v>
      </c>
      <c r="V738" t="s">
        <v>50</v>
      </c>
      <c r="W738" t="s">
        <v>50</v>
      </c>
      <c r="X738" t="s">
        <v>33</v>
      </c>
      <c r="Y738" t="s">
        <v>2327</v>
      </c>
      <c r="Z738" t="s">
        <v>101</v>
      </c>
    </row>
    <row r="739" spans="1:26">
      <c r="A739" t="s">
        <v>2328</v>
      </c>
      <c r="B739" t="s">
        <v>2328</v>
      </c>
      <c r="C739" s="4">
        <v>46020</v>
      </c>
      <c r="D739">
        <v>2025</v>
      </c>
      <c r="E739">
        <v>12</v>
      </c>
      <c r="F739" t="s">
        <v>28</v>
      </c>
      <c r="G739" t="s">
        <v>137</v>
      </c>
      <c r="H739" t="s">
        <v>337</v>
      </c>
      <c r="I739" t="s">
        <v>514</v>
      </c>
      <c r="J739" t="s">
        <v>1014</v>
      </c>
      <c r="K739" t="s">
        <v>1015</v>
      </c>
      <c r="L739">
        <v>8</v>
      </c>
      <c r="M739" s="5">
        <v>677.38</v>
      </c>
      <c r="N739" s="6">
        <v>0</v>
      </c>
      <c r="O739" s="5">
        <v>0</v>
      </c>
      <c r="P739" s="5">
        <v>812.86</v>
      </c>
      <c r="Q739" s="5">
        <v>5419.04</v>
      </c>
      <c r="R739" s="5">
        <v>2749.2</v>
      </c>
      <c r="S739" s="5">
        <v>2669.84</v>
      </c>
      <c r="T739" s="7">
        <v>0.492677669845581</v>
      </c>
      <c r="U739" t="s">
        <v>11</v>
      </c>
      <c r="V739" t="s">
        <v>51</v>
      </c>
      <c r="W739" t="s">
        <v>51</v>
      </c>
      <c r="X739" t="s">
        <v>33</v>
      </c>
      <c r="Y739" t="s">
        <v>347</v>
      </c>
      <c r="Z739" t="s">
        <v>101</v>
      </c>
    </row>
    <row r="740" spans="1:26">
      <c r="A740" t="s">
        <v>2329</v>
      </c>
      <c r="B740" t="s">
        <v>2329</v>
      </c>
      <c r="C740" s="4">
        <v>46000</v>
      </c>
      <c r="D740">
        <v>2025</v>
      </c>
      <c r="E740">
        <v>12</v>
      </c>
      <c r="F740" t="s">
        <v>28</v>
      </c>
      <c r="G740" t="s">
        <v>137</v>
      </c>
      <c r="H740" t="s">
        <v>2330</v>
      </c>
      <c r="I740" t="s">
        <v>110</v>
      </c>
      <c r="J740" t="s">
        <v>226</v>
      </c>
      <c r="K740" t="s">
        <v>380</v>
      </c>
      <c r="L740">
        <v>5</v>
      </c>
      <c r="M740" s="5">
        <v>342.46</v>
      </c>
      <c r="N740" s="6">
        <v>0</v>
      </c>
      <c r="O740" s="5">
        <v>0</v>
      </c>
      <c r="P740" s="5">
        <v>256.84</v>
      </c>
      <c r="Q740" s="5">
        <v>1712.3</v>
      </c>
      <c r="R740" s="5">
        <v>1358.9</v>
      </c>
      <c r="S740" s="5">
        <v>353.4</v>
      </c>
      <c r="T740" s="7">
        <v>0.206389067336331</v>
      </c>
      <c r="U740" t="s">
        <v>13</v>
      </c>
      <c r="V740" t="s">
        <v>50</v>
      </c>
      <c r="W740" t="s">
        <v>50</v>
      </c>
      <c r="X740" t="s">
        <v>33</v>
      </c>
      <c r="Y740" t="s">
        <v>2331</v>
      </c>
      <c r="Z740" t="s">
        <v>101</v>
      </c>
    </row>
    <row r="741" spans="1:26">
      <c r="A741" t="s">
        <v>2332</v>
      </c>
      <c r="B741" t="s">
        <v>2332</v>
      </c>
      <c r="C741" s="4">
        <v>45999</v>
      </c>
      <c r="D741">
        <v>2025</v>
      </c>
      <c r="E741">
        <v>12</v>
      </c>
      <c r="F741" t="s">
        <v>28</v>
      </c>
      <c r="G741" t="s">
        <v>137</v>
      </c>
      <c r="H741" t="s">
        <v>1223</v>
      </c>
      <c r="I741" t="s">
        <v>295</v>
      </c>
      <c r="J741" t="s">
        <v>351</v>
      </c>
      <c r="K741" t="s">
        <v>78</v>
      </c>
      <c r="L741">
        <v>3</v>
      </c>
      <c r="M741" s="5">
        <v>350.83</v>
      </c>
      <c r="N741" s="6">
        <v>10</v>
      </c>
      <c r="O741" s="5">
        <v>105.25</v>
      </c>
      <c r="P741" s="5">
        <v>142.09</v>
      </c>
      <c r="Q741" s="5">
        <v>947.24</v>
      </c>
      <c r="R741" s="5">
        <v>814.59</v>
      </c>
      <c r="S741" s="5">
        <v>132.65</v>
      </c>
      <c r="T741" s="7">
        <v>0.140038427431274</v>
      </c>
      <c r="U741" t="s">
        <v>13</v>
      </c>
      <c r="V741" t="s">
        <v>50</v>
      </c>
      <c r="W741" t="s">
        <v>50</v>
      </c>
      <c r="X741" t="s">
        <v>33</v>
      </c>
      <c r="Y741" t="s">
        <v>2333</v>
      </c>
      <c r="Z741" t="s">
        <v>101</v>
      </c>
    </row>
    <row r="742" spans="1:26">
      <c r="A742" t="s">
        <v>2334</v>
      </c>
      <c r="B742" t="s">
        <v>2334</v>
      </c>
      <c r="C742" s="4">
        <v>45914</v>
      </c>
      <c r="D742">
        <v>2025</v>
      </c>
      <c r="E742">
        <v>9</v>
      </c>
      <c r="F742" t="s">
        <v>25</v>
      </c>
      <c r="G742" t="s">
        <v>89</v>
      </c>
      <c r="H742" t="s">
        <v>1930</v>
      </c>
      <c r="I742" t="s">
        <v>1686</v>
      </c>
      <c r="J742" t="s">
        <v>548</v>
      </c>
      <c r="K742" t="s">
        <v>1427</v>
      </c>
      <c r="L742">
        <v>3</v>
      </c>
      <c r="M742" s="5">
        <v>232.2</v>
      </c>
      <c r="N742" s="6">
        <v>0</v>
      </c>
      <c r="O742" s="5">
        <v>0</v>
      </c>
      <c r="P742" s="5">
        <v>104.49</v>
      </c>
      <c r="Q742" s="5">
        <v>801.09</v>
      </c>
      <c r="R742" s="5">
        <v>482.94</v>
      </c>
      <c r="S742" s="5">
        <v>318.15</v>
      </c>
      <c r="T742" s="7">
        <v>0.397146388046287</v>
      </c>
      <c r="U742" t="s">
        <v>9</v>
      </c>
      <c r="V742" t="s">
        <v>50</v>
      </c>
      <c r="W742" t="s">
        <v>50</v>
      </c>
      <c r="X742" t="s">
        <v>33</v>
      </c>
      <c r="Y742" t="s">
        <v>2335</v>
      </c>
      <c r="Z742" t="s">
        <v>80</v>
      </c>
    </row>
    <row r="743" spans="1:26">
      <c r="A743" t="s">
        <v>2336</v>
      </c>
      <c r="B743" t="s">
        <v>2336</v>
      </c>
      <c r="C743" s="4">
        <v>46003</v>
      </c>
      <c r="D743">
        <v>2025</v>
      </c>
      <c r="E743">
        <v>12</v>
      </c>
      <c r="F743" t="s">
        <v>28</v>
      </c>
      <c r="G743" t="s">
        <v>137</v>
      </c>
      <c r="H743" t="s">
        <v>2337</v>
      </c>
      <c r="I743" t="s">
        <v>450</v>
      </c>
      <c r="J743" t="s">
        <v>40</v>
      </c>
      <c r="K743" t="s">
        <v>978</v>
      </c>
      <c r="L743">
        <v>4</v>
      </c>
      <c r="M743" s="5">
        <v>440.5</v>
      </c>
      <c r="N743" s="6">
        <v>15</v>
      </c>
      <c r="O743" s="5">
        <v>264.3</v>
      </c>
      <c r="P743" s="5">
        <v>224.66</v>
      </c>
      <c r="Q743" s="5">
        <v>1497.7</v>
      </c>
      <c r="R743" s="5">
        <v>1016.2</v>
      </c>
      <c r="S743" s="5">
        <v>481.5</v>
      </c>
      <c r="T743" s="7">
        <v>0.321492955865661</v>
      </c>
      <c r="U743" t="s">
        <v>13</v>
      </c>
      <c r="V743" t="s">
        <v>50</v>
      </c>
      <c r="W743" t="s">
        <v>50</v>
      </c>
      <c r="X743" t="s">
        <v>34</v>
      </c>
      <c r="Y743" t="s">
        <v>2295</v>
      </c>
      <c r="Z743" t="s">
        <v>101</v>
      </c>
    </row>
    <row r="744" spans="1:26">
      <c r="A744" t="s">
        <v>2338</v>
      </c>
      <c r="B744" t="s">
        <v>2338</v>
      </c>
      <c r="C744" s="4">
        <v>45984</v>
      </c>
      <c r="D744">
        <v>2025</v>
      </c>
      <c r="E744">
        <v>11</v>
      </c>
      <c r="F744" t="s">
        <v>27</v>
      </c>
      <c r="G744" t="s">
        <v>137</v>
      </c>
      <c r="H744" t="s">
        <v>1478</v>
      </c>
      <c r="I744" t="s">
        <v>898</v>
      </c>
      <c r="J744" t="s">
        <v>1150</v>
      </c>
      <c r="K744" t="s">
        <v>2062</v>
      </c>
      <c r="L744">
        <v>5</v>
      </c>
      <c r="M744" s="5">
        <v>308.2</v>
      </c>
      <c r="N744" s="6">
        <v>20</v>
      </c>
      <c r="O744" s="5">
        <v>308.2</v>
      </c>
      <c r="P744" s="5">
        <v>184.92</v>
      </c>
      <c r="Q744" s="5">
        <v>1417.72</v>
      </c>
      <c r="R744" s="5">
        <v>1031.5</v>
      </c>
      <c r="S744" s="5">
        <v>386.22</v>
      </c>
      <c r="T744" s="7">
        <v>0.272423327596423</v>
      </c>
      <c r="U744" t="s">
        <v>11</v>
      </c>
      <c r="V744" t="s">
        <v>50</v>
      </c>
      <c r="W744" t="s">
        <v>50</v>
      </c>
      <c r="X744" t="s">
        <v>33</v>
      </c>
      <c r="Y744" t="s">
        <v>860</v>
      </c>
      <c r="Z744" t="s">
        <v>80</v>
      </c>
    </row>
    <row r="745" spans="1:26">
      <c r="A745" t="s">
        <v>2339</v>
      </c>
      <c r="B745" t="s">
        <v>2339</v>
      </c>
      <c r="C745" s="4">
        <v>45939</v>
      </c>
      <c r="D745">
        <v>2025</v>
      </c>
      <c r="E745">
        <v>10</v>
      </c>
      <c r="F745" t="s">
        <v>26</v>
      </c>
      <c r="G745" t="s">
        <v>137</v>
      </c>
      <c r="H745" t="s">
        <v>2340</v>
      </c>
      <c r="I745" t="s">
        <v>470</v>
      </c>
      <c r="J745" t="s">
        <v>1150</v>
      </c>
      <c r="K745" t="s">
        <v>1151</v>
      </c>
      <c r="L745">
        <v>3</v>
      </c>
      <c r="M745" s="5">
        <v>290.45</v>
      </c>
      <c r="N745" s="6">
        <v>0</v>
      </c>
      <c r="O745" s="5">
        <v>0</v>
      </c>
      <c r="P745" s="5">
        <v>130.7</v>
      </c>
      <c r="Q745" s="5">
        <v>871.35</v>
      </c>
      <c r="R745" s="5">
        <v>713.67</v>
      </c>
      <c r="S745" s="5">
        <v>157.68</v>
      </c>
      <c r="T745" s="7">
        <v>0.180960578412808</v>
      </c>
      <c r="U745" t="s">
        <v>12</v>
      </c>
      <c r="V745" t="s">
        <v>50</v>
      </c>
      <c r="W745" t="s">
        <v>50</v>
      </c>
      <c r="X745" t="s">
        <v>35</v>
      </c>
      <c r="Y745" t="s">
        <v>2047</v>
      </c>
      <c r="Z745" t="s">
        <v>101</v>
      </c>
    </row>
    <row r="746" spans="1:26">
      <c r="A746" t="s">
        <v>2341</v>
      </c>
      <c r="B746" t="s">
        <v>2341</v>
      </c>
      <c r="C746" s="4">
        <v>45886</v>
      </c>
      <c r="D746">
        <v>2025</v>
      </c>
      <c r="E746">
        <v>8</v>
      </c>
      <c r="F746" t="s">
        <v>24</v>
      </c>
      <c r="G746" t="s">
        <v>89</v>
      </c>
      <c r="H746" t="s">
        <v>985</v>
      </c>
      <c r="I746" t="s">
        <v>1742</v>
      </c>
      <c r="J746" t="s">
        <v>2342</v>
      </c>
      <c r="K746" t="s">
        <v>2343</v>
      </c>
      <c r="L746">
        <v>6</v>
      </c>
      <c r="M746" s="5">
        <v>273.48</v>
      </c>
      <c r="N746" s="6">
        <v>15</v>
      </c>
      <c r="O746" s="5">
        <v>246.13</v>
      </c>
      <c r="P746" s="5">
        <v>209.21</v>
      </c>
      <c r="Q746" s="5">
        <v>1603.96</v>
      </c>
      <c r="R746" s="5">
        <v>1448.64</v>
      </c>
      <c r="S746" s="5">
        <v>155.32</v>
      </c>
      <c r="T746" s="7">
        <v>0.096835332551934</v>
      </c>
      <c r="U746" t="s">
        <v>13</v>
      </c>
      <c r="V746" t="s">
        <v>50</v>
      </c>
      <c r="W746" t="s">
        <v>50</v>
      </c>
      <c r="X746" t="s">
        <v>33</v>
      </c>
      <c r="Y746" t="s">
        <v>956</v>
      </c>
      <c r="Z746" t="s">
        <v>80</v>
      </c>
    </row>
    <row r="747" spans="1:26">
      <c r="A747" t="s">
        <v>2344</v>
      </c>
      <c r="B747" t="s">
        <v>2344</v>
      </c>
      <c r="C747" s="4">
        <v>45873</v>
      </c>
      <c r="D747">
        <v>2025</v>
      </c>
      <c r="E747">
        <v>8</v>
      </c>
      <c r="F747" t="s">
        <v>24</v>
      </c>
      <c r="G747" t="s">
        <v>89</v>
      </c>
      <c r="H747" t="s">
        <v>2345</v>
      </c>
      <c r="I747" t="s">
        <v>301</v>
      </c>
      <c r="J747" t="s">
        <v>85</v>
      </c>
      <c r="K747" t="s">
        <v>86</v>
      </c>
      <c r="L747">
        <v>4</v>
      </c>
      <c r="M747" s="5">
        <v>219.39</v>
      </c>
      <c r="N747" s="6">
        <v>0</v>
      </c>
      <c r="O747" s="5">
        <v>0</v>
      </c>
      <c r="P747" s="5">
        <v>131.63</v>
      </c>
      <c r="Q747" s="5">
        <v>877.56</v>
      </c>
      <c r="R747" s="5">
        <v>781.76</v>
      </c>
      <c r="S747" s="5">
        <v>95.8</v>
      </c>
      <c r="T747" s="7">
        <v>0.1091663248097</v>
      </c>
      <c r="U747" t="s">
        <v>9</v>
      </c>
      <c r="V747" t="s">
        <v>50</v>
      </c>
      <c r="W747" t="s">
        <v>50</v>
      </c>
      <c r="X747" t="s">
        <v>33</v>
      </c>
      <c r="Y747" t="s">
        <v>1527</v>
      </c>
      <c r="Z747" t="s">
        <v>101</v>
      </c>
    </row>
    <row r="748" spans="1:26">
      <c r="A748" t="s">
        <v>2346</v>
      </c>
      <c r="B748" t="s">
        <v>2346</v>
      </c>
      <c r="C748" s="4">
        <v>45984</v>
      </c>
      <c r="D748">
        <v>2025</v>
      </c>
      <c r="E748">
        <v>11</v>
      </c>
      <c r="F748" t="s">
        <v>27</v>
      </c>
      <c r="G748" t="s">
        <v>137</v>
      </c>
      <c r="H748" t="s">
        <v>488</v>
      </c>
      <c r="I748" t="s">
        <v>362</v>
      </c>
      <c r="J748" t="s">
        <v>1072</v>
      </c>
      <c r="K748" t="s">
        <v>2347</v>
      </c>
      <c r="L748">
        <v>6</v>
      </c>
      <c r="M748" s="5">
        <v>348.01</v>
      </c>
      <c r="N748" s="6">
        <v>5</v>
      </c>
      <c r="O748" s="5">
        <v>104.4</v>
      </c>
      <c r="P748" s="5">
        <v>297.55</v>
      </c>
      <c r="Q748" s="5">
        <v>2281.21</v>
      </c>
      <c r="R748" s="5">
        <v>1483.5</v>
      </c>
      <c r="S748" s="5">
        <v>797.71</v>
      </c>
      <c r="T748" s="7">
        <v>0.34968722739248</v>
      </c>
      <c r="U748" t="s">
        <v>12</v>
      </c>
      <c r="V748" t="s">
        <v>50</v>
      </c>
      <c r="W748" t="s">
        <v>50</v>
      </c>
      <c r="X748" t="s">
        <v>35</v>
      </c>
      <c r="Y748" t="s">
        <v>242</v>
      </c>
      <c r="Z748" t="s">
        <v>80</v>
      </c>
    </row>
    <row r="749" spans="1:26">
      <c r="A749" t="s">
        <v>2348</v>
      </c>
      <c r="B749" t="s">
        <v>2348</v>
      </c>
      <c r="C749" s="4">
        <v>46050</v>
      </c>
      <c r="D749">
        <v>2026</v>
      </c>
      <c r="E749">
        <v>1</v>
      </c>
      <c r="F749" t="s">
        <v>30</v>
      </c>
      <c r="G749" t="s">
        <v>82</v>
      </c>
      <c r="H749" t="s">
        <v>1993</v>
      </c>
      <c r="I749" t="s">
        <v>819</v>
      </c>
      <c r="J749" t="s">
        <v>164</v>
      </c>
      <c r="K749" t="s">
        <v>575</v>
      </c>
      <c r="L749">
        <v>1</v>
      </c>
      <c r="M749" s="5">
        <v>86.11</v>
      </c>
      <c r="N749" s="6">
        <v>0</v>
      </c>
      <c r="O749" s="5">
        <v>0</v>
      </c>
      <c r="P749" s="5">
        <v>12.92</v>
      </c>
      <c r="Q749" s="5">
        <v>86.11</v>
      </c>
      <c r="R749" s="5">
        <v>68.17</v>
      </c>
      <c r="S749" s="5">
        <v>17.94</v>
      </c>
      <c r="T749" s="7">
        <v>0.208338172105447</v>
      </c>
      <c r="U749" t="s">
        <v>14</v>
      </c>
      <c r="V749" t="s">
        <v>50</v>
      </c>
      <c r="W749" t="s">
        <v>50</v>
      </c>
      <c r="X749" t="s">
        <v>33</v>
      </c>
      <c r="Y749" t="s">
        <v>2349</v>
      </c>
      <c r="Z749" t="s">
        <v>101</v>
      </c>
    </row>
    <row r="750" spans="1:26">
      <c r="A750" t="s">
        <v>2350</v>
      </c>
      <c r="B750" t="s">
        <v>2350</v>
      </c>
      <c r="C750" s="4">
        <v>45815</v>
      </c>
      <c r="D750">
        <v>2025</v>
      </c>
      <c r="E750">
        <v>6</v>
      </c>
      <c r="F750" t="s">
        <v>22</v>
      </c>
      <c r="G750" t="s">
        <v>74</v>
      </c>
      <c r="H750" t="s">
        <v>234</v>
      </c>
      <c r="I750" t="s">
        <v>587</v>
      </c>
      <c r="J750" t="s">
        <v>648</v>
      </c>
      <c r="K750" t="s">
        <v>649</v>
      </c>
      <c r="L750">
        <v>8</v>
      </c>
      <c r="M750" s="5">
        <v>436.2</v>
      </c>
      <c r="N750" s="6">
        <v>0</v>
      </c>
      <c r="O750" s="5">
        <v>0</v>
      </c>
      <c r="P750" s="5">
        <v>523.44</v>
      </c>
      <c r="Q750" s="5">
        <v>4013.04</v>
      </c>
      <c r="R750" s="5">
        <v>2205.36</v>
      </c>
      <c r="S750" s="5">
        <v>1807.68</v>
      </c>
      <c r="T750" s="7">
        <v>0.450451528018659</v>
      </c>
      <c r="U750" t="s">
        <v>13</v>
      </c>
      <c r="V750" t="s">
        <v>50</v>
      </c>
      <c r="W750" t="s">
        <v>50</v>
      </c>
      <c r="X750" t="s">
        <v>33</v>
      </c>
      <c r="Y750" t="s">
        <v>624</v>
      </c>
      <c r="Z750" t="s">
        <v>80</v>
      </c>
    </row>
    <row r="751" spans="1:26">
      <c r="A751" t="s">
        <v>2351</v>
      </c>
      <c r="B751" t="s">
        <v>2351</v>
      </c>
      <c r="C751" s="4">
        <v>45982</v>
      </c>
      <c r="D751">
        <v>2025</v>
      </c>
      <c r="E751">
        <v>11</v>
      </c>
      <c r="F751" t="s">
        <v>27</v>
      </c>
      <c r="G751" t="s">
        <v>137</v>
      </c>
      <c r="H751" t="s">
        <v>2352</v>
      </c>
      <c r="I751" t="s">
        <v>1367</v>
      </c>
      <c r="J751" t="s">
        <v>105</v>
      </c>
      <c r="K751" t="s">
        <v>2353</v>
      </c>
      <c r="L751">
        <v>4</v>
      </c>
      <c r="M751" s="5">
        <v>55.81</v>
      </c>
      <c r="N751" s="6">
        <v>0</v>
      </c>
      <c r="O751" s="5">
        <v>0</v>
      </c>
      <c r="P751" s="5">
        <v>33.49</v>
      </c>
      <c r="Q751" s="5">
        <v>223.24</v>
      </c>
      <c r="R751" s="5">
        <v>179.84</v>
      </c>
      <c r="S751" s="5">
        <v>43.4</v>
      </c>
      <c r="T751" s="7">
        <v>0.194409604013618</v>
      </c>
      <c r="U751" t="s">
        <v>12</v>
      </c>
      <c r="V751" t="s">
        <v>50</v>
      </c>
      <c r="W751" t="s">
        <v>50</v>
      </c>
      <c r="X751" t="s">
        <v>34</v>
      </c>
      <c r="Y751" t="s">
        <v>1572</v>
      </c>
      <c r="Z751" t="s">
        <v>101</v>
      </c>
    </row>
    <row r="752" spans="1:26">
      <c r="A752" t="s">
        <v>2354</v>
      </c>
      <c r="B752" t="s">
        <v>2354</v>
      </c>
      <c r="C752" s="4">
        <v>45786</v>
      </c>
      <c r="D752">
        <v>2025</v>
      </c>
      <c r="E752">
        <v>5</v>
      </c>
      <c r="F752" t="s">
        <v>21</v>
      </c>
      <c r="G752" t="s">
        <v>74</v>
      </c>
      <c r="H752" t="s">
        <v>2355</v>
      </c>
      <c r="I752" t="s">
        <v>163</v>
      </c>
      <c r="J752" t="s">
        <v>482</v>
      </c>
      <c r="K752" t="s">
        <v>159</v>
      </c>
      <c r="L752">
        <v>3</v>
      </c>
      <c r="M752" s="5">
        <v>253.11</v>
      </c>
      <c r="N752" s="6">
        <v>0</v>
      </c>
      <c r="O752" s="5">
        <v>0</v>
      </c>
      <c r="P752" s="5">
        <v>113.9</v>
      </c>
      <c r="Q752" s="5">
        <v>759.33</v>
      </c>
      <c r="R752" s="5">
        <v>572.22</v>
      </c>
      <c r="S752" s="5">
        <v>187.11</v>
      </c>
      <c r="T752" s="7">
        <v>0.246414602346806</v>
      </c>
      <c r="U752" t="s">
        <v>11</v>
      </c>
      <c r="V752" t="s">
        <v>50</v>
      </c>
      <c r="W752" t="s">
        <v>50</v>
      </c>
      <c r="X752" t="s">
        <v>33</v>
      </c>
      <c r="Y752" t="s">
        <v>529</v>
      </c>
      <c r="Z752" t="s">
        <v>101</v>
      </c>
    </row>
    <row r="753" spans="1:26">
      <c r="A753" t="s">
        <v>2356</v>
      </c>
      <c r="B753" t="s">
        <v>2356</v>
      </c>
      <c r="C753" s="4">
        <v>45910</v>
      </c>
      <c r="D753">
        <v>2025</v>
      </c>
      <c r="E753">
        <v>9</v>
      </c>
      <c r="F753" t="s">
        <v>25</v>
      </c>
      <c r="G753" t="s">
        <v>89</v>
      </c>
      <c r="H753" t="s">
        <v>1057</v>
      </c>
      <c r="I753" t="s">
        <v>1526</v>
      </c>
      <c r="J753" t="s">
        <v>1440</v>
      </c>
      <c r="K753" t="s">
        <v>1441</v>
      </c>
      <c r="L753">
        <v>4</v>
      </c>
      <c r="M753" s="5">
        <v>115.25</v>
      </c>
      <c r="N753" s="6">
        <v>0</v>
      </c>
      <c r="O753" s="5">
        <v>0</v>
      </c>
      <c r="P753" s="5">
        <v>69.15</v>
      </c>
      <c r="Q753" s="5">
        <v>461</v>
      </c>
      <c r="R753" s="5">
        <v>354.88</v>
      </c>
      <c r="S753" s="5">
        <v>106.12</v>
      </c>
      <c r="T753" s="7">
        <v>0.230195227765727</v>
      </c>
      <c r="U753" t="s">
        <v>14</v>
      </c>
      <c r="V753" t="s">
        <v>50</v>
      </c>
      <c r="W753" t="s">
        <v>50</v>
      </c>
      <c r="X753" t="s">
        <v>33</v>
      </c>
      <c r="Y753" t="s">
        <v>2357</v>
      </c>
      <c r="Z753" t="s">
        <v>101</v>
      </c>
    </row>
    <row r="754" spans="1:26">
      <c r="A754" t="s">
        <v>2358</v>
      </c>
      <c r="B754" t="s">
        <v>2358</v>
      </c>
      <c r="C754" s="4">
        <v>45998</v>
      </c>
      <c r="D754">
        <v>2025</v>
      </c>
      <c r="E754">
        <v>12</v>
      </c>
      <c r="F754" t="s">
        <v>28</v>
      </c>
      <c r="G754" t="s">
        <v>137</v>
      </c>
      <c r="H754" t="s">
        <v>306</v>
      </c>
      <c r="I754" t="s">
        <v>262</v>
      </c>
      <c r="J754" t="s">
        <v>133</v>
      </c>
      <c r="K754" t="s">
        <v>134</v>
      </c>
      <c r="L754">
        <v>8</v>
      </c>
      <c r="M754" s="5">
        <v>150.36</v>
      </c>
      <c r="N754" s="6">
        <v>0</v>
      </c>
      <c r="O754" s="5">
        <v>0</v>
      </c>
      <c r="P754" s="5">
        <v>180.43</v>
      </c>
      <c r="Q754" s="5">
        <v>1383.31</v>
      </c>
      <c r="R754" s="5">
        <v>902.4</v>
      </c>
      <c r="S754" s="5">
        <v>480.91</v>
      </c>
      <c r="T754" s="7">
        <v>0.347651647136217</v>
      </c>
      <c r="U754" t="s">
        <v>10</v>
      </c>
      <c r="V754" t="s">
        <v>50</v>
      </c>
      <c r="W754" t="s">
        <v>50</v>
      </c>
      <c r="X754" t="s">
        <v>35</v>
      </c>
      <c r="Y754" t="s">
        <v>1250</v>
      </c>
      <c r="Z754" t="s">
        <v>80</v>
      </c>
    </row>
    <row r="755" spans="1:26">
      <c r="A755" t="s">
        <v>2359</v>
      </c>
      <c r="B755" t="s">
        <v>2359</v>
      </c>
      <c r="C755" s="4">
        <v>46017</v>
      </c>
      <c r="D755">
        <v>2025</v>
      </c>
      <c r="E755">
        <v>12</v>
      </c>
      <c r="F755" t="s">
        <v>28</v>
      </c>
      <c r="G755" t="s">
        <v>137</v>
      </c>
      <c r="H755" t="s">
        <v>2360</v>
      </c>
      <c r="I755" t="s">
        <v>213</v>
      </c>
      <c r="J755" t="s">
        <v>39</v>
      </c>
      <c r="K755" t="s">
        <v>903</v>
      </c>
      <c r="L755">
        <v>1</v>
      </c>
      <c r="M755" s="5">
        <v>191.13</v>
      </c>
      <c r="N755" s="6">
        <v>0</v>
      </c>
      <c r="O755" s="5">
        <v>0</v>
      </c>
      <c r="P755" s="5">
        <v>28.67</v>
      </c>
      <c r="Q755" s="5">
        <v>191.13</v>
      </c>
      <c r="R755" s="5">
        <v>153.42</v>
      </c>
      <c r="S755" s="5">
        <v>37.71</v>
      </c>
      <c r="T755" s="7">
        <v>0.197300266834092</v>
      </c>
      <c r="U755" t="s">
        <v>12</v>
      </c>
      <c r="V755" t="s">
        <v>50</v>
      </c>
      <c r="W755" t="s">
        <v>50</v>
      </c>
      <c r="X755" t="s">
        <v>34</v>
      </c>
      <c r="Y755" t="s">
        <v>1566</v>
      </c>
      <c r="Z755" t="s">
        <v>101</v>
      </c>
    </row>
    <row r="756" spans="1:26">
      <c r="A756" t="s">
        <v>2361</v>
      </c>
      <c r="B756" t="s">
        <v>2361</v>
      </c>
      <c r="C756" s="4">
        <v>45943</v>
      </c>
      <c r="D756">
        <v>2025</v>
      </c>
      <c r="E756">
        <v>10</v>
      </c>
      <c r="F756" t="s">
        <v>26</v>
      </c>
      <c r="G756" t="s">
        <v>137</v>
      </c>
      <c r="H756" t="s">
        <v>1215</v>
      </c>
      <c r="I756" t="s">
        <v>609</v>
      </c>
      <c r="J756" t="s">
        <v>489</v>
      </c>
      <c r="K756" t="s">
        <v>2362</v>
      </c>
      <c r="L756">
        <v>1</v>
      </c>
      <c r="M756" s="5">
        <v>328.59</v>
      </c>
      <c r="N756" s="6">
        <v>0</v>
      </c>
      <c r="O756" s="5">
        <v>0</v>
      </c>
      <c r="P756" s="5">
        <v>49.29</v>
      </c>
      <c r="Q756" s="5">
        <v>328.59</v>
      </c>
      <c r="R756" s="5">
        <v>255.49</v>
      </c>
      <c r="S756" s="5">
        <v>73.1</v>
      </c>
      <c r="T756" s="7">
        <v>0.222465686722055</v>
      </c>
      <c r="U756" t="s">
        <v>14</v>
      </c>
      <c r="V756" t="s">
        <v>50</v>
      </c>
      <c r="W756" t="s">
        <v>50</v>
      </c>
      <c r="X756" t="s">
        <v>33</v>
      </c>
      <c r="Y756" t="s">
        <v>2363</v>
      </c>
      <c r="Z756" t="s">
        <v>101</v>
      </c>
    </row>
    <row r="757" spans="1:26">
      <c r="A757" t="s">
        <v>2364</v>
      </c>
      <c r="B757" t="s">
        <v>2364</v>
      </c>
      <c r="C757" s="4">
        <v>45871</v>
      </c>
      <c r="D757">
        <v>2025</v>
      </c>
      <c r="E757">
        <v>8</v>
      </c>
      <c r="F757" t="s">
        <v>24</v>
      </c>
      <c r="G757" t="s">
        <v>89</v>
      </c>
      <c r="H757" t="s">
        <v>331</v>
      </c>
      <c r="I757" t="s">
        <v>132</v>
      </c>
      <c r="J757" t="s">
        <v>296</v>
      </c>
      <c r="K757" t="s">
        <v>297</v>
      </c>
      <c r="L757">
        <v>5</v>
      </c>
      <c r="M757" s="5">
        <v>269.06</v>
      </c>
      <c r="N757" s="6">
        <v>0</v>
      </c>
      <c r="O757" s="5">
        <v>0</v>
      </c>
      <c r="P757" s="5">
        <v>201.8</v>
      </c>
      <c r="Q757" s="5">
        <v>1547.09</v>
      </c>
      <c r="R757" s="5">
        <v>970.3</v>
      </c>
      <c r="S757" s="5">
        <v>576.79</v>
      </c>
      <c r="T757" s="7">
        <v>0.372822524869271</v>
      </c>
      <c r="U757" t="s">
        <v>9</v>
      </c>
      <c r="V757" t="s">
        <v>50</v>
      </c>
      <c r="W757" t="s">
        <v>50</v>
      </c>
      <c r="X757" t="s">
        <v>33</v>
      </c>
      <c r="Y757" t="s">
        <v>2365</v>
      </c>
      <c r="Z757" t="s">
        <v>80</v>
      </c>
    </row>
    <row r="758" spans="1:26">
      <c r="A758" t="s">
        <v>2366</v>
      </c>
      <c r="B758" t="s">
        <v>2366</v>
      </c>
      <c r="C758" s="4">
        <v>45944</v>
      </c>
      <c r="D758">
        <v>2025</v>
      </c>
      <c r="E758">
        <v>10</v>
      </c>
      <c r="F758" t="s">
        <v>26</v>
      </c>
      <c r="G758" t="s">
        <v>137</v>
      </c>
      <c r="H758" t="s">
        <v>2367</v>
      </c>
      <c r="I758" t="s">
        <v>395</v>
      </c>
      <c r="J758" t="s">
        <v>40</v>
      </c>
      <c r="K758" t="s">
        <v>426</v>
      </c>
      <c r="L758">
        <v>4</v>
      </c>
      <c r="M758" s="5">
        <v>476.18</v>
      </c>
      <c r="N758" s="6">
        <v>0</v>
      </c>
      <c r="O758" s="5">
        <v>0</v>
      </c>
      <c r="P758" s="5">
        <v>285.71</v>
      </c>
      <c r="Q758" s="5">
        <v>1904.72</v>
      </c>
      <c r="R758" s="5">
        <v>1302.44</v>
      </c>
      <c r="S758" s="5">
        <v>602.28</v>
      </c>
      <c r="T758" s="7">
        <v>0.316203956487043</v>
      </c>
      <c r="U758" t="s">
        <v>14</v>
      </c>
      <c r="V758" t="s">
        <v>50</v>
      </c>
      <c r="W758" t="s">
        <v>50</v>
      </c>
      <c r="X758" t="s">
        <v>34</v>
      </c>
      <c r="Y758" t="s">
        <v>633</v>
      </c>
      <c r="Z758" t="s">
        <v>101</v>
      </c>
    </row>
    <row r="759" spans="1:26">
      <c r="A759" t="s">
        <v>2368</v>
      </c>
      <c r="B759" t="s">
        <v>2368</v>
      </c>
      <c r="C759" s="4">
        <v>45935</v>
      </c>
      <c r="D759">
        <v>2025</v>
      </c>
      <c r="E759">
        <v>10</v>
      </c>
      <c r="F759" t="s">
        <v>26</v>
      </c>
      <c r="G759" t="s">
        <v>137</v>
      </c>
      <c r="H759" t="s">
        <v>458</v>
      </c>
      <c r="I759" t="s">
        <v>1419</v>
      </c>
      <c r="J759" t="s">
        <v>197</v>
      </c>
      <c r="K759" t="s">
        <v>198</v>
      </c>
      <c r="L759">
        <v>5</v>
      </c>
      <c r="M759" s="5">
        <v>337.13</v>
      </c>
      <c r="N759" s="6">
        <v>0</v>
      </c>
      <c r="O759" s="5">
        <v>0</v>
      </c>
      <c r="P759" s="5">
        <v>252.85</v>
      </c>
      <c r="Q759" s="5">
        <v>1938.5</v>
      </c>
      <c r="R759" s="5">
        <v>1175.25</v>
      </c>
      <c r="S759" s="5">
        <v>763.25</v>
      </c>
      <c r="T759" s="7">
        <v>0.39373226721692</v>
      </c>
      <c r="U759" t="s">
        <v>10</v>
      </c>
      <c r="V759" t="s">
        <v>50</v>
      </c>
      <c r="W759" t="s">
        <v>50</v>
      </c>
      <c r="X759" t="s">
        <v>33</v>
      </c>
      <c r="Y759" t="s">
        <v>2369</v>
      </c>
      <c r="Z759" t="s">
        <v>80</v>
      </c>
    </row>
    <row r="760" spans="1:26">
      <c r="A760" t="s">
        <v>2370</v>
      </c>
      <c r="B760" t="s">
        <v>2370</v>
      </c>
      <c r="C760" s="4">
        <v>45801</v>
      </c>
      <c r="D760">
        <v>2025</v>
      </c>
      <c r="E760">
        <v>5</v>
      </c>
      <c r="F760" t="s">
        <v>21</v>
      </c>
      <c r="G760" t="s">
        <v>74</v>
      </c>
      <c r="H760" t="s">
        <v>1565</v>
      </c>
      <c r="I760" t="s">
        <v>1367</v>
      </c>
      <c r="J760" t="s">
        <v>146</v>
      </c>
      <c r="K760" t="s">
        <v>147</v>
      </c>
      <c r="L760">
        <v>1</v>
      </c>
      <c r="M760" s="5">
        <v>55.81</v>
      </c>
      <c r="N760" s="6">
        <v>15</v>
      </c>
      <c r="O760" s="5">
        <v>8.37</v>
      </c>
      <c r="P760" s="5">
        <v>7.12</v>
      </c>
      <c r="Q760" s="5">
        <v>54.56</v>
      </c>
      <c r="R760" s="5">
        <v>44.96</v>
      </c>
      <c r="S760" s="5">
        <v>9.6</v>
      </c>
      <c r="T760" s="7">
        <v>0.175953079178886</v>
      </c>
      <c r="U760" t="s">
        <v>13</v>
      </c>
      <c r="V760" t="s">
        <v>50</v>
      </c>
      <c r="W760" t="s">
        <v>50</v>
      </c>
      <c r="X760" t="s">
        <v>33</v>
      </c>
      <c r="Y760" t="s">
        <v>916</v>
      </c>
      <c r="Z760" t="s">
        <v>80</v>
      </c>
    </row>
    <row r="761" spans="1:26">
      <c r="A761" t="s">
        <v>2371</v>
      </c>
      <c r="B761" t="s">
        <v>2371</v>
      </c>
      <c r="C761" s="4">
        <v>46101</v>
      </c>
      <c r="D761">
        <v>2026</v>
      </c>
      <c r="E761">
        <v>3</v>
      </c>
      <c r="F761" t="s">
        <v>19</v>
      </c>
      <c r="G761" t="s">
        <v>82</v>
      </c>
      <c r="H761" t="s">
        <v>702</v>
      </c>
      <c r="I761" t="s">
        <v>664</v>
      </c>
      <c r="J761" t="s">
        <v>746</v>
      </c>
      <c r="K761" t="s">
        <v>1308</v>
      </c>
      <c r="L761">
        <v>3</v>
      </c>
      <c r="M761" s="5">
        <v>327.08</v>
      </c>
      <c r="N761" s="6">
        <v>0</v>
      </c>
      <c r="O761" s="5">
        <v>0</v>
      </c>
      <c r="P761" s="5">
        <v>147.19</v>
      </c>
      <c r="Q761" s="5">
        <v>981.24</v>
      </c>
      <c r="R761" s="5">
        <v>823.83</v>
      </c>
      <c r="S761" s="5">
        <v>157.41</v>
      </c>
      <c r="T761" s="7">
        <v>0.160419469242999</v>
      </c>
      <c r="U761" t="s">
        <v>14</v>
      </c>
      <c r="V761" t="s">
        <v>50</v>
      </c>
      <c r="W761" t="s">
        <v>50</v>
      </c>
      <c r="X761" t="s">
        <v>33</v>
      </c>
      <c r="Y761" t="s">
        <v>1374</v>
      </c>
      <c r="Z761" t="s">
        <v>101</v>
      </c>
    </row>
    <row r="762" spans="1:26">
      <c r="A762" t="s">
        <v>2372</v>
      </c>
      <c r="B762" t="s">
        <v>2372</v>
      </c>
      <c r="C762" s="4">
        <v>45957</v>
      </c>
      <c r="D762">
        <v>2025</v>
      </c>
      <c r="E762">
        <v>10</v>
      </c>
      <c r="F762" t="s">
        <v>26</v>
      </c>
      <c r="G762" t="s">
        <v>137</v>
      </c>
      <c r="H762" t="s">
        <v>244</v>
      </c>
      <c r="I762" t="s">
        <v>547</v>
      </c>
      <c r="J762" t="s">
        <v>345</v>
      </c>
      <c r="K762" t="s">
        <v>346</v>
      </c>
      <c r="L762">
        <v>2</v>
      </c>
      <c r="M762" s="5">
        <v>503.36</v>
      </c>
      <c r="N762" s="6">
        <v>0</v>
      </c>
      <c r="O762" s="5">
        <v>0</v>
      </c>
      <c r="P762" s="5">
        <v>151.01</v>
      </c>
      <c r="Q762" s="5">
        <v>1006.72</v>
      </c>
      <c r="R762" s="5">
        <v>779.6</v>
      </c>
      <c r="S762" s="5">
        <v>227.12</v>
      </c>
      <c r="T762" s="7">
        <v>0.225603941513032</v>
      </c>
      <c r="U762" t="s">
        <v>10</v>
      </c>
      <c r="V762" t="s">
        <v>50</v>
      </c>
      <c r="W762" t="s">
        <v>50</v>
      </c>
      <c r="X762" t="s">
        <v>34</v>
      </c>
      <c r="Y762" t="s">
        <v>2373</v>
      </c>
      <c r="Z762" t="s">
        <v>101</v>
      </c>
    </row>
    <row r="763" spans="1:26">
      <c r="A763" t="s">
        <v>2374</v>
      </c>
      <c r="B763" t="s">
        <v>2374</v>
      </c>
      <c r="C763" s="4">
        <v>45956</v>
      </c>
      <c r="D763">
        <v>2025</v>
      </c>
      <c r="E763">
        <v>10</v>
      </c>
      <c r="F763" t="s">
        <v>26</v>
      </c>
      <c r="G763" t="s">
        <v>137</v>
      </c>
      <c r="H763" t="s">
        <v>355</v>
      </c>
      <c r="I763" t="s">
        <v>537</v>
      </c>
      <c r="J763" t="s">
        <v>850</v>
      </c>
      <c r="K763" t="s">
        <v>426</v>
      </c>
      <c r="L763">
        <v>7</v>
      </c>
      <c r="M763" s="5">
        <v>260.82</v>
      </c>
      <c r="N763" s="6">
        <v>20</v>
      </c>
      <c r="O763" s="5">
        <v>365.15</v>
      </c>
      <c r="P763" s="5">
        <v>219.09</v>
      </c>
      <c r="Q763" s="5">
        <v>1679.68</v>
      </c>
      <c r="R763" s="5">
        <v>1338.4</v>
      </c>
      <c r="S763" s="5">
        <v>341.28</v>
      </c>
      <c r="T763" s="7">
        <v>0.203181558392075</v>
      </c>
      <c r="U763" t="s">
        <v>9</v>
      </c>
      <c r="V763" t="s">
        <v>50</v>
      </c>
      <c r="W763" t="s">
        <v>50</v>
      </c>
      <c r="X763" t="s">
        <v>35</v>
      </c>
      <c r="Y763" t="s">
        <v>2375</v>
      </c>
      <c r="Z763" t="s">
        <v>80</v>
      </c>
    </row>
    <row r="764" spans="1:26">
      <c r="A764" t="s">
        <v>2376</v>
      </c>
      <c r="B764" t="s">
        <v>2376</v>
      </c>
      <c r="C764" s="4">
        <v>45993</v>
      </c>
      <c r="D764">
        <v>2025</v>
      </c>
      <c r="E764">
        <v>12</v>
      </c>
      <c r="F764" t="s">
        <v>28</v>
      </c>
      <c r="G764" t="s">
        <v>137</v>
      </c>
      <c r="H764" t="s">
        <v>2377</v>
      </c>
      <c r="I764" t="s">
        <v>235</v>
      </c>
      <c r="J764" t="s">
        <v>833</v>
      </c>
      <c r="K764" t="s">
        <v>949</v>
      </c>
      <c r="L764">
        <v>4</v>
      </c>
      <c r="M764" s="5">
        <v>217.42</v>
      </c>
      <c r="N764" s="6">
        <v>20</v>
      </c>
      <c r="O764" s="5">
        <v>173.94</v>
      </c>
      <c r="P764" s="5">
        <v>104.36</v>
      </c>
      <c r="Q764" s="5">
        <v>695.74</v>
      </c>
      <c r="R764" s="5">
        <v>708.12</v>
      </c>
      <c r="S764" s="5">
        <v>-12.38</v>
      </c>
      <c r="T764" s="7">
        <v>-0.0177940035070572</v>
      </c>
      <c r="U764" t="s">
        <v>11</v>
      </c>
      <c r="V764" t="s">
        <v>50</v>
      </c>
      <c r="W764" t="s">
        <v>50</v>
      </c>
      <c r="X764" t="s">
        <v>33</v>
      </c>
      <c r="Y764" t="s">
        <v>2378</v>
      </c>
      <c r="Z764" t="s">
        <v>101</v>
      </c>
    </row>
    <row r="765" spans="1:26">
      <c r="A765" t="s">
        <v>2379</v>
      </c>
      <c r="B765" t="s">
        <v>2379</v>
      </c>
      <c r="C765" s="4">
        <v>46092</v>
      </c>
      <c r="D765">
        <v>2026</v>
      </c>
      <c r="E765">
        <v>3</v>
      </c>
      <c r="F765" t="s">
        <v>19</v>
      </c>
      <c r="G765" t="s">
        <v>82</v>
      </c>
      <c r="H765" t="s">
        <v>497</v>
      </c>
      <c r="I765" t="s">
        <v>928</v>
      </c>
      <c r="J765" t="s">
        <v>191</v>
      </c>
      <c r="K765" t="s">
        <v>192</v>
      </c>
      <c r="L765">
        <v>6</v>
      </c>
      <c r="M765" s="5">
        <v>236.62</v>
      </c>
      <c r="N765" s="6">
        <v>20</v>
      </c>
      <c r="O765" s="5">
        <v>283.94</v>
      </c>
      <c r="P765" s="5">
        <v>170.37</v>
      </c>
      <c r="Q765" s="5">
        <v>1135.78</v>
      </c>
      <c r="R765" s="5">
        <v>1154.46</v>
      </c>
      <c r="S765" s="5">
        <v>-18.68</v>
      </c>
      <c r="T765" s="7">
        <v>-0.0164468471006709</v>
      </c>
      <c r="U765" t="s">
        <v>12</v>
      </c>
      <c r="V765" t="s">
        <v>50</v>
      </c>
      <c r="W765" t="s">
        <v>50</v>
      </c>
      <c r="X765" t="s">
        <v>33</v>
      </c>
      <c r="Y765" t="s">
        <v>2380</v>
      </c>
      <c r="Z765" t="s">
        <v>101</v>
      </c>
    </row>
    <row r="766" spans="1:26">
      <c r="A766" t="s">
        <v>2381</v>
      </c>
      <c r="B766" t="s">
        <v>2381</v>
      </c>
      <c r="C766" s="4">
        <v>45918</v>
      </c>
      <c r="D766">
        <v>2025</v>
      </c>
      <c r="E766">
        <v>9</v>
      </c>
      <c r="F766" t="s">
        <v>25</v>
      </c>
      <c r="G766" t="s">
        <v>89</v>
      </c>
      <c r="H766" t="s">
        <v>1239</v>
      </c>
      <c r="I766" t="s">
        <v>332</v>
      </c>
      <c r="J766" t="s">
        <v>955</v>
      </c>
      <c r="K766" t="s">
        <v>655</v>
      </c>
      <c r="L766">
        <v>4</v>
      </c>
      <c r="M766" s="5">
        <v>73.83</v>
      </c>
      <c r="N766" s="6">
        <v>0</v>
      </c>
      <c r="O766" s="5">
        <v>0</v>
      </c>
      <c r="P766" s="5">
        <v>44.3</v>
      </c>
      <c r="Q766" s="5">
        <v>295.32</v>
      </c>
      <c r="R766" s="5">
        <v>217.28</v>
      </c>
      <c r="S766" s="5">
        <v>78.04</v>
      </c>
      <c r="T766" s="7">
        <v>0.264255722605987</v>
      </c>
      <c r="U766" t="s">
        <v>14</v>
      </c>
      <c r="V766" t="s">
        <v>50</v>
      </c>
      <c r="W766" t="s">
        <v>50</v>
      </c>
      <c r="X766" t="s">
        <v>33</v>
      </c>
      <c r="Y766" t="s">
        <v>2382</v>
      </c>
      <c r="Z766" t="s">
        <v>101</v>
      </c>
    </row>
    <row r="767" spans="1:26">
      <c r="A767" t="s">
        <v>2383</v>
      </c>
      <c r="B767" t="s">
        <v>2383</v>
      </c>
      <c r="C767" s="4">
        <v>45803</v>
      </c>
      <c r="D767">
        <v>2025</v>
      </c>
      <c r="E767">
        <v>5</v>
      </c>
      <c r="F767" t="s">
        <v>21</v>
      </c>
      <c r="G767" t="s">
        <v>74</v>
      </c>
      <c r="H767" t="s">
        <v>2384</v>
      </c>
      <c r="I767" t="s">
        <v>312</v>
      </c>
      <c r="J767" t="s">
        <v>813</v>
      </c>
      <c r="K767" t="s">
        <v>611</v>
      </c>
      <c r="L767">
        <v>3</v>
      </c>
      <c r="M767" s="5">
        <v>383.51</v>
      </c>
      <c r="N767" s="6">
        <v>5</v>
      </c>
      <c r="O767" s="5">
        <v>57.53</v>
      </c>
      <c r="P767" s="5">
        <v>163.95</v>
      </c>
      <c r="Q767" s="5">
        <v>1093</v>
      </c>
      <c r="R767" s="5">
        <v>857.7</v>
      </c>
      <c r="S767" s="5">
        <v>235.3</v>
      </c>
      <c r="T767" s="7">
        <v>0.215279048490393</v>
      </c>
      <c r="U767" t="s">
        <v>13</v>
      </c>
      <c r="V767" t="s">
        <v>50</v>
      </c>
      <c r="W767" t="s">
        <v>50</v>
      </c>
      <c r="X767" t="s">
        <v>33</v>
      </c>
      <c r="Y767" t="s">
        <v>1155</v>
      </c>
      <c r="Z767" t="s">
        <v>101</v>
      </c>
    </row>
    <row r="768" spans="1:26">
      <c r="A768" t="s">
        <v>2385</v>
      </c>
      <c r="B768" t="s">
        <v>2385</v>
      </c>
      <c r="C768" s="4">
        <v>45857</v>
      </c>
      <c r="D768">
        <v>2025</v>
      </c>
      <c r="E768">
        <v>7</v>
      </c>
      <c r="F768" t="s">
        <v>23</v>
      </c>
      <c r="G768" t="s">
        <v>89</v>
      </c>
      <c r="H768" t="s">
        <v>1296</v>
      </c>
      <c r="I768" t="s">
        <v>328</v>
      </c>
      <c r="J768" t="s">
        <v>269</v>
      </c>
      <c r="K768" t="s">
        <v>2018</v>
      </c>
      <c r="L768">
        <v>3</v>
      </c>
      <c r="M768" s="5">
        <v>139.72</v>
      </c>
      <c r="N768" s="6">
        <v>0</v>
      </c>
      <c r="O768" s="5">
        <v>0</v>
      </c>
      <c r="P768" s="5">
        <v>62.87</v>
      </c>
      <c r="Q768" s="5">
        <v>482.03</v>
      </c>
      <c r="R768" s="5">
        <v>292.05</v>
      </c>
      <c r="S768" s="5">
        <v>189.98</v>
      </c>
      <c r="T768" s="7">
        <v>0.394124847001224</v>
      </c>
      <c r="U768" t="s">
        <v>10</v>
      </c>
      <c r="V768" t="s">
        <v>50</v>
      </c>
      <c r="W768" t="s">
        <v>50</v>
      </c>
      <c r="X768" t="s">
        <v>34</v>
      </c>
      <c r="Y768" t="s">
        <v>1309</v>
      </c>
      <c r="Z768" t="s">
        <v>80</v>
      </c>
    </row>
    <row r="769" spans="1:26">
      <c r="A769" t="s">
        <v>2386</v>
      </c>
      <c r="B769" t="s">
        <v>2386</v>
      </c>
      <c r="C769" s="4">
        <v>45984</v>
      </c>
      <c r="D769">
        <v>2025</v>
      </c>
      <c r="E769">
        <v>11</v>
      </c>
      <c r="F769" t="s">
        <v>27</v>
      </c>
      <c r="G769" t="s">
        <v>137</v>
      </c>
      <c r="H769" t="s">
        <v>546</v>
      </c>
      <c r="I769" t="s">
        <v>395</v>
      </c>
      <c r="J769" t="s">
        <v>532</v>
      </c>
      <c r="K769" t="s">
        <v>533</v>
      </c>
      <c r="L769">
        <v>4</v>
      </c>
      <c r="M769" s="5">
        <v>446.17</v>
      </c>
      <c r="N769" s="6">
        <v>20</v>
      </c>
      <c r="O769" s="5">
        <v>356.94</v>
      </c>
      <c r="P769" s="5">
        <v>214.16</v>
      </c>
      <c r="Q769" s="5">
        <v>1641.9</v>
      </c>
      <c r="R769" s="5">
        <v>1302.44</v>
      </c>
      <c r="S769" s="5">
        <v>339.46</v>
      </c>
      <c r="T769" s="7">
        <v>0.206748279432365</v>
      </c>
      <c r="U769" t="s">
        <v>14</v>
      </c>
      <c r="V769" t="s">
        <v>50</v>
      </c>
      <c r="W769" t="s">
        <v>50</v>
      </c>
      <c r="X769" t="s">
        <v>33</v>
      </c>
      <c r="Y769" t="s">
        <v>2387</v>
      </c>
      <c r="Z769" t="s">
        <v>80</v>
      </c>
    </row>
    <row r="770" spans="1:26">
      <c r="A770" t="s">
        <v>2388</v>
      </c>
      <c r="B770" t="s">
        <v>2388</v>
      </c>
      <c r="C770" s="4">
        <v>45773</v>
      </c>
      <c r="D770">
        <v>2025</v>
      </c>
      <c r="E770">
        <v>4</v>
      </c>
      <c r="F770" t="s">
        <v>20</v>
      </c>
      <c r="G770" t="s">
        <v>74</v>
      </c>
      <c r="H770" t="s">
        <v>2389</v>
      </c>
      <c r="I770" t="s">
        <v>750</v>
      </c>
      <c r="J770" t="s">
        <v>1781</v>
      </c>
      <c r="K770" t="s">
        <v>1782</v>
      </c>
      <c r="L770">
        <v>2</v>
      </c>
      <c r="M770" s="5">
        <v>474.19</v>
      </c>
      <c r="N770" s="6">
        <v>10</v>
      </c>
      <c r="O770" s="5">
        <v>94.84</v>
      </c>
      <c r="P770" s="5">
        <v>128.03</v>
      </c>
      <c r="Q770" s="5">
        <v>981.57</v>
      </c>
      <c r="R770" s="5">
        <v>687.78</v>
      </c>
      <c r="S770" s="5">
        <v>293.79</v>
      </c>
      <c r="T770" s="7">
        <v>0.299306213515083</v>
      </c>
      <c r="U770" t="s">
        <v>10</v>
      </c>
      <c r="V770" t="s">
        <v>50</v>
      </c>
      <c r="W770" t="s">
        <v>50</v>
      </c>
      <c r="X770" t="s">
        <v>33</v>
      </c>
      <c r="Y770" t="s">
        <v>447</v>
      </c>
      <c r="Z770" t="s">
        <v>80</v>
      </c>
    </row>
    <row r="771" spans="1:26">
      <c r="A771" t="s">
        <v>2390</v>
      </c>
      <c r="B771" t="s">
        <v>2390</v>
      </c>
      <c r="C771" s="4">
        <v>45985</v>
      </c>
      <c r="D771">
        <v>2025</v>
      </c>
      <c r="E771">
        <v>11</v>
      </c>
      <c r="F771" t="s">
        <v>27</v>
      </c>
      <c r="G771" t="s">
        <v>137</v>
      </c>
      <c r="H771" t="s">
        <v>2391</v>
      </c>
      <c r="I771" t="s">
        <v>411</v>
      </c>
      <c r="J771" t="s">
        <v>665</v>
      </c>
      <c r="K771" t="s">
        <v>784</v>
      </c>
      <c r="L771">
        <v>1</v>
      </c>
      <c r="M771" s="5">
        <v>459.58</v>
      </c>
      <c r="N771" s="6">
        <v>5</v>
      </c>
      <c r="O771" s="5">
        <v>22.98</v>
      </c>
      <c r="P771" s="5">
        <v>65.49</v>
      </c>
      <c r="Q771" s="5">
        <v>436.6</v>
      </c>
      <c r="R771" s="5">
        <v>386.89</v>
      </c>
      <c r="S771" s="5">
        <v>49.71</v>
      </c>
      <c r="T771" s="7">
        <v>0.113857077416399</v>
      </c>
      <c r="U771" t="s">
        <v>9</v>
      </c>
      <c r="V771" t="s">
        <v>50</v>
      </c>
      <c r="W771" t="s">
        <v>50</v>
      </c>
      <c r="X771" t="s">
        <v>33</v>
      </c>
      <c r="Y771" t="s">
        <v>1231</v>
      </c>
      <c r="Z771" t="s">
        <v>101</v>
      </c>
    </row>
    <row r="772" spans="1:26">
      <c r="A772" t="s">
        <v>2392</v>
      </c>
      <c r="B772" t="s">
        <v>2392</v>
      </c>
      <c r="C772" s="4">
        <v>46081</v>
      </c>
      <c r="D772">
        <v>2026</v>
      </c>
      <c r="E772">
        <v>2</v>
      </c>
      <c r="F772" t="s">
        <v>31</v>
      </c>
      <c r="G772" t="s">
        <v>82</v>
      </c>
      <c r="H772" t="s">
        <v>256</v>
      </c>
      <c r="I772" t="s">
        <v>295</v>
      </c>
      <c r="J772" t="s">
        <v>746</v>
      </c>
      <c r="K772" t="s">
        <v>1029</v>
      </c>
      <c r="L772">
        <v>5</v>
      </c>
      <c r="M772" s="5">
        <v>324.85</v>
      </c>
      <c r="N772" s="6">
        <v>0</v>
      </c>
      <c r="O772" s="5">
        <v>0</v>
      </c>
      <c r="P772" s="5">
        <v>243.64</v>
      </c>
      <c r="Q772" s="5">
        <v>1867.89</v>
      </c>
      <c r="R772" s="5">
        <v>1357.65</v>
      </c>
      <c r="S772" s="5">
        <v>510.24</v>
      </c>
      <c r="T772" s="7">
        <v>0.273163837270931</v>
      </c>
      <c r="U772" t="s">
        <v>13</v>
      </c>
      <c r="V772" t="s">
        <v>50</v>
      </c>
      <c r="W772" t="s">
        <v>50</v>
      </c>
      <c r="X772" t="s">
        <v>33</v>
      </c>
      <c r="Y772" t="s">
        <v>2393</v>
      </c>
      <c r="Z772" t="s">
        <v>80</v>
      </c>
    </row>
    <row r="773" spans="1:26">
      <c r="A773" t="s">
        <v>2394</v>
      </c>
      <c r="B773" t="s">
        <v>2394</v>
      </c>
      <c r="C773" s="4">
        <v>45927</v>
      </c>
      <c r="D773">
        <v>2025</v>
      </c>
      <c r="E773">
        <v>9</v>
      </c>
      <c r="F773" t="s">
        <v>25</v>
      </c>
      <c r="G773" t="s">
        <v>89</v>
      </c>
      <c r="H773" t="s">
        <v>1600</v>
      </c>
      <c r="I773" t="s">
        <v>836</v>
      </c>
      <c r="J773" t="s">
        <v>548</v>
      </c>
      <c r="K773" t="s">
        <v>1671</v>
      </c>
      <c r="L773">
        <v>4</v>
      </c>
      <c r="M773" s="5">
        <v>176.45</v>
      </c>
      <c r="N773" s="6">
        <v>0</v>
      </c>
      <c r="O773" s="5">
        <v>0</v>
      </c>
      <c r="P773" s="5">
        <v>105.87</v>
      </c>
      <c r="Q773" s="5">
        <v>811.67</v>
      </c>
      <c r="R773" s="5">
        <v>497.32</v>
      </c>
      <c r="S773" s="5">
        <v>314.35</v>
      </c>
      <c r="T773" s="7">
        <v>0.387287937215864</v>
      </c>
      <c r="U773" t="s">
        <v>11</v>
      </c>
      <c r="V773" t="s">
        <v>50</v>
      </c>
      <c r="W773" t="s">
        <v>50</v>
      </c>
      <c r="X773" t="s">
        <v>35</v>
      </c>
      <c r="Y773" t="s">
        <v>1392</v>
      </c>
      <c r="Z773" t="s">
        <v>80</v>
      </c>
    </row>
    <row r="774" spans="1:26">
      <c r="A774" t="s">
        <v>2395</v>
      </c>
      <c r="B774" t="s">
        <v>2395</v>
      </c>
      <c r="C774" s="4">
        <v>45962</v>
      </c>
      <c r="D774">
        <v>2025</v>
      </c>
      <c r="E774">
        <v>11</v>
      </c>
      <c r="F774" t="s">
        <v>27</v>
      </c>
      <c r="G774" t="s">
        <v>137</v>
      </c>
      <c r="H774" t="s">
        <v>1472</v>
      </c>
      <c r="I774" t="s">
        <v>750</v>
      </c>
      <c r="J774" t="s">
        <v>858</v>
      </c>
      <c r="K774" t="s">
        <v>859</v>
      </c>
      <c r="L774">
        <v>3</v>
      </c>
      <c r="M774" s="5">
        <v>474.19</v>
      </c>
      <c r="N774" s="6">
        <v>5</v>
      </c>
      <c r="O774" s="5">
        <v>71.13</v>
      </c>
      <c r="P774" s="5">
        <v>202.72</v>
      </c>
      <c r="Q774" s="5">
        <v>1554.16</v>
      </c>
      <c r="R774" s="5">
        <v>1031.67</v>
      </c>
      <c r="S774" s="5">
        <v>522.49</v>
      </c>
      <c r="T774" s="7">
        <v>0.33618803726772</v>
      </c>
      <c r="U774" t="s">
        <v>9</v>
      </c>
      <c r="V774" t="s">
        <v>50</v>
      </c>
      <c r="W774" t="s">
        <v>50</v>
      </c>
      <c r="X774" t="s">
        <v>33</v>
      </c>
      <c r="Y774" t="s">
        <v>1538</v>
      </c>
      <c r="Z774" t="s">
        <v>80</v>
      </c>
    </row>
    <row r="775" spans="1:26">
      <c r="A775" t="s">
        <v>2396</v>
      </c>
      <c r="B775" t="s">
        <v>2396</v>
      </c>
      <c r="C775" s="4">
        <v>45968</v>
      </c>
      <c r="D775">
        <v>2025</v>
      </c>
      <c r="E775">
        <v>11</v>
      </c>
      <c r="F775" t="s">
        <v>27</v>
      </c>
      <c r="G775" t="s">
        <v>137</v>
      </c>
      <c r="H775" t="s">
        <v>2397</v>
      </c>
      <c r="I775" t="s">
        <v>163</v>
      </c>
      <c r="J775" t="s">
        <v>44</v>
      </c>
      <c r="K775" t="s">
        <v>1286</v>
      </c>
      <c r="L775">
        <v>4</v>
      </c>
      <c r="M775" s="5">
        <v>253.11</v>
      </c>
      <c r="N775" s="6">
        <v>5</v>
      </c>
      <c r="O775" s="5">
        <v>50.62</v>
      </c>
      <c r="P775" s="5">
        <v>144.27</v>
      </c>
      <c r="Q775" s="5">
        <v>961.82</v>
      </c>
      <c r="R775" s="5">
        <v>762.96</v>
      </c>
      <c r="S775" s="5">
        <v>198.86</v>
      </c>
      <c r="T775" s="7">
        <v>0.206753862469069</v>
      </c>
      <c r="U775" t="s">
        <v>11</v>
      </c>
      <c r="V775" t="s">
        <v>50</v>
      </c>
      <c r="W775" t="s">
        <v>50</v>
      </c>
      <c r="X775" t="s">
        <v>34</v>
      </c>
      <c r="Y775" t="s">
        <v>1776</v>
      </c>
      <c r="Z775" t="s">
        <v>101</v>
      </c>
    </row>
    <row r="776" spans="1:26">
      <c r="A776" t="s">
        <v>2398</v>
      </c>
      <c r="B776" t="s">
        <v>2398</v>
      </c>
      <c r="C776" s="4">
        <v>45976</v>
      </c>
      <c r="D776">
        <v>2025</v>
      </c>
      <c r="E776">
        <v>11</v>
      </c>
      <c r="F776" t="s">
        <v>27</v>
      </c>
      <c r="G776" t="s">
        <v>137</v>
      </c>
      <c r="H776" t="s">
        <v>2399</v>
      </c>
      <c r="I776" t="s">
        <v>110</v>
      </c>
      <c r="J776" t="s">
        <v>140</v>
      </c>
      <c r="K776" t="s">
        <v>141</v>
      </c>
      <c r="L776">
        <v>6</v>
      </c>
      <c r="M776" s="5">
        <v>366.82</v>
      </c>
      <c r="N776" s="6">
        <v>20</v>
      </c>
      <c r="O776" s="5">
        <v>440.18</v>
      </c>
      <c r="P776" s="5">
        <v>264.11</v>
      </c>
      <c r="Q776" s="5">
        <v>2024.85</v>
      </c>
      <c r="R776" s="5">
        <v>1630.68</v>
      </c>
      <c r="S776" s="5">
        <v>394.17</v>
      </c>
      <c r="T776" s="7">
        <v>0.194666271575672</v>
      </c>
      <c r="U776" t="s">
        <v>10</v>
      </c>
      <c r="V776" t="s">
        <v>50</v>
      </c>
      <c r="W776" t="s">
        <v>50</v>
      </c>
      <c r="X776" t="s">
        <v>33</v>
      </c>
      <c r="Y776" t="s">
        <v>1668</v>
      </c>
      <c r="Z776" t="s">
        <v>80</v>
      </c>
    </row>
    <row r="777" spans="1:26">
      <c r="A777" t="s">
        <v>2400</v>
      </c>
      <c r="B777" t="s">
        <v>2400</v>
      </c>
      <c r="C777" s="4">
        <v>45813</v>
      </c>
      <c r="D777">
        <v>2025</v>
      </c>
      <c r="E777">
        <v>6</v>
      </c>
      <c r="F777" t="s">
        <v>22</v>
      </c>
      <c r="G777" t="s">
        <v>74</v>
      </c>
      <c r="H777" t="s">
        <v>2401</v>
      </c>
      <c r="I777" t="s">
        <v>219</v>
      </c>
      <c r="J777" t="s">
        <v>631</v>
      </c>
      <c r="K777" t="s">
        <v>632</v>
      </c>
      <c r="L777">
        <v>2</v>
      </c>
      <c r="M777" s="5">
        <v>225.45</v>
      </c>
      <c r="N777" s="6">
        <v>0</v>
      </c>
      <c r="O777" s="5">
        <v>0</v>
      </c>
      <c r="P777" s="5">
        <v>67.63</v>
      </c>
      <c r="Q777" s="5">
        <v>450.9</v>
      </c>
      <c r="R777" s="5">
        <v>381.8</v>
      </c>
      <c r="S777" s="5">
        <v>69.1</v>
      </c>
      <c r="T777" s="7">
        <v>0.153249057440674</v>
      </c>
      <c r="U777" t="s">
        <v>14</v>
      </c>
      <c r="V777" t="s">
        <v>50</v>
      </c>
      <c r="W777" t="s">
        <v>50</v>
      </c>
      <c r="X777" t="s">
        <v>35</v>
      </c>
      <c r="Y777" t="s">
        <v>1960</v>
      </c>
      <c r="Z777" t="s">
        <v>101</v>
      </c>
    </row>
    <row r="778" spans="1:26">
      <c r="A778" t="s">
        <v>2402</v>
      </c>
      <c r="B778" t="s">
        <v>2402</v>
      </c>
      <c r="C778" s="4">
        <v>45998</v>
      </c>
      <c r="D778">
        <v>2025</v>
      </c>
      <c r="E778">
        <v>12</v>
      </c>
      <c r="F778" t="s">
        <v>28</v>
      </c>
      <c r="G778" t="s">
        <v>137</v>
      </c>
      <c r="H778" t="s">
        <v>1335</v>
      </c>
      <c r="I778" t="s">
        <v>356</v>
      </c>
      <c r="J778" t="s">
        <v>246</v>
      </c>
      <c r="K778" t="s">
        <v>736</v>
      </c>
      <c r="L778">
        <v>1</v>
      </c>
      <c r="M778" s="5">
        <v>455.79</v>
      </c>
      <c r="N778" s="6">
        <v>0</v>
      </c>
      <c r="O778" s="5">
        <v>0</v>
      </c>
      <c r="P778" s="5">
        <v>68.37</v>
      </c>
      <c r="Q778" s="5">
        <v>524.16</v>
      </c>
      <c r="R778" s="5">
        <v>282.88</v>
      </c>
      <c r="S778" s="5">
        <v>241.28</v>
      </c>
      <c r="T778" s="7">
        <v>0.46031746031746</v>
      </c>
      <c r="U778" t="s">
        <v>12</v>
      </c>
      <c r="V778" t="s">
        <v>50</v>
      </c>
      <c r="W778" t="s">
        <v>50</v>
      </c>
      <c r="X778" t="s">
        <v>35</v>
      </c>
      <c r="Y778" t="s">
        <v>678</v>
      </c>
      <c r="Z778" t="s">
        <v>80</v>
      </c>
    </row>
    <row r="779" spans="1:26">
      <c r="A779" t="s">
        <v>2403</v>
      </c>
      <c r="B779" t="s">
        <v>2403</v>
      </c>
      <c r="C779" s="4">
        <v>45890</v>
      </c>
      <c r="D779">
        <v>2025</v>
      </c>
      <c r="E779">
        <v>8</v>
      </c>
      <c r="F779" t="s">
        <v>24</v>
      </c>
      <c r="G779" t="s">
        <v>89</v>
      </c>
      <c r="H779" t="s">
        <v>150</v>
      </c>
      <c r="I779" t="s">
        <v>928</v>
      </c>
      <c r="J779" t="s">
        <v>1450</v>
      </c>
      <c r="K779" t="s">
        <v>1864</v>
      </c>
      <c r="L779">
        <v>7</v>
      </c>
      <c r="M779" s="5">
        <v>258.17</v>
      </c>
      <c r="N779" s="6">
        <v>15</v>
      </c>
      <c r="O779" s="5">
        <v>271.08</v>
      </c>
      <c r="P779" s="5">
        <v>230.42</v>
      </c>
      <c r="Q779" s="5">
        <v>1536.11</v>
      </c>
      <c r="R779" s="5">
        <v>1346.87</v>
      </c>
      <c r="S779" s="5">
        <v>189.24</v>
      </c>
      <c r="T779" s="7">
        <v>0.123194302491358</v>
      </c>
      <c r="U779" t="s">
        <v>10</v>
      </c>
      <c r="V779" t="s">
        <v>50</v>
      </c>
      <c r="W779" t="s">
        <v>50</v>
      </c>
      <c r="X779" t="s">
        <v>33</v>
      </c>
      <c r="Y779" t="s">
        <v>1941</v>
      </c>
      <c r="Z779" t="s">
        <v>101</v>
      </c>
    </row>
    <row r="780" spans="1:26">
      <c r="A780" t="s">
        <v>2404</v>
      </c>
      <c r="B780" t="s">
        <v>2404</v>
      </c>
      <c r="C780" s="4">
        <v>45768</v>
      </c>
      <c r="D780">
        <v>2025</v>
      </c>
      <c r="E780">
        <v>4</v>
      </c>
      <c r="F780" t="s">
        <v>20</v>
      </c>
      <c r="G780" t="s">
        <v>74</v>
      </c>
      <c r="H780" t="s">
        <v>2405</v>
      </c>
      <c r="I780" t="s">
        <v>2170</v>
      </c>
      <c r="J780" t="s">
        <v>642</v>
      </c>
      <c r="K780" t="s">
        <v>287</v>
      </c>
      <c r="L780">
        <v>3</v>
      </c>
      <c r="M780" s="5">
        <v>68.95</v>
      </c>
      <c r="N780" s="6">
        <v>0</v>
      </c>
      <c r="O780" s="5">
        <v>0</v>
      </c>
      <c r="P780" s="5">
        <v>31.03</v>
      </c>
      <c r="Q780" s="5">
        <v>206.85</v>
      </c>
      <c r="R780" s="5">
        <v>173.67</v>
      </c>
      <c r="S780" s="5">
        <v>33.18</v>
      </c>
      <c r="T780" s="7">
        <v>0.160406091370558</v>
      </c>
      <c r="U780" t="s">
        <v>10</v>
      </c>
      <c r="V780" t="s">
        <v>50</v>
      </c>
      <c r="W780" t="s">
        <v>50</v>
      </c>
      <c r="X780" t="s">
        <v>33</v>
      </c>
      <c r="Y780" t="s">
        <v>1417</v>
      </c>
      <c r="Z780" t="s">
        <v>101</v>
      </c>
    </row>
    <row r="781" spans="1:26">
      <c r="A781" t="s">
        <v>2406</v>
      </c>
      <c r="B781" t="s">
        <v>2406</v>
      </c>
      <c r="C781" s="4">
        <v>45923</v>
      </c>
      <c r="D781">
        <v>2025</v>
      </c>
      <c r="E781">
        <v>9</v>
      </c>
      <c r="F781" t="s">
        <v>25</v>
      </c>
      <c r="G781" t="s">
        <v>89</v>
      </c>
      <c r="H781" t="s">
        <v>2407</v>
      </c>
      <c r="I781" t="s">
        <v>157</v>
      </c>
      <c r="J781" t="s">
        <v>77</v>
      </c>
      <c r="K781" t="s">
        <v>1209</v>
      </c>
      <c r="L781">
        <v>1</v>
      </c>
      <c r="M781" s="5">
        <v>59.92</v>
      </c>
      <c r="N781" s="6">
        <v>20</v>
      </c>
      <c r="O781" s="5">
        <v>11.98</v>
      </c>
      <c r="P781" s="5">
        <v>7.19</v>
      </c>
      <c r="Q781" s="5">
        <v>47.94</v>
      </c>
      <c r="R781" s="5">
        <v>48.15</v>
      </c>
      <c r="S781" s="5">
        <v>-0.21</v>
      </c>
      <c r="T781" s="7">
        <v>-0.00438047559449312</v>
      </c>
      <c r="U781" t="s">
        <v>14</v>
      </c>
      <c r="V781" t="s">
        <v>50</v>
      </c>
      <c r="W781" t="s">
        <v>50</v>
      </c>
      <c r="X781" t="s">
        <v>35</v>
      </c>
      <c r="Y781" t="s">
        <v>2408</v>
      </c>
      <c r="Z781" t="s">
        <v>101</v>
      </c>
    </row>
    <row r="782" spans="1:26">
      <c r="A782" t="s">
        <v>2409</v>
      </c>
      <c r="B782" t="s">
        <v>2409</v>
      </c>
      <c r="C782" s="4">
        <v>45947</v>
      </c>
      <c r="D782">
        <v>2025</v>
      </c>
      <c r="E782">
        <v>10</v>
      </c>
      <c r="F782" t="s">
        <v>26</v>
      </c>
      <c r="G782" t="s">
        <v>137</v>
      </c>
      <c r="H782" t="s">
        <v>608</v>
      </c>
      <c r="I782" t="s">
        <v>787</v>
      </c>
      <c r="J782" t="s">
        <v>802</v>
      </c>
      <c r="K782" t="s">
        <v>803</v>
      </c>
      <c r="L782">
        <v>3</v>
      </c>
      <c r="M782" s="5">
        <v>186.32</v>
      </c>
      <c r="N782" s="6">
        <v>10</v>
      </c>
      <c r="O782" s="5">
        <v>55.9</v>
      </c>
      <c r="P782" s="5">
        <v>75.46</v>
      </c>
      <c r="Q782" s="5">
        <v>503.06</v>
      </c>
      <c r="R782" s="5">
        <v>306.69</v>
      </c>
      <c r="S782" s="5">
        <v>196.37</v>
      </c>
      <c r="T782" s="7">
        <v>0.390351051564426</v>
      </c>
      <c r="U782" t="s">
        <v>10</v>
      </c>
      <c r="V782" t="s">
        <v>50</v>
      </c>
      <c r="W782" t="s">
        <v>50</v>
      </c>
      <c r="X782" t="s">
        <v>33</v>
      </c>
      <c r="Y782" t="s">
        <v>2410</v>
      </c>
      <c r="Z782" t="s">
        <v>101</v>
      </c>
    </row>
    <row r="783" spans="1:26">
      <c r="A783" t="s">
        <v>2411</v>
      </c>
      <c r="B783" t="s">
        <v>2411</v>
      </c>
      <c r="C783" s="4">
        <v>45833</v>
      </c>
      <c r="D783">
        <v>2025</v>
      </c>
      <c r="E783">
        <v>6</v>
      </c>
      <c r="F783" t="s">
        <v>22</v>
      </c>
      <c r="G783" t="s">
        <v>74</v>
      </c>
      <c r="H783" t="s">
        <v>1082</v>
      </c>
      <c r="I783" t="s">
        <v>689</v>
      </c>
      <c r="J783" t="s">
        <v>202</v>
      </c>
      <c r="K783" t="s">
        <v>829</v>
      </c>
      <c r="L783">
        <v>3</v>
      </c>
      <c r="M783" s="5">
        <v>123.11</v>
      </c>
      <c r="N783" s="6">
        <v>0</v>
      </c>
      <c r="O783" s="5">
        <v>0</v>
      </c>
      <c r="P783" s="5">
        <v>55.4</v>
      </c>
      <c r="Q783" s="5">
        <v>369.33</v>
      </c>
      <c r="R783" s="5">
        <v>273.54</v>
      </c>
      <c r="S783" s="5">
        <v>95.79</v>
      </c>
      <c r="T783" s="7">
        <v>0.259361546584356</v>
      </c>
      <c r="U783" t="s">
        <v>12</v>
      </c>
      <c r="V783" t="s">
        <v>50</v>
      </c>
      <c r="W783" t="s">
        <v>50</v>
      </c>
      <c r="X783" t="s">
        <v>33</v>
      </c>
      <c r="Y783" t="s">
        <v>962</v>
      </c>
      <c r="Z783" t="s">
        <v>101</v>
      </c>
    </row>
    <row r="784" spans="1:26">
      <c r="A784" t="s">
        <v>2412</v>
      </c>
      <c r="B784" t="s">
        <v>2412</v>
      </c>
      <c r="C784" s="4">
        <v>45997</v>
      </c>
      <c r="D784">
        <v>2025</v>
      </c>
      <c r="E784">
        <v>12</v>
      </c>
      <c r="F784" t="s">
        <v>28</v>
      </c>
      <c r="G784" t="s">
        <v>137</v>
      </c>
      <c r="H784" t="s">
        <v>1544</v>
      </c>
      <c r="I784" t="s">
        <v>547</v>
      </c>
      <c r="J784" t="s">
        <v>1485</v>
      </c>
      <c r="K784" t="s">
        <v>287</v>
      </c>
      <c r="L784">
        <v>7</v>
      </c>
      <c r="M784" s="5">
        <v>573.43</v>
      </c>
      <c r="N784" s="6">
        <v>5</v>
      </c>
      <c r="O784" s="5">
        <v>200.7</v>
      </c>
      <c r="P784" s="5">
        <v>572</v>
      </c>
      <c r="Q784" s="5">
        <v>4385.31</v>
      </c>
      <c r="R784" s="5">
        <v>2728.6</v>
      </c>
      <c r="S784" s="5">
        <v>1656.71</v>
      </c>
      <c r="T784" s="7">
        <v>0.377786291048979</v>
      </c>
      <c r="U784" t="s">
        <v>13</v>
      </c>
      <c r="V784" t="s">
        <v>50</v>
      </c>
      <c r="W784" t="s">
        <v>50</v>
      </c>
      <c r="X784" t="s">
        <v>33</v>
      </c>
      <c r="Y784" t="s">
        <v>540</v>
      </c>
      <c r="Z784" t="s">
        <v>80</v>
      </c>
    </row>
    <row r="785" spans="1:26">
      <c r="A785" t="s">
        <v>2413</v>
      </c>
      <c r="B785" t="s">
        <v>2413</v>
      </c>
      <c r="C785" s="4">
        <v>46001</v>
      </c>
      <c r="D785">
        <v>2025</v>
      </c>
      <c r="E785">
        <v>12</v>
      </c>
      <c r="F785" t="s">
        <v>28</v>
      </c>
      <c r="G785" t="s">
        <v>137</v>
      </c>
      <c r="H785" t="s">
        <v>876</v>
      </c>
      <c r="I785" t="s">
        <v>664</v>
      </c>
      <c r="J785" t="s">
        <v>813</v>
      </c>
      <c r="K785" t="s">
        <v>814</v>
      </c>
      <c r="L785">
        <v>6</v>
      </c>
      <c r="M785" s="5">
        <v>363.82</v>
      </c>
      <c r="N785" s="6">
        <v>20</v>
      </c>
      <c r="O785" s="5">
        <v>436.58</v>
      </c>
      <c r="P785" s="5">
        <v>261.95</v>
      </c>
      <c r="Q785" s="5">
        <v>1746.34</v>
      </c>
      <c r="R785" s="5">
        <v>1647.66</v>
      </c>
      <c r="S785" s="5">
        <v>98.68</v>
      </c>
      <c r="T785" s="7">
        <v>0.0565067512626407</v>
      </c>
      <c r="U785" t="s">
        <v>14</v>
      </c>
      <c r="V785" t="s">
        <v>50</v>
      </c>
      <c r="W785" t="s">
        <v>50</v>
      </c>
      <c r="X785" t="s">
        <v>33</v>
      </c>
      <c r="Y785" t="s">
        <v>1265</v>
      </c>
      <c r="Z785" t="s">
        <v>101</v>
      </c>
    </row>
    <row r="786" spans="1:26">
      <c r="A786" t="s">
        <v>2414</v>
      </c>
      <c r="B786" t="s">
        <v>2414</v>
      </c>
      <c r="C786" s="4">
        <v>45861</v>
      </c>
      <c r="D786">
        <v>2025</v>
      </c>
      <c r="E786">
        <v>7</v>
      </c>
      <c r="F786" t="s">
        <v>23</v>
      </c>
      <c r="G786" t="s">
        <v>89</v>
      </c>
      <c r="H786" t="s">
        <v>1446</v>
      </c>
      <c r="I786" t="s">
        <v>295</v>
      </c>
      <c r="J786" t="s">
        <v>140</v>
      </c>
      <c r="K786" t="s">
        <v>141</v>
      </c>
      <c r="L786">
        <v>4</v>
      </c>
      <c r="M786" s="5">
        <v>326.25</v>
      </c>
      <c r="N786" s="6">
        <v>0</v>
      </c>
      <c r="O786" s="5">
        <v>0</v>
      </c>
      <c r="P786" s="5">
        <v>195.75</v>
      </c>
      <c r="Q786" s="5">
        <v>1305</v>
      </c>
      <c r="R786" s="5">
        <v>1086.12</v>
      </c>
      <c r="S786" s="5">
        <v>218.88</v>
      </c>
      <c r="T786" s="7">
        <v>0.167724137931034</v>
      </c>
      <c r="U786" t="s">
        <v>10</v>
      </c>
      <c r="V786" t="s">
        <v>51</v>
      </c>
      <c r="W786" t="s">
        <v>51</v>
      </c>
      <c r="X786" t="s">
        <v>33</v>
      </c>
      <c r="Y786" t="s">
        <v>2415</v>
      </c>
      <c r="Z786" t="s">
        <v>101</v>
      </c>
    </row>
    <row r="787" spans="1:26">
      <c r="A787" t="s">
        <v>2416</v>
      </c>
      <c r="B787" t="s">
        <v>2416</v>
      </c>
      <c r="C787" s="4">
        <v>45818</v>
      </c>
      <c r="D787">
        <v>2025</v>
      </c>
      <c r="E787">
        <v>6</v>
      </c>
      <c r="F787" t="s">
        <v>22</v>
      </c>
      <c r="G787" t="s">
        <v>74</v>
      </c>
      <c r="H787" t="s">
        <v>1126</v>
      </c>
      <c r="I787" t="s">
        <v>694</v>
      </c>
      <c r="J787" t="s">
        <v>252</v>
      </c>
      <c r="K787" t="s">
        <v>253</v>
      </c>
      <c r="L787">
        <v>7</v>
      </c>
      <c r="M787" s="5">
        <v>376.93</v>
      </c>
      <c r="N787" s="6">
        <v>10</v>
      </c>
      <c r="O787" s="5">
        <v>263.85</v>
      </c>
      <c r="P787" s="5">
        <v>356.2</v>
      </c>
      <c r="Q787" s="5">
        <v>2374.66</v>
      </c>
      <c r="R787" s="5">
        <v>2032.31</v>
      </c>
      <c r="S787" s="5">
        <v>342.35</v>
      </c>
      <c r="T787" s="7">
        <v>0.144168007209453</v>
      </c>
      <c r="U787" t="s">
        <v>14</v>
      </c>
      <c r="V787" t="s">
        <v>50</v>
      </c>
      <c r="W787" t="s">
        <v>50</v>
      </c>
      <c r="X787" t="s">
        <v>33</v>
      </c>
      <c r="Y787" t="s">
        <v>1298</v>
      </c>
      <c r="Z787" t="s">
        <v>101</v>
      </c>
    </row>
    <row r="788" spans="1:26">
      <c r="A788" t="s">
        <v>2417</v>
      </c>
      <c r="B788" t="s">
        <v>2417</v>
      </c>
      <c r="C788" s="4">
        <v>45949</v>
      </c>
      <c r="D788">
        <v>2025</v>
      </c>
      <c r="E788">
        <v>10</v>
      </c>
      <c r="F788" t="s">
        <v>26</v>
      </c>
      <c r="G788" t="s">
        <v>137</v>
      </c>
      <c r="H788" t="s">
        <v>828</v>
      </c>
      <c r="I788" t="s">
        <v>537</v>
      </c>
      <c r="J788" t="s">
        <v>872</v>
      </c>
      <c r="K788" t="s">
        <v>873</v>
      </c>
      <c r="L788">
        <v>1</v>
      </c>
      <c r="M788" s="5">
        <v>232.58</v>
      </c>
      <c r="N788" s="6">
        <v>15</v>
      </c>
      <c r="O788" s="5">
        <v>34.89</v>
      </c>
      <c r="P788" s="5">
        <v>29.65</v>
      </c>
      <c r="Q788" s="5">
        <v>227.34</v>
      </c>
      <c r="R788" s="5">
        <v>191.2</v>
      </c>
      <c r="S788" s="5">
        <v>36.14</v>
      </c>
      <c r="T788" s="7">
        <v>0.158968945192223</v>
      </c>
      <c r="U788" t="s">
        <v>10</v>
      </c>
      <c r="V788" t="s">
        <v>50</v>
      </c>
      <c r="W788" t="s">
        <v>50</v>
      </c>
      <c r="X788" t="s">
        <v>33</v>
      </c>
      <c r="Y788" t="s">
        <v>2418</v>
      </c>
      <c r="Z788" t="s">
        <v>80</v>
      </c>
    </row>
    <row r="789" spans="1:26">
      <c r="A789" t="s">
        <v>2419</v>
      </c>
      <c r="B789" t="s">
        <v>2419</v>
      </c>
      <c r="C789" s="4">
        <v>46036</v>
      </c>
      <c r="D789">
        <v>2026</v>
      </c>
      <c r="E789">
        <v>1</v>
      </c>
      <c r="F789" t="s">
        <v>30</v>
      </c>
      <c r="G789" t="s">
        <v>82</v>
      </c>
      <c r="H789" t="s">
        <v>2420</v>
      </c>
      <c r="I789" t="s">
        <v>116</v>
      </c>
      <c r="J789" t="s">
        <v>1219</v>
      </c>
      <c r="K789" t="s">
        <v>1300</v>
      </c>
      <c r="L789">
        <v>2</v>
      </c>
      <c r="M789" s="5">
        <v>172.63</v>
      </c>
      <c r="N789" s="6">
        <v>15</v>
      </c>
      <c r="O789" s="5">
        <v>51.79</v>
      </c>
      <c r="P789" s="5">
        <v>44.02</v>
      </c>
      <c r="Q789" s="5">
        <v>293.47</v>
      </c>
      <c r="R789" s="5">
        <v>284</v>
      </c>
      <c r="S789" s="5">
        <v>9.47</v>
      </c>
      <c r="T789" s="7">
        <v>0.03226905646233</v>
      </c>
      <c r="U789" t="s">
        <v>9</v>
      </c>
      <c r="V789" t="s">
        <v>50</v>
      </c>
      <c r="W789" t="s">
        <v>50</v>
      </c>
      <c r="X789" t="s">
        <v>33</v>
      </c>
      <c r="Y789" t="s">
        <v>1194</v>
      </c>
      <c r="Z789" t="s">
        <v>101</v>
      </c>
    </row>
    <row r="790" spans="1:26">
      <c r="A790" t="s">
        <v>2421</v>
      </c>
      <c r="B790" t="s">
        <v>2421</v>
      </c>
      <c r="C790" s="4">
        <v>45998</v>
      </c>
      <c r="D790">
        <v>2025</v>
      </c>
      <c r="E790">
        <v>12</v>
      </c>
      <c r="F790" t="s">
        <v>28</v>
      </c>
      <c r="G790" t="s">
        <v>137</v>
      </c>
      <c r="H790" t="s">
        <v>2422</v>
      </c>
      <c r="I790" t="s">
        <v>190</v>
      </c>
      <c r="J790" t="s">
        <v>47</v>
      </c>
      <c r="K790" t="s">
        <v>1197</v>
      </c>
      <c r="L790">
        <v>1</v>
      </c>
      <c r="M790" s="5">
        <v>437.49</v>
      </c>
      <c r="N790" s="6">
        <v>0</v>
      </c>
      <c r="O790" s="5">
        <v>0</v>
      </c>
      <c r="P790" s="5">
        <v>65.62</v>
      </c>
      <c r="Q790" s="5">
        <v>503.11</v>
      </c>
      <c r="R790" s="5">
        <v>265.44</v>
      </c>
      <c r="S790" s="5">
        <v>237.67</v>
      </c>
      <c r="T790" s="7">
        <v>0.472401661664447</v>
      </c>
      <c r="U790" t="s">
        <v>11</v>
      </c>
      <c r="V790" t="s">
        <v>50</v>
      </c>
      <c r="W790" t="s">
        <v>50</v>
      </c>
      <c r="X790" t="s">
        <v>33</v>
      </c>
      <c r="Y790" t="s">
        <v>2080</v>
      </c>
      <c r="Z790" t="s">
        <v>80</v>
      </c>
    </row>
    <row r="791" spans="1:26">
      <c r="A791" t="s">
        <v>2423</v>
      </c>
      <c r="B791" t="s">
        <v>2423</v>
      </c>
      <c r="C791" s="4">
        <v>45777</v>
      </c>
      <c r="D791">
        <v>2025</v>
      </c>
      <c r="E791">
        <v>4</v>
      </c>
      <c r="F791" t="s">
        <v>20</v>
      </c>
      <c r="G791" t="s">
        <v>74</v>
      </c>
      <c r="H791" t="s">
        <v>2104</v>
      </c>
      <c r="I791" t="s">
        <v>328</v>
      </c>
      <c r="J791" t="s">
        <v>257</v>
      </c>
      <c r="K791" t="s">
        <v>258</v>
      </c>
      <c r="L791">
        <v>2</v>
      </c>
      <c r="M791" s="5">
        <v>124.84</v>
      </c>
      <c r="N791" s="6">
        <v>5</v>
      </c>
      <c r="O791" s="5">
        <v>12.48</v>
      </c>
      <c r="P791" s="5">
        <v>35.58</v>
      </c>
      <c r="Q791" s="5">
        <v>237.2</v>
      </c>
      <c r="R791" s="5">
        <v>194.7</v>
      </c>
      <c r="S791" s="5">
        <v>42.5</v>
      </c>
      <c r="T791" s="7">
        <v>0.179173693086003</v>
      </c>
      <c r="U791" t="s">
        <v>12</v>
      </c>
      <c r="V791" t="s">
        <v>50</v>
      </c>
      <c r="W791" t="s">
        <v>50</v>
      </c>
      <c r="X791" t="s">
        <v>35</v>
      </c>
      <c r="Y791" t="s">
        <v>2424</v>
      </c>
      <c r="Z791" t="s">
        <v>101</v>
      </c>
    </row>
    <row r="792" spans="1:26">
      <c r="A792" t="s">
        <v>2425</v>
      </c>
      <c r="B792" t="s">
        <v>2425</v>
      </c>
      <c r="C792" s="4">
        <v>46009</v>
      </c>
      <c r="D792">
        <v>2025</v>
      </c>
      <c r="E792">
        <v>12</v>
      </c>
      <c r="F792" t="s">
        <v>28</v>
      </c>
      <c r="G792" t="s">
        <v>137</v>
      </c>
      <c r="H792" t="s">
        <v>138</v>
      </c>
      <c r="I792" t="s">
        <v>2426</v>
      </c>
      <c r="J792" t="s">
        <v>1347</v>
      </c>
      <c r="K792" t="s">
        <v>696</v>
      </c>
      <c r="L792">
        <v>4</v>
      </c>
      <c r="M792" s="5">
        <v>168.55</v>
      </c>
      <c r="N792" s="6">
        <v>20</v>
      </c>
      <c r="O792" s="5">
        <v>134.84</v>
      </c>
      <c r="P792" s="5">
        <v>80.9</v>
      </c>
      <c r="Q792" s="5">
        <v>539.36</v>
      </c>
      <c r="R792" s="5">
        <v>511.92</v>
      </c>
      <c r="S792" s="5">
        <v>27.44</v>
      </c>
      <c r="T792" s="7">
        <v>0.0508751112429546</v>
      </c>
      <c r="U792" t="s">
        <v>13</v>
      </c>
      <c r="V792" t="s">
        <v>50</v>
      </c>
      <c r="W792" t="s">
        <v>50</v>
      </c>
      <c r="X792" t="s">
        <v>35</v>
      </c>
      <c r="Y792" t="s">
        <v>2427</v>
      </c>
      <c r="Z792" t="s">
        <v>101</v>
      </c>
    </row>
    <row r="793" spans="1:26">
      <c r="A793" t="s">
        <v>2428</v>
      </c>
      <c r="B793" t="s">
        <v>2428</v>
      </c>
      <c r="C793" s="4">
        <v>45929</v>
      </c>
      <c r="D793">
        <v>2025</v>
      </c>
      <c r="E793">
        <v>9</v>
      </c>
      <c r="F793" t="s">
        <v>25</v>
      </c>
      <c r="G793" t="s">
        <v>89</v>
      </c>
      <c r="H793" t="s">
        <v>2429</v>
      </c>
      <c r="I793" t="s">
        <v>765</v>
      </c>
      <c r="J793" t="s">
        <v>39</v>
      </c>
      <c r="K793" t="s">
        <v>1197</v>
      </c>
      <c r="L793">
        <v>7</v>
      </c>
      <c r="M793" s="5">
        <v>426.49</v>
      </c>
      <c r="N793" s="6">
        <v>15</v>
      </c>
      <c r="O793" s="5">
        <v>447.81</v>
      </c>
      <c r="P793" s="5">
        <v>380.64</v>
      </c>
      <c r="Q793" s="5">
        <v>2537.62</v>
      </c>
      <c r="R793" s="5">
        <v>2110.99</v>
      </c>
      <c r="S793" s="5">
        <v>426.63</v>
      </c>
      <c r="T793" s="7">
        <v>0.168122098659374</v>
      </c>
      <c r="U793" t="s">
        <v>10</v>
      </c>
      <c r="V793" t="s">
        <v>50</v>
      </c>
      <c r="W793" t="s">
        <v>50</v>
      </c>
      <c r="X793" t="s">
        <v>33</v>
      </c>
      <c r="Y793" t="s">
        <v>2430</v>
      </c>
      <c r="Z793" t="s">
        <v>101</v>
      </c>
    </row>
    <row r="794" spans="1:26">
      <c r="A794" t="s">
        <v>2431</v>
      </c>
      <c r="B794" t="s">
        <v>2431</v>
      </c>
      <c r="C794" s="4">
        <v>45997</v>
      </c>
      <c r="D794">
        <v>2025</v>
      </c>
      <c r="E794">
        <v>12</v>
      </c>
      <c r="F794" t="s">
        <v>28</v>
      </c>
      <c r="G794" t="s">
        <v>137</v>
      </c>
      <c r="H794" t="s">
        <v>1745</v>
      </c>
      <c r="I794" t="s">
        <v>769</v>
      </c>
      <c r="J794" t="s">
        <v>152</v>
      </c>
      <c r="K794" t="s">
        <v>153</v>
      </c>
      <c r="L794">
        <v>6</v>
      </c>
      <c r="M794" s="5">
        <v>242.49</v>
      </c>
      <c r="N794" s="6">
        <v>0</v>
      </c>
      <c r="O794" s="5">
        <v>0</v>
      </c>
      <c r="P794" s="5">
        <v>218.24</v>
      </c>
      <c r="Q794" s="5">
        <v>1673.18</v>
      </c>
      <c r="R794" s="5">
        <v>1177.8</v>
      </c>
      <c r="S794" s="5">
        <v>495.38</v>
      </c>
      <c r="T794" s="7">
        <v>0.296070954708997</v>
      </c>
      <c r="U794" t="s">
        <v>13</v>
      </c>
      <c r="V794" t="s">
        <v>50</v>
      </c>
      <c r="W794" t="s">
        <v>50</v>
      </c>
      <c r="X794" t="s">
        <v>34</v>
      </c>
      <c r="Y794" t="s">
        <v>2432</v>
      </c>
      <c r="Z794" t="s">
        <v>80</v>
      </c>
    </row>
    <row r="795" spans="1:26">
      <c r="A795" t="s">
        <v>2433</v>
      </c>
      <c r="B795" t="s">
        <v>2433</v>
      </c>
      <c r="C795" s="4">
        <v>45876</v>
      </c>
      <c r="D795">
        <v>2025</v>
      </c>
      <c r="E795">
        <v>8</v>
      </c>
      <c r="F795" t="s">
        <v>24</v>
      </c>
      <c r="G795" t="s">
        <v>89</v>
      </c>
      <c r="H795" t="s">
        <v>2434</v>
      </c>
      <c r="I795" t="s">
        <v>583</v>
      </c>
      <c r="J795" t="s">
        <v>563</v>
      </c>
      <c r="K795" t="s">
        <v>2353</v>
      </c>
      <c r="L795">
        <v>5</v>
      </c>
      <c r="M795" s="5">
        <v>251.73</v>
      </c>
      <c r="N795" s="6">
        <v>0</v>
      </c>
      <c r="O795" s="5">
        <v>0</v>
      </c>
      <c r="P795" s="5">
        <v>188.8</v>
      </c>
      <c r="Q795" s="5">
        <v>1258.65</v>
      </c>
      <c r="R795" s="5">
        <v>1052.6</v>
      </c>
      <c r="S795" s="5">
        <v>206.05</v>
      </c>
      <c r="T795" s="7">
        <v>0.163707146545902</v>
      </c>
      <c r="U795" t="s">
        <v>9</v>
      </c>
      <c r="V795" t="s">
        <v>50</v>
      </c>
      <c r="W795" t="s">
        <v>50</v>
      </c>
      <c r="X795" t="s">
        <v>35</v>
      </c>
      <c r="Y795" t="s">
        <v>2435</v>
      </c>
      <c r="Z795" t="s">
        <v>101</v>
      </c>
    </row>
    <row r="796" spans="1:26">
      <c r="A796" t="s">
        <v>2436</v>
      </c>
      <c r="B796" t="s">
        <v>2436</v>
      </c>
      <c r="C796" s="4">
        <v>45794</v>
      </c>
      <c r="D796">
        <v>2025</v>
      </c>
      <c r="E796">
        <v>5</v>
      </c>
      <c r="F796" t="s">
        <v>21</v>
      </c>
      <c r="G796" t="s">
        <v>74</v>
      </c>
      <c r="H796" t="s">
        <v>755</v>
      </c>
      <c r="I796" t="s">
        <v>262</v>
      </c>
      <c r="J796" t="s">
        <v>1405</v>
      </c>
      <c r="K796" t="s">
        <v>1406</v>
      </c>
      <c r="L796">
        <v>4</v>
      </c>
      <c r="M796" s="5">
        <v>147.97</v>
      </c>
      <c r="N796" s="6">
        <v>0</v>
      </c>
      <c r="O796" s="5">
        <v>0</v>
      </c>
      <c r="P796" s="5">
        <v>88.78</v>
      </c>
      <c r="Q796" s="5">
        <v>680.66</v>
      </c>
      <c r="R796" s="5">
        <v>451.2</v>
      </c>
      <c r="S796" s="5">
        <v>229.46</v>
      </c>
      <c r="T796" s="7">
        <v>0.337113977609967</v>
      </c>
      <c r="U796" t="s">
        <v>14</v>
      </c>
      <c r="V796" t="s">
        <v>50</v>
      </c>
      <c r="W796" t="s">
        <v>50</v>
      </c>
      <c r="X796" t="s">
        <v>35</v>
      </c>
      <c r="Y796" t="s">
        <v>2437</v>
      </c>
      <c r="Z796" t="s">
        <v>80</v>
      </c>
    </row>
    <row r="797" spans="1:26">
      <c r="A797" t="s">
        <v>2438</v>
      </c>
      <c r="B797" t="s">
        <v>2438</v>
      </c>
      <c r="C797" s="4">
        <v>45829</v>
      </c>
      <c r="D797">
        <v>2025</v>
      </c>
      <c r="E797">
        <v>6</v>
      </c>
      <c r="F797" t="s">
        <v>22</v>
      </c>
      <c r="G797" t="s">
        <v>74</v>
      </c>
      <c r="H797" t="s">
        <v>90</v>
      </c>
      <c r="I797" t="s">
        <v>2093</v>
      </c>
      <c r="J797" t="s">
        <v>47</v>
      </c>
      <c r="K797" t="s">
        <v>1197</v>
      </c>
      <c r="L797">
        <v>1</v>
      </c>
      <c r="M797" s="5">
        <v>392.79</v>
      </c>
      <c r="N797" s="6">
        <v>5</v>
      </c>
      <c r="O797" s="5">
        <v>19.64</v>
      </c>
      <c r="P797" s="5">
        <v>55.97</v>
      </c>
      <c r="Q797" s="5">
        <v>429.12</v>
      </c>
      <c r="R797" s="5">
        <v>348.33</v>
      </c>
      <c r="S797" s="5">
        <v>80.79</v>
      </c>
      <c r="T797" s="7">
        <v>0.188269015659955</v>
      </c>
      <c r="U797" t="s">
        <v>14</v>
      </c>
      <c r="V797" t="s">
        <v>50</v>
      </c>
      <c r="W797" t="s">
        <v>50</v>
      </c>
      <c r="X797" t="s">
        <v>35</v>
      </c>
      <c r="Y797" t="s">
        <v>965</v>
      </c>
      <c r="Z797" t="s">
        <v>80</v>
      </c>
    </row>
    <row r="798" spans="1:26">
      <c r="A798" t="s">
        <v>2439</v>
      </c>
      <c r="B798" t="s">
        <v>2439</v>
      </c>
      <c r="C798" s="4">
        <v>45938</v>
      </c>
      <c r="D798">
        <v>2025</v>
      </c>
      <c r="E798">
        <v>10</v>
      </c>
      <c r="F798" t="s">
        <v>26</v>
      </c>
      <c r="G798" t="s">
        <v>137</v>
      </c>
      <c r="H798" t="s">
        <v>2440</v>
      </c>
      <c r="I798" t="s">
        <v>459</v>
      </c>
      <c r="J798" t="s">
        <v>548</v>
      </c>
      <c r="K798" t="s">
        <v>1671</v>
      </c>
      <c r="L798">
        <v>2</v>
      </c>
      <c r="M798" s="5">
        <v>96.72</v>
      </c>
      <c r="N798" s="6">
        <v>5</v>
      </c>
      <c r="O798" s="5">
        <v>9.67</v>
      </c>
      <c r="P798" s="5">
        <v>27.57</v>
      </c>
      <c r="Q798" s="5">
        <v>183.77</v>
      </c>
      <c r="R798" s="5">
        <v>159.64</v>
      </c>
      <c r="S798" s="5">
        <v>24.13</v>
      </c>
      <c r="T798" s="7">
        <v>0.131305436143005</v>
      </c>
      <c r="U798" t="s">
        <v>12</v>
      </c>
      <c r="V798" t="s">
        <v>50</v>
      </c>
      <c r="W798" t="s">
        <v>50</v>
      </c>
      <c r="X798" t="s">
        <v>33</v>
      </c>
      <c r="Y798" t="s">
        <v>2441</v>
      </c>
      <c r="Z798" t="s">
        <v>101</v>
      </c>
    </row>
    <row r="799" spans="1:26">
      <c r="A799" t="s">
        <v>2442</v>
      </c>
      <c r="B799" t="s">
        <v>2442</v>
      </c>
      <c r="C799" s="4">
        <v>45980</v>
      </c>
      <c r="D799">
        <v>2025</v>
      </c>
      <c r="E799">
        <v>11</v>
      </c>
      <c r="F799" t="s">
        <v>27</v>
      </c>
      <c r="G799" t="s">
        <v>137</v>
      </c>
      <c r="H799" t="s">
        <v>2290</v>
      </c>
      <c r="I799" t="s">
        <v>262</v>
      </c>
      <c r="J799" t="s">
        <v>46</v>
      </c>
      <c r="K799" t="s">
        <v>1436</v>
      </c>
      <c r="L799">
        <v>5</v>
      </c>
      <c r="M799" s="5">
        <v>147.97</v>
      </c>
      <c r="N799" s="6">
        <v>15</v>
      </c>
      <c r="O799" s="5">
        <v>110.98</v>
      </c>
      <c r="P799" s="5">
        <v>94.33</v>
      </c>
      <c r="Q799" s="5">
        <v>628.87</v>
      </c>
      <c r="R799" s="5">
        <v>564</v>
      </c>
      <c r="S799" s="5">
        <v>64.87</v>
      </c>
      <c r="T799" s="7">
        <v>0.103153274921685</v>
      </c>
      <c r="U799" t="s">
        <v>10</v>
      </c>
      <c r="V799" t="s">
        <v>50</v>
      </c>
      <c r="W799" t="s">
        <v>50</v>
      </c>
      <c r="X799" t="s">
        <v>33</v>
      </c>
      <c r="Y799" t="s">
        <v>2443</v>
      </c>
      <c r="Z799" t="s">
        <v>101</v>
      </c>
    </row>
    <row r="800" spans="1:26">
      <c r="A800" t="s">
        <v>2444</v>
      </c>
      <c r="B800" t="s">
        <v>2444</v>
      </c>
      <c r="C800" s="4">
        <v>45861</v>
      </c>
      <c r="D800">
        <v>2025</v>
      </c>
      <c r="E800">
        <v>7</v>
      </c>
      <c r="F800" t="s">
        <v>23</v>
      </c>
      <c r="G800" t="s">
        <v>89</v>
      </c>
      <c r="H800" t="s">
        <v>1099</v>
      </c>
      <c r="I800" t="s">
        <v>328</v>
      </c>
      <c r="J800" t="s">
        <v>489</v>
      </c>
      <c r="K800" t="s">
        <v>287</v>
      </c>
      <c r="L800">
        <v>3</v>
      </c>
      <c r="M800" s="5">
        <v>124.84</v>
      </c>
      <c r="N800" s="6">
        <v>15</v>
      </c>
      <c r="O800" s="5">
        <v>56.18</v>
      </c>
      <c r="P800" s="5">
        <v>47.75</v>
      </c>
      <c r="Q800" s="5">
        <v>318.34</v>
      </c>
      <c r="R800" s="5">
        <v>292.05</v>
      </c>
      <c r="S800" s="5">
        <v>26.29</v>
      </c>
      <c r="T800" s="7">
        <v>0.0825846579129233</v>
      </c>
      <c r="U800" t="s">
        <v>13</v>
      </c>
      <c r="V800" t="s">
        <v>50</v>
      </c>
      <c r="W800" t="s">
        <v>50</v>
      </c>
      <c r="X800" t="s">
        <v>35</v>
      </c>
      <c r="Y800" t="s">
        <v>2445</v>
      </c>
      <c r="Z800" t="s">
        <v>101</v>
      </c>
    </row>
    <row r="801" spans="1:26">
      <c r="A801" t="s">
        <v>2446</v>
      </c>
      <c r="B801" t="s">
        <v>2446</v>
      </c>
      <c r="C801" s="4">
        <v>46060</v>
      </c>
      <c r="D801">
        <v>2026</v>
      </c>
      <c r="E801">
        <v>2</v>
      </c>
      <c r="F801" t="s">
        <v>31</v>
      </c>
      <c r="G801" t="s">
        <v>82</v>
      </c>
      <c r="H801" t="s">
        <v>267</v>
      </c>
      <c r="I801" t="s">
        <v>503</v>
      </c>
      <c r="J801" t="s">
        <v>504</v>
      </c>
      <c r="K801" t="s">
        <v>1460</v>
      </c>
      <c r="L801">
        <v>3</v>
      </c>
      <c r="M801" s="5">
        <v>71.29</v>
      </c>
      <c r="N801" s="6">
        <v>10</v>
      </c>
      <c r="O801" s="5">
        <v>21.39</v>
      </c>
      <c r="P801" s="5">
        <v>28.87</v>
      </c>
      <c r="Q801" s="5">
        <v>221.35</v>
      </c>
      <c r="R801" s="5">
        <v>178.11</v>
      </c>
      <c r="S801" s="5">
        <v>43.24</v>
      </c>
      <c r="T801" s="7">
        <v>0.195346735938559</v>
      </c>
      <c r="U801" t="s">
        <v>12</v>
      </c>
      <c r="V801" t="s">
        <v>50</v>
      </c>
      <c r="W801" t="s">
        <v>50</v>
      </c>
      <c r="X801" t="s">
        <v>35</v>
      </c>
      <c r="Y801" t="s">
        <v>1352</v>
      </c>
      <c r="Z801" t="s">
        <v>80</v>
      </c>
    </row>
    <row r="802" spans="1:26">
      <c r="A802" t="s">
        <v>2447</v>
      </c>
      <c r="B802" t="s">
        <v>2447</v>
      </c>
      <c r="C802" s="4">
        <v>45772</v>
      </c>
      <c r="D802">
        <v>2025</v>
      </c>
      <c r="E802">
        <v>4</v>
      </c>
      <c r="F802" t="s">
        <v>20</v>
      </c>
      <c r="G802" t="s">
        <v>74</v>
      </c>
      <c r="H802" t="s">
        <v>1070</v>
      </c>
      <c r="I802" t="s">
        <v>787</v>
      </c>
      <c r="J802" t="s">
        <v>412</v>
      </c>
      <c r="K802" t="s">
        <v>938</v>
      </c>
      <c r="L802">
        <v>5</v>
      </c>
      <c r="M802" s="5">
        <v>190.75</v>
      </c>
      <c r="N802" s="6">
        <v>10</v>
      </c>
      <c r="O802" s="5">
        <v>95.38</v>
      </c>
      <c r="P802" s="5">
        <v>128.76</v>
      </c>
      <c r="Q802" s="5">
        <v>858.37</v>
      </c>
      <c r="R802" s="5">
        <v>511.15</v>
      </c>
      <c r="S802" s="5">
        <v>347.22</v>
      </c>
      <c r="T802" s="7">
        <v>0.404510875263581</v>
      </c>
      <c r="U802" t="s">
        <v>12</v>
      </c>
      <c r="V802" t="s">
        <v>51</v>
      </c>
      <c r="W802" t="s">
        <v>51</v>
      </c>
      <c r="X802" t="s">
        <v>33</v>
      </c>
      <c r="Y802" t="s">
        <v>2448</v>
      </c>
      <c r="Z802" t="s">
        <v>101</v>
      </c>
    </row>
    <row r="803" spans="1:26">
      <c r="A803" t="s">
        <v>2449</v>
      </c>
      <c r="B803" t="s">
        <v>2449</v>
      </c>
      <c r="C803" s="4">
        <v>45933</v>
      </c>
      <c r="D803">
        <v>2025</v>
      </c>
      <c r="E803">
        <v>10</v>
      </c>
      <c r="F803" t="s">
        <v>26</v>
      </c>
      <c r="G803" t="s">
        <v>137</v>
      </c>
      <c r="H803" t="s">
        <v>1060</v>
      </c>
      <c r="I803" t="s">
        <v>765</v>
      </c>
      <c r="J803" t="s">
        <v>240</v>
      </c>
      <c r="K803" t="s">
        <v>275</v>
      </c>
      <c r="L803">
        <v>5</v>
      </c>
      <c r="M803" s="5">
        <v>376.11</v>
      </c>
      <c r="N803" s="6">
        <v>10</v>
      </c>
      <c r="O803" s="5">
        <v>188.06</v>
      </c>
      <c r="P803" s="5">
        <v>253.87</v>
      </c>
      <c r="Q803" s="5">
        <v>1692.49</v>
      </c>
      <c r="R803" s="5">
        <v>1507.85</v>
      </c>
      <c r="S803" s="5">
        <v>184.64</v>
      </c>
      <c r="T803" s="7">
        <v>0.109093702178447</v>
      </c>
      <c r="U803" t="s">
        <v>13</v>
      </c>
      <c r="V803" t="s">
        <v>50</v>
      </c>
      <c r="W803" t="s">
        <v>50</v>
      </c>
      <c r="X803" t="s">
        <v>33</v>
      </c>
      <c r="Y803" t="s">
        <v>2450</v>
      </c>
      <c r="Z803" t="s">
        <v>101</v>
      </c>
    </row>
    <row r="804" spans="1:26">
      <c r="A804" t="s">
        <v>2451</v>
      </c>
      <c r="B804" t="s">
        <v>2451</v>
      </c>
      <c r="C804" s="4">
        <v>46090</v>
      </c>
      <c r="D804">
        <v>2026</v>
      </c>
      <c r="E804">
        <v>3</v>
      </c>
      <c r="F804" t="s">
        <v>19</v>
      </c>
      <c r="G804" t="s">
        <v>82</v>
      </c>
      <c r="H804" t="s">
        <v>2452</v>
      </c>
      <c r="I804" t="s">
        <v>312</v>
      </c>
      <c r="J804" t="s">
        <v>339</v>
      </c>
      <c r="K804" t="s">
        <v>2453</v>
      </c>
      <c r="L804">
        <v>3</v>
      </c>
      <c r="M804" s="5">
        <v>383.51</v>
      </c>
      <c r="N804" s="6">
        <v>5</v>
      </c>
      <c r="O804" s="5">
        <v>57.53</v>
      </c>
      <c r="P804" s="5">
        <v>163.95</v>
      </c>
      <c r="Q804" s="5">
        <v>1093</v>
      </c>
      <c r="R804" s="5">
        <v>857.7</v>
      </c>
      <c r="S804" s="5">
        <v>235.3</v>
      </c>
      <c r="T804" s="7">
        <v>0.215279048490393</v>
      </c>
      <c r="U804" t="s">
        <v>11</v>
      </c>
      <c r="V804" t="s">
        <v>50</v>
      </c>
      <c r="W804" t="s">
        <v>50</v>
      </c>
      <c r="X804" t="s">
        <v>33</v>
      </c>
      <c r="Y804" t="s">
        <v>2298</v>
      </c>
      <c r="Z804" t="s">
        <v>101</v>
      </c>
    </row>
    <row r="805" spans="1:26">
      <c r="A805" t="s">
        <v>2454</v>
      </c>
      <c r="B805" t="s">
        <v>2454</v>
      </c>
      <c r="C805" s="4">
        <v>46061</v>
      </c>
      <c r="D805">
        <v>2026</v>
      </c>
      <c r="E805">
        <v>2</v>
      </c>
      <c r="F805" t="s">
        <v>31</v>
      </c>
      <c r="G805" t="s">
        <v>82</v>
      </c>
      <c r="H805" t="s">
        <v>2455</v>
      </c>
      <c r="I805" t="s">
        <v>459</v>
      </c>
      <c r="J805" t="s">
        <v>127</v>
      </c>
      <c r="K805" t="s">
        <v>128</v>
      </c>
      <c r="L805">
        <v>3</v>
      </c>
      <c r="M805" s="5">
        <v>96.72</v>
      </c>
      <c r="N805" s="6">
        <v>20</v>
      </c>
      <c r="O805" s="5">
        <v>58.03</v>
      </c>
      <c r="P805" s="5">
        <v>34.82</v>
      </c>
      <c r="Q805" s="5">
        <v>266.95</v>
      </c>
      <c r="R805" s="5">
        <v>239.46</v>
      </c>
      <c r="S805" s="5">
        <v>27.49</v>
      </c>
      <c r="T805" s="7">
        <v>0.102978085783855</v>
      </c>
      <c r="U805" t="s">
        <v>13</v>
      </c>
      <c r="V805" t="s">
        <v>50</v>
      </c>
      <c r="W805" t="s">
        <v>50</v>
      </c>
      <c r="X805" t="s">
        <v>33</v>
      </c>
      <c r="Y805" t="s">
        <v>2456</v>
      </c>
      <c r="Z805" t="s">
        <v>80</v>
      </c>
    </row>
    <row r="806" spans="1:26">
      <c r="A806" t="s">
        <v>2457</v>
      </c>
      <c r="B806" t="s">
        <v>2457</v>
      </c>
      <c r="C806" s="4">
        <v>45955</v>
      </c>
      <c r="D806">
        <v>2025</v>
      </c>
      <c r="E806">
        <v>10</v>
      </c>
      <c r="F806" t="s">
        <v>26</v>
      </c>
      <c r="G806" t="s">
        <v>137</v>
      </c>
      <c r="H806" t="s">
        <v>1983</v>
      </c>
      <c r="I806" t="s">
        <v>268</v>
      </c>
      <c r="J806" t="s">
        <v>1104</v>
      </c>
      <c r="K806" t="s">
        <v>1105</v>
      </c>
      <c r="L806">
        <v>7</v>
      </c>
      <c r="M806" s="5">
        <v>359.38</v>
      </c>
      <c r="N806" s="6">
        <v>0</v>
      </c>
      <c r="O806" s="5">
        <v>0</v>
      </c>
      <c r="P806" s="5">
        <v>377.35</v>
      </c>
      <c r="Q806" s="5">
        <v>2893.01</v>
      </c>
      <c r="R806" s="5">
        <v>1436.89</v>
      </c>
      <c r="S806" s="5">
        <v>1456.12</v>
      </c>
      <c r="T806" s="7">
        <v>0.503323528090121</v>
      </c>
      <c r="U806" t="s">
        <v>11</v>
      </c>
      <c r="V806" t="s">
        <v>50</v>
      </c>
      <c r="W806" t="s">
        <v>50</v>
      </c>
      <c r="X806" t="s">
        <v>35</v>
      </c>
      <c r="Y806" t="s">
        <v>2375</v>
      </c>
      <c r="Z806" t="s">
        <v>80</v>
      </c>
    </row>
    <row r="807" spans="1:26">
      <c r="A807" t="s">
        <v>2458</v>
      </c>
      <c r="B807" t="s">
        <v>2458</v>
      </c>
      <c r="C807" s="4">
        <v>45990</v>
      </c>
      <c r="D807">
        <v>2025</v>
      </c>
      <c r="E807">
        <v>11</v>
      </c>
      <c r="F807" t="s">
        <v>27</v>
      </c>
      <c r="G807" t="s">
        <v>137</v>
      </c>
      <c r="H807" t="s">
        <v>1421</v>
      </c>
      <c r="I807" t="s">
        <v>2170</v>
      </c>
      <c r="J807" t="s">
        <v>1122</v>
      </c>
      <c r="K807" t="s">
        <v>1123</v>
      </c>
      <c r="L807">
        <v>3</v>
      </c>
      <c r="M807" s="5">
        <v>70.65</v>
      </c>
      <c r="N807" s="6">
        <v>0</v>
      </c>
      <c r="O807" s="5">
        <v>0</v>
      </c>
      <c r="P807" s="5">
        <v>31.79</v>
      </c>
      <c r="Q807" s="5">
        <v>243.74</v>
      </c>
      <c r="R807" s="5">
        <v>173.67</v>
      </c>
      <c r="S807" s="5">
        <v>70.07</v>
      </c>
      <c r="T807" s="7">
        <v>0.287478460654796</v>
      </c>
      <c r="U807" t="s">
        <v>13</v>
      </c>
      <c r="V807" t="s">
        <v>51</v>
      </c>
      <c r="W807" t="s">
        <v>51</v>
      </c>
      <c r="X807" t="s">
        <v>33</v>
      </c>
      <c r="Y807" t="s">
        <v>1800</v>
      </c>
      <c r="Z807" t="s">
        <v>80</v>
      </c>
    </row>
    <row r="808" spans="1:26">
      <c r="A808" t="s">
        <v>2459</v>
      </c>
      <c r="B808" t="s">
        <v>2459</v>
      </c>
      <c r="C808" s="4">
        <v>45878</v>
      </c>
      <c r="D808">
        <v>2025</v>
      </c>
      <c r="E808">
        <v>8</v>
      </c>
      <c r="F808" t="s">
        <v>24</v>
      </c>
      <c r="G808" t="s">
        <v>89</v>
      </c>
      <c r="H808" t="s">
        <v>453</v>
      </c>
      <c r="I808" t="s">
        <v>750</v>
      </c>
      <c r="J808" t="s">
        <v>164</v>
      </c>
      <c r="K808" t="s">
        <v>165</v>
      </c>
      <c r="L808">
        <v>5</v>
      </c>
      <c r="M808" s="5">
        <v>474.19</v>
      </c>
      <c r="N808" s="6">
        <v>20</v>
      </c>
      <c r="O808" s="5">
        <v>474.19</v>
      </c>
      <c r="P808" s="5">
        <v>284.51</v>
      </c>
      <c r="Q808" s="5">
        <v>2181.27</v>
      </c>
      <c r="R808" s="5">
        <v>1719.45</v>
      </c>
      <c r="S808" s="5">
        <v>461.82</v>
      </c>
      <c r="T808" s="7">
        <v>0.211720694824575</v>
      </c>
      <c r="U808" t="s">
        <v>11</v>
      </c>
      <c r="V808" t="s">
        <v>50</v>
      </c>
      <c r="W808" t="s">
        <v>50</v>
      </c>
      <c r="X808" t="s">
        <v>33</v>
      </c>
      <c r="Y808" t="s">
        <v>2460</v>
      </c>
      <c r="Z808" t="s">
        <v>80</v>
      </c>
    </row>
    <row r="809" spans="1:26">
      <c r="A809" t="s">
        <v>2461</v>
      </c>
      <c r="B809" t="s">
        <v>2461</v>
      </c>
      <c r="C809" s="4">
        <v>45788</v>
      </c>
      <c r="D809">
        <v>2025</v>
      </c>
      <c r="E809">
        <v>5</v>
      </c>
      <c r="F809" t="s">
        <v>21</v>
      </c>
      <c r="G809" t="s">
        <v>74</v>
      </c>
      <c r="H809" t="s">
        <v>685</v>
      </c>
      <c r="I809" t="s">
        <v>728</v>
      </c>
      <c r="J809" t="s">
        <v>504</v>
      </c>
      <c r="K809" t="s">
        <v>1460</v>
      </c>
      <c r="L809">
        <v>4</v>
      </c>
      <c r="M809" s="5">
        <v>451.89</v>
      </c>
      <c r="N809" s="6">
        <v>0</v>
      </c>
      <c r="O809" s="5">
        <v>0</v>
      </c>
      <c r="P809" s="5">
        <v>271.13</v>
      </c>
      <c r="Q809" s="5">
        <v>2078.69</v>
      </c>
      <c r="R809" s="5">
        <v>1548.64</v>
      </c>
      <c r="S809" s="5">
        <v>530.05</v>
      </c>
      <c r="T809" s="7">
        <v>0.254992326898191</v>
      </c>
      <c r="U809" t="s">
        <v>14</v>
      </c>
      <c r="V809" t="s">
        <v>50</v>
      </c>
      <c r="W809" t="s">
        <v>50</v>
      </c>
      <c r="X809" t="s">
        <v>33</v>
      </c>
      <c r="Y809" t="s">
        <v>2462</v>
      </c>
      <c r="Z809" t="s">
        <v>80</v>
      </c>
    </row>
    <row r="810" spans="1:26">
      <c r="A810" t="s">
        <v>2463</v>
      </c>
      <c r="B810" t="s">
        <v>2463</v>
      </c>
      <c r="C810" s="4">
        <v>45826</v>
      </c>
      <c r="D810">
        <v>2025</v>
      </c>
      <c r="E810">
        <v>6</v>
      </c>
      <c r="F810" t="s">
        <v>22</v>
      </c>
      <c r="G810" t="s">
        <v>74</v>
      </c>
      <c r="H810" t="s">
        <v>2464</v>
      </c>
      <c r="I810" t="s">
        <v>1153</v>
      </c>
      <c r="J810" t="s">
        <v>1100</v>
      </c>
      <c r="K810" t="s">
        <v>352</v>
      </c>
      <c r="L810">
        <v>2</v>
      </c>
      <c r="M810" s="5">
        <v>360.52</v>
      </c>
      <c r="N810" s="6">
        <v>0</v>
      </c>
      <c r="O810" s="5">
        <v>0</v>
      </c>
      <c r="P810" s="5">
        <v>108.16</v>
      </c>
      <c r="Q810" s="5">
        <v>721.04</v>
      </c>
      <c r="R810" s="5">
        <v>648.96</v>
      </c>
      <c r="S810" s="5">
        <v>72.08</v>
      </c>
      <c r="T810" s="7">
        <v>0.0999667147453678</v>
      </c>
      <c r="U810" t="s">
        <v>10</v>
      </c>
      <c r="V810" t="s">
        <v>50</v>
      </c>
      <c r="W810" t="s">
        <v>50</v>
      </c>
      <c r="X810" t="s">
        <v>33</v>
      </c>
      <c r="Y810" t="s">
        <v>1826</v>
      </c>
      <c r="Z810" t="s">
        <v>101</v>
      </c>
    </row>
    <row r="811" spans="1:26">
      <c r="A811" t="s">
        <v>2465</v>
      </c>
      <c r="B811" t="s">
        <v>2465</v>
      </c>
      <c r="C811" s="4">
        <v>45985</v>
      </c>
      <c r="D811">
        <v>2025</v>
      </c>
      <c r="E811">
        <v>11</v>
      </c>
      <c r="F811" t="s">
        <v>27</v>
      </c>
      <c r="G811" t="s">
        <v>137</v>
      </c>
      <c r="H811" t="s">
        <v>2466</v>
      </c>
      <c r="I811" t="s">
        <v>169</v>
      </c>
      <c r="J811" t="s">
        <v>631</v>
      </c>
      <c r="K811" t="s">
        <v>632</v>
      </c>
      <c r="L811">
        <v>4</v>
      </c>
      <c r="M811" s="5">
        <v>141.11</v>
      </c>
      <c r="N811" s="6">
        <v>0</v>
      </c>
      <c r="O811" s="5">
        <v>0</v>
      </c>
      <c r="P811" s="5">
        <v>84.67</v>
      </c>
      <c r="Q811" s="5">
        <v>564.44</v>
      </c>
      <c r="R811" s="5">
        <v>463.64</v>
      </c>
      <c r="S811" s="5">
        <v>100.8</v>
      </c>
      <c r="T811" s="7">
        <v>0.178584083339239</v>
      </c>
      <c r="U811" t="s">
        <v>12</v>
      </c>
      <c r="V811" t="s">
        <v>50</v>
      </c>
      <c r="W811" t="s">
        <v>50</v>
      </c>
      <c r="X811" t="s">
        <v>35</v>
      </c>
      <c r="Y811" t="s">
        <v>1623</v>
      </c>
      <c r="Z811" t="s">
        <v>101</v>
      </c>
    </row>
    <row r="812" spans="1:26">
      <c r="A812" t="s">
        <v>2467</v>
      </c>
      <c r="B812" t="s">
        <v>2467</v>
      </c>
      <c r="C812" s="4">
        <v>45815</v>
      </c>
      <c r="D812">
        <v>2025</v>
      </c>
      <c r="E812">
        <v>6</v>
      </c>
      <c r="F812" t="s">
        <v>22</v>
      </c>
      <c r="G812" t="s">
        <v>74</v>
      </c>
      <c r="H812" t="s">
        <v>1338</v>
      </c>
      <c r="I812" t="s">
        <v>583</v>
      </c>
      <c r="J812" t="s">
        <v>1834</v>
      </c>
      <c r="K812" t="s">
        <v>1835</v>
      </c>
      <c r="L812">
        <v>4</v>
      </c>
      <c r="M812" s="5">
        <v>251.73</v>
      </c>
      <c r="N812" s="6">
        <v>10</v>
      </c>
      <c r="O812" s="5">
        <v>100.69</v>
      </c>
      <c r="P812" s="5">
        <v>135.93</v>
      </c>
      <c r="Q812" s="5">
        <v>1042.16</v>
      </c>
      <c r="R812" s="5">
        <v>842.08</v>
      </c>
      <c r="S812" s="5">
        <v>200.08</v>
      </c>
      <c r="T812" s="7">
        <v>0.191985875489368</v>
      </c>
      <c r="U812" t="s">
        <v>14</v>
      </c>
      <c r="V812" t="s">
        <v>50</v>
      </c>
      <c r="W812" t="s">
        <v>50</v>
      </c>
      <c r="X812" t="s">
        <v>34</v>
      </c>
      <c r="Y812" t="s">
        <v>2468</v>
      </c>
      <c r="Z812" t="s">
        <v>80</v>
      </c>
    </row>
    <row r="813" spans="1:26">
      <c r="A813" t="s">
        <v>2469</v>
      </c>
      <c r="B813" t="s">
        <v>2469</v>
      </c>
      <c r="C813" s="4">
        <v>45753</v>
      </c>
      <c r="D813">
        <v>2025</v>
      </c>
      <c r="E813">
        <v>4</v>
      </c>
      <c r="F813" t="s">
        <v>20</v>
      </c>
      <c r="G813" t="s">
        <v>74</v>
      </c>
      <c r="H813" t="s">
        <v>2470</v>
      </c>
      <c r="I813" t="s">
        <v>2026</v>
      </c>
      <c r="J813" t="s">
        <v>1100</v>
      </c>
      <c r="K813" t="s">
        <v>352</v>
      </c>
      <c r="L813">
        <v>6</v>
      </c>
      <c r="M813" s="5">
        <v>398.95</v>
      </c>
      <c r="N813" s="6">
        <v>20</v>
      </c>
      <c r="O813" s="5">
        <v>478.74</v>
      </c>
      <c r="P813" s="5">
        <v>287.24</v>
      </c>
      <c r="Q813" s="5">
        <v>2202.2</v>
      </c>
      <c r="R813" s="5">
        <v>1560.36</v>
      </c>
      <c r="S813" s="5">
        <v>641.84</v>
      </c>
      <c r="T813" s="7">
        <v>0.29145400054491</v>
      </c>
      <c r="U813" t="s">
        <v>9</v>
      </c>
      <c r="V813" t="s">
        <v>51</v>
      </c>
      <c r="W813" t="s">
        <v>51</v>
      </c>
      <c r="X813" t="s">
        <v>33</v>
      </c>
      <c r="Y813" t="s">
        <v>2471</v>
      </c>
      <c r="Z813" t="s">
        <v>80</v>
      </c>
    </row>
    <row r="814" spans="1:26">
      <c r="A814" t="s">
        <v>2472</v>
      </c>
      <c r="B814" t="s">
        <v>2472</v>
      </c>
      <c r="C814" s="4">
        <v>45935</v>
      </c>
      <c r="D814">
        <v>2025</v>
      </c>
      <c r="E814">
        <v>10</v>
      </c>
      <c r="F814" t="s">
        <v>26</v>
      </c>
      <c r="G814" t="s">
        <v>137</v>
      </c>
      <c r="H814" t="s">
        <v>597</v>
      </c>
      <c r="I814" t="s">
        <v>328</v>
      </c>
      <c r="J814" t="s">
        <v>197</v>
      </c>
      <c r="K814" t="s">
        <v>198</v>
      </c>
      <c r="L814">
        <v>5</v>
      </c>
      <c r="M814" s="5">
        <v>124.84</v>
      </c>
      <c r="N814" s="6">
        <v>10</v>
      </c>
      <c r="O814" s="5">
        <v>62.42</v>
      </c>
      <c r="P814" s="5">
        <v>84.27</v>
      </c>
      <c r="Q814" s="5">
        <v>646.05</v>
      </c>
      <c r="R814" s="5">
        <v>486.75</v>
      </c>
      <c r="S814" s="5">
        <v>159.3</v>
      </c>
      <c r="T814" s="7">
        <v>0.246575342465753</v>
      </c>
      <c r="U814" t="s">
        <v>9</v>
      </c>
      <c r="V814" t="s">
        <v>50</v>
      </c>
      <c r="W814" t="s">
        <v>50</v>
      </c>
      <c r="X814" t="s">
        <v>33</v>
      </c>
      <c r="Y814" t="s">
        <v>2027</v>
      </c>
      <c r="Z814" t="s">
        <v>80</v>
      </c>
    </row>
    <row r="815" spans="1:26">
      <c r="A815" t="s">
        <v>2473</v>
      </c>
      <c r="B815" t="s">
        <v>2473</v>
      </c>
      <c r="C815" s="4">
        <v>45997</v>
      </c>
      <c r="D815">
        <v>2025</v>
      </c>
      <c r="E815">
        <v>12</v>
      </c>
      <c r="F815" t="s">
        <v>28</v>
      </c>
      <c r="G815" t="s">
        <v>137</v>
      </c>
      <c r="H815" t="s">
        <v>1408</v>
      </c>
      <c r="I815" t="s">
        <v>423</v>
      </c>
      <c r="J815" t="s">
        <v>899</v>
      </c>
      <c r="K815" t="s">
        <v>171</v>
      </c>
      <c r="L815">
        <v>3</v>
      </c>
      <c r="M815" s="5">
        <v>53.39</v>
      </c>
      <c r="N815" s="6">
        <v>0</v>
      </c>
      <c r="O815" s="5">
        <v>0</v>
      </c>
      <c r="P815" s="5">
        <v>24.03</v>
      </c>
      <c r="Q815" s="5">
        <v>184.2</v>
      </c>
      <c r="R815" s="5">
        <v>129.03</v>
      </c>
      <c r="S815" s="5">
        <v>55.17</v>
      </c>
      <c r="T815" s="7">
        <v>0.299511400651466</v>
      </c>
      <c r="U815" t="s">
        <v>13</v>
      </c>
      <c r="V815" t="s">
        <v>50</v>
      </c>
      <c r="W815" t="s">
        <v>50</v>
      </c>
      <c r="X815" t="s">
        <v>35</v>
      </c>
      <c r="Y815" t="s">
        <v>403</v>
      </c>
      <c r="Z815" t="s">
        <v>80</v>
      </c>
    </row>
    <row r="816" spans="1:26">
      <c r="A816" t="s">
        <v>2474</v>
      </c>
      <c r="B816" t="s">
        <v>2474</v>
      </c>
      <c r="C816" s="4">
        <v>46081</v>
      </c>
      <c r="D816">
        <v>2026</v>
      </c>
      <c r="E816">
        <v>2</v>
      </c>
      <c r="F816" t="s">
        <v>31</v>
      </c>
      <c r="G816" t="s">
        <v>82</v>
      </c>
      <c r="H816" t="s">
        <v>1274</v>
      </c>
      <c r="I816" t="s">
        <v>1228</v>
      </c>
      <c r="J816" t="s">
        <v>1327</v>
      </c>
      <c r="K816" t="s">
        <v>878</v>
      </c>
      <c r="L816">
        <v>4</v>
      </c>
      <c r="M816" s="5">
        <v>188.64</v>
      </c>
      <c r="N816" s="6">
        <v>0</v>
      </c>
      <c r="O816" s="5">
        <v>0</v>
      </c>
      <c r="P816" s="5">
        <v>113.18</v>
      </c>
      <c r="Q816" s="5">
        <v>867.74</v>
      </c>
      <c r="R816" s="5">
        <v>633.12</v>
      </c>
      <c r="S816" s="5">
        <v>234.62</v>
      </c>
      <c r="T816" s="7">
        <v>0.270380528729804</v>
      </c>
      <c r="U816" t="s">
        <v>11</v>
      </c>
      <c r="V816" t="s">
        <v>50</v>
      </c>
      <c r="W816" t="s">
        <v>50</v>
      </c>
      <c r="X816" t="s">
        <v>35</v>
      </c>
      <c r="Y816" t="s">
        <v>2427</v>
      </c>
      <c r="Z816" t="s">
        <v>80</v>
      </c>
    </row>
    <row r="817" spans="1:26">
      <c r="A817" t="s">
        <v>2475</v>
      </c>
      <c r="B817" t="s">
        <v>2475</v>
      </c>
      <c r="C817" s="4">
        <v>45930</v>
      </c>
      <c r="D817">
        <v>2025</v>
      </c>
      <c r="E817">
        <v>9</v>
      </c>
      <c r="F817" t="s">
        <v>25</v>
      </c>
      <c r="G817" t="s">
        <v>89</v>
      </c>
      <c r="H817" t="s">
        <v>2476</v>
      </c>
      <c r="I817" t="s">
        <v>417</v>
      </c>
      <c r="J817" t="s">
        <v>1150</v>
      </c>
      <c r="K817" t="s">
        <v>1151</v>
      </c>
      <c r="L817">
        <v>3</v>
      </c>
      <c r="M817" s="5">
        <v>380.12</v>
      </c>
      <c r="N817" s="6">
        <v>5</v>
      </c>
      <c r="O817" s="5">
        <v>57.02</v>
      </c>
      <c r="P817" s="5">
        <v>162.5</v>
      </c>
      <c r="Q817" s="5">
        <v>1083.34</v>
      </c>
      <c r="R817" s="5">
        <v>929.94</v>
      </c>
      <c r="S817" s="5">
        <v>153.4</v>
      </c>
      <c r="T817" s="7">
        <v>0.141599128620747</v>
      </c>
      <c r="U817" t="s">
        <v>9</v>
      </c>
      <c r="V817" t="s">
        <v>50</v>
      </c>
      <c r="W817" t="s">
        <v>50</v>
      </c>
      <c r="X817" t="s">
        <v>33</v>
      </c>
      <c r="Y817" t="s">
        <v>1749</v>
      </c>
      <c r="Z817" t="s">
        <v>101</v>
      </c>
    </row>
    <row r="818" spans="1:26">
      <c r="A818" t="s">
        <v>2477</v>
      </c>
      <c r="B818" t="s">
        <v>2477</v>
      </c>
      <c r="C818" s="4">
        <v>45973</v>
      </c>
      <c r="D818">
        <v>2025</v>
      </c>
      <c r="E818">
        <v>11</v>
      </c>
      <c r="F818" t="s">
        <v>27</v>
      </c>
      <c r="G818" t="s">
        <v>137</v>
      </c>
      <c r="H818" t="s">
        <v>1034</v>
      </c>
      <c r="I818" t="s">
        <v>328</v>
      </c>
      <c r="J818" t="s">
        <v>92</v>
      </c>
      <c r="K818" t="s">
        <v>275</v>
      </c>
      <c r="L818">
        <v>7</v>
      </c>
      <c r="M818" s="5">
        <v>133.02</v>
      </c>
      <c r="N818" s="6">
        <v>0</v>
      </c>
      <c r="O818" s="5">
        <v>0</v>
      </c>
      <c r="P818" s="5">
        <v>139.67</v>
      </c>
      <c r="Q818" s="5">
        <v>931.14</v>
      </c>
      <c r="R818" s="5">
        <v>681.45</v>
      </c>
      <c r="S818" s="5">
        <v>249.69</v>
      </c>
      <c r="T818" s="7">
        <v>0.268155164636897</v>
      </c>
      <c r="U818" t="s">
        <v>9</v>
      </c>
      <c r="V818" t="s">
        <v>50</v>
      </c>
      <c r="W818" t="s">
        <v>50</v>
      </c>
      <c r="X818" t="s">
        <v>35</v>
      </c>
      <c r="Y818" t="s">
        <v>1595</v>
      </c>
      <c r="Z818" t="s">
        <v>101</v>
      </c>
    </row>
    <row r="819" spans="1:26">
      <c r="A819" t="s">
        <v>2478</v>
      </c>
      <c r="B819" t="s">
        <v>2478</v>
      </c>
      <c r="C819" s="4">
        <v>45848</v>
      </c>
      <c r="D819">
        <v>2025</v>
      </c>
      <c r="E819">
        <v>7</v>
      </c>
      <c r="F819" t="s">
        <v>23</v>
      </c>
      <c r="G819" t="s">
        <v>89</v>
      </c>
      <c r="H819" t="s">
        <v>1245</v>
      </c>
      <c r="I819" t="s">
        <v>807</v>
      </c>
      <c r="J819" t="s">
        <v>1122</v>
      </c>
      <c r="K819" t="s">
        <v>1123</v>
      </c>
      <c r="L819">
        <v>3</v>
      </c>
      <c r="M819" s="5">
        <v>340.25</v>
      </c>
      <c r="N819" s="6">
        <v>0</v>
      </c>
      <c r="O819" s="5">
        <v>0</v>
      </c>
      <c r="P819" s="5">
        <v>153.11</v>
      </c>
      <c r="Q819" s="5">
        <v>1020.75</v>
      </c>
      <c r="R819" s="5">
        <v>791.55</v>
      </c>
      <c r="S819" s="5">
        <v>229.2</v>
      </c>
      <c r="T819" s="7">
        <v>0.224540778839089</v>
      </c>
      <c r="U819" t="s">
        <v>9</v>
      </c>
      <c r="V819" t="s">
        <v>50</v>
      </c>
      <c r="W819" t="s">
        <v>50</v>
      </c>
      <c r="X819" t="s">
        <v>35</v>
      </c>
      <c r="Y819" t="s">
        <v>1090</v>
      </c>
      <c r="Z819" t="s">
        <v>101</v>
      </c>
    </row>
    <row r="820" spans="1:26">
      <c r="A820" t="s">
        <v>2479</v>
      </c>
      <c r="B820" t="s">
        <v>2479</v>
      </c>
      <c r="C820" s="4">
        <v>45900</v>
      </c>
      <c r="D820">
        <v>2025</v>
      </c>
      <c r="E820">
        <v>8</v>
      </c>
      <c r="F820" t="s">
        <v>24</v>
      </c>
      <c r="G820" t="s">
        <v>89</v>
      </c>
      <c r="H820" t="s">
        <v>2480</v>
      </c>
      <c r="I820" t="s">
        <v>537</v>
      </c>
      <c r="J820" t="s">
        <v>47</v>
      </c>
      <c r="K820" t="s">
        <v>1197</v>
      </c>
      <c r="L820">
        <v>1</v>
      </c>
      <c r="M820" s="5">
        <v>232.58</v>
      </c>
      <c r="N820" s="6">
        <v>20</v>
      </c>
      <c r="O820" s="5">
        <v>46.52</v>
      </c>
      <c r="P820" s="5">
        <v>27.91</v>
      </c>
      <c r="Q820" s="5">
        <v>213.97</v>
      </c>
      <c r="R820" s="5">
        <v>191.2</v>
      </c>
      <c r="S820" s="5">
        <v>22.77</v>
      </c>
      <c r="T820" s="7">
        <v>0.106416787400103</v>
      </c>
      <c r="U820" t="s">
        <v>9</v>
      </c>
      <c r="V820" t="s">
        <v>50</v>
      </c>
      <c r="W820" t="s">
        <v>50</v>
      </c>
      <c r="X820" t="s">
        <v>35</v>
      </c>
      <c r="Y820" t="s">
        <v>1292</v>
      </c>
      <c r="Z820" t="s">
        <v>80</v>
      </c>
    </row>
    <row r="821" spans="1:26">
      <c r="A821" t="s">
        <v>2481</v>
      </c>
      <c r="B821" t="s">
        <v>2481</v>
      </c>
      <c r="C821" s="4">
        <v>46074</v>
      </c>
      <c r="D821">
        <v>2026</v>
      </c>
      <c r="E821">
        <v>2</v>
      </c>
      <c r="F821" t="s">
        <v>31</v>
      </c>
      <c r="G821" t="s">
        <v>82</v>
      </c>
      <c r="H821" t="s">
        <v>2482</v>
      </c>
      <c r="I821" t="s">
        <v>1419</v>
      </c>
      <c r="J821" t="s">
        <v>38</v>
      </c>
      <c r="K821" t="s">
        <v>236</v>
      </c>
      <c r="L821">
        <v>5</v>
      </c>
      <c r="M821" s="5">
        <v>317.99</v>
      </c>
      <c r="N821" s="6">
        <v>15</v>
      </c>
      <c r="O821" s="5">
        <v>238.49</v>
      </c>
      <c r="P821" s="5">
        <v>202.72</v>
      </c>
      <c r="Q821" s="5">
        <v>1554.18</v>
      </c>
      <c r="R821" s="5">
        <v>1175.25</v>
      </c>
      <c r="S821" s="5">
        <v>378.93</v>
      </c>
      <c r="T821" s="7">
        <v>0.243813457900629</v>
      </c>
      <c r="U821" t="s">
        <v>10</v>
      </c>
      <c r="V821" t="s">
        <v>50</v>
      </c>
      <c r="W821" t="s">
        <v>50</v>
      </c>
      <c r="X821" t="s">
        <v>33</v>
      </c>
      <c r="Y821" t="s">
        <v>1083</v>
      </c>
      <c r="Z821" t="s">
        <v>80</v>
      </c>
    </row>
    <row r="822" spans="1:26">
      <c r="A822" t="s">
        <v>2483</v>
      </c>
      <c r="B822" t="s">
        <v>2483</v>
      </c>
      <c r="C822" s="4">
        <v>45936</v>
      </c>
      <c r="D822">
        <v>2025</v>
      </c>
      <c r="E822">
        <v>10</v>
      </c>
      <c r="F822" t="s">
        <v>26</v>
      </c>
      <c r="G822" t="s">
        <v>137</v>
      </c>
      <c r="H822" t="s">
        <v>1157</v>
      </c>
      <c r="I822" t="s">
        <v>1526</v>
      </c>
      <c r="J822" t="s">
        <v>2484</v>
      </c>
      <c r="K822" t="s">
        <v>2485</v>
      </c>
      <c r="L822">
        <v>5</v>
      </c>
      <c r="M822" s="5">
        <v>104.66</v>
      </c>
      <c r="N822" s="6">
        <v>20</v>
      </c>
      <c r="O822" s="5">
        <v>104.66</v>
      </c>
      <c r="P822" s="5">
        <v>62.8</v>
      </c>
      <c r="Q822" s="5">
        <v>418.64</v>
      </c>
      <c r="R822" s="5">
        <v>443.6</v>
      </c>
      <c r="S822" s="5">
        <v>-24.96</v>
      </c>
      <c r="T822" s="7">
        <v>-0.0596216319510797</v>
      </c>
      <c r="U822" t="s">
        <v>11</v>
      </c>
      <c r="V822" t="s">
        <v>50</v>
      </c>
      <c r="W822" t="s">
        <v>50</v>
      </c>
      <c r="X822" t="s">
        <v>33</v>
      </c>
      <c r="Y822" t="s">
        <v>2486</v>
      </c>
      <c r="Z822" t="s">
        <v>101</v>
      </c>
    </row>
    <row r="823" spans="1:26">
      <c r="A823" t="s">
        <v>2487</v>
      </c>
      <c r="B823" t="s">
        <v>2487</v>
      </c>
      <c r="C823" s="4">
        <v>45788</v>
      </c>
      <c r="D823">
        <v>2025</v>
      </c>
      <c r="E823">
        <v>5</v>
      </c>
      <c r="F823" t="s">
        <v>21</v>
      </c>
      <c r="G823" t="s">
        <v>74</v>
      </c>
      <c r="H823" t="s">
        <v>2238</v>
      </c>
      <c r="I823" t="s">
        <v>592</v>
      </c>
      <c r="J823" t="s">
        <v>532</v>
      </c>
      <c r="K823" t="s">
        <v>138</v>
      </c>
      <c r="L823">
        <v>1</v>
      </c>
      <c r="M823" s="5">
        <v>221.61</v>
      </c>
      <c r="N823" s="6">
        <v>10</v>
      </c>
      <c r="O823" s="5">
        <v>22.16</v>
      </c>
      <c r="P823" s="5">
        <v>29.92</v>
      </c>
      <c r="Q823" s="5">
        <v>229.37</v>
      </c>
      <c r="R823" s="5">
        <v>182.17</v>
      </c>
      <c r="S823" s="5">
        <v>47.2</v>
      </c>
      <c r="T823" s="7">
        <v>0.20578105244801</v>
      </c>
      <c r="U823" t="s">
        <v>14</v>
      </c>
      <c r="V823" t="s">
        <v>50</v>
      </c>
      <c r="W823" t="s">
        <v>50</v>
      </c>
      <c r="X823" t="s">
        <v>33</v>
      </c>
      <c r="Y823" t="s">
        <v>2488</v>
      </c>
      <c r="Z823" t="s">
        <v>80</v>
      </c>
    </row>
    <row r="824" spans="1:26">
      <c r="A824" t="s">
        <v>2489</v>
      </c>
      <c r="B824" t="s">
        <v>2489</v>
      </c>
      <c r="C824" s="4">
        <v>45925</v>
      </c>
      <c r="D824">
        <v>2025</v>
      </c>
      <c r="E824">
        <v>9</v>
      </c>
      <c r="F824" t="s">
        <v>25</v>
      </c>
      <c r="G824" t="s">
        <v>89</v>
      </c>
      <c r="H824" t="s">
        <v>646</v>
      </c>
      <c r="I824" t="s">
        <v>350</v>
      </c>
      <c r="J824" t="s">
        <v>1657</v>
      </c>
      <c r="K824" t="s">
        <v>1658</v>
      </c>
      <c r="L824">
        <v>4</v>
      </c>
      <c r="M824" s="5">
        <v>361.94</v>
      </c>
      <c r="N824" s="6">
        <v>0</v>
      </c>
      <c r="O824" s="5">
        <v>0</v>
      </c>
      <c r="P824" s="5">
        <v>217.16</v>
      </c>
      <c r="Q824" s="5">
        <v>1447.76</v>
      </c>
      <c r="R824" s="5">
        <v>865.28</v>
      </c>
      <c r="S824" s="5">
        <v>582.48</v>
      </c>
      <c r="T824" s="7">
        <v>0.402331878211858</v>
      </c>
      <c r="U824" t="s">
        <v>11</v>
      </c>
      <c r="V824" t="s">
        <v>50</v>
      </c>
      <c r="W824" t="s">
        <v>50</v>
      </c>
      <c r="X824" t="s">
        <v>33</v>
      </c>
      <c r="Y824" t="s">
        <v>2490</v>
      </c>
      <c r="Z824" t="s">
        <v>101</v>
      </c>
    </row>
    <row r="825" spans="1:26">
      <c r="A825" t="s">
        <v>2491</v>
      </c>
      <c r="B825" t="s">
        <v>2491</v>
      </c>
      <c r="C825" s="4">
        <v>46057</v>
      </c>
      <c r="D825">
        <v>2026</v>
      </c>
      <c r="E825">
        <v>2</v>
      </c>
      <c r="F825" t="s">
        <v>31</v>
      </c>
      <c r="G825" t="s">
        <v>82</v>
      </c>
      <c r="H825" t="s">
        <v>1980</v>
      </c>
      <c r="I825" t="s">
        <v>312</v>
      </c>
      <c r="J825" t="s">
        <v>175</v>
      </c>
      <c r="K825" t="s">
        <v>455</v>
      </c>
      <c r="L825">
        <v>5</v>
      </c>
      <c r="M825" s="5">
        <v>423.91</v>
      </c>
      <c r="N825" s="6">
        <v>10</v>
      </c>
      <c r="O825" s="5">
        <v>211.96</v>
      </c>
      <c r="P825" s="5">
        <v>286.14</v>
      </c>
      <c r="Q825" s="5">
        <v>1907.59</v>
      </c>
      <c r="R825" s="5">
        <v>1429.5</v>
      </c>
      <c r="S825" s="5">
        <v>478.09</v>
      </c>
      <c r="T825" s="7">
        <v>0.250625134331801</v>
      </c>
      <c r="U825" t="s">
        <v>13</v>
      </c>
      <c r="V825" t="s">
        <v>50</v>
      </c>
      <c r="W825" t="s">
        <v>50</v>
      </c>
      <c r="X825" t="s">
        <v>33</v>
      </c>
      <c r="Y825" t="s">
        <v>2121</v>
      </c>
      <c r="Z825" t="s">
        <v>101</v>
      </c>
    </row>
    <row r="826" spans="1:26">
      <c r="A826" t="s">
        <v>2492</v>
      </c>
      <c r="B826" t="s">
        <v>2492</v>
      </c>
      <c r="C826" s="4">
        <v>45755</v>
      </c>
      <c r="D826">
        <v>2025</v>
      </c>
      <c r="E826">
        <v>4</v>
      </c>
      <c r="F826" t="s">
        <v>20</v>
      </c>
      <c r="G826" t="s">
        <v>74</v>
      </c>
      <c r="H826" t="s">
        <v>2493</v>
      </c>
      <c r="I826" t="s">
        <v>498</v>
      </c>
      <c r="J826" t="s">
        <v>363</v>
      </c>
      <c r="K826" t="s">
        <v>364</v>
      </c>
      <c r="L826">
        <v>3</v>
      </c>
      <c r="M826" s="5">
        <v>403.7</v>
      </c>
      <c r="N826" s="6">
        <v>0</v>
      </c>
      <c r="O826" s="5">
        <v>0</v>
      </c>
      <c r="P826" s="5">
        <v>181.66</v>
      </c>
      <c r="Q826" s="5">
        <v>1211.1</v>
      </c>
      <c r="R826" s="5">
        <v>931.14</v>
      </c>
      <c r="S826" s="5">
        <v>279.96</v>
      </c>
      <c r="T826" s="7">
        <v>0.231161753777558</v>
      </c>
      <c r="U826" t="s">
        <v>14</v>
      </c>
      <c r="V826" t="s">
        <v>50</v>
      </c>
      <c r="W826" t="s">
        <v>50</v>
      </c>
      <c r="X826" t="s">
        <v>33</v>
      </c>
      <c r="Y826" t="s">
        <v>2494</v>
      </c>
      <c r="Z826" t="s">
        <v>101</v>
      </c>
    </row>
    <row r="827" spans="1:26">
      <c r="A827" t="s">
        <v>2495</v>
      </c>
      <c r="B827" t="s">
        <v>2495</v>
      </c>
      <c r="C827" s="4">
        <v>45895</v>
      </c>
      <c r="D827">
        <v>2025</v>
      </c>
      <c r="E827">
        <v>8</v>
      </c>
      <c r="F827" t="s">
        <v>24</v>
      </c>
      <c r="G827" t="s">
        <v>89</v>
      </c>
      <c r="H827" t="s">
        <v>2496</v>
      </c>
      <c r="I827" t="s">
        <v>947</v>
      </c>
      <c r="J827" t="s">
        <v>1208</v>
      </c>
      <c r="K827" t="s">
        <v>2497</v>
      </c>
      <c r="L827">
        <v>1</v>
      </c>
      <c r="M827" s="5">
        <v>464.41</v>
      </c>
      <c r="N827" s="6">
        <v>0</v>
      </c>
      <c r="O827" s="5">
        <v>0</v>
      </c>
      <c r="P827" s="5">
        <v>69.66</v>
      </c>
      <c r="Q827" s="5">
        <v>464.41</v>
      </c>
      <c r="R827" s="5">
        <v>397.69</v>
      </c>
      <c r="S827" s="5">
        <v>66.72</v>
      </c>
      <c r="T827" s="7">
        <v>0.143666157059495</v>
      </c>
      <c r="U827" t="s">
        <v>10</v>
      </c>
      <c r="V827" t="s">
        <v>50</v>
      </c>
      <c r="W827" t="s">
        <v>50</v>
      </c>
      <c r="X827" t="s">
        <v>33</v>
      </c>
      <c r="Y827" t="s">
        <v>2415</v>
      </c>
      <c r="Z827" t="s">
        <v>101</v>
      </c>
    </row>
    <row r="828" spans="1:26">
      <c r="A828" t="s">
        <v>2498</v>
      </c>
      <c r="B828" t="s">
        <v>2498</v>
      </c>
      <c r="C828" s="4">
        <v>45788</v>
      </c>
      <c r="D828">
        <v>2025</v>
      </c>
      <c r="E828">
        <v>5</v>
      </c>
      <c r="F828" t="s">
        <v>21</v>
      </c>
      <c r="G828" t="s">
        <v>74</v>
      </c>
      <c r="H828" t="s">
        <v>2429</v>
      </c>
      <c r="I828" t="s">
        <v>1137</v>
      </c>
      <c r="J828" t="s">
        <v>252</v>
      </c>
      <c r="K828" t="s">
        <v>253</v>
      </c>
      <c r="L828">
        <v>4</v>
      </c>
      <c r="M828" s="5">
        <v>412.53</v>
      </c>
      <c r="N828" s="6">
        <v>15</v>
      </c>
      <c r="O828" s="5">
        <v>247.52</v>
      </c>
      <c r="P828" s="5">
        <v>210.39</v>
      </c>
      <c r="Q828" s="5">
        <v>1612.99</v>
      </c>
      <c r="R828" s="5">
        <v>1393.64</v>
      </c>
      <c r="S828" s="5">
        <v>219.35</v>
      </c>
      <c r="T828" s="7">
        <v>0.135989683755014</v>
      </c>
      <c r="U828" t="s">
        <v>11</v>
      </c>
      <c r="V828" t="s">
        <v>50</v>
      </c>
      <c r="W828" t="s">
        <v>50</v>
      </c>
      <c r="X828" t="s">
        <v>35</v>
      </c>
      <c r="Y828" t="s">
        <v>1292</v>
      </c>
      <c r="Z828" t="s">
        <v>80</v>
      </c>
    </row>
    <row r="829" spans="1:26">
      <c r="A829" t="s">
        <v>2499</v>
      </c>
      <c r="B829" t="s">
        <v>2499</v>
      </c>
      <c r="C829" s="4">
        <v>45781</v>
      </c>
      <c r="D829">
        <v>2025</v>
      </c>
      <c r="E829">
        <v>5</v>
      </c>
      <c r="F829" t="s">
        <v>21</v>
      </c>
      <c r="G829" t="s">
        <v>74</v>
      </c>
      <c r="H829" t="s">
        <v>2500</v>
      </c>
      <c r="I829" t="s">
        <v>689</v>
      </c>
      <c r="J829" t="s">
        <v>418</v>
      </c>
      <c r="K829" t="s">
        <v>419</v>
      </c>
      <c r="L829">
        <v>7</v>
      </c>
      <c r="M829" s="5">
        <v>133.53</v>
      </c>
      <c r="N829" s="6">
        <v>0</v>
      </c>
      <c r="O829" s="5">
        <v>0</v>
      </c>
      <c r="P829" s="5">
        <v>140.21</v>
      </c>
      <c r="Q829" s="5">
        <v>1074.92</v>
      </c>
      <c r="R829" s="5">
        <v>638.26</v>
      </c>
      <c r="S829" s="5">
        <v>436.66</v>
      </c>
      <c r="T829" s="7">
        <v>0.406225579578015</v>
      </c>
      <c r="U829" t="s">
        <v>11</v>
      </c>
      <c r="V829" t="s">
        <v>50</v>
      </c>
      <c r="W829" t="s">
        <v>50</v>
      </c>
      <c r="X829" t="s">
        <v>33</v>
      </c>
      <c r="Y829" t="s">
        <v>2501</v>
      </c>
      <c r="Z829" t="s">
        <v>80</v>
      </c>
    </row>
    <row r="830" spans="1:26">
      <c r="A830" t="s">
        <v>2502</v>
      </c>
      <c r="B830" t="s">
        <v>2502</v>
      </c>
      <c r="C830" s="4">
        <v>46096</v>
      </c>
      <c r="D830">
        <v>2026</v>
      </c>
      <c r="E830">
        <v>3</v>
      </c>
      <c r="F830" t="s">
        <v>19</v>
      </c>
      <c r="G830" t="s">
        <v>82</v>
      </c>
      <c r="H830" t="s">
        <v>1018</v>
      </c>
      <c r="I830" t="s">
        <v>1575</v>
      </c>
      <c r="J830" t="s">
        <v>1718</v>
      </c>
      <c r="K830" t="s">
        <v>1869</v>
      </c>
      <c r="L830">
        <v>8</v>
      </c>
      <c r="M830" s="5">
        <v>70.17</v>
      </c>
      <c r="N830" s="6">
        <v>0</v>
      </c>
      <c r="O830" s="5">
        <v>0</v>
      </c>
      <c r="P830" s="5">
        <v>84.2</v>
      </c>
      <c r="Q830" s="5">
        <v>645.56</v>
      </c>
      <c r="R830" s="5">
        <v>399.92</v>
      </c>
      <c r="S830" s="5">
        <v>245.64</v>
      </c>
      <c r="T830" s="7">
        <v>0.380506846768697</v>
      </c>
      <c r="U830" t="s">
        <v>12</v>
      </c>
      <c r="V830" t="s">
        <v>50</v>
      </c>
      <c r="W830" t="s">
        <v>50</v>
      </c>
      <c r="X830" t="s">
        <v>33</v>
      </c>
      <c r="Y830" t="s">
        <v>1333</v>
      </c>
      <c r="Z830" t="s">
        <v>80</v>
      </c>
    </row>
    <row r="831" spans="1:26">
      <c r="A831" t="s">
        <v>2503</v>
      </c>
      <c r="B831" t="s">
        <v>2503</v>
      </c>
      <c r="C831" s="4">
        <v>45959</v>
      </c>
      <c r="D831">
        <v>2025</v>
      </c>
      <c r="E831">
        <v>10</v>
      </c>
      <c r="F831" t="s">
        <v>26</v>
      </c>
      <c r="G831" t="s">
        <v>137</v>
      </c>
      <c r="H831" t="s">
        <v>2440</v>
      </c>
      <c r="I831" t="s">
        <v>1051</v>
      </c>
      <c r="J831" t="s">
        <v>1435</v>
      </c>
      <c r="K831" t="s">
        <v>2453</v>
      </c>
      <c r="L831">
        <v>4</v>
      </c>
      <c r="M831" s="5">
        <v>261.55</v>
      </c>
      <c r="N831" s="6">
        <v>0</v>
      </c>
      <c r="O831" s="5">
        <v>0</v>
      </c>
      <c r="P831" s="5">
        <v>156.93</v>
      </c>
      <c r="Q831" s="5">
        <v>1046.2</v>
      </c>
      <c r="R831" s="5">
        <v>860.12</v>
      </c>
      <c r="S831" s="5">
        <v>186.08</v>
      </c>
      <c r="T831" s="7">
        <v>0.177862741349646</v>
      </c>
      <c r="U831" t="s">
        <v>11</v>
      </c>
      <c r="V831" t="s">
        <v>50</v>
      </c>
      <c r="W831" t="s">
        <v>50</v>
      </c>
      <c r="X831" t="s">
        <v>33</v>
      </c>
      <c r="Y831" t="s">
        <v>1277</v>
      </c>
      <c r="Z831" t="s">
        <v>101</v>
      </c>
    </row>
    <row r="832" spans="1:26">
      <c r="A832" t="s">
        <v>2504</v>
      </c>
      <c r="B832" t="s">
        <v>2504</v>
      </c>
      <c r="C832" s="4">
        <v>45810</v>
      </c>
      <c r="D832">
        <v>2025</v>
      </c>
      <c r="E832">
        <v>6</v>
      </c>
      <c r="F832" t="s">
        <v>22</v>
      </c>
      <c r="G832" t="s">
        <v>74</v>
      </c>
      <c r="H832" t="s">
        <v>781</v>
      </c>
      <c r="I832" t="s">
        <v>1714</v>
      </c>
      <c r="J832" t="s">
        <v>351</v>
      </c>
      <c r="K832" t="s">
        <v>117</v>
      </c>
      <c r="L832">
        <v>5</v>
      </c>
      <c r="M832" s="5">
        <v>342.27</v>
      </c>
      <c r="N832" s="6">
        <v>0</v>
      </c>
      <c r="O832" s="5">
        <v>0</v>
      </c>
      <c r="P832" s="5">
        <v>256.7</v>
      </c>
      <c r="Q832" s="5">
        <v>1711.35</v>
      </c>
      <c r="R832" s="5">
        <v>1330.5</v>
      </c>
      <c r="S832" s="5">
        <v>380.85</v>
      </c>
      <c r="T832" s="7">
        <v>0.222543605925147</v>
      </c>
      <c r="U832" t="s">
        <v>13</v>
      </c>
      <c r="V832" t="s">
        <v>50</v>
      </c>
      <c r="W832" t="s">
        <v>50</v>
      </c>
      <c r="X832" t="s">
        <v>33</v>
      </c>
      <c r="Y832" t="s">
        <v>2216</v>
      </c>
      <c r="Z832" t="s">
        <v>101</v>
      </c>
    </row>
    <row r="833" spans="1:26">
      <c r="A833" t="s">
        <v>2505</v>
      </c>
      <c r="B833" t="s">
        <v>2505</v>
      </c>
      <c r="C833" s="4">
        <v>45826</v>
      </c>
      <c r="D833">
        <v>2025</v>
      </c>
      <c r="E833">
        <v>6</v>
      </c>
      <c r="F833" t="s">
        <v>22</v>
      </c>
      <c r="G833" t="s">
        <v>74</v>
      </c>
      <c r="H833" t="s">
        <v>969</v>
      </c>
      <c r="I833" t="s">
        <v>395</v>
      </c>
      <c r="J833" t="s">
        <v>197</v>
      </c>
      <c r="K833" t="s">
        <v>407</v>
      </c>
      <c r="L833">
        <v>3</v>
      </c>
      <c r="M833" s="5">
        <v>446.17</v>
      </c>
      <c r="N833" s="6">
        <v>0</v>
      </c>
      <c r="O833" s="5">
        <v>0</v>
      </c>
      <c r="P833" s="5">
        <v>200.78</v>
      </c>
      <c r="Q833" s="5">
        <v>1338.51</v>
      </c>
      <c r="R833" s="5">
        <v>976.83</v>
      </c>
      <c r="S833" s="5">
        <v>361.68</v>
      </c>
      <c r="T833" s="7">
        <v>0.270210906156846</v>
      </c>
      <c r="U833" t="s">
        <v>10</v>
      </c>
      <c r="V833" t="s">
        <v>50</v>
      </c>
      <c r="W833" t="s">
        <v>50</v>
      </c>
      <c r="X833" t="s">
        <v>33</v>
      </c>
      <c r="Y833" t="s">
        <v>2165</v>
      </c>
      <c r="Z833" t="s">
        <v>101</v>
      </c>
    </row>
    <row r="834" spans="1:26">
      <c r="A834" t="s">
        <v>2506</v>
      </c>
      <c r="B834" t="s">
        <v>2506</v>
      </c>
      <c r="C834" s="4">
        <v>46072</v>
      </c>
      <c r="D834">
        <v>2026</v>
      </c>
      <c r="E834">
        <v>2</v>
      </c>
      <c r="F834" t="s">
        <v>31</v>
      </c>
      <c r="G834" t="s">
        <v>82</v>
      </c>
      <c r="H834" t="s">
        <v>973</v>
      </c>
      <c r="I834" t="s">
        <v>91</v>
      </c>
      <c r="J834" t="s">
        <v>47</v>
      </c>
      <c r="K834" t="s">
        <v>1197</v>
      </c>
      <c r="L834">
        <v>4</v>
      </c>
      <c r="M834" s="5">
        <v>254.62</v>
      </c>
      <c r="N834" s="6">
        <v>0</v>
      </c>
      <c r="O834" s="5">
        <v>0</v>
      </c>
      <c r="P834" s="5">
        <v>152.77</v>
      </c>
      <c r="Q834" s="5">
        <v>1018.48</v>
      </c>
      <c r="R834" s="5">
        <v>852.92</v>
      </c>
      <c r="S834" s="5">
        <v>165.56</v>
      </c>
      <c r="T834" s="7">
        <v>0.162555965752887</v>
      </c>
      <c r="U834" t="s">
        <v>13</v>
      </c>
      <c r="V834" t="s">
        <v>50</v>
      </c>
      <c r="W834" t="s">
        <v>50</v>
      </c>
      <c r="X834" t="s">
        <v>35</v>
      </c>
      <c r="Y834" t="s">
        <v>1692</v>
      </c>
      <c r="Z834" t="s">
        <v>101</v>
      </c>
    </row>
    <row r="835" spans="1:26">
      <c r="A835" t="s">
        <v>2507</v>
      </c>
      <c r="B835" t="s">
        <v>2507</v>
      </c>
      <c r="C835" s="4">
        <v>45801</v>
      </c>
      <c r="D835">
        <v>2025</v>
      </c>
      <c r="E835">
        <v>5</v>
      </c>
      <c r="F835" t="s">
        <v>21</v>
      </c>
      <c r="G835" t="s">
        <v>74</v>
      </c>
      <c r="H835" t="s">
        <v>2068</v>
      </c>
      <c r="I835" t="s">
        <v>1307</v>
      </c>
      <c r="J835" t="s">
        <v>44</v>
      </c>
      <c r="K835" t="s">
        <v>518</v>
      </c>
      <c r="L835">
        <v>7</v>
      </c>
      <c r="M835" s="5">
        <v>252.98</v>
      </c>
      <c r="N835" s="6">
        <v>10</v>
      </c>
      <c r="O835" s="5">
        <v>177.09</v>
      </c>
      <c r="P835" s="5">
        <v>239.07</v>
      </c>
      <c r="Q835" s="5">
        <v>1832.84</v>
      </c>
      <c r="R835" s="5">
        <v>1482.11</v>
      </c>
      <c r="S835" s="5">
        <v>350.73</v>
      </c>
      <c r="T835" s="7">
        <v>0.191358765631479</v>
      </c>
      <c r="U835" t="s">
        <v>12</v>
      </c>
      <c r="V835" t="s">
        <v>50</v>
      </c>
      <c r="W835" t="s">
        <v>50</v>
      </c>
      <c r="X835" t="s">
        <v>33</v>
      </c>
      <c r="Y835" t="s">
        <v>1313</v>
      </c>
      <c r="Z835" t="s">
        <v>80</v>
      </c>
    </row>
    <row r="836" spans="1:26">
      <c r="A836" t="s">
        <v>2508</v>
      </c>
      <c r="B836" t="s">
        <v>2508</v>
      </c>
      <c r="C836" s="4">
        <v>45890</v>
      </c>
      <c r="D836">
        <v>2025</v>
      </c>
      <c r="E836">
        <v>8</v>
      </c>
      <c r="F836" t="s">
        <v>24</v>
      </c>
      <c r="G836" t="s">
        <v>89</v>
      </c>
      <c r="H836" t="s">
        <v>125</v>
      </c>
      <c r="I836" t="s">
        <v>2193</v>
      </c>
      <c r="J836" t="s">
        <v>532</v>
      </c>
      <c r="K836" t="s">
        <v>533</v>
      </c>
      <c r="L836">
        <v>4</v>
      </c>
      <c r="M836" s="5">
        <v>91.61</v>
      </c>
      <c r="N836" s="6">
        <v>0</v>
      </c>
      <c r="O836" s="5">
        <v>0</v>
      </c>
      <c r="P836" s="5">
        <v>54.97</v>
      </c>
      <c r="Q836" s="5">
        <v>366.44</v>
      </c>
      <c r="R836" s="5">
        <v>282.8</v>
      </c>
      <c r="S836" s="5">
        <v>83.64</v>
      </c>
      <c r="T836" s="7">
        <v>0.22825019102718</v>
      </c>
      <c r="U836" t="s">
        <v>13</v>
      </c>
      <c r="V836" t="s">
        <v>51</v>
      </c>
      <c r="W836" t="s">
        <v>51</v>
      </c>
      <c r="X836" t="s">
        <v>33</v>
      </c>
      <c r="Y836" t="s">
        <v>2000</v>
      </c>
      <c r="Z836" t="s">
        <v>101</v>
      </c>
    </row>
    <row r="837" spans="1:26">
      <c r="A837" t="s">
        <v>2509</v>
      </c>
      <c r="B837" t="s">
        <v>2509</v>
      </c>
      <c r="C837" s="4">
        <v>45960</v>
      </c>
      <c r="D837">
        <v>2025</v>
      </c>
      <c r="E837">
        <v>10</v>
      </c>
      <c r="F837" t="s">
        <v>26</v>
      </c>
      <c r="G837" t="s">
        <v>137</v>
      </c>
      <c r="H837" t="s">
        <v>2510</v>
      </c>
      <c r="I837" t="s">
        <v>1742</v>
      </c>
      <c r="J837" t="s">
        <v>269</v>
      </c>
      <c r="K837" t="s">
        <v>666</v>
      </c>
      <c r="L837">
        <v>1</v>
      </c>
      <c r="M837" s="5">
        <v>268.32</v>
      </c>
      <c r="N837" s="6">
        <v>20</v>
      </c>
      <c r="O837" s="5">
        <v>53.66</v>
      </c>
      <c r="P837" s="5">
        <v>32.2</v>
      </c>
      <c r="Q837" s="5">
        <v>214.66</v>
      </c>
      <c r="R837" s="5">
        <v>241.44</v>
      </c>
      <c r="S837" s="5">
        <v>-26.78</v>
      </c>
      <c r="T837" s="7">
        <v>-0.12475542718718</v>
      </c>
      <c r="U837" t="s">
        <v>11</v>
      </c>
      <c r="V837" t="s">
        <v>50</v>
      </c>
      <c r="W837" t="s">
        <v>50</v>
      </c>
      <c r="X837" t="s">
        <v>33</v>
      </c>
      <c r="Y837" t="s">
        <v>1527</v>
      </c>
      <c r="Z837" t="s">
        <v>101</v>
      </c>
    </row>
    <row r="838" spans="1:26">
      <c r="A838" t="s">
        <v>2511</v>
      </c>
      <c r="B838" t="s">
        <v>2511</v>
      </c>
      <c r="C838" s="4">
        <v>45815</v>
      </c>
      <c r="D838">
        <v>2025</v>
      </c>
      <c r="E838">
        <v>6</v>
      </c>
      <c r="F838" t="s">
        <v>22</v>
      </c>
      <c r="G838" t="s">
        <v>74</v>
      </c>
      <c r="H838" t="s">
        <v>234</v>
      </c>
      <c r="I838" t="s">
        <v>301</v>
      </c>
      <c r="J838" t="s">
        <v>477</v>
      </c>
      <c r="K838" t="s">
        <v>478</v>
      </c>
      <c r="L838">
        <v>8</v>
      </c>
      <c r="M838" s="5">
        <v>220.37</v>
      </c>
      <c r="N838" s="6">
        <v>10</v>
      </c>
      <c r="O838" s="5">
        <v>176.3</v>
      </c>
      <c r="P838" s="5">
        <v>238</v>
      </c>
      <c r="Q838" s="5">
        <v>1824.66</v>
      </c>
      <c r="R838" s="5">
        <v>1563.52</v>
      </c>
      <c r="S838" s="5">
        <v>261.14</v>
      </c>
      <c r="T838" s="7">
        <v>0.143117073865816</v>
      </c>
      <c r="U838" t="s">
        <v>12</v>
      </c>
      <c r="V838" t="s">
        <v>50</v>
      </c>
      <c r="W838" t="s">
        <v>50</v>
      </c>
      <c r="X838" t="s">
        <v>33</v>
      </c>
      <c r="Y838" t="s">
        <v>772</v>
      </c>
      <c r="Z838" t="s">
        <v>80</v>
      </c>
    </row>
    <row r="839" spans="1:26">
      <c r="A839" t="s">
        <v>2512</v>
      </c>
      <c r="B839" t="s">
        <v>2512</v>
      </c>
      <c r="C839" s="4">
        <v>46108</v>
      </c>
      <c r="D839">
        <v>2026</v>
      </c>
      <c r="E839">
        <v>3</v>
      </c>
      <c r="F839" t="s">
        <v>19</v>
      </c>
      <c r="G839" t="s">
        <v>82</v>
      </c>
      <c r="H839" t="s">
        <v>1028</v>
      </c>
      <c r="I839" t="s">
        <v>924</v>
      </c>
      <c r="J839" t="s">
        <v>2513</v>
      </c>
      <c r="K839" t="s">
        <v>1916</v>
      </c>
      <c r="L839">
        <v>5</v>
      </c>
      <c r="M839" s="5">
        <v>300.03</v>
      </c>
      <c r="N839" s="6">
        <v>0</v>
      </c>
      <c r="O839" s="5">
        <v>0</v>
      </c>
      <c r="P839" s="5">
        <v>225.02</v>
      </c>
      <c r="Q839" s="5">
        <v>1500.15</v>
      </c>
      <c r="R839" s="5">
        <v>973.2</v>
      </c>
      <c r="S839" s="5">
        <v>526.95</v>
      </c>
      <c r="T839" s="7">
        <v>0.351264873512649</v>
      </c>
      <c r="U839" t="s">
        <v>12</v>
      </c>
      <c r="V839" t="s">
        <v>51</v>
      </c>
      <c r="W839" t="s">
        <v>51</v>
      </c>
      <c r="X839" t="s">
        <v>35</v>
      </c>
      <c r="Y839" t="s">
        <v>2514</v>
      </c>
      <c r="Z839" t="s">
        <v>101</v>
      </c>
    </row>
    <row r="840" spans="1:26">
      <c r="A840" t="s">
        <v>2515</v>
      </c>
      <c r="B840" t="s">
        <v>2515</v>
      </c>
      <c r="C840" s="4">
        <v>46068</v>
      </c>
      <c r="D840">
        <v>2026</v>
      </c>
      <c r="E840">
        <v>2</v>
      </c>
      <c r="F840" t="s">
        <v>31</v>
      </c>
      <c r="G840" t="s">
        <v>82</v>
      </c>
      <c r="H840" t="s">
        <v>2516</v>
      </c>
      <c r="I840" t="s">
        <v>970</v>
      </c>
      <c r="J840" t="s">
        <v>38</v>
      </c>
      <c r="K840" t="s">
        <v>236</v>
      </c>
      <c r="L840">
        <v>5</v>
      </c>
      <c r="M840" s="5">
        <v>351.78</v>
      </c>
      <c r="N840" s="6">
        <v>0</v>
      </c>
      <c r="O840" s="5">
        <v>0</v>
      </c>
      <c r="P840" s="5">
        <v>263.83</v>
      </c>
      <c r="Q840" s="5">
        <v>2022.73</v>
      </c>
      <c r="R840" s="5">
        <v>1269.15</v>
      </c>
      <c r="S840" s="5">
        <v>753.58</v>
      </c>
      <c r="T840" s="7">
        <v>0.372555902171817</v>
      </c>
      <c r="U840" t="s">
        <v>11</v>
      </c>
      <c r="V840" t="s">
        <v>50</v>
      </c>
      <c r="W840" t="s">
        <v>50</v>
      </c>
      <c r="X840" t="s">
        <v>33</v>
      </c>
      <c r="Y840" t="s">
        <v>148</v>
      </c>
      <c r="Z840" t="s">
        <v>80</v>
      </c>
    </row>
    <row r="841" spans="1:26">
      <c r="A841" t="s">
        <v>2517</v>
      </c>
      <c r="B841" t="s">
        <v>2517</v>
      </c>
      <c r="C841" s="4">
        <v>45994</v>
      </c>
      <c r="D841">
        <v>2025</v>
      </c>
      <c r="E841">
        <v>12</v>
      </c>
      <c r="F841" t="s">
        <v>28</v>
      </c>
      <c r="G841" t="s">
        <v>137</v>
      </c>
      <c r="H841" t="s">
        <v>1446</v>
      </c>
      <c r="I841" t="s">
        <v>459</v>
      </c>
      <c r="J841" t="s">
        <v>1377</v>
      </c>
      <c r="K841" t="s">
        <v>2036</v>
      </c>
      <c r="L841">
        <v>8</v>
      </c>
      <c r="M841" s="5">
        <v>101.26</v>
      </c>
      <c r="N841" s="6">
        <v>10</v>
      </c>
      <c r="O841" s="5">
        <v>81.01</v>
      </c>
      <c r="P841" s="5">
        <v>109.36</v>
      </c>
      <c r="Q841" s="5">
        <v>729.07</v>
      </c>
      <c r="R841" s="5">
        <v>638.56</v>
      </c>
      <c r="S841" s="5">
        <v>90.51</v>
      </c>
      <c r="T841" s="7">
        <v>0.124144458008147</v>
      </c>
      <c r="U841" t="s">
        <v>12</v>
      </c>
      <c r="V841" t="s">
        <v>50</v>
      </c>
      <c r="W841" t="s">
        <v>50</v>
      </c>
      <c r="X841" t="s">
        <v>35</v>
      </c>
      <c r="Y841" t="s">
        <v>1846</v>
      </c>
      <c r="Z841" t="s">
        <v>101</v>
      </c>
    </row>
    <row r="842" spans="1:26">
      <c r="A842" t="s">
        <v>2518</v>
      </c>
      <c r="B842" t="s">
        <v>2518</v>
      </c>
      <c r="C842" s="4">
        <v>45992</v>
      </c>
      <c r="D842">
        <v>2025</v>
      </c>
      <c r="E842">
        <v>12</v>
      </c>
      <c r="F842" t="s">
        <v>28</v>
      </c>
      <c r="G842" t="s">
        <v>137</v>
      </c>
      <c r="H842" t="s">
        <v>343</v>
      </c>
      <c r="I842" t="s">
        <v>947</v>
      </c>
      <c r="J842" t="s">
        <v>42</v>
      </c>
      <c r="K842" t="s">
        <v>1191</v>
      </c>
      <c r="L842">
        <v>3</v>
      </c>
      <c r="M842" s="5">
        <v>472.9</v>
      </c>
      <c r="N842" s="6">
        <v>0</v>
      </c>
      <c r="O842" s="5">
        <v>0</v>
      </c>
      <c r="P842" s="5">
        <v>212.8</v>
      </c>
      <c r="Q842" s="5">
        <v>1418.7</v>
      </c>
      <c r="R842" s="5">
        <v>1193.07</v>
      </c>
      <c r="S842" s="5">
        <v>225.63</v>
      </c>
      <c r="T842" s="7">
        <v>0.159039966166208</v>
      </c>
      <c r="U842" t="s">
        <v>12</v>
      </c>
      <c r="V842" t="s">
        <v>50</v>
      </c>
      <c r="W842" t="s">
        <v>50</v>
      </c>
      <c r="X842" t="s">
        <v>33</v>
      </c>
      <c r="Y842" t="s">
        <v>1789</v>
      </c>
      <c r="Z842" t="s">
        <v>101</v>
      </c>
    </row>
    <row r="843" spans="1:26">
      <c r="A843" t="s">
        <v>2519</v>
      </c>
      <c r="B843" t="s">
        <v>2519</v>
      </c>
      <c r="C843" s="4">
        <v>45963</v>
      </c>
      <c r="D843">
        <v>2025</v>
      </c>
      <c r="E843">
        <v>11</v>
      </c>
      <c r="F843" t="s">
        <v>27</v>
      </c>
      <c r="G843" t="s">
        <v>137</v>
      </c>
      <c r="H843" t="s">
        <v>355</v>
      </c>
      <c r="I843" t="s">
        <v>722</v>
      </c>
      <c r="J843" t="s">
        <v>202</v>
      </c>
      <c r="K843" t="s">
        <v>231</v>
      </c>
      <c r="L843">
        <v>7</v>
      </c>
      <c r="M843" s="5">
        <v>159.38</v>
      </c>
      <c r="N843" s="6">
        <v>10</v>
      </c>
      <c r="O843" s="5">
        <v>111.57</v>
      </c>
      <c r="P843" s="5">
        <v>150.61</v>
      </c>
      <c r="Q843" s="5">
        <v>1154.7</v>
      </c>
      <c r="R843" s="5">
        <v>965.65</v>
      </c>
      <c r="S843" s="5">
        <v>189.05</v>
      </c>
      <c r="T843" s="7">
        <v>0.163722178920932</v>
      </c>
      <c r="U843" t="s">
        <v>11</v>
      </c>
      <c r="V843" t="s">
        <v>50</v>
      </c>
      <c r="W843" t="s">
        <v>50</v>
      </c>
      <c r="X843" t="s">
        <v>35</v>
      </c>
      <c r="Y843" t="s">
        <v>2520</v>
      </c>
      <c r="Z843" t="s">
        <v>80</v>
      </c>
    </row>
    <row r="844" spans="1:26">
      <c r="A844" t="s">
        <v>2521</v>
      </c>
      <c r="B844" t="s">
        <v>2521</v>
      </c>
      <c r="C844" s="4">
        <v>45963</v>
      </c>
      <c r="D844">
        <v>2025</v>
      </c>
      <c r="E844">
        <v>11</v>
      </c>
      <c r="F844" t="s">
        <v>27</v>
      </c>
      <c r="G844" t="s">
        <v>137</v>
      </c>
      <c r="H844" t="s">
        <v>1670</v>
      </c>
      <c r="I844" t="s">
        <v>2193</v>
      </c>
      <c r="J844" t="s">
        <v>955</v>
      </c>
      <c r="K844" t="s">
        <v>1441</v>
      </c>
      <c r="L844">
        <v>2</v>
      </c>
      <c r="M844" s="5">
        <v>91.61</v>
      </c>
      <c r="N844" s="6">
        <v>0</v>
      </c>
      <c r="O844" s="5">
        <v>0</v>
      </c>
      <c r="P844" s="5">
        <v>27.48</v>
      </c>
      <c r="Q844" s="5">
        <v>210.7</v>
      </c>
      <c r="R844" s="5">
        <v>141.4</v>
      </c>
      <c r="S844" s="5">
        <v>69.3</v>
      </c>
      <c r="T844" s="7">
        <v>0.32890365448505</v>
      </c>
      <c r="U844" t="s">
        <v>10</v>
      </c>
      <c r="V844" t="s">
        <v>50</v>
      </c>
      <c r="W844" t="s">
        <v>50</v>
      </c>
      <c r="X844" t="s">
        <v>33</v>
      </c>
      <c r="Y844" t="s">
        <v>2522</v>
      </c>
      <c r="Z844" t="s">
        <v>80</v>
      </c>
    </row>
    <row r="845" spans="1:26">
      <c r="A845" t="s">
        <v>2523</v>
      </c>
      <c r="B845" t="s">
        <v>2523</v>
      </c>
      <c r="C845" s="4">
        <v>45996</v>
      </c>
      <c r="D845">
        <v>2025</v>
      </c>
      <c r="E845">
        <v>12</v>
      </c>
      <c r="F845" t="s">
        <v>28</v>
      </c>
      <c r="G845" t="s">
        <v>137</v>
      </c>
      <c r="H845" t="s">
        <v>195</v>
      </c>
      <c r="I845" t="s">
        <v>765</v>
      </c>
      <c r="J845" t="s">
        <v>138</v>
      </c>
      <c r="K845" t="s">
        <v>2524</v>
      </c>
      <c r="L845">
        <v>1</v>
      </c>
      <c r="M845" s="5">
        <v>376.11</v>
      </c>
      <c r="N845" s="6">
        <v>0</v>
      </c>
      <c r="O845" s="5">
        <v>0</v>
      </c>
      <c r="P845" s="5">
        <v>56.42</v>
      </c>
      <c r="Q845" s="5">
        <v>376.11</v>
      </c>
      <c r="R845" s="5">
        <v>301.57</v>
      </c>
      <c r="S845" s="5">
        <v>74.54</v>
      </c>
      <c r="T845" s="7">
        <v>0.198186700699264</v>
      </c>
      <c r="U845" t="s">
        <v>14</v>
      </c>
      <c r="V845" t="s">
        <v>50</v>
      </c>
      <c r="W845" t="s">
        <v>50</v>
      </c>
      <c r="X845" t="s">
        <v>35</v>
      </c>
      <c r="Y845" t="s">
        <v>166</v>
      </c>
      <c r="Z845" t="s">
        <v>101</v>
      </c>
    </row>
    <row r="846" spans="1:26">
      <c r="A846" t="s">
        <v>2525</v>
      </c>
      <c r="B846" t="s">
        <v>2525</v>
      </c>
      <c r="C846" s="4">
        <v>45788</v>
      </c>
      <c r="D846">
        <v>2025</v>
      </c>
      <c r="E846">
        <v>5</v>
      </c>
      <c r="F846" t="s">
        <v>21</v>
      </c>
      <c r="G846" t="s">
        <v>74</v>
      </c>
      <c r="H846" t="s">
        <v>1364</v>
      </c>
      <c r="I846" t="s">
        <v>514</v>
      </c>
      <c r="J846" t="s">
        <v>1100</v>
      </c>
      <c r="K846" t="s">
        <v>352</v>
      </c>
      <c r="L846">
        <v>3</v>
      </c>
      <c r="M846" s="5">
        <v>589.75</v>
      </c>
      <c r="N846" s="6">
        <v>20</v>
      </c>
      <c r="O846" s="5">
        <v>353.85</v>
      </c>
      <c r="P846" s="5">
        <v>212.31</v>
      </c>
      <c r="Q846" s="5">
        <v>1627.71</v>
      </c>
      <c r="R846" s="5">
        <v>1030.95</v>
      </c>
      <c r="S846" s="5">
        <v>596.76</v>
      </c>
      <c r="T846" s="7">
        <v>0.366625504543193</v>
      </c>
      <c r="U846" t="s">
        <v>13</v>
      </c>
      <c r="V846" t="s">
        <v>50</v>
      </c>
      <c r="W846" t="s">
        <v>50</v>
      </c>
      <c r="X846" t="s">
        <v>33</v>
      </c>
      <c r="Y846" t="s">
        <v>2526</v>
      </c>
      <c r="Z846" t="s">
        <v>80</v>
      </c>
    </row>
    <row r="847" spans="1:26">
      <c r="A847" t="s">
        <v>2527</v>
      </c>
      <c r="B847" t="s">
        <v>2527</v>
      </c>
      <c r="C847" s="4">
        <v>45989</v>
      </c>
      <c r="D847">
        <v>2025</v>
      </c>
      <c r="E847">
        <v>11</v>
      </c>
      <c r="F847" t="s">
        <v>27</v>
      </c>
      <c r="G847" t="s">
        <v>137</v>
      </c>
      <c r="H847" t="s">
        <v>2290</v>
      </c>
      <c r="I847" t="s">
        <v>543</v>
      </c>
      <c r="J847" t="s">
        <v>105</v>
      </c>
      <c r="K847" t="s">
        <v>1073</v>
      </c>
      <c r="L847">
        <v>4</v>
      </c>
      <c r="M847" s="5">
        <v>401.06</v>
      </c>
      <c r="N847" s="6">
        <v>0</v>
      </c>
      <c r="O847" s="5">
        <v>0</v>
      </c>
      <c r="P847" s="5">
        <v>240.64</v>
      </c>
      <c r="Q847" s="5">
        <v>1604.24</v>
      </c>
      <c r="R847" s="5">
        <v>1389.88</v>
      </c>
      <c r="S847" s="5">
        <v>214.36</v>
      </c>
      <c r="T847" s="7">
        <v>0.133620904602803</v>
      </c>
      <c r="U847" t="s">
        <v>12</v>
      </c>
      <c r="V847" t="s">
        <v>50</v>
      </c>
      <c r="W847" t="s">
        <v>50</v>
      </c>
      <c r="X847" t="s">
        <v>33</v>
      </c>
      <c r="Y847" t="s">
        <v>628</v>
      </c>
      <c r="Z847" t="s">
        <v>101</v>
      </c>
    </row>
    <row r="848" spans="1:26">
      <c r="A848" t="s">
        <v>2528</v>
      </c>
      <c r="B848" t="s">
        <v>2528</v>
      </c>
      <c r="C848" s="4">
        <v>45943</v>
      </c>
      <c r="D848">
        <v>2025</v>
      </c>
      <c r="E848">
        <v>10</v>
      </c>
      <c r="F848" t="s">
        <v>26</v>
      </c>
      <c r="G848" t="s">
        <v>137</v>
      </c>
      <c r="H848" t="s">
        <v>1807</v>
      </c>
      <c r="I848" t="s">
        <v>225</v>
      </c>
      <c r="J848" t="s">
        <v>802</v>
      </c>
      <c r="K848" t="s">
        <v>803</v>
      </c>
      <c r="L848">
        <v>1</v>
      </c>
      <c r="M848" s="5">
        <v>355.64</v>
      </c>
      <c r="N848" s="6">
        <v>15</v>
      </c>
      <c r="O848" s="5">
        <v>53.35</v>
      </c>
      <c r="P848" s="5">
        <v>45.34</v>
      </c>
      <c r="Q848" s="5">
        <v>302.29</v>
      </c>
      <c r="R848" s="5">
        <v>303.41</v>
      </c>
      <c r="S848" s="5">
        <v>-1.12</v>
      </c>
      <c r="T848" s="7">
        <v>-0.00370505144066956</v>
      </c>
      <c r="U848" t="s">
        <v>10</v>
      </c>
      <c r="V848" t="s">
        <v>50</v>
      </c>
      <c r="W848" t="s">
        <v>50</v>
      </c>
      <c r="X848" t="s">
        <v>34</v>
      </c>
      <c r="Y848" t="s">
        <v>2529</v>
      </c>
      <c r="Z848" t="s">
        <v>101</v>
      </c>
    </row>
    <row r="849" spans="1:26">
      <c r="A849" t="s">
        <v>2530</v>
      </c>
      <c r="B849" t="s">
        <v>2530</v>
      </c>
      <c r="C849" s="4">
        <v>46047</v>
      </c>
      <c r="D849">
        <v>2026</v>
      </c>
      <c r="E849">
        <v>1</v>
      </c>
      <c r="F849" t="s">
        <v>30</v>
      </c>
      <c r="G849" t="s">
        <v>82</v>
      </c>
      <c r="H849" t="s">
        <v>2531</v>
      </c>
      <c r="I849" t="s">
        <v>2426</v>
      </c>
      <c r="J849" t="s">
        <v>1468</v>
      </c>
      <c r="K849" t="s">
        <v>1469</v>
      </c>
      <c r="L849">
        <v>4</v>
      </c>
      <c r="M849" s="5">
        <v>150.04</v>
      </c>
      <c r="N849" s="6">
        <v>5</v>
      </c>
      <c r="O849" s="5">
        <v>30.01</v>
      </c>
      <c r="P849" s="5">
        <v>85.52</v>
      </c>
      <c r="Q849" s="5">
        <v>655.67</v>
      </c>
      <c r="R849" s="5">
        <v>511.92</v>
      </c>
      <c r="S849" s="5">
        <v>143.75</v>
      </c>
      <c r="T849" s="7">
        <v>0.219241386673174</v>
      </c>
      <c r="U849" t="s">
        <v>9</v>
      </c>
      <c r="V849" t="s">
        <v>50</v>
      </c>
      <c r="W849" t="s">
        <v>50</v>
      </c>
      <c r="X849" t="s">
        <v>33</v>
      </c>
      <c r="Y849" t="s">
        <v>785</v>
      </c>
      <c r="Z849" t="s">
        <v>80</v>
      </c>
    </row>
    <row r="850" spans="1:26">
      <c r="A850" t="s">
        <v>2532</v>
      </c>
      <c r="B850" t="s">
        <v>2532</v>
      </c>
      <c r="C850" s="4">
        <v>45939</v>
      </c>
      <c r="D850">
        <v>2025</v>
      </c>
      <c r="E850">
        <v>10</v>
      </c>
      <c r="F850" t="s">
        <v>26</v>
      </c>
      <c r="G850" t="s">
        <v>137</v>
      </c>
      <c r="H850" t="s">
        <v>862</v>
      </c>
      <c r="I850" t="s">
        <v>1419</v>
      </c>
      <c r="J850" t="s">
        <v>482</v>
      </c>
      <c r="K850" t="s">
        <v>539</v>
      </c>
      <c r="L850">
        <v>1</v>
      </c>
      <c r="M850" s="5">
        <v>317.99</v>
      </c>
      <c r="N850" s="6">
        <v>10</v>
      </c>
      <c r="O850" s="5">
        <v>31.8</v>
      </c>
      <c r="P850" s="5">
        <v>42.93</v>
      </c>
      <c r="Q850" s="5">
        <v>286.19</v>
      </c>
      <c r="R850" s="5">
        <v>235.05</v>
      </c>
      <c r="S850" s="5">
        <v>51.14</v>
      </c>
      <c r="T850" s="7">
        <v>0.178692477025752</v>
      </c>
      <c r="U850" t="s">
        <v>14</v>
      </c>
      <c r="V850" t="s">
        <v>50</v>
      </c>
      <c r="W850" t="s">
        <v>50</v>
      </c>
      <c r="X850" t="s">
        <v>34</v>
      </c>
      <c r="Y850" t="s">
        <v>935</v>
      </c>
      <c r="Z850" t="s">
        <v>101</v>
      </c>
    </row>
    <row r="851" spans="1:26">
      <c r="A851" t="s">
        <v>2533</v>
      </c>
      <c r="B851" t="s">
        <v>2533</v>
      </c>
      <c r="C851" s="4">
        <v>45932</v>
      </c>
      <c r="D851">
        <v>2025</v>
      </c>
      <c r="E851">
        <v>10</v>
      </c>
      <c r="F851" t="s">
        <v>26</v>
      </c>
      <c r="G851" t="s">
        <v>137</v>
      </c>
      <c r="H851" t="s">
        <v>1126</v>
      </c>
      <c r="I851" t="s">
        <v>279</v>
      </c>
      <c r="J851" t="s">
        <v>44</v>
      </c>
      <c r="K851" t="s">
        <v>1286</v>
      </c>
      <c r="L851">
        <v>3</v>
      </c>
      <c r="M851" s="5">
        <v>421.14</v>
      </c>
      <c r="N851" s="6">
        <v>15</v>
      </c>
      <c r="O851" s="5">
        <v>189.51</v>
      </c>
      <c r="P851" s="5">
        <v>161.09</v>
      </c>
      <c r="Q851" s="5">
        <v>1073.91</v>
      </c>
      <c r="R851" s="5">
        <v>926.82</v>
      </c>
      <c r="S851" s="5">
        <v>147.09</v>
      </c>
      <c r="T851" s="7">
        <v>0.136966784926111</v>
      </c>
      <c r="U851" t="s">
        <v>12</v>
      </c>
      <c r="V851" t="s">
        <v>50</v>
      </c>
      <c r="W851" t="s">
        <v>50</v>
      </c>
      <c r="X851" t="s">
        <v>33</v>
      </c>
      <c r="Y851" t="s">
        <v>2460</v>
      </c>
      <c r="Z851" t="s">
        <v>101</v>
      </c>
    </row>
    <row r="852" spans="1:26">
      <c r="A852" t="s">
        <v>2534</v>
      </c>
      <c r="B852" t="s">
        <v>2534</v>
      </c>
      <c r="C852" s="4">
        <v>46027</v>
      </c>
      <c r="D852">
        <v>2026</v>
      </c>
      <c r="E852">
        <v>1</v>
      </c>
      <c r="F852" t="s">
        <v>30</v>
      </c>
      <c r="G852" t="s">
        <v>82</v>
      </c>
      <c r="H852" t="s">
        <v>144</v>
      </c>
      <c r="I852" t="s">
        <v>411</v>
      </c>
      <c r="J852" t="s">
        <v>435</v>
      </c>
      <c r="K852" t="s">
        <v>436</v>
      </c>
      <c r="L852">
        <v>1</v>
      </c>
      <c r="M852" s="5">
        <v>459.58</v>
      </c>
      <c r="N852" s="6">
        <v>0</v>
      </c>
      <c r="O852" s="5">
        <v>0</v>
      </c>
      <c r="P852" s="5">
        <v>68.94</v>
      </c>
      <c r="Q852" s="5">
        <v>459.58</v>
      </c>
      <c r="R852" s="5">
        <v>386.89</v>
      </c>
      <c r="S852" s="5">
        <v>72.69</v>
      </c>
      <c r="T852" s="7">
        <v>0.158166151703729</v>
      </c>
      <c r="U852" t="s">
        <v>14</v>
      </c>
      <c r="V852" t="s">
        <v>50</v>
      </c>
      <c r="W852" t="s">
        <v>50</v>
      </c>
      <c r="X852" t="s">
        <v>33</v>
      </c>
      <c r="Y852" t="s">
        <v>1309</v>
      </c>
      <c r="Z852" t="s">
        <v>101</v>
      </c>
    </row>
    <row r="853" spans="1:26">
      <c r="A853" t="s">
        <v>2535</v>
      </c>
      <c r="B853" t="s">
        <v>2535</v>
      </c>
      <c r="C853" s="4">
        <v>45962</v>
      </c>
      <c r="D853">
        <v>2025</v>
      </c>
      <c r="E853">
        <v>11</v>
      </c>
      <c r="F853" t="s">
        <v>27</v>
      </c>
      <c r="G853" t="s">
        <v>137</v>
      </c>
      <c r="H853" t="s">
        <v>2536</v>
      </c>
      <c r="I853" t="s">
        <v>787</v>
      </c>
      <c r="J853" t="s">
        <v>1201</v>
      </c>
      <c r="K853" t="s">
        <v>1753</v>
      </c>
      <c r="L853">
        <v>5</v>
      </c>
      <c r="M853" s="5">
        <v>168.36</v>
      </c>
      <c r="N853" s="6">
        <v>5</v>
      </c>
      <c r="O853" s="5">
        <v>42.09</v>
      </c>
      <c r="P853" s="5">
        <v>119.96</v>
      </c>
      <c r="Q853" s="5">
        <v>919.67</v>
      </c>
      <c r="R853" s="5">
        <v>511.15</v>
      </c>
      <c r="S853" s="5">
        <v>408.52</v>
      </c>
      <c r="T853" s="7">
        <v>0.444202811878174</v>
      </c>
      <c r="U853" t="s">
        <v>12</v>
      </c>
      <c r="V853" t="s">
        <v>50</v>
      </c>
      <c r="W853" t="s">
        <v>50</v>
      </c>
      <c r="X853" t="s">
        <v>33</v>
      </c>
      <c r="Y853" t="s">
        <v>2537</v>
      </c>
      <c r="Z853" t="s">
        <v>80</v>
      </c>
    </row>
    <row r="854" spans="1:26">
      <c r="A854" t="s">
        <v>2538</v>
      </c>
      <c r="B854" t="s">
        <v>2538</v>
      </c>
      <c r="C854" s="4">
        <v>45886</v>
      </c>
      <c r="D854">
        <v>2025</v>
      </c>
      <c r="E854">
        <v>8</v>
      </c>
      <c r="F854" t="s">
        <v>24</v>
      </c>
      <c r="G854" t="s">
        <v>89</v>
      </c>
      <c r="H854" t="s">
        <v>206</v>
      </c>
      <c r="I854" t="s">
        <v>110</v>
      </c>
      <c r="J854" t="s">
        <v>263</v>
      </c>
      <c r="K854" t="s">
        <v>264</v>
      </c>
      <c r="L854">
        <v>7</v>
      </c>
      <c r="M854" s="5">
        <v>381.68</v>
      </c>
      <c r="N854" s="6">
        <v>0</v>
      </c>
      <c r="O854" s="5">
        <v>0</v>
      </c>
      <c r="P854" s="5">
        <v>400.76</v>
      </c>
      <c r="Q854" s="5">
        <v>3072.52</v>
      </c>
      <c r="R854" s="5">
        <v>1902.46</v>
      </c>
      <c r="S854" s="5">
        <v>1170.06</v>
      </c>
      <c r="T854" s="7">
        <v>0.38081444547147</v>
      </c>
      <c r="U854" t="s">
        <v>12</v>
      </c>
      <c r="V854" t="s">
        <v>50</v>
      </c>
      <c r="W854" t="s">
        <v>50</v>
      </c>
      <c r="X854" t="s">
        <v>35</v>
      </c>
      <c r="Y854" t="s">
        <v>1692</v>
      </c>
      <c r="Z854" t="s">
        <v>80</v>
      </c>
    </row>
    <row r="855" spans="1:26">
      <c r="A855" t="s">
        <v>2539</v>
      </c>
      <c r="B855" t="s">
        <v>2539</v>
      </c>
      <c r="C855" s="4">
        <v>45957</v>
      </c>
      <c r="D855">
        <v>2025</v>
      </c>
      <c r="E855">
        <v>10</v>
      </c>
      <c r="F855" t="s">
        <v>26</v>
      </c>
      <c r="G855" t="s">
        <v>137</v>
      </c>
      <c r="H855" t="s">
        <v>218</v>
      </c>
      <c r="I855" t="s">
        <v>1137</v>
      </c>
      <c r="J855" t="s">
        <v>357</v>
      </c>
      <c r="K855" t="s">
        <v>494</v>
      </c>
      <c r="L855">
        <v>3</v>
      </c>
      <c r="M855" s="5">
        <v>405.1</v>
      </c>
      <c r="N855" s="6">
        <v>10</v>
      </c>
      <c r="O855" s="5">
        <v>121.53</v>
      </c>
      <c r="P855" s="5">
        <v>164.07</v>
      </c>
      <c r="Q855" s="5">
        <v>1093.77</v>
      </c>
      <c r="R855" s="5">
        <v>1045.23</v>
      </c>
      <c r="S855" s="5">
        <v>48.54</v>
      </c>
      <c r="T855" s="7">
        <v>0.0443786170767163</v>
      </c>
      <c r="U855" t="s">
        <v>14</v>
      </c>
      <c r="V855" t="s">
        <v>50</v>
      </c>
      <c r="W855" t="s">
        <v>50</v>
      </c>
      <c r="X855" t="s">
        <v>33</v>
      </c>
      <c r="Y855" t="s">
        <v>1362</v>
      </c>
      <c r="Z855" t="s">
        <v>101</v>
      </c>
    </row>
    <row r="856" spans="1:26">
      <c r="A856" t="s">
        <v>2540</v>
      </c>
      <c r="B856" t="s">
        <v>2540</v>
      </c>
      <c r="C856" s="4">
        <v>45901</v>
      </c>
      <c r="D856">
        <v>2025</v>
      </c>
      <c r="E856">
        <v>9</v>
      </c>
      <c r="F856" t="s">
        <v>25</v>
      </c>
      <c r="G856" t="s">
        <v>89</v>
      </c>
      <c r="H856" t="s">
        <v>2541</v>
      </c>
      <c r="I856" t="s">
        <v>787</v>
      </c>
      <c r="J856" t="s">
        <v>850</v>
      </c>
      <c r="K856" t="s">
        <v>370</v>
      </c>
      <c r="L856">
        <v>6</v>
      </c>
      <c r="M856" s="5">
        <v>188.72</v>
      </c>
      <c r="N856" s="6">
        <v>10</v>
      </c>
      <c r="O856" s="5">
        <v>113.23</v>
      </c>
      <c r="P856" s="5">
        <v>152.86</v>
      </c>
      <c r="Q856" s="5">
        <v>1019.09</v>
      </c>
      <c r="R856" s="5">
        <v>613.38</v>
      </c>
      <c r="S856" s="5">
        <v>405.71</v>
      </c>
      <c r="T856" s="7">
        <v>0.398110078599535</v>
      </c>
      <c r="U856" t="s">
        <v>9</v>
      </c>
      <c r="V856" t="s">
        <v>50</v>
      </c>
      <c r="W856" t="s">
        <v>50</v>
      </c>
      <c r="X856" t="s">
        <v>35</v>
      </c>
      <c r="Y856" t="s">
        <v>1601</v>
      </c>
      <c r="Z856" t="s">
        <v>101</v>
      </c>
    </row>
    <row r="857" spans="1:26">
      <c r="A857" t="s">
        <v>2542</v>
      </c>
      <c r="B857" t="s">
        <v>2542</v>
      </c>
      <c r="C857" s="4">
        <v>45919</v>
      </c>
      <c r="D857">
        <v>2025</v>
      </c>
      <c r="E857">
        <v>9</v>
      </c>
      <c r="F857" t="s">
        <v>25</v>
      </c>
      <c r="G857" t="s">
        <v>89</v>
      </c>
      <c r="H857" t="s">
        <v>497</v>
      </c>
      <c r="I857" t="s">
        <v>362</v>
      </c>
      <c r="J857" t="s">
        <v>1150</v>
      </c>
      <c r="K857" t="s">
        <v>1151</v>
      </c>
      <c r="L857">
        <v>7</v>
      </c>
      <c r="M857" s="5">
        <v>374.25</v>
      </c>
      <c r="N857" s="6">
        <v>10</v>
      </c>
      <c r="O857" s="5">
        <v>261.98</v>
      </c>
      <c r="P857" s="5">
        <v>353.67</v>
      </c>
      <c r="Q857" s="5">
        <v>2357.77</v>
      </c>
      <c r="R857" s="5">
        <v>1730.75</v>
      </c>
      <c r="S857" s="5">
        <v>627.02</v>
      </c>
      <c r="T857" s="7">
        <v>0.265937729295054</v>
      </c>
      <c r="U857" t="s">
        <v>13</v>
      </c>
      <c r="V857" t="s">
        <v>50</v>
      </c>
      <c r="W857" t="s">
        <v>50</v>
      </c>
      <c r="X857" t="s">
        <v>33</v>
      </c>
      <c r="Y857" t="s">
        <v>700</v>
      </c>
      <c r="Z857" t="s">
        <v>101</v>
      </c>
    </row>
    <row r="858" spans="1:26">
      <c r="A858" t="s">
        <v>2543</v>
      </c>
      <c r="B858" t="s">
        <v>2543</v>
      </c>
      <c r="C858" s="4">
        <v>45913</v>
      </c>
      <c r="D858">
        <v>2025</v>
      </c>
      <c r="E858">
        <v>9</v>
      </c>
      <c r="F858" t="s">
        <v>25</v>
      </c>
      <c r="G858" t="s">
        <v>89</v>
      </c>
      <c r="H858" t="s">
        <v>2541</v>
      </c>
      <c r="I858" t="s">
        <v>290</v>
      </c>
      <c r="J858" t="s">
        <v>1014</v>
      </c>
      <c r="K858" t="s">
        <v>1015</v>
      </c>
      <c r="L858">
        <v>5</v>
      </c>
      <c r="M858" s="5">
        <v>89.69</v>
      </c>
      <c r="N858" s="6">
        <v>5</v>
      </c>
      <c r="O858" s="5">
        <v>22.42</v>
      </c>
      <c r="P858" s="5">
        <v>63.9</v>
      </c>
      <c r="Q858" s="5">
        <v>489.93</v>
      </c>
      <c r="R858" s="5">
        <v>311.25</v>
      </c>
      <c r="S858" s="5">
        <v>178.68</v>
      </c>
      <c r="T858" s="7">
        <v>0.364705161961913</v>
      </c>
      <c r="U858" t="s">
        <v>9</v>
      </c>
      <c r="V858" t="s">
        <v>50</v>
      </c>
      <c r="W858" t="s">
        <v>50</v>
      </c>
      <c r="X858" t="s">
        <v>33</v>
      </c>
      <c r="Y858" t="s">
        <v>1655</v>
      </c>
      <c r="Z858" t="s">
        <v>80</v>
      </c>
    </row>
    <row r="859" spans="1:26">
      <c r="A859" t="s">
        <v>2544</v>
      </c>
      <c r="B859" t="s">
        <v>2544</v>
      </c>
      <c r="C859" s="4">
        <v>45968</v>
      </c>
      <c r="D859">
        <v>2025</v>
      </c>
      <c r="E859">
        <v>11</v>
      </c>
      <c r="F859" t="s">
        <v>27</v>
      </c>
      <c r="G859" t="s">
        <v>137</v>
      </c>
      <c r="H859" t="s">
        <v>2545</v>
      </c>
      <c r="I859" t="s">
        <v>169</v>
      </c>
      <c r="J859" t="s">
        <v>757</v>
      </c>
      <c r="K859" t="s">
        <v>2546</v>
      </c>
      <c r="L859">
        <v>4</v>
      </c>
      <c r="M859" s="5">
        <v>141.11</v>
      </c>
      <c r="N859" s="6">
        <v>0</v>
      </c>
      <c r="O859" s="5">
        <v>0</v>
      </c>
      <c r="P859" s="5">
        <v>84.67</v>
      </c>
      <c r="Q859" s="5">
        <v>564.44</v>
      </c>
      <c r="R859" s="5">
        <v>463.64</v>
      </c>
      <c r="S859" s="5">
        <v>100.8</v>
      </c>
      <c r="T859" s="7">
        <v>0.178584083339239</v>
      </c>
      <c r="U859" t="s">
        <v>10</v>
      </c>
      <c r="V859" t="s">
        <v>50</v>
      </c>
      <c r="W859" t="s">
        <v>50</v>
      </c>
      <c r="X859" t="s">
        <v>33</v>
      </c>
      <c r="Y859" t="s">
        <v>2090</v>
      </c>
      <c r="Z859" t="s">
        <v>101</v>
      </c>
    </row>
    <row r="860" spans="1:26">
      <c r="A860" t="s">
        <v>2547</v>
      </c>
      <c r="B860" t="s">
        <v>2547</v>
      </c>
      <c r="C860" s="4">
        <v>45798</v>
      </c>
      <c r="D860">
        <v>2025</v>
      </c>
      <c r="E860">
        <v>5</v>
      </c>
      <c r="F860" t="s">
        <v>21</v>
      </c>
      <c r="G860" t="s">
        <v>74</v>
      </c>
      <c r="H860" t="s">
        <v>973</v>
      </c>
      <c r="I860" t="s">
        <v>664</v>
      </c>
      <c r="J860" t="s">
        <v>465</v>
      </c>
      <c r="K860" t="s">
        <v>829</v>
      </c>
      <c r="L860">
        <v>4</v>
      </c>
      <c r="M860" s="5">
        <v>370.96</v>
      </c>
      <c r="N860" s="6">
        <v>10</v>
      </c>
      <c r="O860" s="5">
        <v>148.38</v>
      </c>
      <c r="P860" s="5">
        <v>200.32</v>
      </c>
      <c r="Q860" s="5">
        <v>1335.46</v>
      </c>
      <c r="R860" s="5">
        <v>1098.44</v>
      </c>
      <c r="S860" s="5">
        <v>237.02</v>
      </c>
      <c r="T860" s="7">
        <v>0.177481916343432</v>
      </c>
      <c r="U860" t="s">
        <v>9</v>
      </c>
      <c r="V860" t="s">
        <v>50</v>
      </c>
      <c r="W860" t="s">
        <v>50</v>
      </c>
      <c r="X860" t="s">
        <v>33</v>
      </c>
      <c r="Y860" t="s">
        <v>1144</v>
      </c>
      <c r="Z860" t="s">
        <v>101</v>
      </c>
    </row>
    <row r="861" spans="1:26">
      <c r="A861" t="s">
        <v>2548</v>
      </c>
      <c r="B861" t="s">
        <v>2548</v>
      </c>
      <c r="C861" s="4">
        <v>45800</v>
      </c>
      <c r="D861">
        <v>2025</v>
      </c>
      <c r="E861">
        <v>5</v>
      </c>
      <c r="F861" t="s">
        <v>21</v>
      </c>
      <c r="G861" t="s">
        <v>74</v>
      </c>
      <c r="H861" t="s">
        <v>2549</v>
      </c>
      <c r="I861" t="s">
        <v>547</v>
      </c>
      <c r="J861" t="s">
        <v>1834</v>
      </c>
      <c r="K861" t="s">
        <v>1835</v>
      </c>
      <c r="L861">
        <v>8</v>
      </c>
      <c r="M861" s="5">
        <v>548.03</v>
      </c>
      <c r="N861" s="6">
        <v>15</v>
      </c>
      <c r="O861" s="5">
        <v>657.64</v>
      </c>
      <c r="P861" s="5">
        <v>558.99</v>
      </c>
      <c r="Q861" s="5">
        <v>3726.6</v>
      </c>
      <c r="R861" s="5">
        <v>3118.4</v>
      </c>
      <c r="S861" s="5">
        <v>608.2</v>
      </c>
      <c r="T861" s="7">
        <v>0.163205066280255</v>
      </c>
      <c r="U861" t="s">
        <v>11</v>
      </c>
      <c r="V861" t="s">
        <v>50</v>
      </c>
      <c r="W861" t="s">
        <v>50</v>
      </c>
      <c r="X861" t="s">
        <v>33</v>
      </c>
      <c r="Y861" t="s">
        <v>2550</v>
      </c>
      <c r="Z861" t="s">
        <v>101</v>
      </c>
    </row>
    <row r="862" spans="1:26">
      <c r="A862" t="s">
        <v>2551</v>
      </c>
      <c r="B862" t="s">
        <v>2551</v>
      </c>
      <c r="C862" s="4">
        <v>45779</v>
      </c>
      <c r="D862">
        <v>2025</v>
      </c>
      <c r="E862">
        <v>5</v>
      </c>
      <c r="F862" t="s">
        <v>21</v>
      </c>
      <c r="G862" t="s">
        <v>74</v>
      </c>
      <c r="H862" t="s">
        <v>669</v>
      </c>
      <c r="I862" t="s">
        <v>245</v>
      </c>
      <c r="J862" t="s">
        <v>252</v>
      </c>
      <c r="K862" t="s">
        <v>1772</v>
      </c>
      <c r="L862">
        <v>3</v>
      </c>
      <c r="M862" s="5">
        <v>121.9</v>
      </c>
      <c r="N862" s="6">
        <v>0</v>
      </c>
      <c r="O862" s="5">
        <v>0</v>
      </c>
      <c r="P862" s="5">
        <v>54.86</v>
      </c>
      <c r="Q862" s="5">
        <v>365.7</v>
      </c>
      <c r="R862" s="5">
        <v>326.76</v>
      </c>
      <c r="S862" s="5">
        <v>38.94</v>
      </c>
      <c r="T862" s="7">
        <v>0.106480721903199</v>
      </c>
      <c r="U862" t="s">
        <v>14</v>
      </c>
      <c r="V862" t="s">
        <v>50</v>
      </c>
      <c r="W862" t="s">
        <v>50</v>
      </c>
      <c r="X862" t="s">
        <v>33</v>
      </c>
      <c r="Y862" t="s">
        <v>2552</v>
      </c>
      <c r="Z862" t="s">
        <v>101</v>
      </c>
    </row>
    <row r="863" spans="1:26">
      <c r="A863" t="s">
        <v>2553</v>
      </c>
      <c r="B863" t="s">
        <v>2553</v>
      </c>
      <c r="C863" s="4">
        <v>46086</v>
      </c>
      <c r="D863">
        <v>2026</v>
      </c>
      <c r="E863">
        <v>3</v>
      </c>
      <c r="F863" t="s">
        <v>19</v>
      </c>
      <c r="G863" t="s">
        <v>82</v>
      </c>
      <c r="H863" t="s">
        <v>2554</v>
      </c>
      <c r="I863" t="s">
        <v>1051</v>
      </c>
      <c r="J863" t="s">
        <v>1409</v>
      </c>
      <c r="K863" t="s">
        <v>1410</v>
      </c>
      <c r="L863">
        <v>3</v>
      </c>
      <c r="M863" s="5">
        <v>261.55</v>
      </c>
      <c r="N863" s="6">
        <v>20</v>
      </c>
      <c r="O863" s="5">
        <v>156.93</v>
      </c>
      <c r="P863" s="5">
        <v>94.16</v>
      </c>
      <c r="Q863" s="5">
        <v>627.72</v>
      </c>
      <c r="R863" s="5">
        <v>645.09</v>
      </c>
      <c r="S863" s="5">
        <v>-17.37</v>
      </c>
      <c r="T863" s="7">
        <v>-0.0276715733129421</v>
      </c>
      <c r="U863" t="s">
        <v>12</v>
      </c>
      <c r="V863" t="s">
        <v>50</v>
      </c>
      <c r="W863" t="s">
        <v>50</v>
      </c>
      <c r="X863" t="s">
        <v>33</v>
      </c>
      <c r="Y863" t="s">
        <v>2555</v>
      </c>
      <c r="Z863" t="s">
        <v>101</v>
      </c>
    </row>
    <row r="864" spans="1:26">
      <c r="A864" t="s">
        <v>2556</v>
      </c>
      <c r="B864" t="s">
        <v>2556</v>
      </c>
      <c r="C864" s="4">
        <v>45879</v>
      </c>
      <c r="D864">
        <v>2025</v>
      </c>
      <c r="E864">
        <v>8</v>
      </c>
      <c r="F864" t="s">
        <v>24</v>
      </c>
      <c r="G864" t="s">
        <v>89</v>
      </c>
      <c r="H864" t="s">
        <v>367</v>
      </c>
      <c r="I864" t="s">
        <v>703</v>
      </c>
      <c r="J864" t="s">
        <v>676</v>
      </c>
      <c r="K864" t="s">
        <v>829</v>
      </c>
      <c r="L864">
        <v>3</v>
      </c>
      <c r="M864" s="5">
        <v>233.2</v>
      </c>
      <c r="N864" s="6">
        <v>15</v>
      </c>
      <c r="O864" s="5">
        <v>104.94</v>
      </c>
      <c r="P864" s="5">
        <v>89.2</v>
      </c>
      <c r="Q864" s="5">
        <v>683.86</v>
      </c>
      <c r="R864" s="5">
        <v>577.17</v>
      </c>
      <c r="S864" s="5">
        <v>106.69</v>
      </c>
      <c r="T864" s="7">
        <v>0.156011464334805</v>
      </c>
      <c r="U864" t="s">
        <v>14</v>
      </c>
      <c r="V864" t="s">
        <v>50</v>
      </c>
      <c r="W864" t="s">
        <v>50</v>
      </c>
      <c r="X864" t="s">
        <v>33</v>
      </c>
      <c r="Y864" t="s">
        <v>1635</v>
      </c>
      <c r="Z864" t="s">
        <v>80</v>
      </c>
    </row>
    <row r="865" spans="1:26">
      <c r="A865" t="s">
        <v>2557</v>
      </c>
      <c r="B865" t="s">
        <v>2557</v>
      </c>
      <c r="C865" s="4">
        <v>45910</v>
      </c>
      <c r="D865">
        <v>2025</v>
      </c>
      <c r="E865">
        <v>9</v>
      </c>
      <c r="F865" t="s">
        <v>25</v>
      </c>
      <c r="G865" t="s">
        <v>89</v>
      </c>
      <c r="H865" t="s">
        <v>294</v>
      </c>
      <c r="I865" t="s">
        <v>583</v>
      </c>
      <c r="J865" t="s">
        <v>626</v>
      </c>
      <c r="K865" t="s">
        <v>1029</v>
      </c>
      <c r="L865">
        <v>6</v>
      </c>
      <c r="M865" s="5">
        <v>255.48</v>
      </c>
      <c r="N865" s="6">
        <v>5</v>
      </c>
      <c r="O865" s="5">
        <v>76.64</v>
      </c>
      <c r="P865" s="5">
        <v>218.44</v>
      </c>
      <c r="Q865" s="5">
        <v>1456.24</v>
      </c>
      <c r="R865" s="5">
        <v>1263.12</v>
      </c>
      <c r="S865" s="5">
        <v>193.12</v>
      </c>
      <c r="T865" s="7">
        <v>0.132615502939076</v>
      </c>
      <c r="U865" t="s">
        <v>10</v>
      </c>
      <c r="V865" t="s">
        <v>50</v>
      </c>
      <c r="W865" t="s">
        <v>50</v>
      </c>
      <c r="X865" t="s">
        <v>33</v>
      </c>
      <c r="Y865" t="s">
        <v>2558</v>
      </c>
      <c r="Z865" t="s">
        <v>101</v>
      </c>
    </row>
    <row r="866" spans="1:26">
      <c r="A866" t="s">
        <v>2559</v>
      </c>
      <c r="B866" t="s">
        <v>2559</v>
      </c>
      <c r="C866" s="4">
        <v>45858</v>
      </c>
      <c r="D866">
        <v>2025</v>
      </c>
      <c r="E866">
        <v>7</v>
      </c>
      <c r="F866" t="s">
        <v>23</v>
      </c>
      <c r="G866" t="s">
        <v>89</v>
      </c>
      <c r="H866" t="s">
        <v>2290</v>
      </c>
      <c r="I866" t="s">
        <v>587</v>
      </c>
      <c r="J866" t="s">
        <v>460</v>
      </c>
      <c r="K866" t="s">
        <v>943</v>
      </c>
      <c r="L866">
        <v>3</v>
      </c>
      <c r="M866" s="5">
        <v>386.17</v>
      </c>
      <c r="N866" s="6">
        <v>20</v>
      </c>
      <c r="O866" s="5">
        <v>231.7</v>
      </c>
      <c r="P866" s="5">
        <v>139.02</v>
      </c>
      <c r="Q866" s="5">
        <v>1065.83</v>
      </c>
      <c r="R866" s="5">
        <v>827.01</v>
      </c>
      <c r="S866" s="5">
        <v>238.82</v>
      </c>
      <c r="T866" s="7">
        <v>0.224069504517606</v>
      </c>
      <c r="U866" t="s">
        <v>10</v>
      </c>
      <c r="V866" t="s">
        <v>50</v>
      </c>
      <c r="W866" t="s">
        <v>50</v>
      </c>
      <c r="X866" t="s">
        <v>35</v>
      </c>
      <c r="Y866" t="s">
        <v>432</v>
      </c>
      <c r="Z866" t="s">
        <v>80</v>
      </c>
    </row>
    <row r="867" spans="1:26">
      <c r="A867" t="s">
        <v>2560</v>
      </c>
      <c r="B867" t="s">
        <v>2560</v>
      </c>
      <c r="C867" s="4">
        <v>45748</v>
      </c>
      <c r="D867">
        <v>2025</v>
      </c>
      <c r="E867">
        <v>4</v>
      </c>
      <c r="F867" t="s">
        <v>20</v>
      </c>
      <c r="G867" t="s">
        <v>74</v>
      </c>
      <c r="H867" t="s">
        <v>1898</v>
      </c>
      <c r="I867" t="s">
        <v>196</v>
      </c>
      <c r="J867" t="s">
        <v>181</v>
      </c>
      <c r="K867" t="s">
        <v>182</v>
      </c>
      <c r="L867">
        <v>4</v>
      </c>
      <c r="M867" s="5">
        <v>332.73</v>
      </c>
      <c r="N867" s="6">
        <v>10</v>
      </c>
      <c r="O867" s="5">
        <v>133.09</v>
      </c>
      <c r="P867" s="5">
        <v>179.67</v>
      </c>
      <c r="Q867" s="5">
        <v>1197.83</v>
      </c>
      <c r="R867" s="5">
        <v>1044.88</v>
      </c>
      <c r="S867" s="5">
        <v>152.95</v>
      </c>
      <c r="T867" s="7">
        <v>0.127689238038787</v>
      </c>
      <c r="U867" t="s">
        <v>11</v>
      </c>
      <c r="V867" t="s">
        <v>51</v>
      </c>
      <c r="W867" t="s">
        <v>51</v>
      </c>
      <c r="X867" t="s">
        <v>33</v>
      </c>
      <c r="Y867" t="s">
        <v>1968</v>
      </c>
      <c r="Z867" t="s">
        <v>101</v>
      </c>
    </row>
    <row r="868" spans="1:26">
      <c r="A868" t="s">
        <v>2561</v>
      </c>
      <c r="B868" t="s">
        <v>2561</v>
      </c>
      <c r="C868" s="4">
        <v>45748</v>
      </c>
      <c r="D868">
        <v>2025</v>
      </c>
      <c r="E868">
        <v>4</v>
      </c>
      <c r="F868" t="s">
        <v>20</v>
      </c>
      <c r="G868" t="s">
        <v>74</v>
      </c>
      <c r="H868" t="s">
        <v>1574</v>
      </c>
      <c r="I868" t="s">
        <v>947</v>
      </c>
      <c r="J868" t="s">
        <v>351</v>
      </c>
      <c r="K868" t="s">
        <v>821</v>
      </c>
      <c r="L868">
        <v>4</v>
      </c>
      <c r="M868" s="5">
        <v>507.28</v>
      </c>
      <c r="N868" s="6">
        <v>0</v>
      </c>
      <c r="O868" s="5">
        <v>0</v>
      </c>
      <c r="P868" s="5">
        <v>304.37</v>
      </c>
      <c r="Q868" s="5">
        <v>2029.12</v>
      </c>
      <c r="R868" s="5">
        <v>1590.76</v>
      </c>
      <c r="S868" s="5">
        <v>438.36</v>
      </c>
      <c r="T868" s="7">
        <v>0.216034537139252</v>
      </c>
      <c r="U868" t="s">
        <v>10</v>
      </c>
      <c r="V868" t="s">
        <v>50</v>
      </c>
      <c r="W868" t="s">
        <v>50</v>
      </c>
      <c r="X868" t="s">
        <v>33</v>
      </c>
      <c r="Y868" t="s">
        <v>2562</v>
      </c>
      <c r="Z868" t="s">
        <v>101</v>
      </c>
    </row>
    <row r="869" spans="1:26">
      <c r="A869" t="s">
        <v>2563</v>
      </c>
      <c r="B869" t="s">
        <v>2563</v>
      </c>
      <c r="C869" s="4">
        <v>45918</v>
      </c>
      <c r="D869">
        <v>2025</v>
      </c>
      <c r="E869">
        <v>9</v>
      </c>
      <c r="F869" t="s">
        <v>25</v>
      </c>
      <c r="G869" t="s">
        <v>89</v>
      </c>
      <c r="H869" t="s">
        <v>306</v>
      </c>
      <c r="I869" t="s">
        <v>470</v>
      </c>
      <c r="J869" t="s">
        <v>92</v>
      </c>
      <c r="K869" t="s">
        <v>992</v>
      </c>
      <c r="L869">
        <v>7</v>
      </c>
      <c r="M869" s="5">
        <v>292.25</v>
      </c>
      <c r="N869" s="6">
        <v>10</v>
      </c>
      <c r="O869" s="5">
        <v>204.57</v>
      </c>
      <c r="P869" s="5">
        <v>276.18</v>
      </c>
      <c r="Q869" s="5">
        <v>1841.18</v>
      </c>
      <c r="R869" s="5">
        <v>1665.23</v>
      </c>
      <c r="S869" s="5">
        <v>175.95</v>
      </c>
      <c r="T869" s="7">
        <v>0.095563714574349</v>
      </c>
      <c r="U869" t="s">
        <v>13</v>
      </c>
      <c r="V869" t="s">
        <v>50</v>
      </c>
      <c r="W869" t="s">
        <v>50</v>
      </c>
      <c r="X869" t="s">
        <v>33</v>
      </c>
      <c r="Y869" t="s">
        <v>2448</v>
      </c>
      <c r="Z869" t="s">
        <v>101</v>
      </c>
    </row>
    <row r="870" spans="1:26">
      <c r="A870" t="s">
        <v>2564</v>
      </c>
      <c r="B870" t="s">
        <v>2564</v>
      </c>
      <c r="C870" s="4">
        <v>45941</v>
      </c>
      <c r="D870">
        <v>2025</v>
      </c>
      <c r="E870">
        <v>10</v>
      </c>
      <c r="F870" t="s">
        <v>26</v>
      </c>
      <c r="G870" t="s">
        <v>137</v>
      </c>
      <c r="H870" t="s">
        <v>131</v>
      </c>
      <c r="I870" t="s">
        <v>395</v>
      </c>
      <c r="J870" t="s">
        <v>220</v>
      </c>
      <c r="K870" t="s">
        <v>718</v>
      </c>
      <c r="L870">
        <v>3</v>
      </c>
      <c r="M870" s="5">
        <v>446.17</v>
      </c>
      <c r="N870" s="6">
        <v>15</v>
      </c>
      <c r="O870" s="5">
        <v>200.78</v>
      </c>
      <c r="P870" s="5">
        <v>170.66</v>
      </c>
      <c r="Q870" s="5">
        <v>1308.39</v>
      </c>
      <c r="R870" s="5">
        <v>976.83</v>
      </c>
      <c r="S870" s="5">
        <v>331.56</v>
      </c>
      <c r="T870" s="7">
        <v>0.253410680301745</v>
      </c>
      <c r="U870" t="s">
        <v>13</v>
      </c>
      <c r="V870" t="s">
        <v>50</v>
      </c>
      <c r="W870" t="s">
        <v>50</v>
      </c>
      <c r="X870" t="s">
        <v>34</v>
      </c>
      <c r="Y870" t="s">
        <v>2565</v>
      </c>
      <c r="Z870" t="s">
        <v>80</v>
      </c>
    </row>
    <row r="871" spans="1:26">
      <c r="A871" t="s">
        <v>2566</v>
      </c>
      <c r="B871" t="s">
        <v>2566</v>
      </c>
      <c r="C871" s="4">
        <v>45752</v>
      </c>
      <c r="D871">
        <v>2025</v>
      </c>
      <c r="E871">
        <v>4</v>
      </c>
      <c r="F871" t="s">
        <v>20</v>
      </c>
      <c r="G871" t="s">
        <v>74</v>
      </c>
      <c r="H871" t="s">
        <v>234</v>
      </c>
      <c r="I871" t="s">
        <v>647</v>
      </c>
      <c r="J871" t="s">
        <v>858</v>
      </c>
      <c r="K871" t="s">
        <v>1625</v>
      </c>
      <c r="L871">
        <v>4</v>
      </c>
      <c r="M871" s="5">
        <v>84.3</v>
      </c>
      <c r="N871" s="6">
        <v>0</v>
      </c>
      <c r="O871" s="5">
        <v>0</v>
      </c>
      <c r="P871" s="5">
        <v>50.58</v>
      </c>
      <c r="Q871" s="5">
        <v>387.78</v>
      </c>
      <c r="R871" s="5">
        <v>248.56</v>
      </c>
      <c r="S871" s="5">
        <v>139.22</v>
      </c>
      <c r="T871" s="7">
        <v>0.359017999896849</v>
      </c>
      <c r="U871" t="s">
        <v>10</v>
      </c>
      <c r="V871" t="s">
        <v>50</v>
      </c>
      <c r="W871" t="s">
        <v>50</v>
      </c>
      <c r="X871" t="s">
        <v>33</v>
      </c>
      <c r="Y871" t="s">
        <v>576</v>
      </c>
      <c r="Z871" t="s">
        <v>80</v>
      </c>
    </row>
    <row r="872" spans="1:26">
      <c r="A872" t="s">
        <v>2567</v>
      </c>
      <c r="B872" t="s">
        <v>2567</v>
      </c>
      <c r="C872" s="4">
        <v>45955</v>
      </c>
      <c r="D872">
        <v>2025</v>
      </c>
      <c r="E872">
        <v>10</v>
      </c>
      <c r="F872" t="s">
        <v>26</v>
      </c>
      <c r="G872" t="s">
        <v>137</v>
      </c>
      <c r="H872" t="s">
        <v>635</v>
      </c>
      <c r="I872" t="s">
        <v>454</v>
      </c>
      <c r="J872" t="s">
        <v>2044</v>
      </c>
      <c r="K872" t="s">
        <v>2171</v>
      </c>
      <c r="L872">
        <v>1</v>
      </c>
      <c r="M872" s="5">
        <v>299.73</v>
      </c>
      <c r="N872" s="6">
        <v>0</v>
      </c>
      <c r="O872" s="5">
        <v>0</v>
      </c>
      <c r="P872" s="5">
        <v>44.96</v>
      </c>
      <c r="Q872" s="5">
        <v>344.69</v>
      </c>
      <c r="R872" s="5">
        <v>184.74</v>
      </c>
      <c r="S872" s="5">
        <v>159.95</v>
      </c>
      <c r="T872" s="7">
        <v>0.464040152020656</v>
      </c>
      <c r="U872" t="s">
        <v>14</v>
      </c>
      <c r="V872" t="s">
        <v>50</v>
      </c>
      <c r="W872" t="s">
        <v>50</v>
      </c>
      <c r="X872" t="s">
        <v>33</v>
      </c>
      <c r="Y872" t="s">
        <v>2568</v>
      </c>
      <c r="Z872" t="s">
        <v>80</v>
      </c>
    </row>
    <row r="873" spans="1:26">
      <c r="A873" t="s">
        <v>2569</v>
      </c>
      <c r="B873" t="s">
        <v>2569</v>
      </c>
      <c r="C873" s="4">
        <v>46110</v>
      </c>
      <c r="D873">
        <v>2026</v>
      </c>
      <c r="E873">
        <v>3</v>
      </c>
      <c r="F873" t="s">
        <v>19</v>
      </c>
      <c r="G873" t="s">
        <v>82</v>
      </c>
      <c r="H873" t="s">
        <v>449</v>
      </c>
      <c r="I873" t="s">
        <v>169</v>
      </c>
      <c r="J873" t="s">
        <v>1133</v>
      </c>
      <c r="K873" t="s">
        <v>1134</v>
      </c>
      <c r="L873">
        <v>2</v>
      </c>
      <c r="M873" s="5">
        <v>141.11</v>
      </c>
      <c r="N873" s="6">
        <v>5</v>
      </c>
      <c r="O873" s="5">
        <v>14.11</v>
      </c>
      <c r="P873" s="5">
        <v>40.22</v>
      </c>
      <c r="Q873" s="5">
        <v>308.33</v>
      </c>
      <c r="R873" s="5">
        <v>231.82</v>
      </c>
      <c r="S873" s="5">
        <v>76.51</v>
      </c>
      <c r="T873" s="7">
        <v>0.24814322316998</v>
      </c>
      <c r="U873" t="s">
        <v>12</v>
      </c>
      <c r="V873" t="s">
        <v>51</v>
      </c>
      <c r="W873" t="s">
        <v>51</v>
      </c>
      <c r="X873" t="s">
        <v>33</v>
      </c>
      <c r="Y873" t="s">
        <v>2570</v>
      </c>
      <c r="Z873" t="s">
        <v>80</v>
      </c>
    </row>
    <row r="874" spans="1:26">
      <c r="A874" t="s">
        <v>2571</v>
      </c>
      <c r="B874" t="s">
        <v>2571</v>
      </c>
      <c r="C874" s="4">
        <v>45854</v>
      </c>
      <c r="D874">
        <v>2025</v>
      </c>
      <c r="E874">
        <v>7</v>
      </c>
      <c r="F874" t="s">
        <v>23</v>
      </c>
      <c r="G874" t="s">
        <v>89</v>
      </c>
      <c r="H874" t="s">
        <v>1131</v>
      </c>
      <c r="I874" t="s">
        <v>196</v>
      </c>
      <c r="J874" t="s">
        <v>202</v>
      </c>
      <c r="K874" t="s">
        <v>231</v>
      </c>
      <c r="L874">
        <v>8</v>
      </c>
      <c r="M874" s="5">
        <v>355.97</v>
      </c>
      <c r="N874" s="6">
        <v>20</v>
      </c>
      <c r="O874" s="5">
        <v>569.55</v>
      </c>
      <c r="P874" s="5">
        <v>341.73</v>
      </c>
      <c r="Q874" s="5">
        <v>2278.21</v>
      </c>
      <c r="R874" s="5">
        <v>2089.76</v>
      </c>
      <c r="S874" s="5">
        <v>188.45</v>
      </c>
      <c r="T874" s="7">
        <v>0.082718450011193</v>
      </c>
      <c r="U874" t="s">
        <v>11</v>
      </c>
      <c r="V874" t="s">
        <v>50</v>
      </c>
      <c r="W874" t="s">
        <v>50</v>
      </c>
      <c r="X874" t="s">
        <v>33</v>
      </c>
      <c r="Y874" t="s">
        <v>1872</v>
      </c>
      <c r="Z874" t="s">
        <v>101</v>
      </c>
    </row>
    <row r="875" spans="1:26">
      <c r="A875" t="s">
        <v>2572</v>
      </c>
      <c r="B875" t="s">
        <v>2572</v>
      </c>
      <c r="C875" s="4">
        <v>46010</v>
      </c>
      <c r="D875">
        <v>2025</v>
      </c>
      <c r="E875">
        <v>12</v>
      </c>
      <c r="F875" t="s">
        <v>28</v>
      </c>
      <c r="G875" t="s">
        <v>137</v>
      </c>
      <c r="H875" t="s">
        <v>2038</v>
      </c>
      <c r="I875" t="s">
        <v>769</v>
      </c>
      <c r="J875" t="s">
        <v>240</v>
      </c>
      <c r="K875" t="s">
        <v>2573</v>
      </c>
      <c r="L875">
        <v>1</v>
      </c>
      <c r="M875" s="5">
        <v>227</v>
      </c>
      <c r="N875" s="6">
        <v>5</v>
      </c>
      <c r="O875" s="5">
        <v>11.35</v>
      </c>
      <c r="P875" s="5">
        <v>32.35</v>
      </c>
      <c r="Q875" s="5">
        <v>215.65</v>
      </c>
      <c r="R875" s="5">
        <v>196.3</v>
      </c>
      <c r="S875" s="5">
        <v>19.35</v>
      </c>
      <c r="T875" s="7">
        <v>0.0897287271041039</v>
      </c>
      <c r="U875" t="s">
        <v>9</v>
      </c>
      <c r="V875" t="s">
        <v>50</v>
      </c>
      <c r="W875" t="s">
        <v>50</v>
      </c>
      <c r="X875" t="s">
        <v>33</v>
      </c>
      <c r="Y875" t="s">
        <v>2574</v>
      </c>
      <c r="Z875" t="s">
        <v>101</v>
      </c>
    </row>
    <row r="876" spans="1:26">
      <c r="A876" t="s">
        <v>2575</v>
      </c>
      <c r="B876" t="s">
        <v>2575</v>
      </c>
      <c r="C876" s="4">
        <v>45814</v>
      </c>
      <c r="D876">
        <v>2025</v>
      </c>
      <c r="E876">
        <v>6</v>
      </c>
      <c r="F876" t="s">
        <v>22</v>
      </c>
      <c r="G876" t="s">
        <v>74</v>
      </c>
      <c r="H876" t="s">
        <v>2576</v>
      </c>
      <c r="I876" t="s">
        <v>163</v>
      </c>
      <c r="J876" t="s">
        <v>39</v>
      </c>
      <c r="K876" t="s">
        <v>319</v>
      </c>
      <c r="L876">
        <v>7</v>
      </c>
      <c r="M876" s="5">
        <v>286.55</v>
      </c>
      <c r="N876" s="6">
        <v>20</v>
      </c>
      <c r="O876" s="5">
        <v>401.17</v>
      </c>
      <c r="P876" s="5">
        <v>240.7</v>
      </c>
      <c r="Q876" s="5">
        <v>1604.68</v>
      </c>
      <c r="R876" s="5">
        <v>1335.18</v>
      </c>
      <c r="S876" s="5">
        <v>269.5</v>
      </c>
      <c r="T876" s="7">
        <v>0.167946257197697</v>
      </c>
      <c r="U876" t="s">
        <v>14</v>
      </c>
      <c r="V876" t="s">
        <v>50</v>
      </c>
      <c r="W876" t="s">
        <v>50</v>
      </c>
      <c r="X876" t="s">
        <v>33</v>
      </c>
      <c r="Y876" t="s">
        <v>2577</v>
      </c>
      <c r="Z876" t="s">
        <v>101</v>
      </c>
    </row>
    <row r="877" spans="1:26">
      <c r="A877" t="s">
        <v>2578</v>
      </c>
      <c r="B877" t="s">
        <v>2578</v>
      </c>
      <c r="C877" s="4">
        <v>46039</v>
      </c>
      <c r="D877">
        <v>2026</v>
      </c>
      <c r="E877">
        <v>1</v>
      </c>
      <c r="F877" t="s">
        <v>30</v>
      </c>
      <c r="G877" t="s">
        <v>82</v>
      </c>
      <c r="H877" t="s">
        <v>1391</v>
      </c>
      <c r="I877" t="s">
        <v>756</v>
      </c>
      <c r="J877" t="s">
        <v>1122</v>
      </c>
      <c r="K877" t="s">
        <v>1123</v>
      </c>
      <c r="L877">
        <v>7</v>
      </c>
      <c r="M877" s="5">
        <v>167.53</v>
      </c>
      <c r="N877" s="6">
        <v>5</v>
      </c>
      <c r="O877" s="5">
        <v>58.64</v>
      </c>
      <c r="P877" s="5">
        <v>167.11</v>
      </c>
      <c r="Q877" s="5">
        <v>1281.18</v>
      </c>
      <c r="R877" s="5">
        <v>869.68</v>
      </c>
      <c r="S877" s="5">
        <v>411.5</v>
      </c>
      <c r="T877" s="7">
        <v>0.321188279554785</v>
      </c>
      <c r="U877" t="s">
        <v>11</v>
      </c>
      <c r="V877" t="s">
        <v>51</v>
      </c>
      <c r="W877" t="s">
        <v>51</v>
      </c>
      <c r="X877" t="s">
        <v>35</v>
      </c>
      <c r="Y877" t="s">
        <v>1689</v>
      </c>
      <c r="Z877" t="s">
        <v>80</v>
      </c>
    </row>
    <row r="878" spans="1:26">
      <c r="A878" t="s">
        <v>2579</v>
      </c>
      <c r="B878" t="s">
        <v>2579</v>
      </c>
      <c r="C878" s="4">
        <v>45836</v>
      </c>
      <c r="D878">
        <v>2025</v>
      </c>
      <c r="E878">
        <v>6</v>
      </c>
      <c r="F878" t="s">
        <v>22</v>
      </c>
      <c r="G878" t="s">
        <v>74</v>
      </c>
      <c r="H878" t="s">
        <v>378</v>
      </c>
      <c r="I878" t="s">
        <v>2580</v>
      </c>
      <c r="J878" t="s">
        <v>369</v>
      </c>
      <c r="K878" t="s">
        <v>370</v>
      </c>
      <c r="L878">
        <v>5</v>
      </c>
      <c r="M878" s="5">
        <v>57.06</v>
      </c>
      <c r="N878" s="6">
        <v>0</v>
      </c>
      <c r="O878" s="5">
        <v>0</v>
      </c>
      <c r="P878" s="5">
        <v>42.8</v>
      </c>
      <c r="Q878" s="5">
        <v>328.09</v>
      </c>
      <c r="R878" s="5">
        <v>242.15</v>
      </c>
      <c r="S878" s="5">
        <v>85.94</v>
      </c>
      <c r="T878" s="7">
        <v>0.261940321253315</v>
      </c>
      <c r="U878" t="s">
        <v>9</v>
      </c>
      <c r="V878" t="s">
        <v>50</v>
      </c>
      <c r="W878" t="s">
        <v>50</v>
      </c>
      <c r="X878" t="s">
        <v>33</v>
      </c>
      <c r="Y878" t="s">
        <v>166</v>
      </c>
      <c r="Z878" t="s">
        <v>80</v>
      </c>
    </row>
    <row r="879" spans="1:26">
      <c r="A879" t="s">
        <v>2581</v>
      </c>
      <c r="B879" t="s">
        <v>2581</v>
      </c>
      <c r="C879" s="4">
        <v>45913</v>
      </c>
      <c r="D879">
        <v>2025</v>
      </c>
      <c r="E879">
        <v>9</v>
      </c>
      <c r="F879" t="s">
        <v>25</v>
      </c>
      <c r="G879" t="s">
        <v>89</v>
      </c>
      <c r="H879" t="s">
        <v>1763</v>
      </c>
      <c r="I879" t="s">
        <v>454</v>
      </c>
      <c r="J879" t="s">
        <v>548</v>
      </c>
      <c r="K879" t="s">
        <v>1671</v>
      </c>
      <c r="L879">
        <v>2</v>
      </c>
      <c r="M879" s="5">
        <v>299.73</v>
      </c>
      <c r="N879" s="6">
        <v>20</v>
      </c>
      <c r="O879" s="5">
        <v>119.89</v>
      </c>
      <c r="P879" s="5">
        <v>71.94</v>
      </c>
      <c r="Q879" s="5">
        <v>551.51</v>
      </c>
      <c r="R879" s="5">
        <v>369.48</v>
      </c>
      <c r="S879" s="5">
        <v>182.03</v>
      </c>
      <c r="T879" s="7">
        <v>0.330057478558866</v>
      </c>
      <c r="U879" t="s">
        <v>10</v>
      </c>
      <c r="V879" t="s">
        <v>50</v>
      </c>
      <c r="W879" t="s">
        <v>50</v>
      </c>
      <c r="X879" t="s">
        <v>34</v>
      </c>
      <c r="Y879" t="s">
        <v>2552</v>
      </c>
      <c r="Z879" t="s">
        <v>80</v>
      </c>
    </row>
    <row r="880" spans="1:26">
      <c r="A880" t="s">
        <v>2582</v>
      </c>
      <c r="B880" t="s">
        <v>2582</v>
      </c>
      <c r="C880" s="4">
        <v>45794</v>
      </c>
      <c r="D880">
        <v>2025</v>
      </c>
      <c r="E880">
        <v>5</v>
      </c>
      <c r="F880" t="s">
        <v>21</v>
      </c>
      <c r="G880" t="s">
        <v>74</v>
      </c>
      <c r="H880" t="s">
        <v>1980</v>
      </c>
      <c r="I880" t="s">
        <v>937</v>
      </c>
      <c r="J880" t="s">
        <v>626</v>
      </c>
      <c r="K880" t="s">
        <v>2353</v>
      </c>
      <c r="L880">
        <v>4</v>
      </c>
      <c r="M880" s="5">
        <v>446.42</v>
      </c>
      <c r="N880" s="6">
        <v>10</v>
      </c>
      <c r="O880" s="5">
        <v>178.57</v>
      </c>
      <c r="P880" s="5">
        <v>241.07</v>
      </c>
      <c r="Q880" s="5">
        <v>1848.18</v>
      </c>
      <c r="R880" s="5">
        <v>1480.72</v>
      </c>
      <c r="S880" s="5">
        <v>367.46</v>
      </c>
      <c r="T880" s="7">
        <v>0.198822625501845</v>
      </c>
      <c r="U880" t="s">
        <v>12</v>
      </c>
      <c r="V880" t="s">
        <v>50</v>
      </c>
      <c r="W880" t="s">
        <v>50</v>
      </c>
      <c r="X880" t="s">
        <v>33</v>
      </c>
      <c r="Y880" t="s">
        <v>1960</v>
      </c>
      <c r="Z880" t="s">
        <v>80</v>
      </c>
    </row>
    <row r="881" spans="1:26">
      <c r="A881" t="s">
        <v>2583</v>
      </c>
      <c r="B881" t="s">
        <v>2583</v>
      </c>
      <c r="C881" s="4">
        <v>45876</v>
      </c>
      <c r="D881">
        <v>2025</v>
      </c>
      <c r="E881">
        <v>8</v>
      </c>
      <c r="F881" t="s">
        <v>24</v>
      </c>
      <c r="G881" t="s">
        <v>89</v>
      </c>
      <c r="H881" t="s">
        <v>331</v>
      </c>
      <c r="I881" t="s">
        <v>76</v>
      </c>
      <c r="J881" t="s">
        <v>1327</v>
      </c>
      <c r="K881" t="s">
        <v>660</v>
      </c>
      <c r="L881">
        <v>6</v>
      </c>
      <c r="M881" s="5">
        <v>458.91</v>
      </c>
      <c r="N881" s="6">
        <v>15</v>
      </c>
      <c r="O881" s="5">
        <v>413.02</v>
      </c>
      <c r="P881" s="5">
        <v>351.07</v>
      </c>
      <c r="Q881" s="5">
        <v>2340.44</v>
      </c>
      <c r="R881" s="5">
        <v>1917.84</v>
      </c>
      <c r="S881" s="5">
        <v>422.6</v>
      </c>
      <c r="T881" s="7">
        <v>0.180564338329545</v>
      </c>
      <c r="U881" t="s">
        <v>10</v>
      </c>
      <c r="V881" t="s">
        <v>50</v>
      </c>
      <c r="W881" t="s">
        <v>50</v>
      </c>
      <c r="X881" t="s">
        <v>33</v>
      </c>
      <c r="Y881" t="s">
        <v>996</v>
      </c>
      <c r="Z881" t="s">
        <v>101</v>
      </c>
    </row>
    <row r="882" spans="1:26">
      <c r="A882" t="s">
        <v>2584</v>
      </c>
      <c r="B882" t="s">
        <v>2584</v>
      </c>
      <c r="C882" s="4">
        <v>45748</v>
      </c>
      <c r="D882">
        <v>2025</v>
      </c>
      <c r="E882">
        <v>4</v>
      </c>
      <c r="F882" t="s">
        <v>20</v>
      </c>
      <c r="G882" t="s">
        <v>74</v>
      </c>
      <c r="H882" t="s">
        <v>1814</v>
      </c>
      <c r="I882" t="s">
        <v>411</v>
      </c>
      <c r="J882" t="s">
        <v>1150</v>
      </c>
      <c r="K882" t="s">
        <v>287</v>
      </c>
      <c r="L882">
        <v>4</v>
      </c>
      <c r="M882" s="5">
        <v>459.58</v>
      </c>
      <c r="N882" s="6">
        <v>0</v>
      </c>
      <c r="O882" s="5">
        <v>0</v>
      </c>
      <c r="P882" s="5">
        <v>275.75</v>
      </c>
      <c r="Q882" s="5">
        <v>1838.32</v>
      </c>
      <c r="R882" s="5">
        <v>1547.56</v>
      </c>
      <c r="S882" s="5">
        <v>290.76</v>
      </c>
      <c r="T882" s="7">
        <v>0.158166151703729</v>
      </c>
      <c r="U882" t="s">
        <v>11</v>
      </c>
      <c r="V882" t="s">
        <v>50</v>
      </c>
      <c r="W882" t="s">
        <v>50</v>
      </c>
      <c r="X882" t="s">
        <v>34</v>
      </c>
      <c r="Y882" t="s">
        <v>762</v>
      </c>
      <c r="Z882" t="s">
        <v>101</v>
      </c>
    </row>
    <row r="883" spans="1:26">
      <c r="A883" t="s">
        <v>2585</v>
      </c>
      <c r="B883" t="s">
        <v>2585</v>
      </c>
      <c r="C883" s="4">
        <v>45809</v>
      </c>
      <c r="D883">
        <v>2025</v>
      </c>
      <c r="E883">
        <v>6</v>
      </c>
      <c r="F883" t="s">
        <v>22</v>
      </c>
      <c r="G883" t="s">
        <v>74</v>
      </c>
      <c r="H883" t="s">
        <v>582</v>
      </c>
      <c r="I883" t="s">
        <v>356</v>
      </c>
      <c r="J883" t="s">
        <v>401</v>
      </c>
      <c r="K883" t="s">
        <v>287</v>
      </c>
      <c r="L883">
        <v>3</v>
      </c>
      <c r="M883" s="5">
        <v>495.42</v>
      </c>
      <c r="N883" s="6">
        <v>20</v>
      </c>
      <c r="O883" s="5">
        <v>297.25</v>
      </c>
      <c r="P883" s="5">
        <v>178.35</v>
      </c>
      <c r="Q883" s="5">
        <v>1367.36</v>
      </c>
      <c r="R883" s="5">
        <v>848.64</v>
      </c>
      <c r="S883" s="5">
        <v>518.72</v>
      </c>
      <c r="T883" s="7">
        <v>0.379358764334192</v>
      </c>
      <c r="U883" t="s">
        <v>9</v>
      </c>
      <c r="V883" t="s">
        <v>50</v>
      </c>
      <c r="W883" t="s">
        <v>50</v>
      </c>
      <c r="X883" t="s">
        <v>35</v>
      </c>
      <c r="Y883" t="s">
        <v>1355</v>
      </c>
      <c r="Z883" t="s">
        <v>80</v>
      </c>
    </row>
    <row r="884" spans="1:26">
      <c r="A884" t="s">
        <v>2586</v>
      </c>
      <c r="B884" t="s">
        <v>2586</v>
      </c>
      <c r="C884" s="4">
        <v>45930</v>
      </c>
      <c r="D884">
        <v>2025</v>
      </c>
      <c r="E884">
        <v>9</v>
      </c>
      <c r="F884" t="s">
        <v>25</v>
      </c>
      <c r="G884" t="s">
        <v>89</v>
      </c>
      <c r="H884" t="s">
        <v>2092</v>
      </c>
      <c r="I884" t="s">
        <v>2587</v>
      </c>
      <c r="J884" t="s">
        <v>631</v>
      </c>
      <c r="K884" t="s">
        <v>632</v>
      </c>
      <c r="L884">
        <v>4</v>
      </c>
      <c r="M884" s="5">
        <v>72.93</v>
      </c>
      <c r="N884" s="6">
        <v>15</v>
      </c>
      <c r="O884" s="5">
        <v>43.76</v>
      </c>
      <c r="P884" s="5">
        <v>37.19</v>
      </c>
      <c r="Q884" s="5">
        <v>247.96</v>
      </c>
      <c r="R884" s="5">
        <v>217</v>
      </c>
      <c r="S884" s="5">
        <v>30.96</v>
      </c>
      <c r="T884" s="7">
        <v>0.124858848201323</v>
      </c>
      <c r="U884" t="s">
        <v>14</v>
      </c>
      <c r="V884" t="s">
        <v>50</v>
      </c>
      <c r="W884" t="s">
        <v>50</v>
      </c>
      <c r="X884" t="s">
        <v>33</v>
      </c>
      <c r="Y884" t="s">
        <v>2450</v>
      </c>
      <c r="Z884" t="s">
        <v>101</v>
      </c>
    </row>
    <row r="885" spans="1:26">
      <c r="A885" t="s">
        <v>2588</v>
      </c>
      <c r="B885" t="s">
        <v>2588</v>
      </c>
      <c r="C885" s="4">
        <v>45836</v>
      </c>
      <c r="D885">
        <v>2025</v>
      </c>
      <c r="E885">
        <v>6</v>
      </c>
      <c r="F885" t="s">
        <v>22</v>
      </c>
      <c r="G885" t="s">
        <v>74</v>
      </c>
      <c r="H885" t="s">
        <v>792</v>
      </c>
      <c r="I885" t="s">
        <v>104</v>
      </c>
      <c r="J885" t="s">
        <v>1718</v>
      </c>
      <c r="K885" t="s">
        <v>2051</v>
      </c>
      <c r="L885">
        <v>7</v>
      </c>
      <c r="M885" s="5">
        <v>333.47</v>
      </c>
      <c r="N885" s="6">
        <v>0</v>
      </c>
      <c r="O885" s="5">
        <v>0</v>
      </c>
      <c r="P885" s="5">
        <v>350.14</v>
      </c>
      <c r="Q885" s="5">
        <v>2684.43</v>
      </c>
      <c r="R885" s="5">
        <v>1722.84</v>
      </c>
      <c r="S885" s="5">
        <v>961.59</v>
      </c>
      <c r="T885" s="7">
        <v>0.358210122819369</v>
      </c>
      <c r="U885" t="s">
        <v>13</v>
      </c>
      <c r="V885" t="s">
        <v>50</v>
      </c>
      <c r="W885" t="s">
        <v>50</v>
      </c>
      <c r="X885" t="s">
        <v>33</v>
      </c>
      <c r="Y885" t="s">
        <v>341</v>
      </c>
      <c r="Z885" t="s">
        <v>80</v>
      </c>
    </row>
    <row r="886" spans="1:26">
      <c r="A886" t="s">
        <v>2589</v>
      </c>
      <c r="B886" t="s">
        <v>2589</v>
      </c>
      <c r="C886" s="4">
        <v>45908</v>
      </c>
      <c r="D886">
        <v>2025</v>
      </c>
      <c r="E886">
        <v>9</v>
      </c>
      <c r="F886" t="s">
        <v>25</v>
      </c>
      <c r="G886" t="s">
        <v>89</v>
      </c>
      <c r="H886" t="s">
        <v>2590</v>
      </c>
      <c r="I886" t="s">
        <v>356</v>
      </c>
      <c r="J886" t="s">
        <v>77</v>
      </c>
      <c r="K886" t="s">
        <v>2591</v>
      </c>
      <c r="L886">
        <v>1</v>
      </c>
      <c r="M886" s="5">
        <v>455.79</v>
      </c>
      <c r="N886" s="6">
        <v>15</v>
      </c>
      <c r="O886" s="5">
        <v>68.37</v>
      </c>
      <c r="P886" s="5">
        <v>58.11</v>
      </c>
      <c r="Q886" s="5">
        <v>387.42</v>
      </c>
      <c r="R886" s="5">
        <v>282.88</v>
      </c>
      <c r="S886" s="5">
        <v>104.54</v>
      </c>
      <c r="T886" s="7">
        <v>0.269836353311652</v>
      </c>
      <c r="U886" t="s">
        <v>10</v>
      </c>
      <c r="V886" t="s">
        <v>50</v>
      </c>
      <c r="W886" t="s">
        <v>50</v>
      </c>
      <c r="X886" t="s">
        <v>33</v>
      </c>
      <c r="Y886" t="s">
        <v>1309</v>
      </c>
      <c r="Z886" t="s">
        <v>101</v>
      </c>
    </row>
    <row r="887" spans="1:26">
      <c r="A887" t="s">
        <v>2592</v>
      </c>
      <c r="B887" t="s">
        <v>2592</v>
      </c>
      <c r="C887" s="4">
        <v>46014</v>
      </c>
      <c r="D887">
        <v>2025</v>
      </c>
      <c r="E887">
        <v>12</v>
      </c>
      <c r="F887" t="s">
        <v>28</v>
      </c>
      <c r="G887" t="s">
        <v>137</v>
      </c>
      <c r="H887" t="s">
        <v>918</v>
      </c>
      <c r="I887" t="s">
        <v>583</v>
      </c>
      <c r="J887" t="s">
        <v>1361</v>
      </c>
      <c r="K887" t="s">
        <v>1622</v>
      </c>
      <c r="L887">
        <v>5</v>
      </c>
      <c r="M887" s="5">
        <v>257.4</v>
      </c>
      <c r="N887" s="6">
        <v>0</v>
      </c>
      <c r="O887" s="5">
        <v>0</v>
      </c>
      <c r="P887" s="5">
        <v>193.05</v>
      </c>
      <c r="Q887" s="5">
        <v>1287</v>
      </c>
      <c r="R887" s="5">
        <v>1052.6</v>
      </c>
      <c r="S887" s="5">
        <v>234.4</v>
      </c>
      <c r="T887" s="7">
        <v>0.182128982128982</v>
      </c>
      <c r="U887" t="s">
        <v>10</v>
      </c>
      <c r="V887" t="s">
        <v>50</v>
      </c>
      <c r="W887" t="s">
        <v>50</v>
      </c>
      <c r="X887" t="s">
        <v>35</v>
      </c>
      <c r="Y887" t="s">
        <v>2593</v>
      </c>
      <c r="Z887" t="s">
        <v>101</v>
      </c>
    </row>
    <row r="888" spans="1:26">
      <c r="A888" t="s">
        <v>2594</v>
      </c>
      <c r="B888" t="s">
        <v>2594</v>
      </c>
      <c r="C888" s="4">
        <v>45962</v>
      </c>
      <c r="D888">
        <v>2025</v>
      </c>
      <c r="E888">
        <v>11</v>
      </c>
      <c r="F888" t="s">
        <v>27</v>
      </c>
      <c r="G888" t="s">
        <v>137</v>
      </c>
      <c r="H888" t="s">
        <v>244</v>
      </c>
      <c r="I888" t="s">
        <v>476</v>
      </c>
      <c r="J888" t="s">
        <v>955</v>
      </c>
      <c r="K888" t="s">
        <v>594</v>
      </c>
      <c r="L888">
        <v>4</v>
      </c>
      <c r="M888" s="5">
        <v>305.67</v>
      </c>
      <c r="N888" s="6">
        <v>0</v>
      </c>
      <c r="O888" s="5">
        <v>0</v>
      </c>
      <c r="P888" s="5">
        <v>183.4</v>
      </c>
      <c r="Q888" s="5">
        <v>1406.08</v>
      </c>
      <c r="R888" s="5">
        <v>1005.68</v>
      </c>
      <c r="S888" s="5">
        <v>400.4</v>
      </c>
      <c r="T888" s="7">
        <v>0.284763313609467</v>
      </c>
      <c r="U888" t="s">
        <v>13</v>
      </c>
      <c r="V888" t="s">
        <v>50</v>
      </c>
      <c r="W888" t="s">
        <v>50</v>
      </c>
      <c r="X888" t="s">
        <v>33</v>
      </c>
      <c r="Y888" t="s">
        <v>2595</v>
      </c>
      <c r="Z888" t="s">
        <v>80</v>
      </c>
    </row>
    <row r="889" spans="1:26">
      <c r="A889" t="s">
        <v>2596</v>
      </c>
      <c r="B889" t="s">
        <v>2596</v>
      </c>
      <c r="C889" s="4">
        <v>46026</v>
      </c>
      <c r="D889">
        <v>2026</v>
      </c>
      <c r="E889">
        <v>1</v>
      </c>
      <c r="F889" t="s">
        <v>30</v>
      </c>
      <c r="G889" t="s">
        <v>82</v>
      </c>
      <c r="H889" t="s">
        <v>389</v>
      </c>
      <c r="I889" t="s">
        <v>312</v>
      </c>
      <c r="J889" t="s">
        <v>2513</v>
      </c>
      <c r="K889" t="s">
        <v>1913</v>
      </c>
      <c r="L889">
        <v>3</v>
      </c>
      <c r="M889" s="5">
        <v>415.18</v>
      </c>
      <c r="N889" s="6">
        <v>0</v>
      </c>
      <c r="O889" s="5">
        <v>0</v>
      </c>
      <c r="P889" s="5">
        <v>186.83</v>
      </c>
      <c r="Q889" s="5">
        <v>1432.37</v>
      </c>
      <c r="R889" s="5">
        <v>857.7</v>
      </c>
      <c r="S889" s="5">
        <v>574.67</v>
      </c>
      <c r="T889" s="7">
        <v>0.401202203341316</v>
      </c>
      <c r="U889" t="s">
        <v>14</v>
      </c>
      <c r="V889" t="s">
        <v>50</v>
      </c>
      <c r="W889" t="s">
        <v>50</v>
      </c>
      <c r="X889" t="s">
        <v>35</v>
      </c>
      <c r="Y889" t="s">
        <v>2378</v>
      </c>
      <c r="Z889" t="s">
        <v>80</v>
      </c>
    </row>
    <row r="890" spans="1:26">
      <c r="A890" t="s">
        <v>2597</v>
      </c>
      <c r="B890" t="s">
        <v>2597</v>
      </c>
      <c r="C890" s="4">
        <v>45858</v>
      </c>
      <c r="D890">
        <v>2025</v>
      </c>
      <c r="E890">
        <v>7</v>
      </c>
      <c r="F890" t="s">
        <v>23</v>
      </c>
      <c r="G890" t="s">
        <v>89</v>
      </c>
      <c r="H890" t="s">
        <v>405</v>
      </c>
      <c r="I890" t="s">
        <v>116</v>
      </c>
      <c r="J890" t="s">
        <v>140</v>
      </c>
      <c r="K890" t="s">
        <v>141</v>
      </c>
      <c r="L890">
        <v>3</v>
      </c>
      <c r="M890" s="5">
        <v>172.63</v>
      </c>
      <c r="N890" s="6">
        <v>0</v>
      </c>
      <c r="O890" s="5">
        <v>0</v>
      </c>
      <c r="P890" s="5">
        <v>77.68</v>
      </c>
      <c r="Q890" s="5">
        <v>595.57</v>
      </c>
      <c r="R890" s="5">
        <v>426</v>
      </c>
      <c r="S890" s="5">
        <v>169.57</v>
      </c>
      <c r="T890" s="7">
        <v>0.284718840774384</v>
      </c>
      <c r="U890" t="s">
        <v>10</v>
      </c>
      <c r="V890" t="s">
        <v>50</v>
      </c>
      <c r="W890" t="s">
        <v>50</v>
      </c>
      <c r="X890" t="s">
        <v>33</v>
      </c>
      <c r="Y890" t="s">
        <v>1779</v>
      </c>
      <c r="Z890" t="s">
        <v>80</v>
      </c>
    </row>
    <row r="891" spans="1:26">
      <c r="A891" t="s">
        <v>2598</v>
      </c>
      <c r="B891" t="s">
        <v>2598</v>
      </c>
      <c r="C891" s="4">
        <v>45788</v>
      </c>
      <c r="D891">
        <v>2025</v>
      </c>
      <c r="E891">
        <v>5</v>
      </c>
      <c r="F891" t="s">
        <v>21</v>
      </c>
      <c r="G891" t="s">
        <v>74</v>
      </c>
      <c r="H891" t="s">
        <v>2040</v>
      </c>
      <c r="I891" t="s">
        <v>138</v>
      </c>
      <c r="J891" t="s">
        <v>1347</v>
      </c>
      <c r="K891" t="s">
        <v>1517</v>
      </c>
      <c r="L891">
        <v>2</v>
      </c>
      <c r="M891" s="5">
        <v>401.06</v>
      </c>
      <c r="N891" s="6">
        <v>5</v>
      </c>
      <c r="O891" s="5">
        <v>40.11</v>
      </c>
      <c r="P891" s="5">
        <v>114.3</v>
      </c>
      <c r="Q891" s="5">
        <v>876.31</v>
      </c>
      <c r="R891" s="5">
        <v>694.94</v>
      </c>
      <c r="S891" s="5">
        <v>181.37</v>
      </c>
      <c r="T891" s="7">
        <v>0.206970136139038</v>
      </c>
      <c r="U891" t="s">
        <v>10</v>
      </c>
      <c r="V891" t="s">
        <v>50</v>
      </c>
      <c r="W891" t="s">
        <v>50</v>
      </c>
      <c r="X891" t="s">
        <v>33</v>
      </c>
      <c r="Y891" t="s">
        <v>739</v>
      </c>
      <c r="Z891" t="s">
        <v>80</v>
      </c>
    </row>
    <row r="892" spans="1:26">
      <c r="A892" t="s">
        <v>2599</v>
      </c>
      <c r="B892" t="s">
        <v>2599</v>
      </c>
      <c r="C892" s="4">
        <v>46054</v>
      </c>
      <c r="D892">
        <v>2026</v>
      </c>
      <c r="E892">
        <v>2</v>
      </c>
      <c r="F892" t="s">
        <v>31</v>
      </c>
      <c r="G892" t="s">
        <v>82</v>
      </c>
      <c r="H892" t="s">
        <v>2600</v>
      </c>
      <c r="I892" t="s">
        <v>750</v>
      </c>
      <c r="J892" t="s">
        <v>401</v>
      </c>
      <c r="K892" t="s">
        <v>402</v>
      </c>
      <c r="L892">
        <v>1</v>
      </c>
      <c r="M892" s="5">
        <v>474.19</v>
      </c>
      <c r="N892" s="6">
        <v>0</v>
      </c>
      <c r="O892" s="5">
        <v>0</v>
      </c>
      <c r="P892" s="5">
        <v>71.13</v>
      </c>
      <c r="Q892" s="5">
        <v>545.32</v>
      </c>
      <c r="R892" s="5">
        <v>343.89</v>
      </c>
      <c r="S892" s="5">
        <v>201.43</v>
      </c>
      <c r="T892" s="7">
        <v>0.369379446930243</v>
      </c>
      <c r="U892" t="s">
        <v>9</v>
      </c>
      <c r="V892" t="s">
        <v>50</v>
      </c>
      <c r="W892" t="s">
        <v>50</v>
      </c>
      <c r="X892" t="s">
        <v>33</v>
      </c>
      <c r="Y892" t="s">
        <v>451</v>
      </c>
      <c r="Z892" t="s">
        <v>80</v>
      </c>
    </row>
    <row r="893" spans="1:26">
      <c r="A893" t="s">
        <v>2601</v>
      </c>
      <c r="B893" t="s">
        <v>2601</v>
      </c>
      <c r="C893" s="4">
        <v>45860</v>
      </c>
      <c r="D893">
        <v>2025</v>
      </c>
      <c r="E893">
        <v>7</v>
      </c>
      <c r="F893" t="s">
        <v>23</v>
      </c>
      <c r="G893" t="s">
        <v>89</v>
      </c>
      <c r="H893" t="s">
        <v>1571</v>
      </c>
      <c r="I893" t="s">
        <v>245</v>
      </c>
      <c r="J893" t="s">
        <v>191</v>
      </c>
      <c r="K893" t="s">
        <v>192</v>
      </c>
      <c r="L893">
        <v>1</v>
      </c>
      <c r="M893" s="5">
        <v>121.9</v>
      </c>
      <c r="N893" s="6">
        <v>15</v>
      </c>
      <c r="O893" s="5">
        <v>18.29</v>
      </c>
      <c r="P893" s="5">
        <v>15.54</v>
      </c>
      <c r="Q893" s="5">
        <v>103.61</v>
      </c>
      <c r="R893" s="5">
        <v>108.92</v>
      </c>
      <c r="S893" s="5">
        <v>-5.31</v>
      </c>
      <c r="T893" s="7">
        <v>-0.0512498793552746</v>
      </c>
      <c r="U893" t="s">
        <v>10</v>
      </c>
      <c r="V893" t="s">
        <v>50</v>
      </c>
      <c r="W893" t="s">
        <v>50</v>
      </c>
      <c r="X893" t="s">
        <v>34</v>
      </c>
      <c r="Y893" t="s">
        <v>869</v>
      </c>
      <c r="Z893" t="s">
        <v>101</v>
      </c>
    </row>
    <row r="894" spans="1:26">
      <c r="A894" t="s">
        <v>2602</v>
      </c>
      <c r="B894" t="s">
        <v>2602</v>
      </c>
      <c r="C894" s="4">
        <v>45995</v>
      </c>
      <c r="D894">
        <v>2025</v>
      </c>
      <c r="E894">
        <v>12</v>
      </c>
      <c r="F894" t="s">
        <v>28</v>
      </c>
      <c r="G894" t="s">
        <v>137</v>
      </c>
      <c r="H894" t="s">
        <v>1223</v>
      </c>
      <c r="I894" t="s">
        <v>774</v>
      </c>
      <c r="J894" t="s">
        <v>339</v>
      </c>
      <c r="K894" t="s">
        <v>1283</v>
      </c>
      <c r="L894">
        <v>3</v>
      </c>
      <c r="M894" s="5">
        <v>708.04</v>
      </c>
      <c r="N894" s="6">
        <v>0</v>
      </c>
      <c r="O894" s="5">
        <v>0</v>
      </c>
      <c r="P894" s="5">
        <v>318.62</v>
      </c>
      <c r="Q894" s="5">
        <v>2124.12</v>
      </c>
      <c r="R894" s="5">
        <v>1196.16</v>
      </c>
      <c r="S894" s="5">
        <v>927.96</v>
      </c>
      <c r="T894" s="7">
        <v>0.436867973560816</v>
      </c>
      <c r="U894" t="s">
        <v>10</v>
      </c>
      <c r="V894" t="s">
        <v>50</v>
      </c>
      <c r="W894" t="s">
        <v>50</v>
      </c>
      <c r="X894" t="s">
        <v>33</v>
      </c>
      <c r="Y894" t="s">
        <v>939</v>
      </c>
      <c r="Z894" t="s">
        <v>101</v>
      </c>
    </row>
    <row r="895" spans="1:26">
      <c r="A895" t="s">
        <v>2603</v>
      </c>
      <c r="B895" t="s">
        <v>2603</v>
      </c>
      <c r="C895" s="4">
        <v>45853</v>
      </c>
      <c r="D895">
        <v>2025</v>
      </c>
      <c r="E895">
        <v>7</v>
      </c>
      <c r="F895" t="s">
        <v>23</v>
      </c>
      <c r="G895" t="s">
        <v>89</v>
      </c>
      <c r="H895" t="s">
        <v>614</v>
      </c>
      <c r="I895" t="s">
        <v>417</v>
      </c>
      <c r="J895" t="s">
        <v>133</v>
      </c>
      <c r="K895" t="s">
        <v>324</v>
      </c>
      <c r="L895">
        <v>2</v>
      </c>
      <c r="M895" s="5">
        <v>380.12</v>
      </c>
      <c r="N895" s="6">
        <v>0</v>
      </c>
      <c r="O895" s="5">
        <v>0</v>
      </c>
      <c r="P895" s="5">
        <v>114.04</v>
      </c>
      <c r="Q895" s="5">
        <v>760.24</v>
      </c>
      <c r="R895" s="5">
        <v>619.96</v>
      </c>
      <c r="S895" s="5">
        <v>140.28</v>
      </c>
      <c r="T895" s="7">
        <v>0.184520677680732</v>
      </c>
      <c r="U895" t="s">
        <v>10</v>
      </c>
      <c r="V895" t="s">
        <v>50</v>
      </c>
      <c r="W895" t="s">
        <v>50</v>
      </c>
      <c r="X895" t="s">
        <v>34</v>
      </c>
      <c r="Y895" t="s">
        <v>2604</v>
      </c>
      <c r="Z895" t="s">
        <v>101</v>
      </c>
    </row>
    <row r="896" spans="1:26">
      <c r="A896" t="s">
        <v>2605</v>
      </c>
      <c r="B896" t="s">
        <v>2605</v>
      </c>
      <c r="C896" s="4">
        <v>45961</v>
      </c>
      <c r="D896">
        <v>2025</v>
      </c>
      <c r="E896">
        <v>10</v>
      </c>
      <c r="F896" t="s">
        <v>26</v>
      </c>
      <c r="G896" t="s">
        <v>137</v>
      </c>
      <c r="H896" t="s">
        <v>428</v>
      </c>
      <c r="I896" t="s">
        <v>2606</v>
      </c>
      <c r="J896" t="s">
        <v>813</v>
      </c>
      <c r="K896" t="s">
        <v>611</v>
      </c>
      <c r="L896">
        <v>5</v>
      </c>
      <c r="M896" s="5">
        <v>445.26</v>
      </c>
      <c r="N896" s="6">
        <v>15</v>
      </c>
      <c r="O896" s="5">
        <v>333.94</v>
      </c>
      <c r="P896" s="5">
        <v>283.85</v>
      </c>
      <c r="Q896" s="5">
        <v>1892.36</v>
      </c>
      <c r="R896" s="5">
        <v>1872.4</v>
      </c>
      <c r="S896" s="5">
        <v>19.96</v>
      </c>
      <c r="T896" s="7">
        <v>0.0105476759179015</v>
      </c>
      <c r="U896" t="s">
        <v>13</v>
      </c>
      <c r="V896" t="s">
        <v>50</v>
      </c>
      <c r="W896" t="s">
        <v>50</v>
      </c>
      <c r="X896" t="s">
        <v>33</v>
      </c>
      <c r="Y896" t="s">
        <v>2607</v>
      </c>
      <c r="Z896" t="s">
        <v>101</v>
      </c>
    </row>
    <row r="897" spans="1:26">
      <c r="A897" t="s">
        <v>2608</v>
      </c>
      <c r="B897" t="s">
        <v>2608</v>
      </c>
      <c r="C897" s="4">
        <v>45806</v>
      </c>
      <c r="D897">
        <v>2025</v>
      </c>
      <c r="E897">
        <v>5</v>
      </c>
      <c r="F897" t="s">
        <v>21</v>
      </c>
      <c r="G897" t="s">
        <v>74</v>
      </c>
      <c r="H897" t="s">
        <v>2609</v>
      </c>
      <c r="I897" t="s">
        <v>157</v>
      </c>
      <c r="J897" t="s">
        <v>396</v>
      </c>
      <c r="K897" t="s">
        <v>1297</v>
      </c>
      <c r="L897">
        <v>2</v>
      </c>
      <c r="M897" s="5">
        <v>59.92</v>
      </c>
      <c r="N897" s="6">
        <v>0</v>
      </c>
      <c r="O897" s="5">
        <v>0</v>
      </c>
      <c r="P897" s="5">
        <v>17.98</v>
      </c>
      <c r="Q897" s="5">
        <v>119.84</v>
      </c>
      <c r="R897" s="5">
        <v>96.3</v>
      </c>
      <c r="S897" s="5">
        <v>23.54</v>
      </c>
      <c r="T897" s="7">
        <v>0.196428571428571</v>
      </c>
      <c r="U897" t="s">
        <v>13</v>
      </c>
      <c r="V897" t="s">
        <v>50</v>
      </c>
      <c r="W897" t="s">
        <v>50</v>
      </c>
      <c r="X897" t="s">
        <v>33</v>
      </c>
      <c r="Y897" t="s">
        <v>826</v>
      </c>
      <c r="Z897" t="s">
        <v>101</v>
      </c>
    </row>
    <row r="898" spans="1:26">
      <c r="A898" t="s">
        <v>2610</v>
      </c>
      <c r="B898" t="s">
        <v>2610</v>
      </c>
      <c r="C898" s="4">
        <v>45819</v>
      </c>
      <c r="D898">
        <v>2025</v>
      </c>
      <c r="E898">
        <v>6</v>
      </c>
      <c r="F898" t="s">
        <v>22</v>
      </c>
      <c r="G898" t="s">
        <v>74</v>
      </c>
      <c r="H898" t="s">
        <v>2611</v>
      </c>
      <c r="I898" t="s">
        <v>1196</v>
      </c>
      <c r="J898" t="s">
        <v>369</v>
      </c>
      <c r="K898" t="s">
        <v>370</v>
      </c>
      <c r="L898">
        <v>2</v>
      </c>
      <c r="M898" s="5">
        <v>147.72</v>
      </c>
      <c r="N898" s="6">
        <v>15</v>
      </c>
      <c r="O898" s="5">
        <v>44.32</v>
      </c>
      <c r="P898" s="5">
        <v>37.67</v>
      </c>
      <c r="Q898" s="5">
        <v>251.12</v>
      </c>
      <c r="R898" s="5">
        <v>218.42</v>
      </c>
      <c r="S898" s="5">
        <v>32.7</v>
      </c>
      <c r="T898" s="7">
        <v>0.130216629499841</v>
      </c>
      <c r="U898" t="s">
        <v>11</v>
      </c>
      <c r="V898" t="s">
        <v>50</v>
      </c>
      <c r="W898" t="s">
        <v>50</v>
      </c>
      <c r="X898" t="s">
        <v>33</v>
      </c>
      <c r="Y898" t="s">
        <v>1124</v>
      </c>
      <c r="Z898" t="s">
        <v>101</v>
      </c>
    </row>
    <row r="899" spans="1:26">
      <c r="A899" t="s">
        <v>2612</v>
      </c>
      <c r="B899" t="s">
        <v>2612</v>
      </c>
      <c r="C899" s="4">
        <v>46009</v>
      </c>
      <c r="D899">
        <v>2025</v>
      </c>
      <c r="E899">
        <v>12</v>
      </c>
      <c r="F899" t="s">
        <v>28</v>
      </c>
      <c r="G899" t="s">
        <v>137</v>
      </c>
      <c r="H899" t="s">
        <v>2613</v>
      </c>
      <c r="I899" t="s">
        <v>450</v>
      </c>
      <c r="J899" t="s">
        <v>85</v>
      </c>
      <c r="K899" t="s">
        <v>86</v>
      </c>
      <c r="L899">
        <v>2</v>
      </c>
      <c r="M899" s="5">
        <v>440.5</v>
      </c>
      <c r="N899" s="6">
        <v>20</v>
      </c>
      <c r="O899" s="5">
        <v>176.2</v>
      </c>
      <c r="P899" s="5">
        <v>105.72</v>
      </c>
      <c r="Q899" s="5">
        <v>704.8</v>
      </c>
      <c r="R899" s="5">
        <v>508.1</v>
      </c>
      <c r="S899" s="5">
        <v>196.7</v>
      </c>
      <c r="T899" s="7">
        <v>0.279086265607265</v>
      </c>
      <c r="U899" t="s">
        <v>13</v>
      </c>
      <c r="V899" t="s">
        <v>50</v>
      </c>
      <c r="W899" t="s">
        <v>50</v>
      </c>
      <c r="X899" t="s">
        <v>33</v>
      </c>
      <c r="Y899" t="s">
        <v>516</v>
      </c>
      <c r="Z899" t="s">
        <v>101</v>
      </c>
    </row>
    <row r="900" spans="1:26">
      <c r="A900" t="s">
        <v>2614</v>
      </c>
      <c r="B900" t="s">
        <v>2614</v>
      </c>
      <c r="C900" s="4">
        <v>46021</v>
      </c>
      <c r="D900">
        <v>2025</v>
      </c>
      <c r="E900">
        <v>12</v>
      </c>
      <c r="F900" t="s">
        <v>28</v>
      </c>
      <c r="G900" t="s">
        <v>137</v>
      </c>
      <c r="H900" t="s">
        <v>389</v>
      </c>
      <c r="I900" t="s">
        <v>587</v>
      </c>
      <c r="J900" t="s">
        <v>1122</v>
      </c>
      <c r="K900" t="s">
        <v>1123</v>
      </c>
      <c r="L900">
        <v>8</v>
      </c>
      <c r="M900" s="5">
        <v>431.54</v>
      </c>
      <c r="N900" s="6">
        <v>0</v>
      </c>
      <c r="O900" s="5">
        <v>0</v>
      </c>
      <c r="P900" s="5">
        <v>517.85</v>
      </c>
      <c r="Q900" s="5">
        <v>3452.32</v>
      </c>
      <c r="R900" s="5">
        <v>2205.36</v>
      </c>
      <c r="S900" s="5">
        <v>1246.96</v>
      </c>
      <c r="T900" s="7">
        <v>0.361194790749409</v>
      </c>
      <c r="U900" t="s">
        <v>10</v>
      </c>
      <c r="V900" t="s">
        <v>50</v>
      </c>
      <c r="W900" t="s">
        <v>50</v>
      </c>
      <c r="X900" t="s">
        <v>33</v>
      </c>
      <c r="Y900" t="s">
        <v>2615</v>
      </c>
      <c r="Z900" t="s">
        <v>101</v>
      </c>
    </row>
    <row r="901" spans="1:26">
      <c r="A901" t="s">
        <v>2616</v>
      </c>
      <c r="B901" t="s">
        <v>2616</v>
      </c>
      <c r="C901" s="4">
        <v>46070</v>
      </c>
      <c r="D901">
        <v>2026</v>
      </c>
      <c r="E901">
        <v>2</v>
      </c>
      <c r="F901" t="s">
        <v>31</v>
      </c>
      <c r="G901" t="s">
        <v>82</v>
      </c>
      <c r="H901" t="s">
        <v>2617</v>
      </c>
      <c r="I901" t="s">
        <v>213</v>
      </c>
      <c r="J901" t="s">
        <v>240</v>
      </c>
      <c r="K901" t="s">
        <v>275</v>
      </c>
      <c r="L901">
        <v>5</v>
      </c>
      <c r="M901" s="5">
        <v>213.78</v>
      </c>
      <c r="N901" s="6">
        <v>0</v>
      </c>
      <c r="O901" s="5">
        <v>0</v>
      </c>
      <c r="P901" s="5">
        <v>160.34</v>
      </c>
      <c r="Q901" s="5">
        <v>1068.9</v>
      </c>
      <c r="R901" s="5">
        <v>767.1</v>
      </c>
      <c r="S901" s="5">
        <v>301.8</v>
      </c>
      <c r="T901" s="7">
        <v>0.28234633735616</v>
      </c>
      <c r="U901" t="s">
        <v>13</v>
      </c>
      <c r="V901" t="s">
        <v>50</v>
      </c>
      <c r="W901" t="s">
        <v>50</v>
      </c>
      <c r="X901" t="s">
        <v>33</v>
      </c>
      <c r="Y901" t="s">
        <v>2618</v>
      </c>
      <c r="Z901" t="s">
        <v>101</v>
      </c>
    </row>
    <row r="902" spans="1:26">
      <c r="A902" t="s">
        <v>2619</v>
      </c>
      <c r="B902" t="s">
        <v>2619</v>
      </c>
      <c r="C902" s="4">
        <v>45761</v>
      </c>
      <c r="D902">
        <v>2025</v>
      </c>
      <c r="E902">
        <v>4</v>
      </c>
      <c r="F902" t="s">
        <v>20</v>
      </c>
      <c r="G902" t="s">
        <v>74</v>
      </c>
      <c r="H902" t="s">
        <v>1227</v>
      </c>
      <c r="I902" t="s">
        <v>1704</v>
      </c>
      <c r="J902" t="s">
        <v>263</v>
      </c>
      <c r="K902" t="s">
        <v>264</v>
      </c>
      <c r="L902">
        <v>3</v>
      </c>
      <c r="M902" s="5">
        <v>271.51</v>
      </c>
      <c r="N902" s="6">
        <v>0</v>
      </c>
      <c r="O902" s="5">
        <v>0</v>
      </c>
      <c r="P902" s="5">
        <v>122.18</v>
      </c>
      <c r="Q902" s="5">
        <v>814.53</v>
      </c>
      <c r="R902" s="5">
        <v>558.12</v>
      </c>
      <c r="S902" s="5">
        <v>256.41</v>
      </c>
      <c r="T902" s="7">
        <v>0.314795035173658</v>
      </c>
      <c r="U902" t="s">
        <v>12</v>
      </c>
      <c r="V902" t="s">
        <v>50</v>
      </c>
      <c r="W902" t="s">
        <v>50</v>
      </c>
      <c r="X902" t="s">
        <v>34</v>
      </c>
      <c r="Y902" t="s">
        <v>1396</v>
      </c>
      <c r="Z902" t="s">
        <v>101</v>
      </c>
    </row>
    <row r="903" spans="1:26">
      <c r="A903" t="s">
        <v>2620</v>
      </c>
      <c r="B903" t="s">
        <v>2620</v>
      </c>
      <c r="C903" s="4">
        <v>45963</v>
      </c>
      <c r="D903">
        <v>2025</v>
      </c>
      <c r="E903">
        <v>11</v>
      </c>
      <c r="F903" t="s">
        <v>27</v>
      </c>
      <c r="G903" t="s">
        <v>137</v>
      </c>
      <c r="H903" t="s">
        <v>727</v>
      </c>
      <c r="I903" t="s">
        <v>225</v>
      </c>
      <c r="J903" t="s">
        <v>396</v>
      </c>
      <c r="K903" t="s">
        <v>1297</v>
      </c>
      <c r="L903">
        <v>5</v>
      </c>
      <c r="M903" s="5">
        <v>394.37</v>
      </c>
      <c r="N903" s="6">
        <v>15</v>
      </c>
      <c r="O903" s="5">
        <v>295.78</v>
      </c>
      <c r="P903" s="5">
        <v>251.41</v>
      </c>
      <c r="Q903" s="5">
        <v>1927.48</v>
      </c>
      <c r="R903" s="5">
        <v>1517.05</v>
      </c>
      <c r="S903" s="5">
        <v>410.43</v>
      </c>
      <c r="T903" s="7">
        <v>0.212936061593376</v>
      </c>
      <c r="U903" t="s">
        <v>13</v>
      </c>
      <c r="V903" t="s">
        <v>50</v>
      </c>
      <c r="W903" t="s">
        <v>50</v>
      </c>
      <c r="X903" t="s">
        <v>34</v>
      </c>
      <c r="Y903" t="s">
        <v>1483</v>
      </c>
      <c r="Z903" t="s">
        <v>80</v>
      </c>
    </row>
    <row r="904" spans="1:26">
      <c r="A904" t="s">
        <v>2621</v>
      </c>
      <c r="B904" t="s">
        <v>2621</v>
      </c>
      <c r="C904" s="4">
        <v>45967</v>
      </c>
      <c r="D904">
        <v>2025</v>
      </c>
      <c r="E904">
        <v>11</v>
      </c>
      <c r="F904" t="s">
        <v>27</v>
      </c>
      <c r="G904" t="s">
        <v>137</v>
      </c>
      <c r="H904" t="s">
        <v>699</v>
      </c>
      <c r="I904" t="s">
        <v>417</v>
      </c>
      <c r="J904" t="s">
        <v>252</v>
      </c>
      <c r="K904" t="s">
        <v>253</v>
      </c>
      <c r="L904">
        <v>5</v>
      </c>
      <c r="M904" s="5">
        <v>380.12</v>
      </c>
      <c r="N904" s="6">
        <v>20</v>
      </c>
      <c r="O904" s="5">
        <v>380.12</v>
      </c>
      <c r="P904" s="5">
        <v>228.07</v>
      </c>
      <c r="Q904" s="5">
        <v>1520.48</v>
      </c>
      <c r="R904" s="5">
        <v>1549.9</v>
      </c>
      <c r="S904" s="5">
        <v>-29.42</v>
      </c>
      <c r="T904" s="7">
        <v>-0.0193491528990845</v>
      </c>
      <c r="U904" t="s">
        <v>10</v>
      </c>
      <c r="V904" t="s">
        <v>51</v>
      </c>
      <c r="W904" t="s">
        <v>51</v>
      </c>
      <c r="X904" t="s">
        <v>33</v>
      </c>
      <c r="Y904" t="s">
        <v>1284</v>
      </c>
      <c r="Z904" t="s">
        <v>101</v>
      </c>
    </row>
    <row r="905" spans="1:26">
      <c r="A905" t="s">
        <v>2622</v>
      </c>
      <c r="B905" t="s">
        <v>2622</v>
      </c>
      <c r="C905" s="4">
        <v>45830</v>
      </c>
      <c r="D905">
        <v>2025</v>
      </c>
      <c r="E905">
        <v>6</v>
      </c>
      <c r="F905" t="s">
        <v>22</v>
      </c>
      <c r="G905" t="s">
        <v>74</v>
      </c>
      <c r="H905" t="s">
        <v>2178</v>
      </c>
      <c r="I905" t="s">
        <v>213</v>
      </c>
      <c r="J905" t="s">
        <v>1100</v>
      </c>
      <c r="K905" t="s">
        <v>352</v>
      </c>
      <c r="L905">
        <v>5</v>
      </c>
      <c r="M905" s="5">
        <v>191.13</v>
      </c>
      <c r="N905" s="6">
        <v>5</v>
      </c>
      <c r="O905" s="5">
        <v>47.78</v>
      </c>
      <c r="P905" s="5">
        <v>136.18</v>
      </c>
      <c r="Q905" s="5">
        <v>1044.05</v>
      </c>
      <c r="R905" s="5">
        <v>767.1</v>
      </c>
      <c r="S905" s="5">
        <v>276.95</v>
      </c>
      <c r="T905" s="7">
        <v>0.265265073511805</v>
      </c>
      <c r="U905" t="s">
        <v>10</v>
      </c>
      <c r="V905" t="s">
        <v>50</v>
      </c>
      <c r="W905" t="s">
        <v>50</v>
      </c>
      <c r="X905" t="s">
        <v>33</v>
      </c>
      <c r="Y905" t="s">
        <v>2623</v>
      </c>
      <c r="Z905" t="s">
        <v>80</v>
      </c>
    </row>
    <row r="906" spans="1:26">
      <c r="A906" t="s">
        <v>2624</v>
      </c>
      <c r="B906" t="s">
        <v>2624</v>
      </c>
      <c r="C906" s="4">
        <v>45911</v>
      </c>
      <c r="D906">
        <v>2025</v>
      </c>
      <c r="E906">
        <v>9</v>
      </c>
      <c r="F906" t="s">
        <v>25</v>
      </c>
      <c r="G906" t="s">
        <v>89</v>
      </c>
      <c r="H906" t="s">
        <v>2401</v>
      </c>
      <c r="I906" t="s">
        <v>2093</v>
      </c>
      <c r="J906" t="s">
        <v>435</v>
      </c>
      <c r="K906" t="s">
        <v>436</v>
      </c>
      <c r="L906">
        <v>3</v>
      </c>
      <c r="M906" s="5">
        <v>392.79</v>
      </c>
      <c r="N906" s="6">
        <v>10</v>
      </c>
      <c r="O906" s="5">
        <v>117.84</v>
      </c>
      <c r="P906" s="5">
        <v>159.08</v>
      </c>
      <c r="Q906" s="5">
        <v>1060.53</v>
      </c>
      <c r="R906" s="5">
        <v>1044.99</v>
      </c>
      <c r="S906" s="5">
        <v>15.54</v>
      </c>
      <c r="T906" s="7">
        <v>0.014653050833074</v>
      </c>
      <c r="U906" t="s">
        <v>12</v>
      </c>
      <c r="V906" t="s">
        <v>50</v>
      </c>
      <c r="W906" t="s">
        <v>50</v>
      </c>
      <c r="X906" t="s">
        <v>35</v>
      </c>
      <c r="Y906" t="s">
        <v>2625</v>
      </c>
      <c r="Z906" t="s">
        <v>101</v>
      </c>
    </row>
    <row r="907" spans="1:26">
      <c r="A907" t="s">
        <v>2626</v>
      </c>
      <c r="B907" t="s">
        <v>2626</v>
      </c>
      <c r="C907" s="4">
        <v>46004</v>
      </c>
      <c r="D907">
        <v>2025</v>
      </c>
      <c r="E907">
        <v>12</v>
      </c>
      <c r="F907" t="s">
        <v>28</v>
      </c>
      <c r="G907" t="s">
        <v>137</v>
      </c>
      <c r="H907" t="s">
        <v>602</v>
      </c>
      <c r="I907" t="s">
        <v>503</v>
      </c>
      <c r="J907" t="s">
        <v>1150</v>
      </c>
      <c r="K907" t="s">
        <v>2062</v>
      </c>
      <c r="L907">
        <v>5</v>
      </c>
      <c r="M907" s="5">
        <v>80.55</v>
      </c>
      <c r="N907" s="6">
        <v>0</v>
      </c>
      <c r="O907" s="5">
        <v>0</v>
      </c>
      <c r="P907" s="5">
        <v>60.41</v>
      </c>
      <c r="Q907" s="5">
        <v>463.16</v>
      </c>
      <c r="R907" s="5">
        <v>296.85</v>
      </c>
      <c r="S907" s="5">
        <v>166.31</v>
      </c>
      <c r="T907" s="7">
        <v>0.359076776923741</v>
      </c>
      <c r="U907" t="s">
        <v>11</v>
      </c>
      <c r="V907" t="s">
        <v>50</v>
      </c>
      <c r="W907" t="s">
        <v>50</v>
      </c>
      <c r="X907" t="s">
        <v>35</v>
      </c>
      <c r="Y907" t="s">
        <v>1746</v>
      </c>
      <c r="Z907" t="s">
        <v>80</v>
      </c>
    </row>
    <row r="908" spans="1:26">
      <c r="A908" t="s">
        <v>2627</v>
      </c>
      <c r="B908" t="s">
        <v>2627</v>
      </c>
      <c r="C908" s="4">
        <v>45933</v>
      </c>
      <c r="D908">
        <v>2025</v>
      </c>
      <c r="E908">
        <v>10</v>
      </c>
      <c r="F908" t="s">
        <v>26</v>
      </c>
      <c r="G908" t="s">
        <v>137</v>
      </c>
      <c r="H908" t="s">
        <v>443</v>
      </c>
      <c r="I908" t="s">
        <v>97</v>
      </c>
      <c r="J908" t="s">
        <v>477</v>
      </c>
      <c r="K908" t="s">
        <v>478</v>
      </c>
      <c r="L908">
        <v>2</v>
      </c>
      <c r="M908" s="5">
        <v>398.25</v>
      </c>
      <c r="N908" s="6">
        <v>0</v>
      </c>
      <c r="O908" s="5">
        <v>0</v>
      </c>
      <c r="P908" s="5">
        <v>119.48</v>
      </c>
      <c r="Q908" s="5">
        <v>796.5</v>
      </c>
      <c r="R908" s="5">
        <v>473.08</v>
      </c>
      <c r="S908" s="5">
        <v>323.42</v>
      </c>
      <c r="T908" s="7">
        <v>0.406051475204018</v>
      </c>
      <c r="U908" t="s">
        <v>9</v>
      </c>
      <c r="V908" t="s">
        <v>50</v>
      </c>
      <c r="W908" t="s">
        <v>50</v>
      </c>
      <c r="X908" t="s">
        <v>33</v>
      </c>
      <c r="Y908" t="s">
        <v>314</v>
      </c>
      <c r="Z908" t="s">
        <v>101</v>
      </c>
    </row>
    <row r="909" spans="1:26">
      <c r="A909" t="s">
        <v>2628</v>
      </c>
      <c r="B909" t="s">
        <v>2628</v>
      </c>
      <c r="C909" s="4">
        <v>45946</v>
      </c>
      <c r="D909">
        <v>2025</v>
      </c>
      <c r="E909">
        <v>10</v>
      </c>
      <c r="F909" t="s">
        <v>26</v>
      </c>
      <c r="G909" t="s">
        <v>137</v>
      </c>
      <c r="H909" t="s">
        <v>685</v>
      </c>
      <c r="I909" t="s">
        <v>126</v>
      </c>
      <c r="J909" t="s">
        <v>2629</v>
      </c>
      <c r="K909" t="s">
        <v>287</v>
      </c>
      <c r="L909">
        <v>4</v>
      </c>
      <c r="M909" s="5">
        <v>131.03</v>
      </c>
      <c r="N909" s="6">
        <v>0</v>
      </c>
      <c r="O909" s="5">
        <v>0</v>
      </c>
      <c r="P909" s="5">
        <v>78.62</v>
      </c>
      <c r="Q909" s="5">
        <v>524.12</v>
      </c>
      <c r="R909" s="5">
        <v>469.08</v>
      </c>
      <c r="S909" s="5">
        <v>55.04</v>
      </c>
      <c r="T909" s="7">
        <v>0.105014118904068</v>
      </c>
      <c r="U909" t="s">
        <v>9</v>
      </c>
      <c r="V909" t="s">
        <v>50</v>
      </c>
      <c r="W909" t="s">
        <v>50</v>
      </c>
      <c r="X909" t="s">
        <v>33</v>
      </c>
      <c r="Y909" t="s">
        <v>2630</v>
      </c>
      <c r="Z909" t="s">
        <v>101</v>
      </c>
    </row>
    <row r="910" spans="1:26">
      <c r="A910" t="s">
        <v>2631</v>
      </c>
      <c r="B910" t="s">
        <v>2631</v>
      </c>
      <c r="C910" s="4">
        <v>45780</v>
      </c>
      <c r="D910">
        <v>2025</v>
      </c>
      <c r="E910">
        <v>5</v>
      </c>
      <c r="F910" t="s">
        <v>21</v>
      </c>
      <c r="G910" t="s">
        <v>74</v>
      </c>
      <c r="H910" t="s">
        <v>1126</v>
      </c>
      <c r="I910" t="s">
        <v>110</v>
      </c>
      <c r="J910" t="s">
        <v>1657</v>
      </c>
      <c r="K910" t="s">
        <v>1658</v>
      </c>
      <c r="L910">
        <v>3</v>
      </c>
      <c r="M910" s="5">
        <v>383.94</v>
      </c>
      <c r="N910" s="6">
        <v>0</v>
      </c>
      <c r="O910" s="5">
        <v>0</v>
      </c>
      <c r="P910" s="5">
        <v>172.77</v>
      </c>
      <c r="Q910" s="5">
        <v>1324.59</v>
      </c>
      <c r="R910" s="5">
        <v>815.34</v>
      </c>
      <c r="S910" s="5">
        <v>509.25</v>
      </c>
      <c r="T910" s="7">
        <v>0.384458587185469</v>
      </c>
      <c r="U910" t="s">
        <v>9</v>
      </c>
      <c r="V910" t="s">
        <v>50</v>
      </c>
      <c r="W910" t="s">
        <v>50</v>
      </c>
      <c r="X910" t="s">
        <v>34</v>
      </c>
      <c r="Y910" t="s">
        <v>1689</v>
      </c>
      <c r="Z910" t="s">
        <v>80</v>
      </c>
    </row>
    <row r="911" spans="1:26">
      <c r="A911" t="s">
        <v>2632</v>
      </c>
      <c r="B911" t="s">
        <v>2632</v>
      </c>
      <c r="C911" s="4">
        <v>46096</v>
      </c>
      <c r="D911">
        <v>2026</v>
      </c>
      <c r="E911">
        <v>3</v>
      </c>
      <c r="F911" t="s">
        <v>19</v>
      </c>
      <c r="G911" t="s">
        <v>82</v>
      </c>
      <c r="H911" t="s">
        <v>1018</v>
      </c>
      <c r="I911" t="s">
        <v>623</v>
      </c>
      <c r="J911" t="s">
        <v>465</v>
      </c>
      <c r="K911" t="s">
        <v>829</v>
      </c>
      <c r="L911">
        <v>8</v>
      </c>
      <c r="M911" s="5">
        <v>150.79</v>
      </c>
      <c r="N911" s="6">
        <v>0</v>
      </c>
      <c r="O911" s="5">
        <v>0</v>
      </c>
      <c r="P911" s="5">
        <v>180.95</v>
      </c>
      <c r="Q911" s="5">
        <v>1387.27</v>
      </c>
      <c r="R911" s="5">
        <v>855.92</v>
      </c>
      <c r="S911" s="5">
        <v>531.35</v>
      </c>
      <c r="T911" s="7">
        <v>0.383018446301009</v>
      </c>
      <c r="U911" t="s">
        <v>14</v>
      </c>
      <c r="V911" t="s">
        <v>50</v>
      </c>
      <c r="W911" t="s">
        <v>50</v>
      </c>
      <c r="X911" t="s">
        <v>33</v>
      </c>
      <c r="Y911" t="s">
        <v>1358</v>
      </c>
      <c r="Z911" t="s">
        <v>80</v>
      </c>
    </row>
    <row r="912" spans="1:26">
      <c r="A912" t="s">
        <v>2633</v>
      </c>
      <c r="B912" t="s">
        <v>2633</v>
      </c>
      <c r="C912" s="4">
        <v>45801</v>
      </c>
      <c r="D912">
        <v>2025</v>
      </c>
      <c r="E912">
        <v>5</v>
      </c>
      <c r="F912" t="s">
        <v>21</v>
      </c>
      <c r="G912" t="s">
        <v>74</v>
      </c>
      <c r="H912" t="s">
        <v>1506</v>
      </c>
      <c r="I912" t="s">
        <v>986</v>
      </c>
      <c r="J912" t="s">
        <v>820</v>
      </c>
      <c r="K912" t="s">
        <v>1020</v>
      </c>
      <c r="L912">
        <v>7</v>
      </c>
      <c r="M912" s="5">
        <v>346.47</v>
      </c>
      <c r="N912" s="6">
        <v>10</v>
      </c>
      <c r="O912" s="5">
        <v>242.53</v>
      </c>
      <c r="P912" s="5">
        <v>327.41</v>
      </c>
      <c r="Q912" s="5">
        <v>2510.17</v>
      </c>
      <c r="R912" s="5">
        <v>1669.01</v>
      </c>
      <c r="S912" s="5">
        <v>841.16</v>
      </c>
      <c r="T912" s="7">
        <v>0.335100809905305</v>
      </c>
      <c r="U912" t="s">
        <v>14</v>
      </c>
      <c r="V912" t="s">
        <v>50</v>
      </c>
      <c r="W912" t="s">
        <v>50</v>
      </c>
      <c r="X912" t="s">
        <v>34</v>
      </c>
      <c r="Y912" t="s">
        <v>1689</v>
      </c>
      <c r="Z912" t="s">
        <v>80</v>
      </c>
    </row>
    <row r="913" spans="1:26">
      <c r="A913" t="s">
        <v>2634</v>
      </c>
      <c r="B913" t="s">
        <v>2634</v>
      </c>
      <c r="C913" s="4">
        <v>45841</v>
      </c>
      <c r="D913">
        <v>2025</v>
      </c>
      <c r="E913">
        <v>7</v>
      </c>
      <c r="F913" t="s">
        <v>23</v>
      </c>
      <c r="G913" t="s">
        <v>89</v>
      </c>
      <c r="H913" t="s">
        <v>2635</v>
      </c>
      <c r="I913" t="s">
        <v>689</v>
      </c>
      <c r="J913" t="s">
        <v>1928</v>
      </c>
      <c r="K913" t="s">
        <v>2636</v>
      </c>
      <c r="L913">
        <v>4</v>
      </c>
      <c r="M913" s="5">
        <v>136.15</v>
      </c>
      <c r="N913" s="6">
        <v>0</v>
      </c>
      <c r="O913" s="5">
        <v>0</v>
      </c>
      <c r="P913" s="5">
        <v>81.69</v>
      </c>
      <c r="Q913" s="5">
        <v>544.6</v>
      </c>
      <c r="R913" s="5">
        <v>364.72</v>
      </c>
      <c r="S913" s="5">
        <v>179.88</v>
      </c>
      <c r="T913" s="7">
        <v>0.330297466030114</v>
      </c>
      <c r="U913" t="s">
        <v>13</v>
      </c>
      <c r="V913" t="s">
        <v>50</v>
      </c>
      <c r="W913" t="s">
        <v>50</v>
      </c>
      <c r="X913" t="s">
        <v>33</v>
      </c>
      <c r="Y913" t="s">
        <v>967</v>
      </c>
      <c r="Z913" t="s">
        <v>101</v>
      </c>
    </row>
    <row r="914" spans="1:26">
      <c r="A914" t="s">
        <v>2637</v>
      </c>
      <c r="B914" t="s">
        <v>2637</v>
      </c>
      <c r="C914" s="4">
        <v>46101</v>
      </c>
      <c r="D914">
        <v>2026</v>
      </c>
      <c r="E914">
        <v>3</v>
      </c>
      <c r="F914" t="s">
        <v>19</v>
      </c>
      <c r="G914" t="s">
        <v>82</v>
      </c>
      <c r="H914" t="s">
        <v>337</v>
      </c>
      <c r="I914" t="s">
        <v>1190</v>
      </c>
      <c r="J914" t="s">
        <v>1938</v>
      </c>
      <c r="K914" t="s">
        <v>2638</v>
      </c>
      <c r="L914">
        <v>8</v>
      </c>
      <c r="M914" s="5">
        <v>484.89</v>
      </c>
      <c r="N914" s="6">
        <v>0</v>
      </c>
      <c r="O914" s="5">
        <v>0</v>
      </c>
      <c r="P914" s="5">
        <v>581.87</v>
      </c>
      <c r="Q914" s="5">
        <v>3879.12</v>
      </c>
      <c r="R914" s="5">
        <v>2694.4</v>
      </c>
      <c r="S914" s="5">
        <v>1184.72</v>
      </c>
      <c r="T914" s="7">
        <v>0.305409474313762</v>
      </c>
      <c r="U914" t="s">
        <v>13</v>
      </c>
      <c r="V914" t="s">
        <v>50</v>
      </c>
      <c r="W914" t="s">
        <v>50</v>
      </c>
      <c r="X914" t="s">
        <v>33</v>
      </c>
      <c r="Y914" t="s">
        <v>2165</v>
      </c>
      <c r="Z914" t="s">
        <v>101</v>
      </c>
    </row>
    <row r="915" spans="1:26">
      <c r="A915" t="s">
        <v>2639</v>
      </c>
      <c r="B915" t="s">
        <v>2639</v>
      </c>
      <c r="C915" s="4">
        <v>45874</v>
      </c>
      <c r="D915">
        <v>2025</v>
      </c>
      <c r="E915">
        <v>8</v>
      </c>
      <c r="F915" t="s">
        <v>24</v>
      </c>
      <c r="G915" t="s">
        <v>89</v>
      </c>
      <c r="H915" t="s">
        <v>394</v>
      </c>
      <c r="I915" t="s">
        <v>2640</v>
      </c>
      <c r="J915" t="s">
        <v>1072</v>
      </c>
      <c r="K915" t="s">
        <v>1073</v>
      </c>
      <c r="L915">
        <v>8</v>
      </c>
      <c r="M915" s="5">
        <v>277.78</v>
      </c>
      <c r="N915" s="6">
        <v>20</v>
      </c>
      <c r="O915" s="5">
        <v>444.45</v>
      </c>
      <c r="P915" s="5">
        <v>266.67</v>
      </c>
      <c r="Q915" s="5">
        <v>1777.79</v>
      </c>
      <c r="R915" s="5">
        <v>1838.88</v>
      </c>
      <c r="S915" s="5">
        <v>-61.09</v>
      </c>
      <c r="T915" s="7">
        <v>-0.0343628887551398</v>
      </c>
      <c r="U915" t="s">
        <v>12</v>
      </c>
      <c r="V915" t="s">
        <v>50</v>
      </c>
      <c r="W915" t="s">
        <v>50</v>
      </c>
      <c r="X915" t="s">
        <v>33</v>
      </c>
      <c r="Y915" t="s">
        <v>2529</v>
      </c>
      <c r="Z915" t="s">
        <v>101</v>
      </c>
    </row>
    <row r="916" spans="1:26">
      <c r="A916" t="s">
        <v>2641</v>
      </c>
      <c r="B916" t="s">
        <v>2641</v>
      </c>
      <c r="C916" s="4">
        <v>45902</v>
      </c>
      <c r="D916">
        <v>2025</v>
      </c>
      <c r="E916">
        <v>9</v>
      </c>
      <c r="F916" t="s">
        <v>25</v>
      </c>
      <c r="G916" t="s">
        <v>89</v>
      </c>
      <c r="H916" t="s">
        <v>1157</v>
      </c>
      <c r="I916" t="s">
        <v>537</v>
      </c>
      <c r="J916" t="s">
        <v>191</v>
      </c>
      <c r="K916" t="s">
        <v>499</v>
      </c>
      <c r="L916">
        <v>6</v>
      </c>
      <c r="M916" s="5">
        <v>252.1</v>
      </c>
      <c r="N916" s="6">
        <v>0</v>
      </c>
      <c r="O916" s="5">
        <v>0</v>
      </c>
      <c r="P916" s="5">
        <v>226.89</v>
      </c>
      <c r="Q916" s="5">
        <v>1512.6</v>
      </c>
      <c r="R916" s="5">
        <v>1147.2</v>
      </c>
      <c r="S916" s="5">
        <v>365.4</v>
      </c>
      <c r="T916" s="7">
        <v>0.241570805236018</v>
      </c>
      <c r="U916" t="s">
        <v>9</v>
      </c>
      <c r="V916" t="s">
        <v>50</v>
      </c>
      <c r="W916" t="s">
        <v>50</v>
      </c>
      <c r="X916" t="s">
        <v>33</v>
      </c>
      <c r="Y916" t="s">
        <v>304</v>
      </c>
      <c r="Z916" t="s">
        <v>101</v>
      </c>
    </row>
    <row r="917" spans="1:26">
      <c r="A917" t="s">
        <v>2642</v>
      </c>
      <c r="B917" t="s">
        <v>2642</v>
      </c>
      <c r="C917" s="4">
        <v>45976</v>
      </c>
      <c r="D917">
        <v>2025</v>
      </c>
      <c r="E917">
        <v>11</v>
      </c>
      <c r="F917" t="s">
        <v>27</v>
      </c>
      <c r="G917" t="s">
        <v>137</v>
      </c>
      <c r="H917" t="s">
        <v>2500</v>
      </c>
      <c r="I917" t="s">
        <v>493</v>
      </c>
      <c r="J917" t="s">
        <v>1507</v>
      </c>
      <c r="K917" t="s">
        <v>2229</v>
      </c>
      <c r="L917">
        <v>7</v>
      </c>
      <c r="M917" s="5">
        <v>397.53</v>
      </c>
      <c r="N917" s="6">
        <v>0</v>
      </c>
      <c r="O917" s="5">
        <v>0</v>
      </c>
      <c r="P917" s="5">
        <v>417.41</v>
      </c>
      <c r="Q917" s="5">
        <v>3200.12</v>
      </c>
      <c r="R917" s="5">
        <v>2241.33</v>
      </c>
      <c r="S917" s="5">
        <v>958.79</v>
      </c>
      <c r="T917" s="7">
        <v>0.299610639601015</v>
      </c>
      <c r="U917" t="s">
        <v>14</v>
      </c>
      <c r="V917" t="s">
        <v>50</v>
      </c>
      <c r="W917" t="s">
        <v>50</v>
      </c>
      <c r="X917" t="s">
        <v>35</v>
      </c>
      <c r="Y917" t="s">
        <v>1886</v>
      </c>
      <c r="Z917" t="s">
        <v>80</v>
      </c>
    </row>
    <row r="918" spans="1:26">
      <c r="A918" t="s">
        <v>2643</v>
      </c>
      <c r="B918" t="s">
        <v>2643</v>
      </c>
      <c r="C918" s="4">
        <v>45875</v>
      </c>
      <c r="D918">
        <v>2025</v>
      </c>
      <c r="E918">
        <v>8</v>
      </c>
      <c r="F918" t="s">
        <v>24</v>
      </c>
      <c r="G918" t="s">
        <v>89</v>
      </c>
      <c r="H918" t="s">
        <v>2644</v>
      </c>
      <c r="I918" t="s">
        <v>664</v>
      </c>
      <c r="J918" t="s">
        <v>307</v>
      </c>
      <c r="K918" t="s">
        <v>554</v>
      </c>
      <c r="L918">
        <v>1</v>
      </c>
      <c r="M918" s="5">
        <v>327.08</v>
      </c>
      <c r="N918" s="6">
        <v>5</v>
      </c>
      <c r="O918" s="5">
        <v>16.35</v>
      </c>
      <c r="P918" s="5">
        <v>46.61</v>
      </c>
      <c r="Q918" s="5">
        <v>310.73</v>
      </c>
      <c r="R918" s="5">
        <v>274.61</v>
      </c>
      <c r="S918" s="5">
        <v>36.12</v>
      </c>
      <c r="T918" s="7">
        <v>0.116242396936247</v>
      </c>
      <c r="U918" t="s">
        <v>12</v>
      </c>
      <c r="V918" t="s">
        <v>51</v>
      </c>
      <c r="W918" t="s">
        <v>51</v>
      </c>
      <c r="X918" t="s">
        <v>34</v>
      </c>
      <c r="Y918" t="s">
        <v>956</v>
      </c>
      <c r="Z918" t="s">
        <v>101</v>
      </c>
    </row>
    <row r="919" spans="1:26">
      <c r="A919" t="s">
        <v>2645</v>
      </c>
      <c r="B919" t="s">
        <v>2645</v>
      </c>
      <c r="C919" s="4">
        <v>45943</v>
      </c>
      <c r="D919">
        <v>2025</v>
      </c>
      <c r="E919">
        <v>10</v>
      </c>
      <c r="F919" t="s">
        <v>26</v>
      </c>
      <c r="G919" t="s">
        <v>137</v>
      </c>
      <c r="H919" t="s">
        <v>2391</v>
      </c>
      <c r="I919" t="s">
        <v>417</v>
      </c>
      <c r="J919" t="s">
        <v>2646</v>
      </c>
      <c r="K919" t="s">
        <v>2647</v>
      </c>
      <c r="L919">
        <v>1</v>
      </c>
      <c r="M919" s="5">
        <v>380.12</v>
      </c>
      <c r="N919" s="6">
        <v>5</v>
      </c>
      <c r="O919" s="5">
        <v>19.01</v>
      </c>
      <c r="P919" s="5">
        <v>54.17</v>
      </c>
      <c r="Q919" s="5">
        <v>361.11</v>
      </c>
      <c r="R919" s="5">
        <v>309.98</v>
      </c>
      <c r="S919" s="5">
        <v>51.13</v>
      </c>
      <c r="T919" s="7">
        <v>0.141591204896015</v>
      </c>
      <c r="U919" t="s">
        <v>13</v>
      </c>
      <c r="V919" t="s">
        <v>50</v>
      </c>
      <c r="W919" t="s">
        <v>50</v>
      </c>
      <c r="X919" t="s">
        <v>33</v>
      </c>
      <c r="Y919" t="s">
        <v>486</v>
      </c>
      <c r="Z919" t="s">
        <v>101</v>
      </c>
    </row>
    <row r="920" spans="1:26">
      <c r="A920" t="s">
        <v>2648</v>
      </c>
      <c r="B920" t="s">
        <v>2648</v>
      </c>
      <c r="C920" s="4">
        <v>46014</v>
      </c>
      <c r="D920">
        <v>2025</v>
      </c>
      <c r="E920">
        <v>12</v>
      </c>
      <c r="F920" t="s">
        <v>28</v>
      </c>
      <c r="G920" t="s">
        <v>137</v>
      </c>
      <c r="H920" t="s">
        <v>2649</v>
      </c>
      <c r="I920" t="s">
        <v>116</v>
      </c>
      <c r="J920" t="s">
        <v>1405</v>
      </c>
      <c r="K920" t="s">
        <v>1406</v>
      </c>
      <c r="L920">
        <v>2</v>
      </c>
      <c r="M920" s="5">
        <v>172.63</v>
      </c>
      <c r="N920" s="6">
        <v>0</v>
      </c>
      <c r="O920" s="5">
        <v>0</v>
      </c>
      <c r="P920" s="5">
        <v>51.79</v>
      </c>
      <c r="Q920" s="5">
        <v>345.26</v>
      </c>
      <c r="R920" s="5">
        <v>284</v>
      </c>
      <c r="S920" s="5">
        <v>61.26</v>
      </c>
      <c r="T920" s="7">
        <v>0.177431500897874</v>
      </c>
      <c r="U920" t="s">
        <v>11</v>
      </c>
      <c r="V920" t="s">
        <v>50</v>
      </c>
      <c r="W920" t="s">
        <v>50</v>
      </c>
      <c r="X920" t="s">
        <v>33</v>
      </c>
      <c r="Y920" t="s">
        <v>2650</v>
      </c>
      <c r="Z920" t="s">
        <v>101</v>
      </c>
    </row>
    <row r="921" spans="1:26">
      <c r="A921" t="s">
        <v>2651</v>
      </c>
      <c r="B921" t="s">
        <v>1448</v>
      </c>
      <c r="C921" s="4">
        <v>45763</v>
      </c>
      <c r="D921">
        <v>2025</v>
      </c>
      <c r="E921">
        <v>4</v>
      </c>
      <c r="F921" t="s">
        <v>20</v>
      </c>
      <c r="G921" t="s">
        <v>74</v>
      </c>
      <c r="H921" t="s">
        <v>234</v>
      </c>
      <c r="I921" t="s">
        <v>647</v>
      </c>
      <c r="J921" t="s">
        <v>489</v>
      </c>
      <c r="K921" t="s">
        <v>2362</v>
      </c>
      <c r="L921">
        <v>4</v>
      </c>
      <c r="M921" s="5">
        <v>77.92</v>
      </c>
      <c r="N921" s="6">
        <v>0</v>
      </c>
      <c r="O921" s="5">
        <v>0</v>
      </c>
      <c r="P921" s="5">
        <v>46.75</v>
      </c>
      <c r="Q921" s="5">
        <v>311.68</v>
      </c>
      <c r="R921" s="5">
        <v>248.56</v>
      </c>
      <c r="S921" s="5">
        <v>63.12</v>
      </c>
      <c r="T921" s="7">
        <v>0.202515400410678</v>
      </c>
      <c r="U921" t="s">
        <v>14</v>
      </c>
      <c r="V921" t="s">
        <v>50</v>
      </c>
      <c r="W921" t="s">
        <v>50</v>
      </c>
      <c r="X921" t="s">
        <v>33</v>
      </c>
      <c r="Y921" t="s">
        <v>1557</v>
      </c>
      <c r="Z921" t="s">
        <v>101</v>
      </c>
    </row>
    <row r="922" spans="1:26">
      <c r="A922" t="s">
        <v>2652</v>
      </c>
      <c r="B922" t="s">
        <v>2652</v>
      </c>
      <c r="C922" s="4">
        <v>45828</v>
      </c>
      <c r="D922">
        <v>2025</v>
      </c>
      <c r="E922">
        <v>6</v>
      </c>
      <c r="F922" t="s">
        <v>22</v>
      </c>
      <c r="G922" t="s">
        <v>74</v>
      </c>
      <c r="H922" t="s">
        <v>1574</v>
      </c>
      <c r="I922" t="s">
        <v>450</v>
      </c>
      <c r="J922" t="s">
        <v>208</v>
      </c>
      <c r="K922" t="s">
        <v>752</v>
      </c>
      <c r="L922">
        <v>4</v>
      </c>
      <c r="M922" s="5">
        <v>478.68</v>
      </c>
      <c r="N922" s="6">
        <v>0</v>
      </c>
      <c r="O922" s="5">
        <v>0</v>
      </c>
      <c r="P922" s="5">
        <v>287.21</v>
      </c>
      <c r="Q922" s="5">
        <v>1914.72</v>
      </c>
      <c r="R922" s="5">
        <v>1016.2</v>
      </c>
      <c r="S922" s="5">
        <v>898.52</v>
      </c>
      <c r="T922" s="7">
        <v>0.46926965822679</v>
      </c>
      <c r="U922" t="s">
        <v>12</v>
      </c>
      <c r="V922" t="s">
        <v>50</v>
      </c>
      <c r="W922" t="s">
        <v>50</v>
      </c>
      <c r="X922" t="s">
        <v>33</v>
      </c>
      <c r="Y922" t="s">
        <v>204</v>
      </c>
      <c r="Z922" t="s">
        <v>101</v>
      </c>
    </row>
    <row r="923" spans="1:26">
      <c r="A923" t="s">
        <v>2653</v>
      </c>
      <c r="B923" t="s">
        <v>2653</v>
      </c>
      <c r="C923" s="4">
        <v>45781</v>
      </c>
      <c r="D923">
        <v>2025</v>
      </c>
      <c r="E923">
        <v>5</v>
      </c>
      <c r="F923" t="s">
        <v>21</v>
      </c>
      <c r="G923" t="s">
        <v>74</v>
      </c>
      <c r="H923" t="s">
        <v>2654</v>
      </c>
      <c r="I923" t="s">
        <v>947</v>
      </c>
      <c r="J923" t="s">
        <v>1409</v>
      </c>
      <c r="K923" t="s">
        <v>1410</v>
      </c>
      <c r="L923">
        <v>3</v>
      </c>
      <c r="M923" s="5">
        <v>464.41</v>
      </c>
      <c r="N923" s="6">
        <v>0</v>
      </c>
      <c r="O923" s="5">
        <v>0</v>
      </c>
      <c r="P923" s="5">
        <v>208.98</v>
      </c>
      <c r="Q923" s="5">
        <v>1602.21</v>
      </c>
      <c r="R923" s="5">
        <v>1193.07</v>
      </c>
      <c r="S923" s="5">
        <v>409.14</v>
      </c>
      <c r="T923" s="7">
        <v>0.255359784297938</v>
      </c>
      <c r="U923" t="s">
        <v>13</v>
      </c>
      <c r="V923" t="s">
        <v>50</v>
      </c>
      <c r="W923" t="s">
        <v>50</v>
      </c>
      <c r="X923" t="s">
        <v>33</v>
      </c>
      <c r="Y923" t="s">
        <v>2655</v>
      </c>
      <c r="Z923" t="s">
        <v>80</v>
      </c>
    </row>
    <row r="924" spans="1:26">
      <c r="A924" t="s">
        <v>2656</v>
      </c>
      <c r="B924" t="s">
        <v>2656</v>
      </c>
      <c r="C924" s="4">
        <v>46014</v>
      </c>
      <c r="D924">
        <v>2025</v>
      </c>
      <c r="E924">
        <v>12</v>
      </c>
      <c r="F924" t="s">
        <v>28</v>
      </c>
      <c r="G924" t="s">
        <v>137</v>
      </c>
      <c r="H924" t="s">
        <v>2657</v>
      </c>
      <c r="I924" t="s">
        <v>623</v>
      </c>
      <c r="J924" t="s">
        <v>837</v>
      </c>
      <c r="K924" t="s">
        <v>1032</v>
      </c>
      <c r="L924">
        <v>2</v>
      </c>
      <c r="M924" s="5">
        <v>139.21</v>
      </c>
      <c r="N924" s="6">
        <v>15</v>
      </c>
      <c r="O924" s="5">
        <v>41.76</v>
      </c>
      <c r="P924" s="5">
        <v>35.5</v>
      </c>
      <c r="Q924" s="5">
        <v>236.66</v>
      </c>
      <c r="R924" s="5">
        <v>213.98</v>
      </c>
      <c r="S924" s="5">
        <v>22.68</v>
      </c>
      <c r="T924" s="7">
        <v>0.0958336854559283</v>
      </c>
      <c r="U924" t="s">
        <v>12</v>
      </c>
      <c r="V924" t="s">
        <v>50</v>
      </c>
      <c r="W924" t="s">
        <v>50</v>
      </c>
      <c r="X924" t="s">
        <v>33</v>
      </c>
      <c r="Y924" t="s">
        <v>2658</v>
      </c>
      <c r="Z924" t="s">
        <v>101</v>
      </c>
    </row>
    <row r="925" spans="1:26">
      <c r="A925" t="s">
        <v>2659</v>
      </c>
      <c r="B925" t="s">
        <v>2659</v>
      </c>
      <c r="C925" s="4">
        <v>45867</v>
      </c>
      <c r="D925">
        <v>2025</v>
      </c>
      <c r="E925">
        <v>7</v>
      </c>
      <c r="F925" t="s">
        <v>23</v>
      </c>
      <c r="G925" t="s">
        <v>89</v>
      </c>
      <c r="H925" t="s">
        <v>2429</v>
      </c>
      <c r="I925" t="s">
        <v>285</v>
      </c>
      <c r="J925" t="s">
        <v>1485</v>
      </c>
      <c r="K925" t="s">
        <v>287</v>
      </c>
      <c r="L925">
        <v>6</v>
      </c>
      <c r="M925" s="5">
        <v>575.5</v>
      </c>
      <c r="N925" s="6">
        <v>20</v>
      </c>
      <c r="O925" s="5">
        <v>690.6</v>
      </c>
      <c r="P925" s="5">
        <v>414.36</v>
      </c>
      <c r="Q925" s="5">
        <v>2762.4</v>
      </c>
      <c r="R925" s="5">
        <v>2018.4</v>
      </c>
      <c r="S925" s="5">
        <v>744</v>
      </c>
      <c r="T925" s="7">
        <v>0.269331016507385</v>
      </c>
      <c r="U925" t="s">
        <v>10</v>
      </c>
      <c r="V925" t="s">
        <v>50</v>
      </c>
      <c r="W925" t="s">
        <v>50</v>
      </c>
      <c r="X925" t="s">
        <v>35</v>
      </c>
      <c r="Y925" t="s">
        <v>1277</v>
      </c>
      <c r="Z925" t="s">
        <v>101</v>
      </c>
    </row>
    <row r="926" spans="1:26">
      <c r="A926" t="s">
        <v>2660</v>
      </c>
      <c r="B926" t="s">
        <v>2660</v>
      </c>
      <c r="C926" s="4">
        <v>45948</v>
      </c>
      <c r="D926">
        <v>2025</v>
      </c>
      <c r="E926">
        <v>10</v>
      </c>
      <c r="F926" t="s">
        <v>26</v>
      </c>
      <c r="G926" t="s">
        <v>137</v>
      </c>
      <c r="H926" t="s">
        <v>2320</v>
      </c>
      <c r="I926" t="s">
        <v>854</v>
      </c>
      <c r="J926" t="s">
        <v>1014</v>
      </c>
      <c r="K926" t="s">
        <v>1015</v>
      </c>
      <c r="L926">
        <v>3</v>
      </c>
      <c r="M926" s="5">
        <v>530.16</v>
      </c>
      <c r="N926" s="6">
        <v>0</v>
      </c>
      <c r="O926" s="5">
        <v>0</v>
      </c>
      <c r="P926" s="5">
        <v>238.57</v>
      </c>
      <c r="Q926" s="5">
        <v>1829.05</v>
      </c>
      <c r="R926" s="5">
        <v>1137.57</v>
      </c>
      <c r="S926" s="5">
        <v>691.48</v>
      </c>
      <c r="T926" s="7">
        <v>0.378054181132282</v>
      </c>
      <c r="U926" t="s">
        <v>14</v>
      </c>
      <c r="V926" t="s">
        <v>50</v>
      </c>
      <c r="W926" t="s">
        <v>50</v>
      </c>
      <c r="X926" t="s">
        <v>35</v>
      </c>
      <c r="Y926" t="s">
        <v>2197</v>
      </c>
      <c r="Z926" t="s">
        <v>80</v>
      </c>
    </row>
    <row r="927" spans="1:26">
      <c r="A927" t="s">
        <v>2661</v>
      </c>
      <c r="B927" t="s">
        <v>2661</v>
      </c>
      <c r="C927" s="4">
        <v>46092</v>
      </c>
      <c r="D927">
        <v>2026</v>
      </c>
      <c r="E927">
        <v>3</v>
      </c>
      <c r="F927" t="s">
        <v>19</v>
      </c>
      <c r="G927" t="s">
        <v>82</v>
      </c>
      <c r="H927" t="s">
        <v>2662</v>
      </c>
      <c r="I927" t="s">
        <v>190</v>
      </c>
      <c r="J927" t="s">
        <v>39</v>
      </c>
      <c r="K927" t="s">
        <v>1460</v>
      </c>
      <c r="L927">
        <v>2</v>
      </c>
      <c r="M927" s="5">
        <v>437.49</v>
      </c>
      <c r="N927" s="6">
        <v>0</v>
      </c>
      <c r="O927" s="5">
        <v>0</v>
      </c>
      <c r="P927" s="5">
        <v>131.25</v>
      </c>
      <c r="Q927" s="5">
        <v>874.98</v>
      </c>
      <c r="R927" s="5">
        <v>530.88</v>
      </c>
      <c r="S927" s="5">
        <v>344.1</v>
      </c>
      <c r="T927" s="7">
        <v>0.393266131797298</v>
      </c>
      <c r="U927" t="s">
        <v>12</v>
      </c>
      <c r="V927" t="s">
        <v>50</v>
      </c>
      <c r="W927" t="s">
        <v>50</v>
      </c>
      <c r="X927" t="s">
        <v>33</v>
      </c>
      <c r="Y927" t="s">
        <v>1399</v>
      </c>
      <c r="Z927" t="s">
        <v>101</v>
      </c>
    </row>
    <row r="928" spans="1:26">
      <c r="A928" t="s">
        <v>2663</v>
      </c>
      <c r="B928" t="s">
        <v>2663</v>
      </c>
      <c r="C928" s="4">
        <v>45802</v>
      </c>
      <c r="D928">
        <v>2025</v>
      </c>
      <c r="E928">
        <v>5</v>
      </c>
      <c r="F928" t="s">
        <v>21</v>
      </c>
      <c r="G928" t="s">
        <v>74</v>
      </c>
      <c r="H928" t="s">
        <v>2664</v>
      </c>
      <c r="I928" t="s">
        <v>104</v>
      </c>
      <c r="J928" t="s">
        <v>1409</v>
      </c>
      <c r="K928" t="s">
        <v>2665</v>
      </c>
      <c r="L928">
        <v>4</v>
      </c>
      <c r="M928" s="5">
        <v>313.47</v>
      </c>
      <c r="N928" s="6">
        <v>0</v>
      </c>
      <c r="O928" s="5">
        <v>0</v>
      </c>
      <c r="P928" s="5">
        <v>188.08</v>
      </c>
      <c r="Q928" s="5">
        <v>1441.96</v>
      </c>
      <c r="R928" s="5">
        <v>984.48</v>
      </c>
      <c r="S928" s="5">
        <v>457.48</v>
      </c>
      <c r="T928" s="7">
        <v>0.317262614774335</v>
      </c>
      <c r="U928" t="s">
        <v>10</v>
      </c>
      <c r="V928" t="s">
        <v>50</v>
      </c>
      <c r="W928" t="s">
        <v>50</v>
      </c>
      <c r="X928" t="s">
        <v>33</v>
      </c>
      <c r="Y928" t="s">
        <v>129</v>
      </c>
      <c r="Z928" t="s">
        <v>80</v>
      </c>
    </row>
    <row r="929" spans="1:26">
      <c r="A929" t="s">
        <v>2666</v>
      </c>
      <c r="B929" t="s">
        <v>2666</v>
      </c>
      <c r="C929" s="4">
        <v>46016</v>
      </c>
      <c r="D929">
        <v>2025</v>
      </c>
      <c r="E929">
        <v>12</v>
      </c>
      <c r="F929" t="s">
        <v>28</v>
      </c>
      <c r="G929" t="s">
        <v>137</v>
      </c>
      <c r="H929" t="s">
        <v>488</v>
      </c>
      <c r="I929" t="s">
        <v>1575</v>
      </c>
      <c r="J929" t="s">
        <v>1940</v>
      </c>
      <c r="K929" t="s">
        <v>1351</v>
      </c>
      <c r="L929">
        <v>5</v>
      </c>
      <c r="M929" s="5">
        <v>67.04</v>
      </c>
      <c r="N929" s="6">
        <v>0</v>
      </c>
      <c r="O929" s="5">
        <v>0</v>
      </c>
      <c r="P929" s="5">
        <v>50.28</v>
      </c>
      <c r="Q929" s="5">
        <v>335.2</v>
      </c>
      <c r="R929" s="5">
        <v>249.95</v>
      </c>
      <c r="S929" s="5">
        <v>85.25</v>
      </c>
      <c r="T929" s="7">
        <v>0.254325775656325</v>
      </c>
      <c r="U929" t="s">
        <v>9</v>
      </c>
      <c r="V929" t="s">
        <v>50</v>
      </c>
      <c r="W929" t="s">
        <v>50</v>
      </c>
      <c r="X929" t="s">
        <v>33</v>
      </c>
      <c r="Y929" t="s">
        <v>1611</v>
      </c>
      <c r="Z929" t="s">
        <v>101</v>
      </c>
    </row>
    <row r="930" spans="1:26">
      <c r="A930" t="s">
        <v>2667</v>
      </c>
      <c r="B930" t="s">
        <v>2667</v>
      </c>
      <c r="C930" s="4">
        <v>46099</v>
      </c>
      <c r="D930">
        <v>2026</v>
      </c>
      <c r="E930">
        <v>3</v>
      </c>
      <c r="F930" t="s">
        <v>19</v>
      </c>
      <c r="G930" t="s">
        <v>82</v>
      </c>
      <c r="H930" t="s">
        <v>2668</v>
      </c>
      <c r="I930" t="s">
        <v>623</v>
      </c>
      <c r="J930" t="s">
        <v>522</v>
      </c>
      <c r="K930" t="s">
        <v>1869</v>
      </c>
      <c r="L930">
        <v>4</v>
      </c>
      <c r="M930" s="5">
        <v>149.26</v>
      </c>
      <c r="N930" s="6">
        <v>15</v>
      </c>
      <c r="O930" s="5">
        <v>89.56</v>
      </c>
      <c r="P930" s="5">
        <v>76.12</v>
      </c>
      <c r="Q930" s="5">
        <v>507.48</v>
      </c>
      <c r="R930" s="5">
        <v>427.96</v>
      </c>
      <c r="S930" s="5">
        <v>79.52</v>
      </c>
      <c r="T930" s="7">
        <v>0.156695830377552</v>
      </c>
      <c r="U930" t="s">
        <v>9</v>
      </c>
      <c r="V930" t="s">
        <v>50</v>
      </c>
      <c r="W930" t="s">
        <v>50</v>
      </c>
      <c r="X930" t="s">
        <v>33</v>
      </c>
      <c r="Y930" t="s">
        <v>1268</v>
      </c>
      <c r="Z930" t="s">
        <v>101</v>
      </c>
    </row>
    <row r="931" spans="1:26">
      <c r="A931" t="s">
        <v>2669</v>
      </c>
      <c r="B931" t="s">
        <v>2669</v>
      </c>
      <c r="C931" s="4">
        <v>45941</v>
      </c>
      <c r="D931">
        <v>2025</v>
      </c>
      <c r="E931">
        <v>10</v>
      </c>
      <c r="F931" t="s">
        <v>26</v>
      </c>
      <c r="G931" t="s">
        <v>137</v>
      </c>
      <c r="H931" t="s">
        <v>1993</v>
      </c>
      <c r="I931" t="s">
        <v>76</v>
      </c>
      <c r="J931" t="s">
        <v>191</v>
      </c>
      <c r="K931" t="s">
        <v>499</v>
      </c>
      <c r="L931">
        <v>4</v>
      </c>
      <c r="M931" s="5">
        <v>416.08</v>
      </c>
      <c r="N931" s="6">
        <v>15</v>
      </c>
      <c r="O931" s="5">
        <v>249.65</v>
      </c>
      <c r="P931" s="5">
        <v>212.2</v>
      </c>
      <c r="Q931" s="5">
        <v>1626.87</v>
      </c>
      <c r="R931" s="5">
        <v>1278.56</v>
      </c>
      <c r="S931" s="5">
        <v>348.31</v>
      </c>
      <c r="T931" s="7">
        <v>0.214098237720285</v>
      </c>
      <c r="U931" t="s">
        <v>10</v>
      </c>
      <c r="V931" t="s">
        <v>50</v>
      </c>
      <c r="W931" t="s">
        <v>50</v>
      </c>
      <c r="X931" t="s">
        <v>33</v>
      </c>
      <c r="Y931" t="s">
        <v>1352</v>
      </c>
      <c r="Z931" t="s">
        <v>80</v>
      </c>
    </row>
    <row r="932" spans="1:26">
      <c r="A932" t="s">
        <v>2670</v>
      </c>
      <c r="B932" t="s">
        <v>2670</v>
      </c>
      <c r="C932" s="4">
        <v>45996</v>
      </c>
      <c r="D932">
        <v>2025</v>
      </c>
      <c r="E932">
        <v>12</v>
      </c>
      <c r="F932" t="s">
        <v>28</v>
      </c>
      <c r="G932" t="s">
        <v>137</v>
      </c>
      <c r="H932" t="s">
        <v>1057</v>
      </c>
      <c r="I932" t="s">
        <v>1575</v>
      </c>
      <c r="J932" t="s">
        <v>626</v>
      </c>
      <c r="K932" t="s">
        <v>2353</v>
      </c>
      <c r="L932">
        <v>4</v>
      </c>
      <c r="M932" s="5">
        <v>71.93</v>
      </c>
      <c r="N932" s="6">
        <v>20</v>
      </c>
      <c r="O932" s="5">
        <v>57.54</v>
      </c>
      <c r="P932" s="5">
        <v>34.53</v>
      </c>
      <c r="Q932" s="5">
        <v>230.18</v>
      </c>
      <c r="R932" s="5">
        <v>199.96</v>
      </c>
      <c r="S932" s="5">
        <v>30.22</v>
      </c>
      <c r="T932" s="7">
        <v>0.131288556781649</v>
      </c>
      <c r="U932" t="s">
        <v>11</v>
      </c>
      <c r="V932" t="s">
        <v>50</v>
      </c>
      <c r="W932" t="s">
        <v>50</v>
      </c>
      <c r="X932" t="s">
        <v>33</v>
      </c>
      <c r="Y932" t="s">
        <v>2537</v>
      </c>
      <c r="Z932" t="s">
        <v>101</v>
      </c>
    </row>
    <row r="933" spans="1:26">
      <c r="A933" t="s">
        <v>2671</v>
      </c>
      <c r="B933" t="s">
        <v>2671</v>
      </c>
      <c r="C933" s="4">
        <v>46019</v>
      </c>
      <c r="D933">
        <v>2025</v>
      </c>
      <c r="E933">
        <v>12</v>
      </c>
      <c r="F933" t="s">
        <v>28</v>
      </c>
      <c r="G933" t="s">
        <v>137</v>
      </c>
      <c r="H933" t="s">
        <v>1544</v>
      </c>
      <c r="I933" t="s">
        <v>609</v>
      </c>
      <c r="J933" t="s">
        <v>45</v>
      </c>
      <c r="K933" t="s">
        <v>1351</v>
      </c>
      <c r="L933">
        <v>8</v>
      </c>
      <c r="M933" s="5">
        <v>338.77</v>
      </c>
      <c r="N933" s="6">
        <v>0</v>
      </c>
      <c r="O933" s="5">
        <v>0</v>
      </c>
      <c r="P933" s="5">
        <v>406.52</v>
      </c>
      <c r="Q933" s="5">
        <v>3116.68</v>
      </c>
      <c r="R933" s="5">
        <v>2043.92</v>
      </c>
      <c r="S933" s="5">
        <v>1072.76</v>
      </c>
      <c r="T933" s="7">
        <v>0.344199597007072</v>
      </c>
      <c r="U933" t="s">
        <v>10</v>
      </c>
      <c r="V933" t="s">
        <v>50</v>
      </c>
      <c r="W933" t="s">
        <v>50</v>
      </c>
      <c r="X933" t="s">
        <v>34</v>
      </c>
      <c r="Y933" t="s">
        <v>2672</v>
      </c>
      <c r="Z933" t="s">
        <v>80</v>
      </c>
    </row>
    <row r="934" spans="1:26">
      <c r="A934" t="s">
        <v>2673</v>
      </c>
      <c r="B934" t="s">
        <v>2673</v>
      </c>
      <c r="C934" s="4">
        <v>45845</v>
      </c>
      <c r="D934">
        <v>2025</v>
      </c>
      <c r="E934">
        <v>7</v>
      </c>
      <c r="F934" t="s">
        <v>23</v>
      </c>
      <c r="G934" t="s">
        <v>89</v>
      </c>
      <c r="H934" t="s">
        <v>973</v>
      </c>
      <c r="I934" t="s">
        <v>592</v>
      </c>
      <c r="J934" t="s">
        <v>676</v>
      </c>
      <c r="K934" t="s">
        <v>1894</v>
      </c>
      <c r="L934">
        <v>6</v>
      </c>
      <c r="M934" s="5">
        <v>245.61</v>
      </c>
      <c r="N934" s="6">
        <v>20</v>
      </c>
      <c r="O934" s="5">
        <v>294.73</v>
      </c>
      <c r="P934" s="5">
        <v>176.84</v>
      </c>
      <c r="Q934" s="5">
        <v>1178.93</v>
      </c>
      <c r="R934" s="5">
        <v>1093.02</v>
      </c>
      <c r="S934" s="5">
        <v>85.91</v>
      </c>
      <c r="T934" s="7">
        <v>0.0728711628340953</v>
      </c>
      <c r="U934" t="s">
        <v>13</v>
      </c>
      <c r="V934" t="s">
        <v>50</v>
      </c>
      <c r="W934" t="s">
        <v>50</v>
      </c>
      <c r="X934" t="s">
        <v>33</v>
      </c>
      <c r="Y934" t="s">
        <v>2674</v>
      </c>
      <c r="Z934" t="s">
        <v>101</v>
      </c>
    </row>
    <row r="935" spans="1:26">
      <c r="A935" t="s">
        <v>2675</v>
      </c>
      <c r="B935" t="s">
        <v>2675</v>
      </c>
      <c r="C935" s="4">
        <v>46010</v>
      </c>
      <c r="D935">
        <v>2025</v>
      </c>
      <c r="E935">
        <v>12</v>
      </c>
      <c r="F935" t="s">
        <v>28</v>
      </c>
      <c r="G935" t="s">
        <v>137</v>
      </c>
      <c r="H935" t="s">
        <v>273</v>
      </c>
      <c r="I935" t="s">
        <v>1137</v>
      </c>
      <c r="J935" t="s">
        <v>302</v>
      </c>
      <c r="K935" t="s">
        <v>303</v>
      </c>
      <c r="L935">
        <v>2</v>
      </c>
      <c r="M935" s="5">
        <v>405.1</v>
      </c>
      <c r="N935" s="6">
        <v>0</v>
      </c>
      <c r="O935" s="5">
        <v>0</v>
      </c>
      <c r="P935" s="5">
        <v>121.53</v>
      </c>
      <c r="Q935" s="5">
        <v>810.2</v>
      </c>
      <c r="R935" s="5">
        <v>696.82</v>
      </c>
      <c r="S935" s="5">
        <v>113.38</v>
      </c>
      <c r="T935" s="7">
        <v>0.139940755369045</v>
      </c>
      <c r="U935" t="s">
        <v>14</v>
      </c>
      <c r="V935" t="s">
        <v>50</v>
      </c>
      <c r="W935" t="s">
        <v>50</v>
      </c>
      <c r="X935" t="s">
        <v>33</v>
      </c>
      <c r="Y935" t="s">
        <v>1974</v>
      </c>
      <c r="Z935" t="s">
        <v>101</v>
      </c>
    </row>
    <row r="936" spans="1:26">
      <c r="A936" t="s">
        <v>2676</v>
      </c>
      <c r="B936" t="s">
        <v>2676</v>
      </c>
      <c r="C936" s="4">
        <v>45854</v>
      </c>
      <c r="D936">
        <v>2025</v>
      </c>
      <c r="E936">
        <v>7</v>
      </c>
      <c r="F936" t="s">
        <v>23</v>
      </c>
      <c r="G936" t="s">
        <v>89</v>
      </c>
      <c r="H936" t="s">
        <v>2677</v>
      </c>
      <c r="I936" t="s">
        <v>2026</v>
      </c>
      <c r="J936" t="s">
        <v>2678</v>
      </c>
      <c r="K936" t="s">
        <v>2679</v>
      </c>
      <c r="L936">
        <v>3</v>
      </c>
      <c r="M936" s="5">
        <v>352.51</v>
      </c>
      <c r="N936" s="6">
        <v>10</v>
      </c>
      <c r="O936" s="5">
        <v>105.75</v>
      </c>
      <c r="P936" s="5">
        <v>142.77</v>
      </c>
      <c r="Q936" s="5">
        <v>951.78</v>
      </c>
      <c r="R936" s="5">
        <v>780.18</v>
      </c>
      <c r="S936" s="5">
        <v>171.6</v>
      </c>
      <c r="T936" s="7">
        <v>0.180293765365946</v>
      </c>
      <c r="U936" t="s">
        <v>13</v>
      </c>
      <c r="V936" t="s">
        <v>50</v>
      </c>
      <c r="W936" t="s">
        <v>50</v>
      </c>
      <c r="X936" t="s">
        <v>33</v>
      </c>
      <c r="Y936" t="s">
        <v>612</v>
      </c>
      <c r="Z936" t="s">
        <v>101</v>
      </c>
    </row>
    <row r="937" spans="1:26">
      <c r="A937" t="s">
        <v>2680</v>
      </c>
      <c r="B937" t="s">
        <v>2680</v>
      </c>
      <c r="C937" s="4">
        <v>46011</v>
      </c>
      <c r="D937">
        <v>2025</v>
      </c>
      <c r="E937">
        <v>12</v>
      </c>
      <c r="F937" t="s">
        <v>28</v>
      </c>
      <c r="G937" t="s">
        <v>137</v>
      </c>
      <c r="H937" t="s">
        <v>671</v>
      </c>
      <c r="I937" t="s">
        <v>374</v>
      </c>
      <c r="J937" t="s">
        <v>2681</v>
      </c>
      <c r="K937" t="s">
        <v>825</v>
      </c>
      <c r="L937">
        <v>6</v>
      </c>
      <c r="M937" s="5">
        <v>430.34</v>
      </c>
      <c r="N937" s="6">
        <v>0</v>
      </c>
      <c r="O937" s="5">
        <v>0</v>
      </c>
      <c r="P937" s="5">
        <v>387.31</v>
      </c>
      <c r="Q937" s="5">
        <v>2969.35</v>
      </c>
      <c r="R937" s="5">
        <v>2045.4</v>
      </c>
      <c r="S937" s="5">
        <v>923.95</v>
      </c>
      <c r="T937" s="7">
        <v>0.311162375604088</v>
      </c>
      <c r="U937" t="s">
        <v>11</v>
      </c>
      <c r="V937" t="s">
        <v>50</v>
      </c>
      <c r="W937" t="s">
        <v>50</v>
      </c>
      <c r="X937" t="s">
        <v>33</v>
      </c>
      <c r="Y937" t="s">
        <v>2682</v>
      </c>
      <c r="Z937" t="s">
        <v>80</v>
      </c>
    </row>
    <row r="938" spans="1:26">
      <c r="A938" t="s">
        <v>2683</v>
      </c>
      <c r="B938" t="s">
        <v>2683</v>
      </c>
      <c r="C938" s="4">
        <v>45935</v>
      </c>
      <c r="D938">
        <v>2025</v>
      </c>
      <c r="E938">
        <v>10</v>
      </c>
      <c r="F938" t="s">
        <v>26</v>
      </c>
      <c r="G938" t="s">
        <v>137</v>
      </c>
      <c r="H938" t="s">
        <v>635</v>
      </c>
      <c r="I938" t="s">
        <v>498</v>
      </c>
      <c r="J938" t="s">
        <v>1377</v>
      </c>
      <c r="K938" t="s">
        <v>2036</v>
      </c>
      <c r="L938">
        <v>2</v>
      </c>
      <c r="M938" s="5">
        <v>365.92</v>
      </c>
      <c r="N938" s="6">
        <v>5</v>
      </c>
      <c r="O938" s="5">
        <v>36.59</v>
      </c>
      <c r="P938" s="5">
        <v>104.29</v>
      </c>
      <c r="Q938" s="5">
        <v>799.54</v>
      </c>
      <c r="R938" s="5">
        <v>620.76</v>
      </c>
      <c r="S938" s="5">
        <v>178.78</v>
      </c>
      <c r="T938" s="7">
        <v>0.223603572053931</v>
      </c>
      <c r="U938" t="s">
        <v>10</v>
      </c>
      <c r="V938" t="s">
        <v>50</v>
      </c>
      <c r="W938" t="s">
        <v>50</v>
      </c>
      <c r="X938" t="s">
        <v>35</v>
      </c>
      <c r="Y938" t="s">
        <v>2623</v>
      </c>
      <c r="Z938" t="s">
        <v>80</v>
      </c>
    </row>
    <row r="939" spans="1:26">
      <c r="A939" t="s">
        <v>2684</v>
      </c>
      <c r="B939" t="s">
        <v>2684</v>
      </c>
      <c r="C939" s="4">
        <v>45875</v>
      </c>
      <c r="D939">
        <v>2025</v>
      </c>
      <c r="E939">
        <v>8</v>
      </c>
      <c r="F939" t="s">
        <v>24</v>
      </c>
      <c r="G939" t="s">
        <v>89</v>
      </c>
      <c r="H939" t="s">
        <v>671</v>
      </c>
      <c r="I939" t="s">
        <v>937</v>
      </c>
      <c r="J939" t="s">
        <v>246</v>
      </c>
      <c r="K939" t="s">
        <v>736</v>
      </c>
      <c r="L939">
        <v>4</v>
      </c>
      <c r="M939" s="5">
        <v>470.43</v>
      </c>
      <c r="N939" s="6">
        <v>0</v>
      </c>
      <c r="O939" s="5">
        <v>0</v>
      </c>
      <c r="P939" s="5">
        <v>282.26</v>
      </c>
      <c r="Q939" s="5">
        <v>1881.72</v>
      </c>
      <c r="R939" s="5">
        <v>1480.72</v>
      </c>
      <c r="S939" s="5">
        <v>401</v>
      </c>
      <c r="T939" s="7">
        <v>0.213102905852093</v>
      </c>
      <c r="U939" t="s">
        <v>9</v>
      </c>
      <c r="V939" t="s">
        <v>50</v>
      </c>
      <c r="W939" t="s">
        <v>50</v>
      </c>
      <c r="X939" t="s">
        <v>35</v>
      </c>
      <c r="Y939" t="s">
        <v>2685</v>
      </c>
      <c r="Z939" t="s">
        <v>101</v>
      </c>
    </row>
    <row r="940" spans="1:26">
      <c r="A940" t="s">
        <v>2686</v>
      </c>
      <c r="B940" t="s">
        <v>2686</v>
      </c>
      <c r="C940" s="4">
        <v>45822</v>
      </c>
      <c r="D940">
        <v>2025</v>
      </c>
      <c r="E940">
        <v>6</v>
      </c>
      <c r="F940" t="s">
        <v>22</v>
      </c>
      <c r="G940" t="s">
        <v>74</v>
      </c>
      <c r="H940" t="s">
        <v>2687</v>
      </c>
      <c r="I940" t="s">
        <v>225</v>
      </c>
      <c r="J940" t="s">
        <v>1272</v>
      </c>
      <c r="K940" t="s">
        <v>971</v>
      </c>
      <c r="L940">
        <v>2</v>
      </c>
      <c r="M940" s="5">
        <v>355.64</v>
      </c>
      <c r="N940" s="6">
        <v>0</v>
      </c>
      <c r="O940" s="5">
        <v>0</v>
      </c>
      <c r="P940" s="5">
        <v>106.69</v>
      </c>
      <c r="Q940" s="5">
        <v>817.97</v>
      </c>
      <c r="R940" s="5">
        <v>606.82</v>
      </c>
      <c r="S940" s="5">
        <v>211.15</v>
      </c>
      <c r="T940" s="7">
        <v>0.258139051554458</v>
      </c>
      <c r="U940" t="s">
        <v>11</v>
      </c>
      <c r="V940" t="s">
        <v>50</v>
      </c>
      <c r="W940" t="s">
        <v>50</v>
      </c>
      <c r="X940" t="s">
        <v>35</v>
      </c>
      <c r="Y940" t="s">
        <v>2333</v>
      </c>
      <c r="Z940" t="s">
        <v>80</v>
      </c>
    </row>
    <row r="941" spans="1:26">
      <c r="A941" t="s">
        <v>2688</v>
      </c>
      <c r="B941" t="s">
        <v>2688</v>
      </c>
      <c r="C941" s="4">
        <v>45932</v>
      </c>
      <c r="D941">
        <v>2025</v>
      </c>
      <c r="E941">
        <v>10</v>
      </c>
      <c r="F941" t="s">
        <v>26</v>
      </c>
      <c r="G941" t="s">
        <v>137</v>
      </c>
      <c r="H941" t="s">
        <v>2284</v>
      </c>
      <c r="I941" t="s">
        <v>450</v>
      </c>
      <c r="J941" t="s">
        <v>813</v>
      </c>
      <c r="K941" t="s">
        <v>814</v>
      </c>
      <c r="L941">
        <v>1</v>
      </c>
      <c r="M941" s="5">
        <v>440.5</v>
      </c>
      <c r="N941" s="6">
        <v>20</v>
      </c>
      <c r="O941" s="5">
        <v>88.1</v>
      </c>
      <c r="P941" s="5">
        <v>52.86</v>
      </c>
      <c r="Q941" s="5">
        <v>352.4</v>
      </c>
      <c r="R941" s="5">
        <v>254.05</v>
      </c>
      <c r="S941" s="5">
        <v>98.35</v>
      </c>
      <c r="T941" s="7">
        <v>0.279086265607265</v>
      </c>
      <c r="U941" t="s">
        <v>13</v>
      </c>
      <c r="V941" t="s">
        <v>50</v>
      </c>
      <c r="W941" t="s">
        <v>50</v>
      </c>
      <c r="X941" t="s">
        <v>33</v>
      </c>
      <c r="Y941" t="s">
        <v>473</v>
      </c>
      <c r="Z941" t="s">
        <v>101</v>
      </c>
    </row>
    <row r="942" spans="1:26">
      <c r="A942" t="s">
        <v>2689</v>
      </c>
      <c r="B942" t="s">
        <v>2689</v>
      </c>
      <c r="C942" s="4">
        <v>45893</v>
      </c>
      <c r="D942">
        <v>2025</v>
      </c>
      <c r="E942">
        <v>8</v>
      </c>
      <c r="F942" t="s">
        <v>24</v>
      </c>
      <c r="G942" t="s">
        <v>89</v>
      </c>
      <c r="H942" t="s">
        <v>2270</v>
      </c>
      <c r="I942" t="s">
        <v>362</v>
      </c>
      <c r="J942" t="s">
        <v>1224</v>
      </c>
      <c r="K942" t="s">
        <v>2690</v>
      </c>
      <c r="L942">
        <v>6</v>
      </c>
      <c r="M942" s="5">
        <v>378.89</v>
      </c>
      <c r="N942" s="6">
        <v>10</v>
      </c>
      <c r="O942" s="5">
        <v>227.33</v>
      </c>
      <c r="P942" s="5">
        <v>306.9</v>
      </c>
      <c r="Q942" s="5">
        <v>2352.91</v>
      </c>
      <c r="R942" s="5">
        <v>1483.5</v>
      </c>
      <c r="S942" s="5">
        <v>869.41</v>
      </c>
      <c r="T942" s="7">
        <v>0.369504145929934</v>
      </c>
      <c r="U942" t="s">
        <v>12</v>
      </c>
      <c r="V942" t="s">
        <v>51</v>
      </c>
      <c r="W942" t="s">
        <v>51</v>
      </c>
      <c r="X942" t="s">
        <v>34</v>
      </c>
      <c r="Y942" t="s">
        <v>2066</v>
      </c>
      <c r="Z942" t="s">
        <v>80</v>
      </c>
    </row>
    <row r="943" spans="1:26">
      <c r="A943" t="s">
        <v>2691</v>
      </c>
      <c r="B943" t="s">
        <v>2691</v>
      </c>
      <c r="C943" s="4">
        <v>45779</v>
      </c>
      <c r="D943">
        <v>2025</v>
      </c>
      <c r="E943">
        <v>5</v>
      </c>
      <c r="F943" t="s">
        <v>21</v>
      </c>
      <c r="G943" t="s">
        <v>74</v>
      </c>
      <c r="H943" t="s">
        <v>2692</v>
      </c>
      <c r="I943" t="s">
        <v>169</v>
      </c>
      <c r="J943" t="s">
        <v>465</v>
      </c>
      <c r="K943" t="s">
        <v>466</v>
      </c>
      <c r="L943">
        <v>1</v>
      </c>
      <c r="M943" s="5">
        <v>141.11</v>
      </c>
      <c r="N943" s="6">
        <v>20</v>
      </c>
      <c r="O943" s="5">
        <v>28.22</v>
      </c>
      <c r="P943" s="5">
        <v>16.93</v>
      </c>
      <c r="Q943" s="5">
        <v>112.89</v>
      </c>
      <c r="R943" s="5">
        <v>115.91</v>
      </c>
      <c r="S943" s="5">
        <v>-3.02</v>
      </c>
      <c r="T943" s="7">
        <v>-0.026751705199752</v>
      </c>
      <c r="U943" t="s">
        <v>9</v>
      </c>
      <c r="V943" t="s">
        <v>50</v>
      </c>
      <c r="W943" t="s">
        <v>50</v>
      </c>
      <c r="X943" t="s">
        <v>35</v>
      </c>
      <c r="Y943" t="s">
        <v>2693</v>
      </c>
      <c r="Z943" t="s">
        <v>101</v>
      </c>
    </row>
    <row r="944" spans="1:26">
      <c r="A944" t="s">
        <v>2694</v>
      </c>
      <c r="B944" t="s">
        <v>2694</v>
      </c>
      <c r="C944" s="4">
        <v>45915</v>
      </c>
      <c r="D944">
        <v>2025</v>
      </c>
      <c r="E944">
        <v>9</v>
      </c>
      <c r="F944" t="s">
        <v>25</v>
      </c>
      <c r="G944" t="s">
        <v>89</v>
      </c>
      <c r="H944" t="s">
        <v>2695</v>
      </c>
      <c r="I944" t="s">
        <v>151</v>
      </c>
      <c r="J944" t="s">
        <v>226</v>
      </c>
      <c r="K944" t="s">
        <v>227</v>
      </c>
      <c r="L944">
        <v>1</v>
      </c>
      <c r="M944" s="5">
        <v>434.65</v>
      </c>
      <c r="N944" s="6">
        <v>0</v>
      </c>
      <c r="O944" s="5">
        <v>0</v>
      </c>
      <c r="P944" s="5">
        <v>65.2</v>
      </c>
      <c r="Q944" s="5">
        <v>434.65</v>
      </c>
      <c r="R944" s="5">
        <v>351.63</v>
      </c>
      <c r="S944" s="5">
        <v>83.02</v>
      </c>
      <c r="T944" s="7">
        <v>0.191004256298171</v>
      </c>
      <c r="U944" t="s">
        <v>14</v>
      </c>
      <c r="V944" t="s">
        <v>51</v>
      </c>
      <c r="W944" t="s">
        <v>51</v>
      </c>
      <c r="X944" t="s">
        <v>33</v>
      </c>
      <c r="Y944" t="s">
        <v>2696</v>
      </c>
      <c r="Z944" t="s">
        <v>101</v>
      </c>
    </row>
    <row r="945" spans="1:26">
      <c r="A945" t="s">
        <v>2697</v>
      </c>
      <c r="B945" t="s">
        <v>2697</v>
      </c>
      <c r="C945" s="4">
        <v>45878</v>
      </c>
      <c r="D945">
        <v>2025</v>
      </c>
      <c r="E945">
        <v>8</v>
      </c>
      <c r="F945" t="s">
        <v>24</v>
      </c>
      <c r="G945" t="s">
        <v>89</v>
      </c>
      <c r="H945" t="s">
        <v>2698</v>
      </c>
      <c r="I945" t="s">
        <v>986</v>
      </c>
      <c r="J945" t="s">
        <v>504</v>
      </c>
      <c r="K945" t="s">
        <v>505</v>
      </c>
      <c r="L945">
        <v>5</v>
      </c>
      <c r="M945" s="5">
        <v>352.39</v>
      </c>
      <c r="N945" s="6">
        <v>0</v>
      </c>
      <c r="O945" s="5">
        <v>0</v>
      </c>
      <c r="P945" s="5">
        <v>264.29</v>
      </c>
      <c r="Q945" s="5">
        <v>2026.24</v>
      </c>
      <c r="R945" s="5">
        <v>1192.15</v>
      </c>
      <c r="S945" s="5">
        <v>834.09</v>
      </c>
      <c r="T945" s="7">
        <v>0.411644227732154</v>
      </c>
      <c r="U945" t="s">
        <v>9</v>
      </c>
      <c r="V945" t="s">
        <v>50</v>
      </c>
      <c r="W945" t="s">
        <v>50</v>
      </c>
      <c r="X945" t="s">
        <v>33</v>
      </c>
      <c r="Y945" t="s">
        <v>2699</v>
      </c>
      <c r="Z945" t="s">
        <v>80</v>
      </c>
    </row>
    <row r="946" spans="1:26">
      <c r="A946" t="s">
        <v>2700</v>
      </c>
      <c r="B946" t="s">
        <v>2700</v>
      </c>
      <c r="C946" s="4">
        <v>45766</v>
      </c>
      <c r="D946">
        <v>2025</v>
      </c>
      <c r="E946">
        <v>4</v>
      </c>
      <c r="F946" t="s">
        <v>20</v>
      </c>
      <c r="G946" t="s">
        <v>74</v>
      </c>
      <c r="H946" t="s">
        <v>1075</v>
      </c>
      <c r="I946" t="s">
        <v>116</v>
      </c>
      <c r="J946" t="s">
        <v>252</v>
      </c>
      <c r="K946" t="s">
        <v>253</v>
      </c>
      <c r="L946">
        <v>1</v>
      </c>
      <c r="M946" s="5">
        <v>172.63</v>
      </c>
      <c r="N946" s="6">
        <v>15</v>
      </c>
      <c r="O946" s="5">
        <v>25.89</v>
      </c>
      <c r="P946" s="5">
        <v>22.01</v>
      </c>
      <c r="Q946" s="5">
        <v>168.75</v>
      </c>
      <c r="R946" s="5">
        <v>142</v>
      </c>
      <c r="S946" s="5">
        <v>26.75</v>
      </c>
      <c r="T946" s="7">
        <v>0.158518518518519</v>
      </c>
      <c r="U946" t="s">
        <v>13</v>
      </c>
      <c r="V946" t="s">
        <v>50</v>
      </c>
      <c r="W946" t="s">
        <v>50</v>
      </c>
      <c r="X946" t="s">
        <v>33</v>
      </c>
      <c r="Y946" t="s">
        <v>2184</v>
      </c>
      <c r="Z946" t="s">
        <v>80</v>
      </c>
    </row>
    <row r="947" spans="1:26">
      <c r="A947" t="s">
        <v>2701</v>
      </c>
      <c r="B947" t="s">
        <v>2701</v>
      </c>
      <c r="C947" s="4">
        <v>45924</v>
      </c>
      <c r="D947">
        <v>2025</v>
      </c>
      <c r="E947">
        <v>9</v>
      </c>
      <c r="F947" t="s">
        <v>25</v>
      </c>
      <c r="G947" t="s">
        <v>89</v>
      </c>
      <c r="H947" t="s">
        <v>2702</v>
      </c>
      <c r="I947" t="s">
        <v>836</v>
      </c>
      <c r="J947" t="s">
        <v>1009</v>
      </c>
      <c r="K947" t="s">
        <v>1234</v>
      </c>
      <c r="L947">
        <v>2</v>
      </c>
      <c r="M947" s="5">
        <v>171.25</v>
      </c>
      <c r="N947" s="6">
        <v>5</v>
      </c>
      <c r="O947" s="5">
        <v>17.12</v>
      </c>
      <c r="P947" s="5">
        <v>48.81</v>
      </c>
      <c r="Q947" s="5">
        <v>325.38</v>
      </c>
      <c r="R947" s="5">
        <v>248.66</v>
      </c>
      <c r="S947" s="5">
        <v>76.72</v>
      </c>
      <c r="T947" s="7">
        <v>0.235785850390313</v>
      </c>
      <c r="U947" t="s">
        <v>14</v>
      </c>
      <c r="V947" t="s">
        <v>50</v>
      </c>
      <c r="W947" t="s">
        <v>50</v>
      </c>
      <c r="X947" t="s">
        <v>35</v>
      </c>
      <c r="Y947" t="s">
        <v>2197</v>
      </c>
      <c r="Z947" t="s">
        <v>101</v>
      </c>
    </row>
    <row r="948" spans="1:26">
      <c r="A948" t="s">
        <v>2703</v>
      </c>
      <c r="B948" t="s">
        <v>2703</v>
      </c>
      <c r="C948" s="4">
        <v>45865</v>
      </c>
      <c r="D948">
        <v>2025</v>
      </c>
      <c r="E948">
        <v>7</v>
      </c>
      <c r="F948" t="s">
        <v>23</v>
      </c>
      <c r="G948" t="s">
        <v>89</v>
      </c>
      <c r="H948" t="s">
        <v>958</v>
      </c>
      <c r="I948" t="s">
        <v>2093</v>
      </c>
      <c r="J948" t="s">
        <v>1327</v>
      </c>
      <c r="K948" t="s">
        <v>2362</v>
      </c>
      <c r="L948">
        <v>4</v>
      </c>
      <c r="M948" s="5">
        <v>392.79</v>
      </c>
      <c r="N948" s="6">
        <v>0</v>
      </c>
      <c r="O948" s="5">
        <v>0</v>
      </c>
      <c r="P948" s="5">
        <v>235.67</v>
      </c>
      <c r="Q948" s="5">
        <v>1806.83</v>
      </c>
      <c r="R948" s="5">
        <v>1393.32</v>
      </c>
      <c r="S948" s="5">
        <v>413.51</v>
      </c>
      <c r="T948" s="7">
        <v>0.228859383561265</v>
      </c>
      <c r="U948" t="s">
        <v>11</v>
      </c>
      <c r="V948" t="s">
        <v>50</v>
      </c>
      <c r="W948" t="s">
        <v>50</v>
      </c>
      <c r="X948" t="s">
        <v>33</v>
      </c>
      <c r="Y948" t="s">
        <v>2704</v>
      </c>
      <c r="Z948" t="s">
        <v>80</v>
      </c>
    </row>
    <row r="949" spans="1:26">
      <c r="A949" t="s">
        <v>2705</v>
      </c>
      <c r="B949" t="s">
        <v>2705</v>
      </c>
      <c r="C949" s="4">
        <v>46045</v>
      </c>
      <c r="D949">
        <v>2026</v>
      </c>
      <c r="E949">
        <v>1</v>
      </c>
      <c r="F949" t="s">
        <v>30</v>
      </c>
      <c r="G949" t="s">
        <v>82</v>
      </c>
      <c r="H949" t="s">
        <v>1617</v>
      </c>
      <c r="I949" t="s">
        <v>2706</v>
      </c>
      <c r="J949" t="s">
        <v>742</v>
      </c>
      <c r="K949" t="s">
        <v>1517</v>
      </c>
      <c r="L949">
        <v>4</v>
      </c>
      <c r="M949" s="5">
        <v>519.78</v>
      </c>
      <c r="N949" s="6">
        <v>15</v>
      </c>
      <c r="O949" s="5">
        <v>311.87</v>
      </c>
      <c r="P949" s="5">
        <v>265.09</v>
      </c>
      <c r="Q949" s="5">
        <v>1767.25</v>
      </c>
      <c r="R949" s="5">
        <v>1591.68</v>
      </c>
      <c r="S949" s="5">
        <v>175.57</v>
      </c>
      <c r="T949" s="7">
        <v>0.099346442212477</v>
      </c>
      <c r="U949" t="s">
        <v>11</v>
      </c>
      <c r="V949" t="s">
        <v>50</v>
      </c>
      <c r="W949" t="s">
        <v>50</v>
      </c>
      <c r="X949" t="s">
        <v>33</v>
      </c>
      <c r="Y949" t="s">
        <v>1202</v>
      </c>
      <c r="Z949" t="s">
        <v>101</v>
      </c>
    </row>
    <row r="950" spans="1:26">
      <c r="A950" t="s">
        <v>2707</v>
      </c>
      <c r="B950" t="s">
        <v>2707</v>
      </c>
      <c r="C950" s="4">
        <v>46090</v>
      </c>
      <c r="D950">
        <v>2026</v>
      </c>
      <c r="E950">
        <v>3</v>
      </c>
      <c r="F950" t="s">
        <v>19</v>
      </c>
      <c r="G950" t="s">
        <v>82</v>
      </c>
      <c r="H950" t="s">
        <v>2708</v>
      </c>
      <c r="I950" t="s">
        <v>547</v>
      </c>
      <c r="J950" t="s">
        <v>47</v>
      </c>
      <c r="K950" t="s">
        <v>1197</v>
      </c>
      <c r="L950">
        <v>8</v>
      </c>
      <c r="M950" s="5">
        <v>547.63</v>
      </c>
      <c r="N950" s="6">
        <v>0</v>
      </c>
      <c r="O950" s="5">
        <v>0</v>
      </c>
      <c r="P950" s="5">
        <v>657.16</v>
      </c>
      <c r="Q950" s="5">
        <v>4381.04</v>
      </c>
      <c r="R950" s="5">
        <v>3118.4</v>
      </c>
      <c r="S950" s="5">
        <v>1262.64</v>
      </c>
      <c r="T950" s="7">
        <v>0.288205540237021</v>
      </c>
      <c r="U950" t="s">
        <v>13</v>
      </c>
      <c r="V950" t="s">
        <v>50</v>
      </c>
      <c r="W950" t="s">
        <v>50</v>
      </c>
      <c r="X950" t="s">
        <v>33</v>
      </c>
      <c r="Y950" t="s">
        <v>2709</v>
      </c>
      <c r="Z950" t="s">
        <v>101</v>
      </c>
    </row>
    <row r="951" spans="1:26">
      <c r="A951" t="s">
        <v>2710</v>
      </c>
      <c r="B951" t="s">
        <v>2710</v>
      </c>
      <c r="C951" s="4">
        <v>46093</v>
      </c>
      <c r="D951">
        <v>2026</v>
      </c>
      <c r="E951">
        <v>3</v>
      </c>
      <c r="F951" t="s">
        <v>19</v>
      </c>
      <c r="G951" t="s">
        <v>82</v>
      </c>
      <c r="H951" t="s">
        <v>582</v>
      </c>
      <c r="I951" t="s">
        <v>2120</v>
      </c>
      <c r="J951" t="s">
        <v>345</v>
      </c>
      <c r="K951" t="s">
        <v>346</v>
      </c>
      <c r="L951">
        <v>3</v>
      </c>
      <c r="M951" s="5">
        <v>402.67</v>
      </c>
      <c r="N951" s="6">
        <v>10</v>
      </c>
      <c r="O951" s="5">
        <v>120.8</v>
      </c>
      <c r="P951" s="5">
        <v>163.08</v>
      </c>
      <c r="Q951" s="5">
        <v>1087.21</v>
      </c>
      <c r="R951" s="5">
        <v>957.15</v>
      </c>
      <c r="S951" s="5">
        <v>130.06</v>
      </c>
      <c r="T951" s="7">
        <v>0.119627302912961</v>
      </c>
      <c r="U951" t="s">
        <v>9</v>
      </c>
      <c r="V951" t="s">
        <v>50</v>
      </c>
      <c r="W951" t="s">
        <v>50</v>
      </c>
      <c r="X951" t="s">
        <v>34</v>
      </c>
      <c r="Y951" t="s">
        <v>2711</v>
      </c>
      <c r="Z951" t="s">
        <v>101</v>
      </c>
    </row>
    <row r="952" spans="1:26">
      <c r="A952" t="s">
        <v>2712</v>
      </c>
      <c r="B952" t="s">
        <v>2712</v>
      </c>
      <c r="C952" s="4">
        <v>45875</v>
      </c>
      <c r="D952">
        <v>2025</v>
      </c>
      <c r="E952">
        <v>8</v>
      </c>
      <c r="F952" t="s">
        <v>24</v>
      </c>
      <c r="G952" t="s">
        <v>89</v>
      </c>
      <c r="H952" t="s">
        <v>2713</v>
      </c>
      <c r="I952" t="s">
        <v>362</v>
      </c>
      <c r="J952" t="s">
        <v>1347</v>
      </c>
      <c r="K952" t="s">
        <v>1010</v>
      </c>
      <c r="L952">
        <v>5</v>
      </c>
      <c r="M952" s="5">
        <v>368.1</v>
      </c>
      <c r="N952" s="6">
        <v>0</v>
      </c>
      <c r="O952" s="5">
        <v>0</v>
      </c>
      <c r="P952" s="5">
        <v>276.08</v>
      </c>
      <c r="Q952" s="5">
        <v>1840.5</v>
      </c>
      <c r="R952" s="5">
        <v>1236.25</v>
      </c>
      <c r="S952" s="5">
        <v>604.25</v>
      </c>
      <c r="T952" s="7">
        <v>0.328307525129041</v>
      </c>
      <c r="U952" t="s">
        <v>10</v>
      </c>
      <c r="V952" t="s">
        <v>50</v>
      </c>
      <c r="W952" t="s">
        <v>50</v>
      </c>
      <c r="X952" t="s">
        <v>33</v>
      </c>
      <c r="Y952" t="s">
        <v>2714</v>
      </c>
      <c r="Z952" t="s">
        <v>101</v>
      </c>
    </row>
    <row r="953" spans="1:26">
      <c r="A953" t="s">
        <v>2715</v>
      </c>
      <c r="B953" t="s">
        <v>2715</v>
      </c>
      <c r="C953" s="4">
        <v>45881</v>
      </c>
      <c r="D953">
        <v>2025</v>
      </c>
      <c r="E953">
        <v>8</v>
      </c>
      <c r="F953" t="s">
        <v>24</v>
      </c>
      <c r="G953" t="s">
        <v>89</v>
      </c>
      <c r="H953" t="s">
        <v>1983</v>
      </c>
      <c r="I953" t="s">
        <v>151</v>
      </c>
      <c r="J953" t="s">
        <v>1405</v>
      </c>
      <c r="K953" t="s">
        <v>1406</v>
      </c>
      <c r="L953">
        <v>4</v>
      </c>
      <c r="M953" s="5">
        <v>448.1</v>
      </c>
      <c r="N953" s="6">
        <v>0</v>
      </c>
      <c r="O953" s="5">
        <v>0</v>
      </c>
      <c r="P953" s="5">
        <v>268.86</v>
      </c>
      <c r="Q953" s="5">
        <v>1792.4</v>
      </c>
      <c r="R953" s="5">
        <v>1406.52</v>
      </c>
      <c r="S953" s="5">
        <v>385.88</v>
      </c>
      <c r="T953" s="7">
        <v>0.215286766346798</v>
      </c>
      <c r="U953" t="s">
        <v>10</v>
      </c>
      <c r="V953" t="s">
        <v>50</v>
      </c>
      <c r="W953" t="s">
        <v>50</v>
      </c>
      <c r="X953" t="s">
        <v>33</v>
      </c>
      <c r="Y953" t="s">
        <v>2225</v>
      </c>
      <c r="Z953" t="s">
        <v>101</v>
      </c>
    </row>
    <row r="954" spans="1:26">
      <c r="A954" t="s">
        <v>2716</v>
      </c>
      <c r="B954" t="s">
        <v>2716</v>
      </c>
      <c r="C954" s="4">
        <v>45781</v>
      </c>
      <c r="D954">
        <v>2025</v>
      </c>
      <c r="E954">
        <v>5</v>
      </c>
      <c r="F954" t="s">
        <v>21</v>
      </c>
      <c r="G954" t="s">
        <v>74</v>
      </c>
      <c r="H954" t="s">
        <v>2717</v>
      </c>
      <c r="I954" t="s">
        <v>350</v>
      </c>
      <c r="J954" t="s">
        <v>593</v>
      </c>
      <c r="K954" t="s">
        <v>1480</v>
      </c>
      <c r="L954">
        <v>2</v>
      </c>
      <c r="M954" s="5">
        <v>343.56</v>
      </c>
      <c r="N954" s="6">
        <v>0</v>
      </c>
      <c r="O954" s="5">
        <v>0</v>
      </c>
      <c r="P954" s="5">
        <v>103.07</v>
      </c>
      <c r="Q954" s="5">
        <v>790.19</v>
      </c>
      <c r="R954" s="5">
        <v>432.64</v>
      </c>
      <c r="S954" s="5">
        <v>357.55</v>
      </c>
      <c r="T954" s="7">
        <v>0.452486110935345</v>
      </c>
      <c r="U954" t="s">
        <v>11</v>
      </c>
      <c r="V954" t="s">
        <v>50</v>
      </c>
      <c r="W954" t="s">
        <v>50</v>
      </c>
      <c r="X954" t="s">
        <v>35</v>
      </c>
      <c r="Y954" t="s">
        <v>2369</v>
      </c>
      <c r="Z954" t="s">
        <v>80</v>
      </c>
    </row>
    <row r="955" spans="1:26">
      <c r="A955" t="s">
        <v>2718</v>
      </c>
      <c r="B955" t="s">
        <v>2718</v>
      </c>
      <c r="C955" s="4">
        <v>45953</v>
      </c>
      <c r="D955">
        <v>2025</v>
      </c>
      <c r="E955">
        <v>10</v>
      </c>
      <c r="F955" t="s">
        <v>26</v>
      </c>
      <c r="G955" t="s">
        <v>137</v>
      </c>
      <c r="H955" t="s">
        <v>721</v>
      </c>
      <c r="I955" t="s">
        <v>1233</v>
      </c>
      <c r="J955" t="s">
        <v>659</v>
      </c>
      <c r="K955" t="s">
        <v>989</v>
      </c>
      <c r="L955">
        <v>2</v>
      </c>
      <c r="M955" s="5">
        <v>109.69</v>
      </c>
      <c r="N955" s="6">
        <v>20</v>
      </c>
      <c r="O955" s="5">
        <v>43.88</v>
      </c>
      <c r="P955" s="5">
        <v>26.32</v>
      </c>
      <c r="Q955" s="5">
        <v>175.5</v>
      </c>
      <c r="R955" s="5">
        <v>185.92</v>
      </c>
      <c r="S955" s="5">
        <v>-10.42</v>
      </c>
      <c r="T955" s="7">
        <v>-0.0593732193732194</v>
      </c>
      <c r="U955" t="s">
        <v>10</v>
      </c>
      <c r="V955" t="s">
        <v>50</v>
      </c>
      <c r="W955" t="s">
        <v>50</v>
      </c>
      <c r="X955" t="s">
        <v>33</v>
      </c>
      <c r="Y955" t="s">
        <v>2456</v>
      </c>
      <c r="Z955" t="s">
        <v>101</v>
      </c>
    </row>
    <row r="956" spans="1:26">
      <c r="A956" t="s">
        <v>2719</v>
      </c>
      <c r="B956" t="s">
        <v>2719</v>
      </c>
      <c r="C956" s="4">
        <v>45759</v>
      </c>
      <c r="D956">
        <v>2025</v>
      </c>
      <c r="E956">
        <v>4</v>
      </c>
      <c r="F956" t="s">
        <v>20</v>
      </c>
      <c r="G956" t="s">
        <v>74</v>
      </c>
      <c r="H956" t="s">
        <v>2186</v>
      </c>
      <c r="I956" t="s">
        <v>819</v>
      </c>
      <c r="J956" t="s">
        <v>146</v>
      </c>
      <c r="K956" t="s">
        <v>147</v>
      </c>
      <c r="L956">
        <v>5</v>
      </c>
      <c r="M956" s="5">
        <v>86.11</v>
      </c>
      <c r="N956" s="6">
        <v>15</v>
      </c>
      <c r="O956" s="5">
        <v>64.58</v>
      </c>
      <c r="P956" s="5">
        <v>54.9</v>
      </c>
      <c r="Q956" s="5">
        <v>420.87</v>
      </c>
      <c r="R956" s="5">
        <v>340.85</v>
      </c>
      <c r="S956" s="5">
        <v>80.02</v>
      </c>
      <c r="T956" s="7">
        <v>0.190129968873999</v>
      </c>
      <c r="U956" t="s">
        <v>14</v>
      </c>
      <c r="V956" t="s">
        <v>50</v>
      </c>
      <c r="W956" t="s">
        <v>50</v>
      </c>
      <c r="X956" t="s">
        <v>33</v>
      </c>
      <c r="Y956" t="s">
        <v>2720</v>
      </c>
      <c r="Z956" t="s">
        <v>80</v>
      </c>
    </row>
    <row r="957" spans="1:26">
      <c r="A957" t="s">
        <v>2721</v>
      </c>
      <c r="B957" t="s">
        <v>2721</v>
      </c>
      <c r="C957" s="4">
        <v>45814</v>
      </c>
      <c r="D957">
        <v>2025</v>
      </c>
      <c r="E957">
        <v>6</v>
      </c>
      <c r="F957" t="s">
        <v>22</v>
      </c>
      <c r="G957" t="s">
        <v>74</v>
      </c>
      <c r="H957" t="s">
        <v>2722</v>
      </c>
      <c r="I957" t="s">
        <v>332</v>
      </c>
      <c r="J957" t="s">
        <v>47</v>
      </c>
      <c r="K957" t="s">
        <v>1197</v>
      </c>
      <c r="L957">
        <v>1</v>
      </c>
      <c r="M957" s="5">
        <v>73.83</v>
      </c>
      <c r="N957" s="6">
        <v>5</v>
      </c>
      <c r="O957" s="5">
        <v>3.69</v>
      </c>
      <c r="P957" s="5">
        <v>10.52</v>
      </c>
      <c r="Q957" s="5">
        <v>70.14</v>
      </c>
      <c r="R957" s="5">
        <v>54.32</v>
      </c>
      <c r="S957" s="5">
        <v>15.82</v>
      </c>
      <c r="T957" s="7">
        <v>0.225548902195609</v>
      </c>
      <c r="U957" t="s">
        <v>11</v>
      </c>
      <c r="V957" t="s">
        <v>50</v>
      </c>
      <c r="W957" t="s">
        <v>50</v>
      </c>
      <c r="X957" t="s">
        <v>33</v>
      </c>
      <c r="Y957" t="s">
        <v>2462</v>
      </c>
      <c r="Z957" t="s">
        <v>101</v>
      </c>
    </row>
    <row r="958" spans="1:26">
      <c r="A958" t="s">
        <v>2723</v>
      </c>
      <c r="B958" t="s">
        <v>2723</v>
      </c>
      <c r="C958" s="4">
        <v>45781</v>
      </c>
      <c r="D958">
        <v>2025</v>
      </c>
      <c r="E958">
        <v>5</v>
      </c>
      <c r="F958" t="s">
        <v>21</v>
      </c>
      <c r="G958" t="s">
        <v>74</v>
      </c>
      <c r="H958" t="s">
        <v>179</v>
      </c>
      <c r="I958" t="s">
        <v>547</v>
      </c>
      <c r="J958" t="s">
        <v>351</v>
      </c>
      <c r="K958" t="s">
        <v>1286</v>
      </c>
      <c r="L958">
        <v>4</v>
      </c>
      <c r="M958" s="5">
        <v>521.69</v>
      </c>
      <c r="N958" s="6">
        <v>5</v>
      </c>
      <c r="O958" s="5">
        <v>104.34</v>
      </c>
      <c r="P958" s="5">
        <v>297.36</v>
      </c>
      <c r="Q958" s="5">
        <v>2279.78</v>
      </c>
      <c r="R958" s="5">
        <v>1559.2</v>
      </c>
      <c r="S958" s="5">
        <v>720.58</v>
      </c>
      <c r="T958" s="7">
        <v>0.316074358052093</v>
      </c>
      <c r="U958" t="s">
        <v>13</v>
      </c>
      <c r="V958" t="s">
        <v>50</v>
      </c>
      <c r="W958" t="s">
        <v>50</v>
      </c>
      <c r="X958" t="s">
        <v>33</v>
      </c>
      <c r="Y958" t="s">
        <v>2724</v>
      </c>
      <c r="Z958" t="s">
        <v>80</v>
      </c>
    </row>
    <row r="959" spans="1:26">
      <c r="A959" t="s">
        <v>2725</v>
      </c>
      <c r="B959" t="s">
        <v>2725</v>
      </c>
      <c r="C959" s="4">
        <v>45802</v>
      </c>
      <c r="D959">
        <v>2025</v>
      </c>
      <c r="E959">
        <v>5</v>
      </c>
      <c r="F959" t="s">
        <v>21</v>
      </c>
      <c r="G959" t="s">
        <v>74</v>
      </c>
      <c r="H959" t="s">
        <v>2407</v>
      </c>
      <c r="I959" t="s">
        <v>301</v>
      </c>
      <c r="J959" t="s">
        <v>1201</v>
      </c>
      <c r="K959" t="s">
        <v>515</v>
      </c>
      <c r="L959">
        <v>3</v>
      </c>
      <c r="M959" s="5">
        <v>219.39</v>
      </c>
      <c r="N959" s="6">
        <v>15</v>
      </c>
      <c r="O959" s="5">
        <v>98.73</v>
      </c>
      <c r="P959" s="5">
        <v>83.92</v>
      </c>
      <c r="Q959" s="5">
        <v>643.36</v>
      </c>
      <c r="R959" s="5">
        <v>586.32</v>
      </c>
      <c r="S959" s="5">
        <v>57.04</v>
      </c>
      <c r="T959" s="7">
        <v>0.0886595374285004</v>
      </c>
      <c r="U959" t="s">
        <v>9</v>
      </c>
      <c r="V959" t="s">
        <v>50</v>
      </c>
      <c r="W959" t="s">
        <v>50</v>
      </c>
      <c r="X959" t="s">
        <v>34</v>
      </c>
      <c r="Y959" t="s">
        <v>1538</v>
      </c>
      <c r="Z959" t="s">
        <v>80</v>
      </c>
    </row>
    <row r="960" spans="1:26">
      <c r="A960" t="s">
        <v>2726</v>
      </c>
      <c r="B960" t="s">
        <v>2726</v>
      </c>
      <c r="C960" s="4">
        <v>45882</v>
      </c>
      <c r="D960">
        <v>2025</v>
      </c>
      <c r="E960">
        <v>8</v>
      </c>
      <c r="F960" t="s">
        <v>24</v>
      </c>
      <c r="G960" t="s">
        <v>89</v>
      </c>
      <c r="H960" t="s">
        <v>2727</v>
      </c>
      <c r="I960" t="s">
        <v>986</v>
      </c>
      <c r="J960" t="s">
        <v>1507</v>
      </c>
      <c r="K960" t="s">
        <v>2291</v>
      </c>
      <c r="L960">
        <v>2</v>
      </c>
      <c r="M960" s="5">
        <v>333.54</v>
      </c>
      <c r="N960" s="6">
        <v>0</v>
      </c>
      <c r="O960" s="5">
        <v>0</v>
      </c>
      <c r="P960" s="5">
        <v>100.06</v>
      </c>
      <c r="Q960" s="5">
        <v>667.08</v>
      </c>
      <c r="R960" s="5">
        <v>476.86</v>
      </c>
      <c r="S960" s="5">
        <v>190.22</v>
      </c>
      <c r="T960" s="7">
        <v>0.285153205012892</v>
      </c>
      <c r="U960" t="s">
        <v>13</v>
      </c>
      <c r="V960" t="s">
        <v>50</v>
      </c>
      <c r="W960" t="s">
        <v>50</v>
      </c>
      <c r="X960" t="s">
        <v>35</v>
      </c>
      <c r="Y960" t="s">
        <v>2494</v>
      </c>
      <c r="Z960" t="s">
        <v>101</v>
      </c>
    </row>
    <row r="961" spans="1:26">
      <c r="A961" t="s">
        <v>2728</v>
      </c>
      <c r="B961" t="s">
        <v>2728</v>
      </c>
      <c r="C961" s="4">
        <v>45860</v>
      </c>
      <c r="D961">
        <v>2025</v>
      </c>
      <c r="E961">
        <v>7</v>
      </c>
      <c r="F961" t="s">
        <v>23</v>
      </c>
      <c r="G961" t="s">
        <v>89</v>
      </c>
      <c r="H961" t="s">
        <v>387</v>
      </c>
      <c r="I961" t="s">
        <v>132</v>
      </c>
      <c r="J961" t="s">
        <v>998</v>
      </c>
      <c r="K961" t="s">
        <v>999</v>
      </c>
      <c r="L961">
        <v>4</v>
      </c>
      <c r="M961" s="5">
        <v>260.93</v>
      </c>
      <c r="N961" s="6">
        <v>0</v>
      </c>
      <c r="O961" s="5">
        <v>0</v>
      </c>
      <c r="P961" s="5">
        <v>156.56</v>
      </c>
      <c r="Q961" s="5">
        <v>1043.72</v>
      </c>
      <c r="R961" s="5">
        <v>776.24</v>
      </c>
      <c r="S961" s="5">
        <v>267.48</v>
      </c>
      <c r="T961" s="7">
        <v>0.256275629479171</v>
      </c>
      <c r="U961" t="s">
        <v>13</v>
      </c>
      <c r="V961" t="s">
        <v>50</v>
      </c>
      <c r="W961" t="s">
        <v>50</v>
      </c>
      <c r="X961" t="s">
        <v>34</v>
      </c>
      <c r="Y961" t="s">
        <v>2437</v>
      </c>
      <c r="Z961" t="s">
        <v>101</v>
      </c>
    </row>
    <row r="962" spans="1:26">
      <c r="A962" t="s">
        <v>2729</v>
      </c>
      <c r="B962" t="s">
        <v>2729</v>
      </c>
      <c r="C962" s="4">
        <v>45906</v>
      </c>
      <c r="D962">
        <v>2025</v>
      </c>
      <c r="E962">
        <v>9</v>
      </c>
      <c r="F962" t="s">
        <v>25</v>
      </c>
      <c r="G962" t="s">
        <v>89</v>
      </c>
      <c r="H962" t="s">
        <v>1267</v>
      </c>
      <c r="I962" t="s">
        <v>1742</v>
      </c>
      <c r="J962" t="s">
        <v>471</v>
      </c>
      <c r="K962" t="s">
        <v>766</v>
      </c>
      <c r="L962">
        <v>8</v>
      </c>
      <c r="M962" s="5">
        <v>298.18</v>
      </c>
      <c r="N962" s="6">
        <v>10</v>
      </c>
      <c r="O962" s="5">
        <v>238.54</v>
      </c>
      <c r="P962" s="5">
        <v>322.04</v>
      </c>
      <c r="Q962" s="5">
        <v>2468.93</v>
      </c>
      <c r="R962" s="5">
        <v>1931.52</v>
      </c>
      <c r="S962" s="5">
        <v>537.41</v>
      </c>
      <c r="T962" s="7">
        <v>0.217669192727214</v>
      </c>
      <c r="U962" t="s">
        <v>11</v>
      </c>
      <c r="V962" t="s">
        <v>50</v>
      </c>
      <c r="W962" t="s">
        <v>50</v>
      </c>
      <c r="X962" t="s">
        <v>33</v>
      </c>
      <c r="Y962" t="s">
        <v>1119</v>
      </c>
      <c r="Z962" t="s">
        <v>80</v>
      </c>
    </row>
    <row r="963" spans="1:26">
      <c r="A963" t="s">
        <v>2730</v>
      </c>
      <c r="B963" t="s">
        <v>2730</v>
      </c>
      <c r="C963" s="4">
        <v>45928</v>
      </c>
      <c r="D963">
        <v>2025</v>
      </c>
      <c r="E963">
        <v>9</v>
      </c>
      <c r="F963" t="s">
        <v>25</v>
      </c>
      <c r="G963" t="s">
        <v>89</v>
      </c>
      <c r="H963" t="s">
        <v>2731</v>
      </c>
      <c r="I963" t="s">
        <v>787</v>
      </c>
      <c r="J963" t="s">
        <v>676</v>
      </c>
      <c r="K963" t="s">
        <v>1894</v>
      </c>
      <c r="L963">
        <v>3</v>
      </c>
      <c r="M963" s="5">
        <v>168.36</v>
      </c>
      <c r="N963" s="6">
        <v>0</v>
      </c>
      <c r="O963" s="5">
        <v>0</v>
      </c>
      <c r="P963" s="5">
        <v>75.76</v>
      </c>
      <c r="Q963" s="5">
        <v>580.84</v>
      </c>
      <c r="R963" s="5">
        <v>306.69</v>
      </c>
      <c r="S963" s="5">
        <v>274.15</v>
      </c>
      <c r="T963" s="7">
        <v>0.471988843743544</v>
      </c>
      <c r="U963" t="s">
        <v>9</v>
      </c>
      <c r="V963" t="s">
        <v>50</v>
      </c>
      <c r="W963" t="s">
        <v>50</v>
      </c>
      <c r="X963" t="s">
        <v>33</v>
      </c>
      <c r="Y963" t="s">
        <v>2378</v>
      </c>
      <c r="Z963" t="s">
        <v>80</v>
      </c>
    </row>
    <row r="964" spans="1:26">
      <c r="A964" t="s">
        <v>2732</v>
      </c>
      <c r="B964" t="s">
        <v>2732</v>
      </c>
      <c r="C964" s="4">
        <v>45836</v>
      </c>
      <c r="D964">
        <v>2025</v>
      </c>
      <c r="E964">
        <v>6</v>
      </c>
      <c r="F964" t="s">
        <v>22</v>
      </c>
      <c r="G964" t="s">
        <v>74</v>
      </c>
      <c r="H964" t="s">
        <v>1110</v>
      </c>
      <c r="I964" t="s">
        <v>279</v>
      </c>
      <c r="J964" t="s">
        <v>746</v>
      </c>
      <c r="K964" t="s">
        <v>1664</v>
      </c>
      <c r="L964">
        <v>6</v>
      </c>
      <c r="M964" s="5">
        <v>449.26</v>
      </c>
      <c r="N964" s="6">
        <v>10</v>
      </c>
      <c r="O964" s="5">
        <v>269.56</v>
      </c>
      <c r="P964" s="5">
        <v>363.9</v>
      </c>
      <c r="Q964" s="5">
        <v>2789.9</v>
      </c>
      <c r="R964" s="5">
        <v>1853.64</v>
      </c>
      <c r="S964" s="5">
        <v>936.26</v>
      </c>
      <c r="T964" s="7">
        <v>0.335589089214667</v>
      </c>
      <c r="U964" t="s">
        <v>13</v>
      </c>
      <c r="V964" t="s">
        <v>50</v>
      </c>
      <c r="W964" t="s">
        <v>50</v>
      </c>
      <c r="X964" t="s">
        <v>33</v>
      </c>
      <c r="Y964" t="s">
        <v>1697</v>
      </c>
      <c r="Z964" t="s">
        <v>80</v>
      </c>
    </row>
    <row r="965" spans="1:26">
      <c r="A965" t="s">
        <v>2733</v>
      </c>
      <c r="B965" t="s">
        <v>2733</v>
      </c>
      <c r="C965" s="4">
        <v>45948</v>
      </c>
      <c r="D965">
        <v>2025</v>
      </c>
      <c r="E965">
        <v>10</v>
      </c>
      <c r="F965" t="s">
        <v>26</v>
      </c>
      <c r="G965" t="s">
        <v>137</v>
      </c>
      <c r="H965" t="s">
        <v>1613</v>
      </c>
      <c r="I965" t="s">
        <v>235</v>
      </c>
      <c r="J965" t="s">
        <v>105</v>
      </c>
      <c r="K965" t="s">
        <v>1348</v>
      </c>
      <c r="L965">
        <v>4</v>
      </c>
      <c r="M965" s="5">
        <v>240.52</v>
      </c>
      <c r="N965" s="6">
        <v>0</v>
      </c>
      <c r="O965" s="5">
        <v>0</v>
      </c>
      <c r="P965" s="5">
        <v>144.31</v>
      </c>
      <c r="Q965" s="5">
        <v>1106.39</v>
      </c>
      <c r="R965" s="5">
        <v>708.12</v>
      </c>
      <c r="S965" s="5">
        <v>398.27</v>
      </c>
      <c r="T965" s="7">
        <v>0.359972523251295</v>
      </c>
      <c r="U965" t="s">
        <v>14</v>
      </c>
      <c r="V965" t="s">
        <v>50</v>
      </c>
      <c r="W965" t="s">
        <v>50</v>
      </c>
      <c r="X965" t="s">
        <v>33</v>
      </c>
      <c r="Y965" t="s">
        <v>2450</v>
      </c>
      <c r="Z965" t="s">
        <v>80</v>
      </c>
    </row>
    <row r="966" spans="1:26">
      <c r="A966" t="s">
        <v>2734</v>
      </c>
      <c r="B966" t="s">
        <v>2734</v>
      </c>
      <c r="C966" s="4">
        <v>45757</v>
      </c>
      <c r="D966">
        <v>2025</v>
      </c>
      <c r="E966">
        <v>4</v>
      </c>
      <c r="F966" t="s">
        <v>20</v>
      </c>
      <c r="G966" t="s">
        <v>74</v>
      </c>
      <c r="H966" t="s">
        <v>1936</v>
      </c>
      <c r="I966" t="s">
        <v>562</v>
      </c>
      <c r="J966" t="s">
        <v>919</v>
      </c>
      <c r="K966" t="s">
        <v>920</v>
      </c>
      <c r="L966">
        <v>6</v>
      </c>
      <c r="M966" s="5">
        <v>434.9</v>
      </c>
      <c r="N966" s="6">
        <v>5</v>
      </c>
      <c r="O966" s="5">
        <v>130.47</v>
      </c>
      <c r="P966" s="5">
        <v>371.84</v>
      </c>
      <c r="Q966" s="5">
        <v>2478.93</v>
      </c>
      <c r="R966" s="5">
        <v>2047.44</v>
      </c>
      <c r="S966" s="5">
        <v>431.49</v>
      </c>
      <c r="T966" s="7">
        <v>0.174063002989193</v>
      </c>
      <c r="U966" t="s">
        <v>13</v>
      </c>
      <c r="V966" t="s">
        <v>50</v>
      </c>
      <c r="W966" t="s">
        <v>50</v>
      </c>
      <c r="X966" t="s">
        <v>35</v>
      </c>
      <c r="Y966" t="s">
        <v>1444</v>
      </c>
      <c r="Z966" t="s">
        <v>101</v>
      </c>
    </row>
    <row r="967" spans="1:26">
      <c r="A967" t="s">
        <v>2735</v>
      </c>
      <c r="B967" t="s">
        <v>2735</v>
      </c>
      <c r="C967" s="4">
        <v>46053</v>
      </c>
      <c r="D967">
        <v>2026</v>
      </c>
      <c r="E967">
        <v>1</v>
      </c>
      <c r="F967" t="s">
        <v>30</v>
      </c>
      <c r="G967" t="s">
        <v>82</v>
      </c>
      <c r="H967" t="s">
        <v>721</v>
      </c>
      <c r="I967" t="s">
        <v>1686</v>
      </c>
      <c r="J967" t="s">
        <v>418</v>
      </c>
      <c r="K967" t="s">
        <v>419</v>
      </c>
      <c r="L967">
        <v>1</v>
      </c>
      <c r="M967" s="5">
        <v>232.2</v>
      </c>
      <c r="N967" s="6">
        <v>0</v>
      </c>
      <c r="O967" s="5">
        <v>0</v>
      </c>
      <c r="P967" s="5">
        <v>34.83</v>
      </c>
      <c r="Q967" s="5">
        <v>267.03</v>
      </c>
      <c r="R967" s="5">
        <v>160.98</v>
      </c>
      <c r="S967" s="5">
        <v>106.05</v>
      </c>
      <c r="T967" s="7">
        <v>0.397146388046287</v>
      </c>
      <c r="U967" t="s">
        <v>11</v>
      </c>
      <c r="V967" t="s">
        <v>50</v>
      </c>
      <c r="W967" t="s">
        <v>50</v>
      </c>
      <c r="X967" t="s">
        <v>33</v>
      </c>
      <c r="Y967" t="s">
        <v>1661</v>
      </c>
      <c r="Z967" t="s">
        <v>80</v>
      </c>
    </row>
    <row r="968" spans="1:26">
      <c r="A968" t="s">
        <v>2736</v>
      </c>
      <c r="B968" t="s">
        <v>2736</v>
      </c>
      <c r="C968" s="4">
        <v>45982</v>
      </c>
      <c r="D968">
        <v>2025</v>
      </c>
      <c r="E968">
        <v>11</v>
      </c>
      <c r="F968" t="s">
        <v>27</v>
      </c>
      <c r="G968" t="s">
        <v>137</v>
      </c>
      <c r="H968" t="s">
        <v>977</v>
      </c>
      <c r="I968" t="s">
        <v>350</v>
      </c>
      <c r="J968" t="s">
        <v>1219</v>
      </c>
      <c r="K968" t="s">
        <v>2647</v>
      </c>
      <c r="L968">
        <v>3</v>
      </c>
      <c r="M968" s="5">
        <v>343.56</v>
      </c>
      <c r="N968" s="6">
        <v>15</v>
      </c>
      <c r="O968" s="5">
        <v>154.6</v>
      </c>
      <c r="P968" s="5">
        <v>131.41</v>
      </c>
      <c r="Q968" s="5">
        <v>876.08</v>
      </c>
      <c r="R968" s="5">
        <v>648.96</v>
      </c>
      <c r="S968" s="5">
        <v>227.12</v>
      </c>
      <c r="T968" s="7">
        <v>0.259245730983472</v>
      </c>
      <c r="U968" t="s">
        <v>12</v>
      </c>
      <c r="V968" t="s">
        <v>50</v>
      </c>
      <c r="W968" t="s">
        <v>50</v>
      </c>
      <c r="X968" t="s">
        <v>35</v>
      </c>
      <c r="Y968" t="s">
        <v>1345</v>
      </c>
      <c r="Z968" t="s">
        <v>101</v>
      </c>
    </row>
    <row r="969" spans="1:26">
      <c r="A969" t="s">
        <v>2737</v>
      </c>
      <c r="B969" t="s">
        <v>2737</v>
      </c>
      <c r="C969" s="4">
        <v>46086</v>
      </c>
      <c r="D969">
        <v>2026</v>
      </c>
      <c r="E969">
        <v>3</v>
      </c>
      <c r="F969" t="s">
        <v>19</v>
      </c>
      <c r="G969" t="s">
        <v>82</v>
      </c>
      <c r="H969" t="s">
        <v>2738</v>
      </c>
      <c r="I969" t="s">
        <v>454</v>
      </c>
      <c r="J969" t="s">
        <v>1468</v>
      </c>
      <c r="K969" t="s">
        <v>1128</v>
      </c>
      <c r="L969">
        <v>2</v>
      </c>
      <c r="M969" s="5">
        <v>299.73</v>
      </c>
      <c r="N969" s="6">
        <v>0</v>
      </c>
      <c r="O969" s="5">
        <v>0</v>
      </c>
      <c r="P969" s="5">
        <v>89.92</v>
      </c>
      <c r="Q969" s="5">
        <v>599.46</v>
      </c>
      <c r="R969" s="5">
        <v>369.48</v>
      </c>
      <c r="S969" s="5">
        <v>229.98</v>
      </c>
      <c r="T969" s="7">
        <v>0.383645280752677</v>
      </c>
      <c r="U969" t="s">
        <v>14</v>
      </c>
      <c r="V969" t="s">
        <v>50</v>
      </c>
      <c r="W969" t="s">
        <v>50</v>
      </c>
      <c r="X969" t="s">
        <v>33</v>
      </c>
      <c r="Y969" t="s">
        <v>2375</v>
      </c>
      <c r="Z969" t="s">
        <v>101</v>
      </c>
    </row>
    <row r="970" spans="1:26">
      <c r="A970" t="s">
        <v>2739</v>
      </c>
      <c r="B970" t="s">
        <v>2739</v>
      </c>
      <c r="C970" s="4">
        <v>45928</v>
      </c>
      <c r="D970">
        <v>2025</v>
      </c>
      <c r="E970">
        <v>9</v>
      </c>
      <c r="F970" t="s">
        <v>25</v>
      </c>
      <c r="G970" t="s">
        <v>89</v>
      </c>
      <c r="H970" t="s">
        <v>1597</v>
      </c>
      <c r="I970" t="s">
        <v>774</v>
      </c>
      <c r="J970" t="s">
        <v>263</v>
      </c>
      <c r="K970" t="s">
        <v>264</v>
      </c>
      <c r="L970">
        <v>3</v>
      </c>
      <c r="M970" s="5">
        <v>661.91</v>
      </c>
      <c r="N970" s="6">
        <v>15</v>
      </c>
      <c r="O970" s="5">
        <v>297.86</v>
      </c>
      <c r="P970" s="5">
        <v>253.18</v>
      </c>
      <c r="Q970" s="5">
        <v>1941.05</v>
      </c>
      <c r="R970" s="5">
        <v>1196.16</v>
      </c>
      <c r="S970" s="5">
        <v>744.89</v>
      </c>
      <c r="T970" s="7">
        <v>0.38375621442003</v>
      </c>
      <c r="U970" t="s">
        <v>11</v>
      </c>
      <c r="V970" t="s">
        <v>50</v>
      </c>
      <c r="W970" t="s">
        <v>50</v>
      </c>
      <c r="X970" t="s">
        <v>33</v>
      </c>
      <c r="Y970" t="s">
        <v>1202</v>
      </c>
      <c r="Z970" t="s">
        <v>80</v>
      </c>
    </row>
    <row r="971" spans="1:26">
      <c r="A971" t="s">
        <v>2740</v>
      </c>
      <c r="B971" t="s">
        <v>2740</v>
      </c>
      <c r="C971" s="4">
        <v>45753</v>
      </c>
      <c r="D971">
        <v>2025</v>
      </c>
      <c r="E971">
        <v>4</v>
      </c>
      <c r="F971" t="s">
        <v>20</v>
      </c>
      <c r="G971" t="s">
        <v>74</v>
      </c>
      <c r="H971" t="s">
        <v>2138</v>
      </c>
      <c r="I971" t="s">
        <v>110</v>
      </c>
      <c r="J971" t="s">
        <v>465</v>
      </c>
      <c r="K971" t="s">
        <v>829</v>
      </c>
      <c r="L971">
        <v>5</v>
      </c>
      <c r="M971" s="5">
        <v>379.93</v>
      </c>
      <c r="N971" s="6">
        <v>15</v>
      </c>
      <c r="O971" s="5">
        <v>284.95</v>
      </c>
      <c r="P971" s="5">
        <v>242.2</v>
      </c>
      <c r="Q971" s="5">
        <v>1856.9</v>
      </c>
      <c r="R971" s="5">
        <v>1358.9</v>
      </c>
      <c r="S971" s="5">
        <v>498</v>
      </c>
      <c r="T971" s="7">
        <v>0.268188917012225</v>
      </c>
      <c r="U971" t="s">
        <v>14</v>
      </c>
      <c r="V971" t="s">
        <v>50</v>
      </c>
      <c r="W971" t="s">
        <v>50</v>
      </c>
      <c r="X971" t="s">
        <v>35</v>
      </c>
      <c r="Y971" t="s">
        <v>2526</v>
      </c>
      <c r="Z971" t="s">
        <v>80</v>
      </c>
    </row>
    <row r="972" spans="1:26">
      <c r="A972" t="s">
        <v>2741</v>
      </c>
      <c r="B972" t="s">
        <v>2741</v>
      </c>
      <c r="C972" s="4">
        <v>45888</v>
      </c>
      <c r="D972">
        <v>2025</v>
      </c>
      <c r="E972">
        <v>8</v>
      </c>
      <c r="F972" t="s">
        <v>24</v>
      </c>
      <c r="G972" t="s">
        <v>89</v>
      </c>
      <c r="H972" t="s">
        <v>2104</v>
      </c>
      <c r="I972" t="s">
        <v>454</v>
      </c>
      <c r="J972" t="s">
        <v>286</v>
      </c>
      <c r="K972" t="s">
        <v>1382</v>
      </c>
      <c r="L972">
        <v>2</v>
      </c>
      <c r="M972" s="5">
        <v>299.73</v>
      </c>
      <c r="N972" s="6">
        <v>15</v>
      </c>
      <c r="O972" s="5">
        <v>89.92</v>
      </c>
      <c r="P972" s="5">
        <v>76.43</v>
      </c>
      <c r="Q972" s="5">
        <v>509.54</v>
      </c>
      <c r="R972" s="5">
        <v>369.48</v>
      </c>
      <c r="S972" s="5">
        <v>140.06</v>
      </c>
      <c r="T972" s="7">
        <v>0.274875377791734</v>
      </c>
      <c r="U972" t="s">
        <v>9</v>
      </c>
      <c r="V972" t="s">
        <v>50</v>
      </c>
      <c r="W972" t="s">
        <v>50</v>
      </c>
      <c r="X972" t="s">
        <v>34</v>
      </c>
      <c r="Y972" t="s">
        <v>1557</v>
      </c>
      <c r="Z972" t="s">
        <v>101</v>
      </c>
    </row>
    <row r="973" spans="1:26">
      <c r="A973" t="s">
        <v>2742</v>
      </c>
      <c r="B973" t="s">
        <v>2742</v>
      </c>
      <c r="C973" s="4">
        <v>45892</v>
      </c>
      <c r="D973">
        <v>2025</v>
      </c>
      <c r="E973">
        <v>8</v>
      </c>
      <c r="F973" t="s">
        <v>24</v>
      </c>
      <c r="G973" t="s">
        <v>89</v>
      </c>
      <c r="H973" t="s">
        <v>2698</v>
      </c>
      <c r="I973" t="s">
        <v>312</v>
      </c>
      <c r="J973" t="s">
        <v>1512</v>
      </c>
      <c r="K973" t="s">
        <v>2073</v>
      </c>
      <c r="L973">
        <v>8</v>
      </c>
      <c r="M973" s="5">
        <v>407.53</v>
      </c>
      <c r="N973" s="6">
        <v>0</v>
      </c>
      <c r="O973" s="5">
        <v>0</v>
      </c>
      <c r="P973" s="5">
        <v>489.04</v>
      </c>
      <c r="Q973" s="5">
        <v>3749.28</v>
      </c>
      <c r="R973" s="5">
        <v>2287.2</v>
      </c>
      <c r="S973" s="5">
        <v>1462.08</v>
      </c>
      <c r="T973" s="7">
        <v>0.389962872871591</v>
      </c>
      <c r="U973" t="s">
        <v>14</v>
      </c>
      <c r="V973" t="s">
        <v>50</v>
      </c>
      <c r="W973" t="s">
        <v>50</v>
      </c>
      <c r="X973" t="s">
        <v>33</v>
      </c>
      <c r="Y973" t="s">
        <v>2743</v>
      </c>
      <c r="Z973" t="s">
        <v>80</v>
      </c>
    </row>
    <row r="974" spans="1:26">
      <c r="A974" t="s">
        <v>2744</v>
      </c>
      <c r="B974" t="s">
        <v>2744</v>
      </c>
      <c r="C974" s="4">
        <v>45808</v>
      </c>
      <c r="D974">
        <v>2025</v>
      </c>
      <c r="E974">
        <v>5</v>
      </c>
      <c r="F974" t="s">
        <v>21</v>
      </c>
      <c r="G974" t="s">
        <v>74</v>
      </c>
      <c r="H974" t="s">
        <v>806</v>
      </c>
      <c r="I974" t="s">
        <v>2426</v>
      </c>
      <c r="J974" t="s">
        <v>1133</v>
      </c>
      <c r="K974" t="s">
        <v>1134</v>
      </c>
      <c r="L974">
        <v>7</v>
      </c>
      <c r="M974" s="5">
        <v>158.17</v>
      </c>
      <c r="N974" s="6">
        <v>0</v>
      </c>
      <c r="O974" s="5">
        <v>0</v>
      </c>
      <c r="P974" s="5">
        <v>166.08</v>
      </c>
      <c r="Q974" s="5">
        <v>1273.27</v>
      </c>
      <c r="R974" s="5">
        <v>895.86</v>
      </c>
      <c r="S974" s="5">
        <v>377.41</v>
      </c>
      <c r="T974" s="7">
        <v>0.29641003086541</v>
      </c>
      <c r="U974" t="s">
        <v>10</v>
      </c>
      <c r="V974" t="s">
        <v>50</v>
      </c>
      <c r="W974" t="s">
        <v>50</v>
      </c>
      <c r="X974" t="s">
        <v>35</v>
      </c>
      <c r="Y974" t="s">
        <v>2745</v>
      </c>
      <c r="Z974" t="s">
        <v>80</v>
      </c>
    </row>
    <row r="975" spans="1:26">
      <c r="A975" t="s">
        <v>2746</v>
      </c>
      <c r="B975" t="s">
        <v>2746</v>
      </c>
      <c r="C975" s="4">
        <v>45801</v>
      </c>
      <c r="D975">
        <v>2025</v>
      </c>
      <c r="E975">
        <v>5</v>
      </c>
      <c r="F975" t="s">
        <v>21</v>
      </c>
      <c r="G975" t="s">
        <v>74</v>
      </c>
      <c r="H975" t="s">
        <v>2747</v>
      </c>
      <c r="I975" t="s">
        <v>235</v>
      </c>
      <c r="J975" t="s">
        <v>152</v>
      </c>
      <c r="K975" t="s">
        <v>153</v>
      </c>
      <c r="L975">
        <v>1</v>
      </c>
      <c r="M975" s="5">
        <v>217.42</v>
      </c>
      <c r="N975" s="6">
        <v>10</v>
      </c>
      <c r="O975" s="5">
        <v>21.74</v>
      </c>
      <c r="P975" s="5">
        <v>29.35</v>
      </c>
      <c r="Q975" s="5">
        <v>225.03</v>
      </c>
      <c r="R975" s="5">
        <v>177.03</v>
      </c>
      <c r="S975" s="5">
        <v>48</v>
      </c>
      <c r="T975" s="7">
        <v>0.213304892680976</v>
      </c>
      <c r="U975" t="s">
        <v>10</v>
      </c>
      <c r="V975" t="s">
        <v>50</v>
      </c>
      <c r="W975" t="s">
        <v>50</v>
      </c>
      <c r="X975" t="s">
        <v>35</v>
      </c>
      <c r="Y975" t="s">
        <v>2335</v>
      </c>
      <c r="Z975" t="s">
        <v>80</v>
      </c>
    </row>
    <row r="976" spans="1:26">
      <c r="A976" t="s">
        <v>2748</v>
      </c>
      <c r="B976" t="s">
        <v>2748</v>
      </c>
      <c r="C976" s="4">
        <v>46061</v>
      </c>
      <c r="D976">
        <v>2026</v>
      </c>
      <c r="E976">
        <v>2</v>
      </c>
      <c r="F976" t="s">
        <v>31</v>
      </c>
      <c r="G976" t="s">
        <v>82</v>
      </c>
      <c r="H976" t="s">
        <v>792</v>
      </c>
      <c r="I976" t="s">
        <v>174</v>
      </c>
      <c r="J976" t="s">
        <v>713</v>
      </c>
      <c r="K976" t="s">
        <v>704</v>
      </c>
      <c r="L976">
        <v>6</v>
      </c>
      <c r="M976" s="5">
        <v>448</v>
      </c>
      <c r="N976" s="6">
        <v>15</v>
      </c>
      <c r="O976" s="5">
        <v>403.2</v>
      </c>
      <c r="P976" s="5">
        <v>342.72</v>
      </c>
      <c r="Q976" s="5">
        <v>2627.52</v>
      </c>
      <c r="R976" s="5">
        <v>1916.22</v>
      </c>
      <c r="S976" s="5">
        <v>711.3</v>
      </c>
      <c r="T976" s="7">
        <v>0.27071154548776</v>
      </c>
      <c r="U976" t="s">
        <v>9</v>
      </c>
      <c r="V976" t="s">
        <v>50</v>
      </c>
      <c r="W976" t="s">
        <v>50</v>
      </c>
      <c r="X976" t="s">
        <v>33</v>
      </c>
      <c r="Y976" t="s">
        <v>1541</v>
      </c>
      <c r="Z976" t="s">
        <v>80</v>
      </c>
    </row>
    <row r="977" spans="1:26">
      <c r="A977" t="s">
        <v>2749</v>
      </c>
      <c r="B977" t="s">
        <v>2749</v>
      </c>
      <c r="C977" s="4">
        <v>46000</v>
      </c>
      <c r="D977">
        <v>2025</v>
      </c>
      <c r="E977">
        <v>12</v>
      </c>
      <c r="F977" t="s">
        <v>28</v>
      </c>
      <c r="G977" t="s">
        <v>137</v>
      </c>
      <c r="H977" t="s">
        <v>2246</v>
      </c>
      <c r="I977" t="s">
        <v>722</v>
      </c>
      <c r="J977" t="s">
        <v>2342</v>
      </c>
      <c r="K977" t="s">
        <v>2343</v>
      </c>
      <c r="L977">
        <v>4</v>
      </c>
      <c r="M977" s="5">
        <v>157.98</v>
      </c>
      <c r="N977" s="6">
        <v>20</v>
      </c>
      <c r="O977" s="5">
        <v>126.38</v>
      </c>
      <c r="P977" s="5">
        <v>75.83</v>
      </c>
      <c r="Q977" s="5">
        <v>505.54</v>
      </c>
      <c r="R977" s="5">
        <v>551.8</v>
      </c>
      <c r="S977" s="5">
        <v>-46.26</v>
      </c>
      <c r="T977" s="7">
        <v>-0.0915061122759821</v>
      </c>
      <c r="U977" t="s">
        <v>9</v>
      </c>
      <c r="V977" t="s">
        <v>50</v>
      </c>
      <c r="W977" t="s">
        <v>50</v>
      </c>
      <c r="X977" t="s">
        <v>33</v>
      </c>
      <c r="Y977" t="s">
        <v>1877</v>
      </c>
      <c r="Z977" t="s">
        <v>101</v>
      </c>
    </row>
    <row r="978" spans="1:26">
      <c r="A978" t="s">
        <v>2750</v>
      </c>
      <c r="B978" t="s">
        <v>2750</v>
      </c>
      <c r="C978" s="4">
        <v>45969</v>
      </c>
      <c r="D978">
        <v>2025</v>
      </c>
      <c r="E978">
        <v>11</v>
      </c>
      <c r="F978" t="s">
        <v>27</v>
      </c>
      <c r="G978" t="s">
        <v>137</v>
      </c>
      <c r="H978" t="s">
        <v>2751</v>
      </c>
      <c r="I978" t="s">
        <v>750</v>
      </c>
      <c r="J978" t="s">
        <v>742</v>
      </c>
      <c r="K978" t="s">
        <v>287</v>
      </c>
      <c r="L978">
        <v>4</v>
      </c>
      <c r="M978" s="5">
        <v>474.19</v>
      </c>
      <c r="N978" s="6">
        <v>0</v>
      </c>
      <c r="O978" s="5">
        <v>0</v>
      </c>
      <c r="P978" s="5">
        <v>284.51</v>
      </c>
      <c r="Q978" s="5">
        <v>2181.27</v>
      </c>
      <c r="R978" s="5">
        <v>1375.56</v>
      </c>
      <c r="S978" s="5">
        <v>805.71</v>
      </c>
      <c r="T978" s="7">
        <v>0.36937655585966</v>
      </c>
      <c r="U978" t="s">
        <v>10</v>
      </c>
      <c r="V978" t="s">
        <v>50</v>
      </c>
      <c r="W978" t="s">
        <v>50</v>
      </c>
      <c r="X978" t="s">
        <v>33</v>
      </c>
      <c r="Y978" t="s">
        <v>2752</v>
      </c>
      <c r="Z978" t="s">
        <v>80</v>
      </c>
    </row>
    <row r="979" spans="1:26">
      <c r="A979" t="s">
        <v>2753</v>
      </c>
      <c r="B979" t="s">
        <v>2753</v>
      </c>
      <c r="C979" s="4">
        <v>45815</v>
      </c>
      <c r="D979">
        <v>2025</v>
      </c>
      <c r="E979">
        <v>6</v>
      </c>
      <c r="F979" t="s">
        <v>22</v>
      </c>
      <c r="G979" t="s">
        <v>74</v>
      </c>
      <c r="H979" t="s">
        <v>201</v>
      </c>
      <c r="I979" t="s">
        <v>285</v>
      </c>
      <c r="J979" t="s">
        <v>170</v>
      </c>
      <c r="K979" t="s">
        <v>1634</v>
      </c>
      <c r="L979">
        <v>4</v>
      </c>
      <c r="M979" s="5">
        <v>605.22</v>
      </c>
      <c r="N979" s="6">
        <v>0</v>
      </c>
      <c r="O979" s="5">
        <v>0</v>
      </c>
      <c r="P979" s="5">
        <v>363.13</v>
      </c>
      <c r="Q979" s="5">
        <v>2784.01</v>
      </c>
      <c r="R979" s="5">
        <v>1345.6</v>
      </c>
      <c r="S979" s="5">
        <v>1438.41</v>
      </c>
      <c r="T979" s="7">
        <v>0.516668402771542</v>
      </c>
      <c r="U979" t="s">
        <v>9</v>
      </c>
      <c r="V979" t="s">
        <v>50</v>
      </c>
      <c r="W979" t="s">
        <v>50</v>
      </c>
      <c r="X979" t="s">
        <v>35</v>
      </c>
      <c r="Y979" t="s">
        <v>2595</v>
      </c>
      <c r="Z979" t="s">
        <v>80</v>
      </c>
    </row>
    <row r="980" spans="1:26">
      <c r="A980" t="s">
        <v>2754</v>
      </c>
      <c r="B980" t="s">
        <v>2754</v>
      </c>
      <c r="C980" s="4">
        <v>45927</v>
      </c>
      <c r="D980">
        <v>2025</v>
      </c>
      <c r="E980">
        <v>9</v>
      </c>
      <c r="F980" t="s">
        <v>25</v>
      </c>
      <c r="G980" t="s">
        <v>89</v>
      </c>
      <c r="H980" t="s">
        <v>1990</v>
      </c>
      <c r="I980" t="s">
        <v>444</v>
      </c>
      <c r="J980" t="s">
        <v>98</v>
      </c>
      <c r="K980" t="s">
        <v>99</v>
      </c>
      <c r="L980">
        <v>3</v>
      </c>
      <c r="M980" s="5">
        <v>99.93</v>
      </c>
      <c r="N980" s="6">
        <v>0</v>
      </c>
      <c r="O980" s="5">
        <v>0</v>
      </c>
      <c r="P980" s="5">
        <v>44.97</v>
      </c>
      <c r="Q980" s="5">
        <v>344.76</v>
      </c>
      <c r="R980" s="5">
        <v>258.15</v>
      </c>
      <c r="S980" s="5">
        <v>86.61</v>
      </c>
      <c r="T980" s="7">
        <v>0.2512182387748</v>
      </c>
      <c r="U980" t="s">
        <v>14</v>
      </c>
      <c r="V980" t="s">
        <v>50</v>
      </c>
      <c r="W980" t="s">
        <v>50</v>
      </c>
      <c r="X980" t="s">
        <v>33</v>
      </c>
      <c r="Y980" t="s">
        <v>1840</v>
      </c>
      <c r="Z980" t="s">
        <v>80</v>
      </c>
    </row>
    <row r="981" spans="1:26">
      <c r="A981" t="s">
        <v>2755</v>
      </c>
      <c r="B981" t="s">
        <v>2755</v>
      </c>
      <c r="C981" s="4">
        <v>46051</v>
      </c>
      <c r="D981">
        <v>2026</v>
      </c>
      <c r="E981">
        <v>1</v>
      </c>
      <c r="F981" t="s">
        <v>30</v>
      </c>
      <c r="G981" t="s">
        <v>82</v>
      </c>
      <c r="H981" t="s">
        <v>2079</v>
      </c>
      <c r="I981" t="s">
        <v>76</v>
      </c>
      <c r="J981" t="s">
        <v>47</v>
      </c>
      <c r="K981" t="s">
        <v>1197</v>
      </c>
      <c r="L981">
        <v>1</v>
      </c>
      <c r="M981" s="5">
        <v>416.08</v>
      </c>
      <c r="N981" s="6">
        <v>5</v>
      </c>
      <c r="O981" s="5">
        <v>20.8</v>
      </c>
      <c r="P981" s="5">
        <v>59.29</v>
      </c>
      <c r="Q981" s="5">
        <v>395.28</v>
      </c>
      <c r="R981" s="5">
        <v>319.64</v>
      </c>
      <c r="S981" s="5">
        <v>75.64</v>
      </c>
      <c r="T981" s="7">
        <v>0.191358024691358</v>
      </c>
      <c r="U981" t="s">
        <v>14</v>
      </c>
      <c r="V981" t="s">
        <v>50</v>
      </c>
      <c r="W981" t="s">
        <v>50</v>
      </c>
      <c r="X981" t="s">
        <v>33</v>
      </c>
      <c r="Y981" t="s">
        <v>2066</v>
      </c>
      <c r="Z981" t="s">
        <v>101</v>
      </c>
    </row>
    <row r="982" spans="1:26">
      <c r="A982" t="s">
        <v>2756</v>
      </c>
      <c r="B982" t="s">
        <v>2756</v>
      </c>
      <c r="C982" s="4">
        <v>46033</v>
      </c>
      <c r="D982">
        <v>2026</v>
      </c>
      <c r="E982">
        <v>1</v>
      </c>
      <c r="F982" t="s">
        <v>30</v>
      </c>
      <c r="G982" t="s">
        <v>82</v>
      </c>
      <c r="H982" t="s">
        <v>1478</v>
      </c>
      <c r="I982" t="s">
        <v>1367</v>
      </c>
      <c r="J982" t="s">
        <v>45</v>
      </c>
      <c r="K982" t="s">
        <v>1351</v>
      </c>
      <c r="L982">
        <v>5</v>
      </c>
      <c r="M982" s="5">
        <v>56.65</v>
      </c>
      <c r="N982" s="6">
        <v>10</v>
      </c>
      <c r="O982" s="5">
        <v>28.32</v>
      </c>
      <c r="P982" s="5">
        <v>38.24</v>
      </c>
      <c r="Q982" s="5">
        <v>293.17</v>
      </c>
      <c r="R982" s="5">
        <v>224.8</v>
      </c>
      <c r="S982" s="5">
        <v>68.37</v>
      </c>
      <c r="T982" s="7">
        <v>0.23320940068902</v>
      </c>
      <c r="U982" t="s">
        <v>13</v>
      </c>
      <c r="V982" t="s">
        <v>51</v>
      </c>
      <c r="W982" t="s">
        <v>51</v>
      </c>
      <c r="X982" t="s">
        <v>33</v>
      </c>
      <c r="Y982" t="s">
        <v>2757</v>
      </c>
      <c r="Z982" t="s">
        <v>80</v>
      </c>
    </row>
    <row r="983" spans="1:26">
      <c r="A983" t="s">
        <v>2758</v>
      </c>
      <c r="B983" t="s">
        <v>2758</v>
      </c>
      <c r="C983" s="4">
        <v>45871</v>
      </c>
      <c r="D983">
        <v>2025</v>
      </c>
      <c r="E983">
        <v>8</v>
      </c>
      <c r="F983" t="s">
        <v>24</v>
      </c>
      <c r="G983" t="s">
        <v>89</v>
      </c>
      <c r="H983" t="s">
        <v>1584</v>
      </c>
      <c r="I983" t="s">
        <v>374</v>
      </c>
      <c r="J983" t="s">
        <v>626</v>
      </c>
      <c r="K983" t="s">
        <v>627</v>
      </c>
      <c r="L983">
        <v>2</v>
      </c>
      <c r="M983" s="5">
        <v>400.33</v>
      </c>
      <c r="N983" s="6">
        <v>0</v>
      </c>
      <c r="O983" s="5">
        <v>0</v>
      </c>
      <c r="P983" s="5">
        <v>120.1</v>
      </c>
      <c r="Q983" s="5">
        <v>920.76</v>
      </c>
      <c r="R983" s="5">
        <v>681.8</v>
      </c>
      <c r="S983" s="5">
        <v>238.96</v>
      </c>
      <c r="T983" s="7">
        <v>0.259524740431817</v>
      </c>
      <c r="U983" t="s">
        <v>12</v>
      </c>
      <c r="V983" t="s">
        <v>50</v>
      </c>
      <c r="W983" t="s">
        <v>50</v>
      </c>
      <c r="X983" t="s">
        <v>33</v>
      </c>
      <c r="Y983" t="s">
        <v>1598</v>
      </c>
      <c r="Z983" t="s">
        <v>80</v>
      </c>
    </row>
    <row r="984" spans="1:26">
      <c r="A984" t="s">
        <v>2759</v>
      </c>
      <c r="B984" t="s">
        <v>2759</v>
      </c>
      <c r="C984" s="4">
        <v>45942</v>
      </c>
      <c r="D984">
        <v>2025</v>
      </c>
      <c r="E984">
        <v>10</v>
      </c>
      <c r="F984" t="s">
        <v>26</v>
      </c>
      <c r="G984" t="s">
        <v>137</v>
      </c>
      <c r="H984" t="s">
        <v>792</v>
      </c>
      <c r="I984" t="s">
        <v>274</v>
      </c>
      <c r="J984" t="s">
        <v>133</v>
      </c>
      <c r="K984" t="s">
        <v>340</v>
      </c>
      <c r="L984">
        <v>6</v>
      </c>
      <c r="M984" s="5">
        <v>355.94</v>
      </c>
      <c r="N984" s="6">
        <v>20</v>
      </c>
      <c r="O984" s="5">
        <v>427.13</v>
      </c>
      <c r="P984" s="5">
        <v>256.28</v>
      </c>
      <c r="Q984" s="5">
        <v>1964.79</v>
      </c>
      <c r="R984" s="5">
        <v>1330.32</v>
      </c>
      <c r="S984" s="5">
        <v>634.47</v>
      </c>
      <c r="T984" s="7">
        <v>0.322920006718275</v>
      </c>
      <c r="U984" t="s">
        <v>10</v>
      </c>
      <c r="V984" t="s">
        <v>50</v>
      </c>
      <c r="W984" t="s">
        <v>50</v>
      </c>
      <c r="X984" t="s">
        <v>33</v>
      </c>
      <c r="Y984" t="s">
        <v>2526</v>
      </c>
      <c r="Z984" t="s">
        <v>80</v>
      </c>
    </row>
    <row r="985" spans="1:26">
      <c r="A985" t="s">
        <v>2760</v>
      </c>
      <c r="B985" t="s">
        <v>2760</v>
      </c>
      <c r="C985" s="4">
        <v>45955</v>
      </c>
      <c r="D985">
        <v>2025</v>
      </c>
      <c r="E985">
        <v>10</v>
      </c>
      <c r="F985" t="s">
        <v>26</v>
      </c>
      <c r="G985" t="s">
        <v>137</v>
      </c>
      <c r="H985" t="s">
        <v>542</v>
      </c>
      <c r="I985" t="s">
        <v>1307</v>
      </c>
      <c r="J985" t="s">
        <v>1781</v>
      </c>
      <c r="K985" t="s">
        <v>1782</v>
      </c>
      <c r="L985">
        <v>3</v>
      </c>
      <c r="M985" s="5">
        <v>236.56</v>
      </c>
      <c r="N985" s="6">
        <v>15</v>
      </c>
      <c r="O985" s="5">
        <v>106.45</v>
      </c>
      <c r="P985" s="5">
        <v>90.48</v>
      </c>
      <c r="Q985" s="5">
        <v>693.71</v>
      </c>
      <c r="R985" s="5">
        <v>635.19</v>
      </c>
      <c r="S985" s="5">
        <v>58.52</v>
      </c>
      <c r="T985" s="7">
        <v>0.0843580170388203</v>
      </c>
      <c r="U985" t="s">
        <v>10</v>
      </c>
      <c r="V985" t="s">
        <v>50</v>
      </c>
      <c r="W985" t="s">
        <v>50</v>
      </c>
      <c r="X985" t="s">
        <v>35</v>
      </c>
      <c r="Y985" t="s">
        <v>479</v>
      </c>
      <c r="Z985" t="s">
        <v>80</v>
      </c>
    </row>
    <row r="986" spans="1:26">
      <c r="A986" t="s">
        <v>2761</v>
      </c>
      <c r="B986" t="s">
        <v>2761</v>
      </c>
      <c r="C986" s="4">
        <v>45876</v>
      </c>
      <c r="D986">
        <v>2025</v>
      </c>
      <c r="E986">
        <v>8</v>
      </c>
      <c r="F986" t="s">
        <v>24</v>
      </c>
      <c r="G986" t="s">
        <v>89</v>
      </c>
      <c r="H986" t="s">
        <v>2762</v>
      </c>
      <c r="I986" t="s">
        <v>854</v>
      </c>
      <c r="J986" t="s">
        <v>626</v>
      </c>
      <c r="K986" t="s">
        <v>2353</v>
      </c>
      <c r="L986">
        <v>3</v>
      </c>
      <c r="M986" s="5">
        <v>530.16</v>
      </c>
      <c r="N986" s="6">
        <v>0</v>
      </c>
      <c r="O986" s="5">
        <v>0</v>
      </c>
      <c r="P986" s="5">
        <v>238.57</v>
      </c>
      <c r="Q986" s="5">
        <v>1590.48</v>
      </c>
      <c r="R986" s="5">
        <v>1137.57</v>
      </c>
      <c r="S986" s="5">
        <v>452.91</v>
      </c>
      <c r="T986" s="7">
        <v>0.284763090387807</v>
      </c>
      <c r="U986" t="s">
        <v>14</v>
      </c>
      <c r="V986" t="s">
        <v>51</v>
      </c>
      <c r="W986" t="s">
        <v>51</v>
      </c>
      <c r="X986" t="s">
        <v>34</v>
      </c>
      <c r="Y986" t="s">
        <v>1932</v>
      </c>
      <c r="Z986" t="s">
        <v>101</v>
      </c>
    </row>
    <row r="987" spans="1:26">
      <c r="A987" t="s">
        <v>2763</v>
      </c>
      <c r="B987" t="s">
        <v>2763</v>
      </c>
      <c r="C987" s="4">
        <v>45977</v>
      </c>
      <c r="D987">
        <v>2025</v>
      </c>
      <c r="E987">
        <v>11</v>
      </c>
      <c r="F987" t="s">
        <v>27</v>
      </c>
      <c r="G987" t="s">
        <v>137</v>
      </c>
      <c r="H987" t="s">
        <v>230</v>
      </c>
      <c r="I987" t="s">
        <v>434</v>
      </c>
      <c r="J987" t="s">
        <v>42</v>
      </c>
      <c r="K987" t="s">
        <v>1191</v>
      </c>
      <c r="L987">
        <v>8</v>
      </c>
      <c r="M987" s="5">
        <v>94.9</v>
      </c>
      <c r="N987" s="6">
        <v>0</v>
      </c>
      <c r="O987" s="5">
        <v>0</v>
      </c>
      <c r="P987" s="5">
        <v>113.88</v>
      </c>
      <c r="Q987" s="5">
        <v>873.08</v>
      </c>
      <c r="R987" s="5">
        <v>552.72</v>
      </c>
      <c r="S987" s="5">
        <v>320.36</v>
      </c>
      <c r="T987" s="7">
        <v>0.366930865441884</v>
      </c>
      <c r="U987" t="s">
        <v>9</v>
      </c>
      <c r="V987" t="s">
        <v>50</v>
      </c>
      <c r="W987" t="s">
        <v>50</v>
      </c>
      <c r="X987" t="s">
        <v>33</v>
      </c>
      <c r="Y987" t="s">
        <v>232</v>
      </c>
      <c r="Z987" t="s">
        <v>80</v>
      </c>
    </row>
    <row r="988" spans="1:26">
      <c r="A988" t="s">
        <v>2764</v>
      </c>
      <c r="B988" t="s">
        <v>2764</v>
      </c>
      <c r="C988" s="4">
        <v>45766</v>
      </c>
      <c r="D988">
        <v>2025</v>
      </c>
      <c r="E988">
        <v>4</v>
      </c>
      <c r="F988" t="s">
        <v>20</v>
      </c>
      <c r="G988" t="s">
        <v>74</v>
      </c>
      <c r="H988" t="s">
        <v>693</v>
      </c>
      <c r="I988" t="s">
        <v>722</v>
      </c>
      <c r="J988" t="s">
        <v>858</v>
      </c>
      <c r="K988" t="s">
        <v>1625</v>
      </c>
      <c r="L988">
        <v>2</v>
      </c>
      <c r="M988" s="5">
        <v>157.98</v>
      </c>
      <c r="N988" s="6">
        <v>5</v>
      </c>
      <c r="O988" s="5">
        <v>15.8</v>
      </c>
      <c r="P988" s="5">
        <v>45.02</v>
      </c>
      <c r="Q988" s="5">
        <v>345.18</v>
      </c>
      <c r="R988" s="5">
        <v>275.9</v>
      </c>
      <c r="S988" s="5">
        <v>69.28</v>
      </c>
      <c r="T988" s="7">
        <v>0.200706877571122</v>
      </c>
      <c r="U988" t="s">
        <v>12</v>
      </c>
      <c r="V988" t="s">
        <v>50</v>
      </c>
      <c r="W988" t="s">
        <v>50</v>
      </c>
      <c r="X988" t="s">
        <v>33</v>
      </c>
      <c r="Y988" t="s">
        <v>1392</v>
      </c>
      <c r="Z988" t="s">
        <v>80</v>
      </c>
    </row>
    <row r="989" spans="1:26">
      <c r="A989" t="s">
        <v>2765</v>
      </c>
      <c r="B989" t="s">
        <v>2765</v>
      </c>
      <c r="C989" s="4">
        <v>45938</v>
      </c>
      <c r="D989">
        <v>2025</v>
      </c>
      <c r="E989">
        <v>10</v>
      </c>
      <c r="F989" t="s">
        <v>26</v>
      </c>
      <c r="G989" t="s">
        <v>137</v>
      </c>
      <c r="H989" t="s">
        <v>1811</v>
      </c>
      <c r="I989" t="s">
        <v>235</v>
      </c>
      <c r="J989" t="s">
        <v>412</v>
      </c>
      <c r="K989" t="s">
        <v>1177</v>
      </c>
      <c r="L989">
        <v>7</v>
      </c>
      <c r="M989" s="5">
        <v>225.96</v>
      </c>
      <c r="N989" s="6">
        <v>0</v>
      </c>
      <c r="O989" s="5">
        <v>0</v>
      </c>
      <c r="P989" s="5">
        <v>237.26</v>
      </c>
      <c r="Q989" s="5">
        <v>1581.72</v>
      </c>
      <c r="R989" s="5">
        <v>1239.21</v>
      </c>
      <c r="S989" s="5">
        <v>342.51</v>
      </c>
      <c r="T989" s="7">
        <v>0.216542750929368</v>
      </c>
      <c r="U989" t="s">
        <v>13</v>
      </c>
      <c r="V989" t="s">
        <v>50</v>
      </c>
      <c r="W989" t="s">
        <v>50</v>
      </c>
      <c r="X989" t="s">
        <v>35</v>
      </c>
      <c r="Y989" t="s">
        <v>2766</v>
      </c>
      <c r="Z989" t="s">
        <v>101</v>
      </c>
    </row>
    <row r="990" spans="1:26">
      <c r="A990" t="s">
        <v>2767</v>
      </c>
      <c r="B990" t="s">
        <v>2767</v>
      </c>
      <c r="C990" s="4">
        <v>45990</v>
      </c>
      <c r="D990">
        <v>2025</v>
      </c>
      <c r="E990">
        <v>11</v>
      </c>
      <c r="F990" t="s">
        <v>27</v>
      </c>
      <c r="G990" t="s">
        <v>137</v>
      </c>
      <c r="H990" t="s">
        <v>1717</v>
      </c>
      <c r="I990" t="s">
        <v>844</v>
      </c>
      <c r="J990" t="s">
        <v>648</v>
      </c>
      <c r="K990" t="s">
        <v>1308</v>
      </c>
      <c r="L990">
        <v>4</v>
      </c>
      <c r="M990" s="5">
        <v>298.68</v>
      </c>
      <c r="N990" s="6">
        <v>0</v>
      </c>
      <c r="O990" s="5">
        <v>0</v>
      </c>
      <c r="P990" s="5">
        <v>179.21</v>
      </c>
      <c r="Q990" s="5">
        <v>1373.93</v>
      </c>
      <c r="R990" s="5">
        <v>1002.76</v>
      </c>
      <c r="S990" s="5">
        <v>371.17</v>
      </c>
      <c r="T990" s="7">
        <v>0.270152045591842</v>
      </c>
      <c r="U990" t="s">
        <v>13</v>
      </c>
      <c r="V990" t="s">
        <v>50</v>
      </c>
      <c r="W990" t="s">
        <v>50</v>
      </c>
      <c r="X990" t="s">
        <v>33</v>
      </c>
      <c r="Y990" t="s">
        <v>1113</v>
      </c>
      <c r="Z990" t="s">
        <v>80</v>
      </c>
    </row>
    <row r="991" spans="1:26">
      <c r="A991" t="s">
        <v>2768</v>
      </c>
      <c r="B991" t="s">
        <v>2768</v>
      </c>
      <c r="C991" s="4">
        <v>45959</v>
      </c>
      <c r="D991">
        <v>2025</v>
      </c>
      <c r="E991">
        <v>10</v>
      </c>
      <c r="F991" t="s">
        <v>26</v>
      </c>
      <c r="G991" t="s">
        <v>137</v>
      </c>
      <c r="H991" t="s">
        <v>156</v>
      </c>
      <c r="I991" t="s">
        <v>797</v>
      </c>
      <c r="J991" t="s">
        <v>1272</v>
      </c>
      <c r="K991" t="s">
        <v>971</v>
      </c>
      <c r="L991">
        <v>5</v>
      </c>
      <c r="M991" s="5">
        <v>442.14</v>
      </c>
      <c r="N991" s="6">
        <v>0</v>
      </c>
      <c r="O991" s="5">
        <v>0</v>
      </c>
      <c r="P991" s="5">
        <v>331.6</v>
      </c>
      <c r="Q991" s="5">
        <v>2210.7</v>
      </c>
      <c r="R991" s="5">
        <v>1759.35</v>
      </c>
      <c r="S991" s="5">
        <v>451.35</v>
      </c>
      <c r="T991" s="7">
        <v>0.204166101234903</v>
      </c>
      <c r="U991" t="s">
        <v>12</v>
      </c>
      <c r="V991" t="s">
        <v>50</v>
      </c>
      <c r="W991" t="s">
        <v>50</v>
      </c>
      <c r="X991" t="s">
        <v>33</v>
      </c>
      <c r="Y991" t="s">
        <v>2349</v>
      </c>
      <c r="Z991" t="s">
        <v>101</v>
      </c>
    </row>
    <row r="992" spans="1:26">
      <c r="A992" t="s">
        <v>2769</v>
      </c>
      <c r="B992" t="s">
        <v>2769</v>
      </c>
      <c r="C992" s="4">
        <v>45809</v>
      </c>
      <c r="D992">
        <v>2025</v>
      </c>
      <c r="E992">
        <v>6</v>
      </c>
      <c r="F992" t="s">
        <v>22</v>
      </c>
      <c r="G992" t="s">
        <v>74</v>
      </c>
      <c r="H992" t="s">
        <v>2635</v>
      </c>
      <c r="I992" t="s">
        <v>444</v>
      </c>
      <c r="J992" t="s">
        <v>894</v>
      </c>
      <c r="K992" t="s">
        <v>1038</v>
      </c>
      <c r="L992">
        <v>7</v>
      </c>
      <c r="M992" s="5">
        <v>104.55</v>
      </c>
      <c r="N992" s="6">
        <v>0</v>
      </c>
      <c r="O992" s="5">
        <v>0</v>
      </c>
      <c r="P992" s="5">
        <v>109.78</v>
      </c>
      <c r="Q992" s="5">
        <v>841.63</v>
      </c>
      <c r="R992" s="5">
        <v>602.35</v>
      </c>
      <c r="S992" s="5">
        <v>239.28</v>
      </c>
      <c r="T992" s="7">
        <v>0.284305454891104</v>
      </c>
      <c r="U992" t="s">
        <v>14</v>
      </c>
      <c r="V992" t="s">
        <v>50</v>
      </c>
      <c r="W992" t="s">
        <v>50</v>
      </c>
      <c r="X992" t="s">
        <v>35</v>
      </c>
      <c r="Y992" t="s">
        <v>2770</v>
      </c>
      <c r="Z992" t="s">
        <v>80</v>
      </c>
    </row>
    <row r="993" spans="1:26">
      <c r="A993" t="s">
        <v>2771</v>
      </c>
      <c r="B993" t="s">
        <v>2771</v>
      </c>
      <c r="C993" s="4">
        <v>46024</v>
      </c>
      <c r="D993">
        <v>2026</v>
      </c>
      <c r="E993">
        <v>1</v>
      </c>
      <c r="F993" t="s">
        <v>30</v>
      </c>
      <c r="G993" t="s">
        <v>82</v>
      </c>
      <c r="H993" t="s">
        <v>261</v>
      </c>
      <c r="I993" t="s">
        <v>2170</v>
      </c>
      <c r="J993" t="s">
        <v>1381</v>
      </c>
      <c r="K993" t="s">
        <v>1382</v>
      </c>
      <c r="L993">
        <v>1</v>
      </c>
      <c r="M993" s="5">
        <v>68.95</v>
      </c>
      <c r="N993" s="6">
        <v>0</v>
      </c>
      <c r="O993" s="5">
        <v>0</v>
      </c>
      <c r="P993" s="5">
        <v>10.34</v>
      </c>
      <c r="Q993" s="5">
        <v>68.95</v>
      </c>
      <c r="R993" s="5">
        <v>57.89</v>
      </c>
      <c r="S993" s="5">
        <v>11.06</v>
      </c>
      <c r="T993" s="7">
        <v>0.160406091370558</v>
      </c>
      <c r="U993" t="s">
        <v>14</v>
      </c>
      <c r="V993" t="s">
        <v>50</v>
      </c>
      <c r="W993" t="s">
        <v>50</v>
      </c>
      <c r="X993" t="s">
        <v>33</v>
      </c>
      <c r="Y993" t="s">
        <v>2772</v>
      </c>
      <c r="Z993" t="s">
        <v>101</v>
      </c>
    </row>
    <row r="994" spans="1:26">
      <c r="A994" t="s">
        <v>2773</v>
      </c>
      <c r="B994" t="s">
        <v>2773</v>
      </c>
      <c r="C994" s="4">
        <v>46102</v>
      </c>
      <c r="D994">
        <v>2026</v>
      </c>
      <c r="E994">
        <v>3</v>
      </c>
      <c r="F994" t="s">
        <v>19</v>
      </c>
      <c r="G994" t="s">
        <v>82</v>
      </c>
      <c r="H994" t="s">
        <v>138</v>
      </c>
      <c r="I994" t="s">
        <v>450</v>
      </c>
      <c r="J994" t="s">
        <v>2044</v>
      </c>
      <c r="K994" t="s">
        <v>1209</v>
      </c>
      <c r="L994">
        <v>6</v>
      </c>
      <c r="M994" s="5">
        <v>484.5</v>
      </c>
      <c r="N994" s="6">
        <v>0</v>
      </c>
      <c r="O994" s="5">
        <v>0</v>
      </c>
      <c r="P994" s="5">
        <v>436.05</v>
      </c>
      <c r="Q994" s="5">
        <v>3343.05</v>
      </c>
      <c r="R994" s="5">
        <v>1524.3</v>
      </c>
      <c r="S994" s="5">
        <v>1818.75</v>
      </c>
      <c r="T994" s="7">
        <v>0.544039125947862</v>
      </c>
      <c r="U994" t="s">
        <v>13</v>
      </c>
      <c r="V994" t="s">
        <v>50</v>
      </c>
      <c r="W994" t="s">
        <v>50</v>
      </c>
      <c r="X994" t="s">
        <v>35</v>
      </c>
      <c r="Y994" t="s">
        <v>1879</v>
      </c>
      <c r="Z994" t="s">
        <v>80</v>
      </c>
    </row>
    <row r="995" spans="1:26">
      <c r="A995" t="s">
        <v>2774</v>
      </c>
      <c r="B995" t="s">
        <v>2774</v>
      </c>
      <c r="C995" s="4">
        <v>45883</v>
      </c>
      <c r="D995">
        <v>2025</v>
      </c>
      <c r="E995">
        <v>8</v>
      </c>
      <c r="F995" t="s">
        <v>24</v>
      </c>
      <c r="G995" t="s">
        <v>89</v>
      </c>
      <c r="H995" t="s">
        <v>2775</v>
      </c>
      <c r="I995" t="s">
        <v>609</v>
      </c>
      <c r="J995" t="s">
        <v>833</v>
      </c>
      <c r="K995" t="s">
        <v>419</v>
      </c>
      <c r="L995">
        <v>4</v>
      </c>
      <c r="M995" s="5">
        <v>328.59</v>
      </c>
      <c r="N995" s="6">
        <v>10</v>
      </c>
      <c r="O995" s="5">
        <v>131.44</v>
      </c>
      <c r="P995" s="5">
        <v>177.44</v>
      </c>
      <c r="Q995" s="5">
        <v>1182.92</v>
      </c>
      <c r="R995" s="5">
        <v>1021.96</v>
      </c>
      <c r="S995" s="5">
        <v>160.96</v>
      </c>
      <c r="T995" s="7">
        <v>0.136070063909647</v>
      </c>
      <c r="U995" t="s">
        <v>14</v>
      </c>
      <c r="V995" t="s">
        <v>50</v>
      </c>
      <c r="W995" t="s">
        <v>50</v>
      </c>
      <c r="X995" t="s">
        <v>33</v>
      </c>
      <c r="Y995" t="s">
        <v>2776</v>
      </c>
      <c r="Z995" t="s">
        <v>101</v>
      </c>
    </row>
    <row r="996" spans="1:26">
      <c r="A996" t="s">
        <v>2777</v>
      </c>
      <c r="B996" t="s">
        <v>2777</v>
      </c>
      <c r="C996" s="4">
        <v>46033</v>
      </c>
      <c r="D996">
        <v>2026</v>
      </c>
      <c r="E996">
        <v>1</v>
      </c>
      <c r="F996" t="s">
        <v>30</v>
      </c>
      <c r="G996" t="s">
        <v>82</v>
      </c>
      <c r="H996" t="s">
        <v>2778</v>
      </c>
      <c r="I996" t="s">
        <v>219</v>
      </c>
      <c r="J996" t="s">
        <v>548</v>
      </c>
      <c r="K996" t="s">
        <v>1671</v>
      </c>
      <c r="L996">
        <v>2</v>
      </c>
      <c r="M996" s="5">
        <v>225.45</v>
      </c>
      <c r="N996" s="6">
        <v>10</v>
      </c>
      <c r="O996" s="5">
        <v>45.09</v>
      </c>
      <c r="P996" s="5">
        <v>60.87</v>
      </c>
      <c r="Q996" s="5">
        <v>466.68</v>
      </c>
      <c r="R996" s="5">
        <v>381.8</v>
      </c>
      <c r="S996" s="5">
        <v>84.88</v>
      </c>
      <c r="T996" s="7">
        <v>0.181880517699494</v>
      </c>
      <c r="U996" t="s">
        <v>11</v>
      </c>
      <c r="V996" t="s">
        <v>50</v>
      </c>
      <c r="W996" t="s">
        <v>50</v>
      </c>
      <c r="X996" t="s">
        <v>35</v>
      </c>
      <c r="Y996" t="s">
        <v>1828</v>
      </c>
      <c r="Z996" t="s">
        <v>80</v>
      </c>
    </row>
    <row r="997" spans="1:26">
      <c r="A997" t="s">
        <v>2779</v>
      </c>
      <c r="B997" t="s">
        <v>2779</v>
      </c>
      <c r="C997" s="4">
        <v>45910</v>
      </c>
      <c r="D997">
        <v>2025</v>
      </c>
      <c r="E997">
        <v>9</v>
      </c>
      <c r="F997" t="s">
        <v>25</v>
      </c>
      <c r="G997" t="s">
        <v>89</v>
      </c>
      <c r="H997" t="s">
        <v>1983</v>
      </c>
      <c r="I997" t="s">
        <v>356</v>
      </c>
      <c r="J997" t="s">
        <v>1512</v>
      </c>
      <c r="K997" t="s">
        <v>2780</v>
      </c>
      <c r="L997">
        <v>4</v>
      </c>
      <c r="M997" s="5">
        <v>503.4</v>
      </c>
      <c r="N997" s="6">
        <v>15</v>
      </c>
      <c r="O997" s="5">
        <v>302.04</v>
      </c>
      <c r="P997" s="5">
        <v>256.73</v>
      </c>
      <c r="Q997" s="5">
        <v>1711.56</v>
      </c>
      <c r="R997" s="5">
        <v>1131.52</v>
      </c>
      <c r="S997" s="5">
        <v>580.04</v>
      </c>
      <c r="T997" s="7">
        <v>0.338895510528407</v>
      </c>
      <c r="U997" t="s">
        <v>12</v>
      </c>
      <c r="V997" t="s">
        <v>50</v>
      </c>
      <c r="W997" t="s">
        <v>50</v>
      </c>
      <c r="X997" t="s">
        <v>33</v>
      </c>
      <c r="Y997" t="s">
        <v>1403</v>
      </c>
      <c r="Z997" t="s">
        <v>101</v>
      </c>
    </row>
    <row r="998" spans="1:26">
      <c r="A998" t="s">
        <v>2781</v>
      </c>
      <c r="B998" t="s">
        <v>2781</v>
      </c>
      <c r="C998" s="4">
        <v>45983</v>
      </c>
      <c r="D998">
        <v>2025</v>
      </c>
      <c r="E998">
        <v>11</v>
      </c>
      <c r="F998" t="s">
        <v>27</v>
      </c>
      <c r="G998" t="s">
        <v>137</v>
      </c>
      <c r="H998" t="s">
        <v>2782</v>
      </c>
      <c r="I998" t="s">
        <v>91</v>
      </c>
      <c r="J998" t="s">
        <v>1290</v>
      </c>
      <c r="K998" t="s">
        <v>2783</v>
      </c>
      <c r="L998">
        <v>3</v>
      </c>
      <c r="M998" s="5">
        <v>234.86</v>
      </c>
      <c r="N998" s="6">
        <v>10</v>
      </c>
      <c r="O998" s="5">
        <v>70.46</v>
      </c>
      <c r="P998" s="5">
        <v>95.12</v>
      </c>
      <c r="Q998" s="5">
        <v>729.24</v>
      </c>
      <c r="R998" s="5">
        <v>639.69</v>
      </c>
      <c r="S998" s="5">
        <v>89.55</v>
      </c>
      <c r="T998" s="7">
        <v>0.122799078492677</v>
      </c>
      <c r="U998" t="s">
        <v>10</v>
      </c>
      <c r="V998" t="s">
        <v>50</v>
      </c>
      <c r="W998" t="s">
        <v>50</v>
      </c>
      <c r="X998" t="s">
        <v>33</v>
      </c>
      <c r="Y998" t="s">
        <v>2784</v>
      </c>
      <c r="Z998" t="s">
        <v>80</v>
      </c>
    </row>
    <row r="999" spans="1:26">
      <c r="A999" t="s">
        <v>2785</v>
      </c>
      <c r="B999" t="s">
        <v>2785</v>
      </c>
      <c r="C999" s="4">
        <v>45795</v>
      </c>
      <c r="D999">
        <v>2025</v>
      </c>
      <c r="E999">
        <v>5</v>
      </c>
      <c r="F999" t="s">
        <v>21</v>
      </c>
      <c r="G999" t="s">
        <v>74</v>
      </c>
      <c r="H999" t="s">
        <v>964</v>
      </c>
      <c r="I999" t="s">
        <v>423</v>
      </c>
      <c r="J999" t="s">
        <v>563</v>
      </c>
      <c r="K999" t="s">
        <v>564</v>
      </c>
      <c r="L999">
        <v>4</v>
      </c>
      <c r="M999" s="5">
        <v>53.39</v>
      </c>
      <c r="N999" s="6">
        <v>15</v>
      </c>
      <c r="O999" s="5">
        <v>32.03</v>
      </c>
      <c r="P999" s="5">
        <v>27.23</v>
      </c>
      <c r="Q999" s="5">
        <v>208.76</v>
      </c>
      <c r="R999" s="5">
        <v>172.04</v>
      </c>
      <c r="S999" s="5">
        <v>36.72</v>
      </c>
      <c r="T999" s="7">
        <v>0.175895765472313</v>
      </c>
      <c r="U999" t="s">
        <v>14</v>
      </c>
      <c r="V999" t="s">
        <v>50</v>
      </c>
      <c r="W999" t="s">
        <v>50</v>
      </c>
      <c r="X999" t="s">
        <v>33</v>
      </c>
      <c r="Y999" t="s">
        <v>691</v>
      </c>
      <c r="Z999" t="s">
        <v>80</v>
      </c>
    </row>
    <row r="1000" spans="1:26">
      <c r="A1000" t="s">
        <v>2786</v>
      </c>
      <c r="B1000" t="s">
        <v>2786</v>
      </c>
      <c r="C1000" s="4">
        <v>45888</v>
      </c>
      <c r="D1000">
        <v>2025</v>
      </c>
      <c r="E1000">
        <v>8</v>
      </c>
      <c r="F1000" t="s">
        <v>24</v>
      </c>
      <c r="G1000" t="s">
        <v>89</v>
      </c>
      <c r="H1000" t="s">
        <v>2258</v>
      </c>
      <c r="I1000" t="s">
        <v>91</v>
      </c>
      <c r="J1000" t="s">
        <v>41</v>
      </c>
      <c r="K1000" t="s">
        <v>588</v>
      </c>
      <c r="L1000">
        <v>1</v>
      </c>
      <c r="M1000" s="5">
        <v>234.86</v>
      </c>
      <c r="N1000" s="6">
        <v>5</v>
      </c>
      <c r="O1000" s="5">
        <v>11.74</v>
      </c>
      <c r="P1000" s="5">
        <v>33.47</v>
      </c>
      <c r="Q1000" s="5">
        <v>223.12</v>
      </c>
      <c r="R1000" s="5">
        <v>213.23</v>
      </c>
      <c r="S1000" s="5">
        <v>9.89</v>
      </c>
      <c r="T1000" s="7">
        <v>0.0443259232699892</v>
      </c>
      <c r="U1000" t="s">
        <v>10</v>
      </c>
      <c r="V1000" t="s">
        <v>50</v>
      </c>
      <c r="W1000" t="s">
        <v>50</v>
      </c>
      <c r="X1000" t="s">
        <v>33</v>
      </c>
      <c r="Y1000" t="s">
        <v>2787</v>
      </c>
      <c r="Z1000" t="s">
        <v>101</v>
      </c>
    </row>
    <row r="1001" spans="1:26">
      <c r="A1001" t="s">
        <v>2788</v>
      </c>
      <c r="B1001" t="s">
        <v>2788</v>
      </c>
      <c r="C1001" s="4">
        <v>45885</v>
      </c>
      <c r="D1001">
        <v>2025</v>
      </c>
      <c r="E1001">
        <v>8</v>
      </c>
      <c r="F1001" t="s">
        <v>24</v>
      </c>
      <c r="G1001" t="s">
        <v>89</v>
      </c>
      <c r="H1001" t="s">
        <v>2313</v>
      </c>
      <c r="I1001" t="s">
        <v>116</v>
      </c>
      <c r="J1001" t="s">
        <v>152</v>
      </c>
      <c r="K1001" t="s">
        <v>153</v>
      </c>
      <c r="L1001">
        <v>1</v>
      </c>
      <c r="M1001" s="5">
        <v>172.63</v>
      </c>
      <c r="N1001" s="6">
        <v>10</v>
      </c>
      <c r="O1001" s="5">
        <v>17.26</v>
      </c>
      <c r="P1001" s="5">
        <v>23.31</v>
      </c>
      <c r="Q1001" s="5">
        <v>178.68</v>
      </c>
      <c r="R1001" s="5">
        <v>142</v>
      </c>
      <c r="S1001" s="5">
        <v>36.68</v>
      </c>
      <c r="T1001" s="7">
        <v>0.205283187821804</v>
      </c>
      <c r="U1001" t="s">
        <v>10</v>
      </c>
      <c r="V1001" t="s">
        <v>50</v>
      </c>
      <c r="W1001" t="s">
        <v>50</v>
      </c>
      <c r="X1001" t="s">
        <v>33</v>
      </c>
      <c r="Y1001" t="s">
        <v>921</v>
      </c>
      <c r="Z1001" t="s">
        <v>80</v>
      </c>
    </row>
    <row r="1002" spans="1:26">
      <c r="A1002" t="s">
        <v>2789</v>
      </c>
      <c r="B1002" t="s">
        <v>2789</v>
      </c>
      <c r="C1002" s="4">
        <v>46077</v>
      </c>
      <c r="D1002">
        <v>2026</v>
      </c>
      <c r="E1002">
        <v>2</v>
      </c>
      <c r="F1002" t="s">
        <v>31</v>
      </c>
      <c r="G1002" t="s">
        <v>82</v>
      </c>
      <c r="H1002" t="s">
        <v>2222</v>
      </c>
      <c r="I1002" t="s">
        <v>1137</v>
      </c>
      <c r="J1002" t="s">
        <v>2646</v>
      </c>
      <c r="K1002" t="s">
        <v>2647</v>
      </c>
      <c r="L1002">
        <v>1</v>
      </c>
      <c r="M1002" s="5">
        <v>405.1</v>
      </c>
      <c r="N1002" s="6">
        <v>10</v>
      </c>
      <c r="O1002" s="5">
        <v>40.51</v>
      </c>
      <c r="P1002" s="5">
        <v>54.69</v>
      </c>
      <c r="Q1002" s="5">
        <v>364.59</v>
      </c>
      <c r="R1002" s="5">
        <v>348.41</v>
      </c>
      <c r="S1002" s="5">
        <v>16.18</v>
      </c>
      <c r="T1002" s="7">
        <v>0.0443786170767163</v>
      </c>
      <c r="U1002" t="s">
        <v>13</v>
      </c>
      <c r="V1002" t="s">
        <v>50</v>
      </c>
      <c r="W1002" t="s">
        <v>50</v>
      </c>
      <c r="X1002" t="s">
        <v>33</v>
      </c>
      <c r="Y1002" t="s">
        <v>2009</v>
      </c>
      <c r="Z1002" t="s">
        <v>101</v>
      </c>
    </row>
    <row r="1003" spans="1:26">
      <c r="A1003" t="s">
        <v>2790</v>
      </c>
      <c r="B1003" t="s">
        <v>2790</v>
      </c>
      <c r="C1003" s="4">
        <v>45923</v>
      </c>
      <c r="D1003">
        <v>2025</v>
      </c>
      <c r="E1003">
        <v>9</v>
      </c>
      <c r="F1003" t="s">
        <v>25</v>
      </c>
      <c r="G1003" t="s">
        <v>89</v>
      </c>
      <c r="H1003" t="s">
        <v>1568</v>
      </c>
      <c r="I1003" t="s">
        <v>1132</v>
      </c>
      <c r="J1003" t="s">
        <v>38</v>
      </c>
      <c r="K1003" t="s">
        <v>236</v>
      </c>
      <c r="L1003">
        <v>7</v>
      </c>
      <c r="M1003" s="5">
        <v>327.96</v>
      </c>
      <c r="N1003" s="6">
        <v>15</v>
      </c>
      <c r="O1003" s="5">
        <v>344.36</v>
      </c>
      <c r="P1003" s="5">
        <v>292.7</v>
      </c>
      <c r="Q1003" s="5">
        <v>1951.36</v>
      </c>
      <c r="R1003" s="5">
        <v>1576.96</v>
      </c>
      <c r="S1003" s="5">
        <v>374.4</v>
      </c>
      <c r="T1003" s="7">
        <v>0.191866185634634</v>
      </c>
      <c r="U1003" t="s">
        <v>10</v>
      </c>
      <c r="V1003" t="s">
        <v>50</v>
      </c>
      <c r="W1003" t="s">
        <v>50</v>
      </c>
      <c r="X1003" t="s">
        <v>33</v>
      </c>
      <c r="Y1003" t="s">
        <v>650</v>
      </c>
      <c r="Z1003" t="s">
        <v>101</v>
      </c>
    </row>
    <row r="1004" spans="1:26">
      <c r="A1004" t="s">
        <v>2791</v>
      </c>
      <c r="B1004" t="s">
        <v>2791</v>
      </c>
      <c r="C1004" s="4">
        <v>45766</v>
      </c>
      <c r="D1004">
        <v>2025</v>
      </c>
      <c r="E1004">
        <v>4</v>
      </c>
      <c r="F1004" t="s">
        <v>20</v>
      </c>
      <c r="G1004" t="s">
        <v>74</v>
      </c>
      <c r="H1004" t="s">
        <v>1294</v>
      </c>
      <c r="I1004" t="s">
        <v>450</v>
      </c>
      <c r="J1004" t="s">
        <v>757</v>
      </c>
      <c r="K1004" t="s">
        <v>1943</v>
      </c>
      <c r="L1004">
        <v>7</v>
      </c>
      <c r="M1004" s="5">
        <v>505.15</v>
      </c>
      <c r="N1004" s="6">
        <v>5</v>
      </c>
      <c r="O1004" s="5">
        <v>176.8</v>
      </c>
      <c r="P1004" s="5">
        <v>503.89</v>
      </c>
      <c r="Q1004" s="5">
        <v>3863.14</v>
      </c>
      <c r="R1004" s="5">
        <v>1778.35</v>
      </c>
      <c r="S1004" s="5">
        <v>2084.79</v>
      </c>
      <c r="T1004" s="7">
        <v>0.539662036581641</v>
      </c>
      <c r="U1004" t="s">
        <v>9</v>
      </c>
      <c r="V1004" t="s">
        <v>50</v>
      </c>
      <c r="W1004" t="s">
        <v>50</v>
      </c>
      <c r="X1004" t="s">
        <v>33</v>
      </c>
      <c r="Y1004" t="s">
        <v>2792</v>
      </c>
      <c r="Z1004" t="s">
        <v>80</v>
      </c>
    </row>
    <row r="1005" spans="1:26">
      <c r="A1005" t="s">
        <v>2793</v>
      </c>
      <c r="B1005" t="s">
        <v>2793</v>
      </c>
      <c r="C1005" s="4">
        <v>46060</v>
      </c>
      <c r="D1005">
        <v>2026</v>
      </c>
      <c r="E1005">
        <v>2</v>
      </c>
      <c r="F1005" t="s">
        <v>31</v>
      </c>
      <c r="G1005" t="s">
        <v>82</v>
      </c>
      <c r="H1005" t="s">
        <v>2794</v>
      </c>
      <c r="I1005" t="s">
        <v>1694</v>
      </c>
      <c r="J1005" t="s">
        <v>92</v>
      </c>
      <c r="K1005" t="s">
        <v>510</v>
      </c>
      <c r="L1005">
        <v>1</v>
      </c>
      <c r="M1005" s="5">
        <v>233.47</v>
      </c>
      <c r="N1005" s="6">
        <v>0</v>
      </c>
      <c r="O1005" s="5">
        <v>0</v>
      </c>
      <c r="P1005" s="5">
        <v>35.02</v>
      </c>
      <c r="Q1005" s="5">
        <v>268.49</v>
      </c>
      <c r="R1005" s="5">
        <v>188.98</v>
      </c>
      <c r="S1005" s="5">
        <v>79.51</v>
      </c>
      <c r="T1005" s="7">
        <v>0.296137658758241</v>
      </c>
      <c r="U1005" t="s">
        <v>11</v>
      </c>
      <c r="V1005" t="s">
        <v>50</v>
      </c>
      <c r="W1005" t="s">
        <v>50</v>
      </c>
      <c r="X1005" t="s">
        <v>33</v>
      </c>
      <c r="Y1005" t="s">
        <v>1268</v>
      </c>
      <c r="Z1005" t="s">
        <v>80</v>
      </c>
    </row>
    <row r="1006" spans="1:26">
      <c r="A1006" t="s">
        <v>2795</v>
      </c>
      <c r="B1006" t="s">
        <v>2795</v>
      </c>
      <c r="C1006" s="4">
        <v>45956</v>
      </c>
      <c r="D1006">
        <v>2025</v>
      </c>
      <c r="E1006">
        <v>10</v>
      </c>
      <c r="F1006" t="s">
        <v>26</v>
      </c>
      <c r="G1006" t="s">
        <v>137</v>
      </c>
      <c r="H1006" t="s">
        <v>1594</v>
      </c>
      <c r="I1006" t="s">
        <v>547</v>
      </c>
      <c r="J1006" t="s">
        <v>152</v>
      </c>
      <c r="K1006" t="s">
        <v>153</v>
      </c>
      <c r="L1006">
        <v>1</v>
      </c>
      <c r="M1006" s="5">
        <v>503.36</v>
      </c>
      <c r="N1006" s="6">
        <v>15</v>
      </c>
      <c r="O1006" s="5">
        <v>75.5</v>
      </c>
      <c r="P1006" s="5">
        <v>64.18</v>
      </c>
      <c r="Q1006" s="5">
        <v>492.04</v>
      </c>
      <c r="R1006" s="5">
        <v>389.8</v>
      </c>
      <c r="S1006" s="5">
        <v>102.24</v>
      </c>
      <c r="T1006" s="7">
        <v>0.20778798471669</v>
      </c>
      <c r="U1006" t="s">
        <v>10</v>
      </c>
      <c r="V1006" t="s">
        <v>50</v>
      </c>
      <c r="W1006" t="s">
        <v>50</v>
      </c>
      <c r="X1006" t="s">
        <v>33</v>
      </c>
      <c r="Y1006" t="s">
        <v>864</v>
      </c>
      <c r="Z1006" t="s">
        <v>80</v>
      </c>
    </row>
    <row r="1007" spans="1:26">
      <c r="A1007" t="s">
        <v>2796</v>
      </c>
      <c r="B1007" t="s">
        <v>2796</v>
      </c>
      <c r="C1007" s="4">
        <v>46109</v>
      </c>
      <c r="D1007">
        <v>2026</v>
      </c>
      <c r="E1007">
        <v>3</v>
      </c>
      <c r="F1007" t="s">
        <v>19</v>
      </c>
      <c r="G1007" t="s">
        <v>82</v>
      </c>
      <c r="H1007" t="s">
        <v>2541</v>
      </c>
      <c r="I1007" t="s">
        <v>434</v>
      </c>
      <c r="J1007" t="s">
        <v>1107</v>
      </c>
      <c r="K1007" t="s">
        <v>1240</v>
      </c>
      <c r="L1007">
        <v>3</v>
      </c>
      <c r="M1007" s="5">
        <v>87.95</v>
      </c>
      <c r="N1007" s="6">
        <v>5</v>
      </c>
      <c r="O1007" s="5">
        <v>13.19</v>
      </c>
      <c r="P1007" s="5">
        <v>37.6</v>
      </c>
      <c r="Q1007" s="5">
        <v>288.26</v>
      </c>
      <c r="R1007" s="5">
        <v>207.27</v>
      </c>
      <c r="S1007" s="5">
        <v>80.99</v>
      </c>
      <c r="T1007" s="7">
        <v>0.280961631860126</v>
      </c>
      <c r="U1007" t="s">
        <v>14</v>
      </c>
      <c r="V1007" t="s">
        <v>50</v>
      </c>
      <c r="W1007" t="s">
        <v>50</v>
      </c>
      <c r="X1007" t="s">
        <v>33</v>
      </c>
      <c r="Y1007" t="s">
        <v>584</v>
      </c>
      <c r="Z1007" t="s">
        <v>80</v>
      </c>
    </row>
    <row r="1008" spans="1:26">
      <c r="A1008" t="s">
        <v>2797</v>
      </c>
      <c r="B1008" t="s">
        <v>2797</v>
      </c>
      <c r="C1008" s="4">
        <v>45781</v>
      </c>
      <c r="D1008">
        <v>2025</v>
      </c>
      <c r="E1008">
        <v>5</v>
      </c>
      <c r="F1008" t="s">
        <v>21</v>
      </c>
      <c r="G1008" t="s">
        <v>74</v>
      </c>
      <c r="H1008" t="s">
        <v>1054</v>
      </c>
      <c r="I1008" t="s">
        <v>126</v>
      </c>
      <c r="J1008" t="s">
        <v>676</v>
      </c>
      <c r="K1008" t="s">
        <v>2051</v>
      </c>
      <c r="L1008">
        <v>6</v>
      </c>
      <c r="M1008" s="5">
        <v>143.82</v>
      </c>
      <c r="N1008" s="6">
        <v>0</v>
      </c>
      <c r="O1008" s="5">
        <v>0</v>
      </c>
      <c r="P1008" s="5">
        <v>129.44</v>
      </c>
      <c r="Q1008" s="5">
        <v>992.36</v>
      </c>
      <c r="R1008" s="5">
        <v>703.62</v>
      </c>
      <c r="S1008" s="5">
        <v>288.74</v>
      </c>
      <c r="T1008" s="7">
        <v>0.290962956991414</v>
      </c>
      <c r="U1008" t="s">
        <v>12</v>
      </c>
      <c r="V1008" t="s">
        <v>50</v>
      </c>
      <c r="W1008" t="s">
        <v>50</v>
      </c>
      <c r="X1008" t="s">
        <v>33</v>
      </c>
      <c r="Y1008" t="s">
        <v>2015</v>
      </c>
      <c r="Z1008" t="s">
        <v>80</v>
      </c>
    </row>
    <row r="1009" spans="1:26">
      <c r="A1009" t="s">
        <v>2798</v>
      </c>
      <c r="B1009" t="s">
        <v>2798</v>
      </c>
      <c r="C1009" s="4">
        <v>45915</v>
      </c>
      <c r="D1009">
        <v>2025</v>
      </c>
      <c r="E1009">
        <v>9</v>
      </c>
      <c r="F1009" t="s">
        <v>25</v>
      </c>
      <c r="G1009" t="s">
        <v>89</v>
      </c>
      <c r="H1009" t="s">
        <v>2241</v>
      </c>
      <c r="I1009" t="s">
        <v>703</v>
      </c>
      <c r="J1009" t="s">
        <v>39</v>
      </c>
      <c r="K1009" t="s">
        <v>221</v>
      </c>
      <c r="L1009">
        <v>3</v>
      </c>
      <c r="M1009" s="5">
        <v>240.29</v>
      </c>
      <c r="N1009" s="6">
        <v>10</v>
      </c>
      <c r="O1009" s="5">
        <v>72.09</v>
      </c>
      <c r="P1009" s="5">
        <v>97.32</v>
      </c>
      <c r="Q1009" s="5">
        <v>648.78</v>
      </c>
      <c r="R1009" s="5">
        <v>577.17</v>
      </c>
      <c r="S1009" s="5">
        <v>71.61</v>
      </c>
      <c r="T1009" s="7">
        <v>0.110376398779247</v>
      </c>
      <c r="U1009" t="s">
        <v>10</v>
      </c>
      <c r="V1009" t="s">
        <v>50</v>
      </c>
      <c r="W1009" t="s">
        <v>50</v>
      </c>
      <c r="X1009" t="s">
        <v>33</v>
      </c>
      <c r="Y1009" t="s">
        <v>1820</v>
      </c>
      <c r="Z1009" t="s">
        <v>101</v>
      </c>
    </row>
    <row r="1010" spans="1:26">
      <c r="A1010" t="s">
        <v>2799</v>
      </c>
      <c r="B1010" t="s">
        <v>2799</v>
      </c>
      <c r="C1010" s="4">
        <v>45764</v>
      </c>
      <c r="D1010">
        <v>2025</v>
      </c>
      <c r="E1010">
        <v>4</v>
      </c>
      <c r="F1010" t="s">
        <v>20</v>
      </c>
      <c r="G1010" t="s">
        <v>74</v>
      </c>
      <c r="H1010" t="s">
        <v>1279</v>
      </c>
      <c r="I1010" t="s">
        <v>793</v>
      </c>
      <c r="J1010" t="s">
        <v>92</v>
      </c>
      <c r="K1010" t="s">
        <v>2679</v>
      </c>
      <c r="L1010">
        <v>3</v>
      </c>
      <c r="M1010" s="5">
        <v>153.84</v>
      </c>
      <c r="N1010" s="6">
        <v>5</v>
      </c>
      <c r="O1010" s="5">
        <v>23.08</v>
      </c>
      <c r="P1010" s="5">
        <v>65.77</v>
      </c>
      <c r="Q1010" s="5">
        <v>438.44</v>
      </c>
      <c r="R1010" s="5">
        <v>382.44</v>
      </c>
      <c r="S1010" s="5">
        <v>56</v>
      </c>
      <c r="T1010" s="7">
        <v>0.127725572484262</v>
      </c>
      <c r="U1010" t="s">
        <v>10</v>
      </c>
      <c r="V1010" t="s">
        <v>50</v>
      </c>
      <c r="W1010" t="s">
        <v>50</v>
      </c>
      <c r="X1010" t="s">
        <v>33</v>
      </c>
      <c r="Y1010" t="s">
        <v>479</v>
      </c>
      <c r="Z1010" t="s">
        <v>101</v>
      </c>
    </row>
    <row r="1011" spans="1:26">
      <c r="A1011" t="s">
        <v>2800</v>
      </c>
      <c r="B1011" t="s">
        <v>2800</v>
      </c>
      <c r="C1011" s="4">
        <v>45986</v>
      </c>
      <c r="D1011">
        <v>2025</v>
      </c>
      <c r="E1011">
        <v>11</v>
      </c>
      <c r="F1011" t="s">
        <v>27</v>
      </c>
      <c r="G1011" t="s">
        <v>137</v>
      </c>
      <c r="H1011" t="s">
        <v>378</v>
      </c>
      <c r="I1011" t="s">
        <v>937</v>
      </c>
      <c r="J1011" t="s">
        <v>246</v>
      </c>
      <c r="K1011" t="s">
        <v>247</v>
      </c>
      <c r="L1011">
        <v>1</v>
      </c>
      <c r="M1011" s="5">
        <v>438.7</v>
      </c>
      <c r="N1011" s="6">
        <v>5</v>
      </c>
      <c r="O1011" s="5">
        <v>21.93</v>
      </c>
      <c r="P1011" s="5">
        <v>62.52</v>
      </c>
      <c r="Q1011" s="5">
        <v>416.77</v>
      </c>
      <c r="R1011" s="5">
        <v>370.18</v>
      </c>
      <c r="S1011" s="5">
        <v>46.59</v>
      </c>
      <c r="T1011" s="7">
        <v>0.111788276507426</v>
      </c>
      <c r="U1011" t="s">
        <v>10</v>
      </c>
      <c r="V1011" t="s">
        <v>50</v>
      </c>
      <c r="W1011" t="s">
        <v>50</v>
      </c>
      <c r="X1011" t="s">
        <v>33</v>
      </c>
      <c r="Y1011" t="s">
        <v>869</v>
      </c>
      <c r="Z1011" t="s">
        <v>101</v>
      </c>
    </row>
    <row r="1012" spans="1:26">
      <c r="A1012" t="s">
        <v>2801</v>
      </c>
      <c r="B1012" t="s">
        <v>2801</v>
      </c>
      <c r="C1012" s="4">
        <v>45811</v>
      </c>
      <c r="D1012">
        <v>2025</v>
      </c>
      <c r="E1012">
        <v>6</v>
      </c>
      <c r="F1012" t="s">
        <v>22</v>
      </c>
      <c r="G1012" t="s">
        <v>74</v>
      </c>
      <c r="H1012" t="s">
        <v>738</v>
      </c>
      <c r="I1012" t="s">
        <v>323</v>
      </c>
      <c r="J1012" t="s">
        <v>191</v>
      </c>
      <c r="K1012" t="s">
        <v>192</v>
      </c>
      <c r="L1012">
        <v>3</v>
      </c>
      <c r="M1012" s="5">
        <v>54.59</v>
      </c>
      <c r="N1012" s="6">
        <v>10</v>
      </c>
      <c r="O1012" s="5">
        <v>16.38</v>
      </c>
      <c r="P1012" s="5">
        <v>22.11</v>
      </c>
      <c r="Q1012" s="5">
        <v>147.39</v>
      </c>
      <c r="R1012" s="5">
        <v>112.44</v>
      </c>
      <c r="S1012" s="5">
        <v>34.95</v>
      </c>
      <c r="T1012" s="7">
        <v>0.237125992265418</v>
      </c>
      <c r="U1012" t="s">
        <v>14</v>
      </c>
      <c r="V1012" t="s">
        <v>50</v>
      </c>
      <c r="W1012" t="s">
        <v>50</v>
      </c>
      <c r="X1012" t="s">
        <v>33</v>
      </c>
      <c r="Y1012" t="s">
        <v>1046</v>
      </c>
      <c r="Z1012" t="s">
        <v>101</v>
      </c>
    </row>
    <row r="1013" spans="1:26">
      <c r="A1013" t="s">
        <v>2802</v>
      </c>
      <c r="B1013" t="s">
        <v>2802</v>
      </c>
      <c r="C1013" s="4">
        <v>45839</v>
      </c>
      <c r="D1013">
        <v>2025</v>
      </c>
      <c r="E1013">
        <v>7</v>
      </c>
      <c r="F1013" t="s">
        <v>23</v>
      </c>
      <c r="G1013" t="s">
        <v>89</v>
      </c>
      <c r="H1013" t="s">
        <v>2429</v>
      </c>
      <c r="I1013" t="s">
        <v>196</v>
      </c>
      <c r="J1013" t="s">
        <v>654</v>
      </c>
      <c r="K1013" t="s">
        <v>2069</v>
      </c>
      <c r="L1013">
        <v>7</v>
      </c>
      <c r="M1013" s="5">
        <v>339.39</v>
      </c>
      <c r="N1013" s="6">
        <v>0</v>
      </c>
      <c r="O1013" s="5">
        <v>0</v>
      </c>
      <c r="P1013" s="5">
        <v>356.36</v>
      </c>
      <c r="Q1013" s="5"/>
      <c r="R1013" s="5">
        <v>1828.54</v>
      </c>
      <c r="S1013" s="5">
        <v>547.19</v>
      </c>
      <c r="T1013" s="7"/>
      <c r="U1013" t="s">
        <v>10</v>
      </c>
      <c r="V1013" t="s">
        <v>50</v>
      </c>
      <c r="W1013" t="s">
        <v>50</v>
      </c>
      <c r="X1013" t="s">
        <v>33</v>
      </c>
      <c r="Y1013" t="s">
        <v>565</v>
      </c>
      <c r="Z1013" t="s">
        <v>101</v>
      </c>
    </row>
    <row r="1014" spans="1:26">
      <c r="A1014" t="s">
        <v>2803</v>
      </c>
      <c r="B1014" t="s">
        <v>2803</v>
      </c>
      <c r="C1014" s="4">
        <v>46029</v>
      </c>
      <c r="D1014">
        <v>2026</v>
      </c>
      <c r="E1014">
        <v>1</v>
      </c>
      <c r="F1014" t="s">
        <v>30</v>
      </c>
      <c r="G1014" t="s">
        <v>82</v>
      </c>
      <c r="H1014" t="s">
        <v>1591</v>
      </c>
      <c r="I1014" t="s">
        <v>2804</v>
      </c>
      <c r="J1014" t="s">
        <v>39</v>
      </c>
      <c r="K1014" t="s">
        <v>2147</v>
      </c>
      <c r="L1014">
        <v>3</v>
      </c>
      <c r="M1014" s="5">
        <v>367.25</v>
      </c>
      <c r="N1014" s="6">
        <v>0</v>
      </c>
      <c r="O1014" s="5">
        <v>0</v>
      </c>
      <c r="P1014" s="5">
        <v>165.26</v>
      </c>
      <c r="Q1014" s="5">
        <v>1101.75</v>
      </c>
      <c r="R1014" s="5">
        <v>848.97</v>
      </c>
      <c r="S1014" s="5">
        <v>252.78</v>
      </c>
      <c r="T1014" s="7">
        <v>0.229434989788972</v>
      </c>
      <c r="U1014" t="s">
        <v>11</v>
      </c>
      <c r="V1014" t="s">
        <v>50</v>
      </c>
      <c r="W1014" t="s">
        <v>50</v>
      </c>
      <c r="X1014" t="s">
        <v>35</v>
      </c>
      <c r="Y1014" t="s">
        <v>2805</v>
      </c>
      <c r="Z1014" t="s">
        <v>101</v>
      </c>
    </row>
    <row r="1015" spans="1:26">
      <c r="A1015" t="s">
        <v>2806</v>
      </c>
      <c r="B1015" t="s">
        <v>2806</v>
      </c>
      <c r="C1015" s="4">
        <v>46110</v>
      </c>
      <c r="D1015">
        <v>2026</v>
      </c>
      <c r="E1015">
        <v>3</v>
      </c>
      <c r="F1015" t="s">
        <v>19</v>
      </c>
      <c r="G1015" t="s">
        <v>82</v>
      </c>
      <c r="H1015" t="s">
        <v>2807</v>
      </c>
      <c r="I1015" t="s">
        <v>139</v>
      </c>
      <c r="J1015" t="s">
        <v>263</v>
      </c>
      <c r="K1015" t="s">
        <v>264</v>
      </c>
      <c r="L1015">
        <v>1</v>
      </c>
      <c r="M1015" s="5">
        <v>38.66</v>
      </c>
      <c r="N1015" s="6">
        <v>0</v>
      </c>
      <c r="O1015" s="5">
        <v>0</v>
      </c>
      <c r="P1015" s="5">
        <v>5.8</v>
      </c>
      <c r="Q1015" s="5">
        <v>44.46</v>
      </c>
      <c r="R1015" s="5">
        <v>32.4</v>
      </c>
      <c r="S1015" s="5">
        <v>12.06</v>
      </c>
      <c r="T1015" s="7">
        <v>0.271255060728745</v>
      </c>
      <c r="U1015" t="s">
        <v>10</v>
      </c>
      <c r="V1015" t="s">
        <v>51</v>
      </c>
      <c r="W1015" t="s">
        <v>51</v>
      </c>
      <c r="X1015" t="s">
        <v>35</v>
      </c>
      <c r="Y1015" t="s">
        <v>193</v>
      </c>
      <c r="Z1015" t="s">
        <v>80</v>
      </c>
    </row>
    <row r="1016" spans="1:26">
      <c r="A1016" t="s">
        <v>2808</v>
      </c>
      <c r="B1016" t="s">
        <v>2808</v>
      </c>
      <c r="C1016" s="4">
        <v>45891</v>
      </c>
      <c r="D1016">
        <v>2025</v>
      </c>
      <c r="E1016">
        <v>8</v>
      </c>
      <c r="F1016" t="s">
        <v>24</v>
      </c>
      <c r="G1016" t="s">
        <v>89</v>
      </c>
      <c r="H1016" t="s">
        <v>1364</v>
      </c>
      <c r="I1016" t="s">
        <v>1196</v>
      </c>
      <c r="J1016" t="s">
        <v>642</v>
      </c>
      <c r="K1016" t="s">
        <v>1931</v>
      </c>
      <c r="L1016">
        <v>2</v>
      </c>
      <c r="M1016" s="5">
        <v>147.72</v>
      </c>
      <c r="N1016" s="6">
        <v>5</v>
      </c>
      <c r="O1016" s="5">
        <v>14.77</v>
      </c>
      <c r="P1016" s="5">
        <v>42.1</v>
      </c>
      <c r="Q1016" s="5">
        <v>280.67</v>
      </c>
      <c r="R1016" s="5">
        <v>218.42</v>
      </c>
      <c r="S1016" s="5">
        <v>62.25</v>
      </c>
      <c r="T1016" s="7">
        <v>0.221790715074643</v>
      </c>
      <c r="U1016" t="s">
        <v>12</v>
      </c>
      <c r="V1016" t="s">
        <v>51</v>
      </c>
      <c r="W1016" t="s">
        <v>51</v>
      </c>
      <c r="X1016" t="s">
        <v>33</v>
      </c>
      <c r="Y1016" t="s">
        <v>1487</v>
      </c>
      <c r="Z1016" t="s">
        <v>101</v>
      </c>
    </row>
    <row r="1017" spans="1:26">
      <c r="A1017" t="s">
        <v>2809</v>
      </c>
      <c r="B1017" t="s">
        <v>2809</v>
      </c>
      <c r="C1017" s="4">
        <v>45949</v>
      </c>
      <c r="D1017">
        <v>2025</v>
      </c>
      <c r="E1017">
        <v>10</v>
      </c>
      <c r="F1017" t="s">
        <v>26</v>
      </c>
      <c r="G1017" t="s">
        <v>137</v>
      </c>
      <c r="H1017" t="s">
        <v>982</v>
      </c>
      <c r="I1017" t="s">
        <v>323</v>
      </c>
      <c r="J1017" t="s">
        <v>548</v>
      </c>
      <c r="K1017" t="s">
        <v>287</v>
      </c>
      <c r="L1017">
        <v>4</v>
      </c>
      <c r="M1017" s="5">
        <v>51.33</v>
      </c>
      <c r="N1017" s="6">
        <v>5</v>
      </c>
      <c r="O1017" s="5">
        <v>10.27</v>
      </c>
      <c r="P1017" s="5">
        <v>29.26</v>
      </c>
      <c r="Q1017" s="5">
        <v>224.31</v>
      </c>
      <c r="R1017" s="5">
        <v>149.92</v>
      </c>
      <c r="S1017" s="5">
        <v>74.39</v>
      </c>
      <c r="T1017" s="7">
        <v>0.331639249253265</v>
      </c>
      <c r="U1017" t="s">
        <v>14</v>
      </c>
      <c r="V1017" t="s">
        <v>50</v>
      </c>
      <c r="W1017" t="s">
        <v>50</v>
      </c>
      <c r="X1017" t="s">
        <v>33</v>
      </c>
      <c r="Y1017" t="s">
        <v>565</v>
      </c>
      <c r="Z1017" t="s">
        <v>80</v>
      </c>
    </row>
    <row r="1018" spans="1:26">
      <c r="A1018" t="s">
        <v>2810</v>
      </c>
      <c r="B1018" t="s">
        <v>2810</v>
      </c>
      <c r="C1018" s="4">
        <v>45938</v>
      </c>
      <c r="D1018">
        <v>2025</v>
      </c>
      <c r="E1018">
        <v>10</v>
      </c>
      <c r="F1018" t="s">
        <v>26</v>
      </c>
      <c r="G1018" t="s">
        <v>137</v>
      </c>
      <c r="H1018" t="s">
        <v>1267</v>
      </c>
      <c r="I1018" t="s">
        <v>417</v>
      </c>
      <c r="J1018" t="s">
        <v>1657</v>
      </c>
      <c r="K1018" t="s">
        <v>1658</v>
      </c>
      <c r="L1018">
        <v>4</v>
      </c>
      <c r="M1018" s="5">
        <v>428.27</v>
      </c>
      <c r="N1018" s="6">
        <v>15</v>
      </c>
      <c r="O1018" s="5">
        <v>256.96</v>
      </c>
      <c r="P1018" s="5">
        <v>218.42</v>
      </c>
      <c r="Q1018" s="5">
        <v>1456.12</v>
      </c>
      <c r="R1018" s="5">
        <v>1239.92</v>
      </c>
      <c r="S1018" s="5">
        <v>216.2</v>
      </c>
      <c r="T1018" s="7">
        <v>0.148476773892262</v>
      </c>
      <c r="U1018" t="s">
        <v>11</v>
      </c>
      <c r="V1018" t="s">
        <v>50</v>
      </c>
      <c r="W1018" t="s">
        <v>50</v>
      </c>
      <c r="X1018" t="s">
        <v>33</v>
      </c>
      <c r="Y1018" t="s">
        <v>1111</v>
      </c>
      <c r="Z1018" t="s">
        <v>101</v>
      </c>
    </row>
    <row r="1019" spans="1:26">
      <c r="A1019" t="s">
        <v>2811</v>
      </c>
      <c r="B1019" t="s">
        <v>2811</v>
      </c>
      <c r="C1019" s="4">
        <v>46079</v>
      </c>
      <c r="D1019">
        <v>2026</v>
      </c>
      <c r="E1019">
        <v>2</v>
      </c>
      <c r="F1019" t="s">
        <v>31</v>
      </c>
      <c r="G1019" t="s">
        <v>82</v>
      </c>
      <c r="H1019" t="s">
        <v>1571</v>
      </c>
      <c r="I1019" t="s">
        <v>417</v>
      </c>
      <c r="J1019" t="s">
        <v>1104</v>
      </c>
      <c r="K1019" t="s">
        <v>1105</v>
      </c>
      <c r="L1019">
        <v>3</v>
      </c>
      <c r="M1019" s="5">
        <v>380.12</v>
      </c>
      <c r="N1019" s="6">
        <v>15</v>
      </c>
      <c r="O1019" s="5">
        <v>171.05</v>
      </c>
      <c r="P1019" s="5">
        <v>145.4</v>
      </c>
      <c r="Q1019" s="5">
        <v>969.31</v>
      </c>
      <c r="R1019" s="5">
        <v>929.94</v>
      </c>
      <c r="S1019" s="5">
        <v>39.37</v>
      </c>
      <c r="T1019" s="7">
        <v>0.0406165210304237</v>
      </c>
      <c r="U1019" t="s">
        <v>9</v>
      </c>
      <c r="V1019" t="s">
        <v>50</v>
      </c>
      <c r="W1019" t="s">
        <v>50</v>
      </c>
      <c r="X1019" t="s">
        <v>35</v>
      </c>
      <c r="Y1019" t="s">
        <v>1284</v>
      </c>
      <c r="Z1019" t="s">
        <v>101</v>
      </c>
    </row>
    <row r="1020" spans="1:26">
      <c r="A1020" t="s">
        <v>2812</v>
      </c>
      <c r="B1020" t="s">
        <v>2812</v>
      </c>
      <c r="C1020" s="4">
        <v>45850</v>
      </c>
      <c r="D1020">
        <v>2025</v>
      </c>
      <c r="E1020">
        <v>7</v>
      </c>
      <c r="F1020" t="s">
        <v>23</v>
      </c>
      <c r="G1020" t="s">
        <v>89</v>
      </c>
      <c r="H1020" t="s">
        <v>2813</v>
      </c>
      <c r="I1020" t="s">
        <v>145</v>
      </c>
      <c r="J1020" t="s">
        <v>1347</v>
      </c>
      <c r="K1020" t="s">
        <v>308</v>
      </c>
      <c r="L1020">
        <v>4</v>
      </c>
      <c r="M1020" s="5">
        <v>522.78</v>
      </c>
      <c r="N1020" s="6">
        <v>5</v>
      </c>
      <c r="O1020" s="5">
        <v>104.56</v>
      </c>
      <c r="P1020" s="5">
        <v>297.98</v>
      </c>
      <c r="Q1020" s="5">
        <v>2284.54</v>
      </c>
      <c r="R1020" s="5">
        <v>1583.48</v>
      </c>
      <c r="S1020" s="5">
        <v>701.06</v>
      </c>
      <c r="T1020" s="7">
        <v>0.306871405184414</v>
      </c>
      <c r="U1020" t="s">
        <v>10</v>
      </c>
      <c r="V1020" t="s">
        <v>50</v>
      </c>
      <c r="W1020" t="s">
        <v>50</v>
      </c>
      <c r="X1020" t="s">
        <v>33</v>
      </c>
      <c r="Y1020" t="s">
        <v>1146</v>
      </c>
      <c r="Z1020" t="s">
        <v>80</v>
      </c>
    </row>
    <row r="1021" spans="1:26">
      <c r="A1021" t="s">
        <v>2814</v>
      </c>
      <c r="B1021" t="s">
        <v>2814</v>
      </c>
      <c r="C1021" s="4">
        <v>45914</v>
      </c>
      <c r="D1021">
        <v>2025</v>
      </c>
      <c r="E1021">
        <v>9</v>
      </c>
      <c r="F1021" t="s">
        <v>25</v>
      </c>
      <c r="G1021" t="s">
        <v>89</v>
      </c>
      <c r="H1021" t="s">
        <v>1617</v>
      </c>
      <c r="I1021" t="s">
        <v>285</v>
      </c>
      <c r="J1021" t="s">
        <v>1072</v>
      </c>
      <c r="K1021" t="s">
        <v>1830</v>
      </c>
      <c r="L1021">
        <v>1</v>
      </c>
      <c r="M1021" s="5">
        <v>541.35</v>
      </c>
      <c r="N1021" s="6">
        <v>5</v>
      </c>
      <c r="O1021" s="5">
        <v>27.07</v>
      </c>
      <c r="P1021" s="5">
        <v>77.14</v>
      </c>
      <c r="Q1021" s="5">
        <v>591.42</v>
      </c>
      <c r="R1021" s="5">
        <v>336.4</v>
      </c>
      <c r="S1021" s="5">
        <v>255.02</v>
      </c>
      <c r="T1021" s="7">
        <v>0.431199485982889</v>
      </c>
      <c r="U1021" t="s">
        <v>13</v>
      </c>
      <c r="V1021" t="s">
        <v>50</v>
      </c>
      <c r="W1021" t="s">
        <v>50</v>
      </c>
      <c r="X1021" t="s">
        <v>33</v>
      </c>
      <c r="Y1021" t="s">
        <v>2000</v>
      </c>
      <c r="Z1021" t="s">
        <v>80</v>
      </c>
    </row>
    <row r="1022" spans="1:26">
      <c r="A1022" t="s">
        <v>2815</v>
      </c>
      <c r="B1022" t="s">
        <v>2815</v>
      </c>
      <c r="C1022" s="4">
        <v>45980</v>
      </c>
      <c r="D1022">
        <v>2025</v>
      </c>
      <c r="E1022">
        <v>11</v>
      </c>
      <c r="F1022" t="s">
        <v>27</v>
      </c>
      <c r="G1022" t="s">
        <v>137</v>
      </c>
      <c r="H1022" t="s">
        <v>2163</v>
      </c>
      <c r="I1022" t="s">
        <v>756</v>
      </c>
      <c r="J1022" t="s">
        <v>1150</v>
      </c>
      <c r="K1022" t="s">
        <v>1151</v>
      </c>
      <c r="L1022">
        <v>8</v>
      </c>
      <c r="M1022" s="5">
        <v>182.89</v>
      </c>
      <c r="N1022" s="6">
        <v>0</v>
      </c>
      <c r="O1022" s="5">
        <v>0</v>
      </c>
      <c r="P1022" s="5">
        <v>219.47</v>
      </c>
      <c r="Q1022" s="5">
        <v>1463.12</v>
      </c>
      <c r="R1022" s="5">
        <v>993.92</v>
      </c>
      <c r="S1022" s="5">
        <v>469.2</v>
      </c>
      <c r="T1022" s="7">
        <v>0.320684564492318</v>
      </c>
      <c r="U1022" t="s">
        <v>14</v>
      </c>
      <c r="V1022" t="s">
        <v>50</v>
      </c>
      <c r="W1022" t="s">
        <v>50</v>
      </c>
      <c r="X1022" t="s">
        <v>33</v>
      </c>
      <c r="Y1022" t="s">
        <v>2000</v>
      </c>
      <c r="Z1022" t="s">
        <v>101</v>
      </c>
    </row>
    <row r="1023" spans="1:26">
      <c r="A1023" t="s">
        <v>2816</v>
      </c>
      <c r="B1023" t="s">
        <v>2816</v>
      </c>
      <c r="C1023" s="4">
        <v>45839</v>
      </c>
      <c r="D1023">
        <v>2025</v>
      </c>
      <c r="E1023">
        <v>7</v>
      </c>
      <c r="F1023" t="s">
        <v>23</v>
      </c>
      <c r="G1023" t="s">
        <v>89</v>
      </c>
      <c r="H1023" t="s">
        <v>2817</v>
      </c>
      <c r="I1023" t="s">
        <v>503</v>
      </c>
      <c r="J1023" t="s">
        <v>38</v>
      </c>
      <c r="K1023" t="s">
        <v>236</v>
      </c>
      <c r="L1023">
        <v>4</v>
      </c>
      <c r="M1023" s="5">
        <v>71.29</v>
      </c>
      <c r="N1023" s="6">
        <v>0</v>
      </c>
      <c r="O1023" s="5">
        <v>0</v>
      </c>
      <c r="P1023" s="5">
        <v>42.77</v>
      </c>
      <c r="Q1023" s="5">
        <v>285.16</v>
      </c>
      <c r="R1023" s="5">
        <v>237.48</v>
      </c>
      <c r="S1023" s="5">
        <v>47.68</v>
      </c>
      <c r="T1023" s="7">
        <v>0.167204376490391</v>
      </c>
      <c r="U1023" t="s">
        <v>13</v>
      </c>
      <c r="V1023" t="s">
        <v>50</v>
      </c>
      <c r="W1023" t="s">
        <v>50</v>
      </c>
      <c r="X1023" t="s">
        <v>33</v>
      </c>
      <c r="Y1023" t="s">
        <v>661</v>
      </c>
      <c r="Z1023" t="s">
        <v>101</v>
      </c>
    </row>
    <row r="1024" spans="1:26">
      <c r="A1024" t="s">
        <v>2818</v>
      </c>
      <c r="B1024" t="s">
        <v>2818</v>
      </c>
      <c r="C1024" s="4">
        <v>45888</v>
      </c>
      <c r="D1024">
        <v>2025</v>
      </c>
      <c r="E1024">
        <v>8</v>
      </c>
      <c r="F1024" t="s">
        <v>24</v>
      </c>
      <c r="G1024" t="s">
        <v>89</v>
      </c>
      <c r="H1024" t="s">
        <v>2222</v>
      </c>
      <c r="I1024" t="s">
        <v>615</v>
      </c>
      <c r="J1024" t="s">
        <v>396</v>
      </c>
      <c r="K1024" t="s">
        <v>1297</v>
      </c>
      <c r="L1024">
        <v>2</v>
      </c>
      <c r="M1024" s="5">
        <v>46.76</v>
      </c>
      <c r="N1024" s="6">
        <v>0</v>
      </c>
      <c r="O1024" s="5">
        <v>0</v>
      </c>
      <c r="P1024" s="5">
        <v>14.03</v>
      </c>
      <c r="Q1024" s="5">
        <v>93.52</v>
      </c>
      <c r="R1024" s="5">
        <v>73.3</v>
      </c>
      <c r="S1024" s="5">
        <v>20.22</v>
      </c>
      <c r="T1024" s="7">
        <v>0.216210436270316</v>
      </c>
      <c r="U1024" t="s">
        <v>11</v>
      </c>
      <c r="V1024" t="s">
        <v>50</v>
      </c>
      <c r="W1024" t="s">
        <v>50</v>
      </c>
      <c r="X1024" t="s">
        <v>35</v>
      </c>
      <c r="Y1024" t="s">
        <v>479</v>
      </c>
      <c r="Z1024" t="s">
        <v>101</v>
      </c>
    </row>
    <row r="1025" spans="1:26">
      <c r="A1025" t="s">
        <v>2819</v>
      </c>
      <c r="B1025" t="s">
        <v>2819</v>
      </c>
      <c r="C1025" s="4">
        <v>45881</v>
      </c>
      <c r="D1025">
        <v>2025</v>
      </c>
      <c r="E1025">
        <v>8</v>
      </c>
      <c r="F1025" t="s">
        <v>24</v>
      </c>
      <c r="G1025" t="s">
        <v>89</v>
      </c>
      <c r="H1025" t="s">
        <v>349</v>
      </c>
      <c r="I1025" t="s">
        <v>647</v>
      </c>
      <c r="J1025" t="s">
        <v>2646</v>
      </c>
      <c r="K1025" t="s">
        <v>2647</v>
      </c>
      <c r="L1025">
        <v>4</v>
      </c>
      <c r="M1025" s="5">
        <v>75.68</v>
      </c>
      <c r="N1025" s="6">
        <v>0</v>
      </c>
      <c r="O1025" s="5">
        <v>0</v>
      </c>
      <c r="P1025" s="5">
        <v>45.41</v>
      </c>
      <c r="Q1025" s="5">
        <v>302.72</v>
      </c>
      <c r="R1025" s="5">
        <v>248.56</v>
      </c>
      <c r="S1025" s="5">
        <v>54.16</v>
      </c>
      <c r="T1025" s="7">
        <v>0.178911205073996</v>
      </c>
      <c r="U1025" t="s">
        <v>11</v>
      </c>
      <c r="V1025" t="s">
        <v>50</v>
      </c>
      <c r="W1025" t="s">
        <v>50</v>
      </c>
      <c r="X1025" t="s">
        <v>33</v>
      </c>
      <c r="Y1025" t="s">
        <v>1710</v>
      </c>
      <c r="Z1025" t="s">
        <v>101</v>
      </c>
    </row>
    <row r="1026" spans="1:26">
      <c r="A1026" t="s">
        <v>2820</v>
      </c>
      <c r="B1026" t="s">
        <v>2820</v>
      </c>
      <c r="C1026" s="4">
        <v>45934</v>
      </c>
      <c r="D1026">
        <v>2025</v>
      </c>
      <c r="E1026">
        <v>10</v>
      </c>
      <c r="F1026" t="s">
        <v>26</v>
      </c>
      <c r="G1026" t="s">
        <v>137</v>
      </c>
      <c r="H1026" t="s">
        <v>2163</v>
      </c>
      <c r="I1026" t="s">
        <v>196</v>
      </c>
      <c r="J1026" t="s">
        <v>240</v>
      </c>
      <c r="K1026" t="s">
        <v>2573</v>
      </c>
      <c r="L1026">
        <v>5</v>
      </c>
      <c r="M1026" s="5">
        <v>342.72</v>
      </c>
      <c r="N1026" s="6">
        <v>10</v>
      </c>
      <c r="O1026" s="5">
        <v>171.36</v>
      </c>
      <c r="P1026" s="5">
        <v>231.34</v>
      </c>
      <c r="Q1026" s="5">
        <v>1773.58</v>
      </c>
      <c r="R1026" s="5">
        <v>1306.1</v>
      </c>
      <c r="S1026" s="5">
        <v>467.48</v>
      </c>
      <c r="T1026" s="7">
        <v>0.263579877986897</v>
      </c>
      <c r="U1026" t="s">
        <v>14</v>
      </c>
      <c r="V1026" t="s">
        <v>50</v>
      </c>
      <c r="W1026" t="s">
        <v>50</v>
      </c>
      <c r="X1026" t="s">
        <v>35</v>
      </c>
      <c r="Y1026" t="s">
        <v>2821</v>
      </c>
      <c r="Z1026" t="s">
        <v>80</v>
      </c>
    </row>
    <row r="1027" spans="1:26">
      <c r="A1027" t="s">
        <v>2822</v>
      </c>
      <c r="B1027" t="s">
        <v>2822</v>
      </c>
      <c r="C1027" s="4">
        <v>45776</v>
      </c>
      <c r="D1027">
        <v>2025</v>
      </c>
      <c r="E1027">
        <v>4</v>
      </c>
      <c r="F1027" t="s">
        <v>20</v>
      </c>
      <c r="G1027" t="s">
        <v>74</v>
      </c>
      <c r="H1027" t="s">
        <v>2823</v>
      </c>
      <c r="I1027" t="s">
        <v>797</v>
      </c>
      <c r="J1027" t="s">
        <v>889</v>
      </c>
      <c r="K1027" t="s">
        <v>287</v>
      </c>
      <c r="L1027">
        <v>4</v>
      </c>
      <c r="M1027" s="5">
        <v>442.14</v>
      </c>
      <c r="N1027" s="6">
        <v>5</v>
      </c>
      <c r="O1027" s="5">
        <v>88.43</v>
      </c>
      <c r="P1027" s="5">
        <v>252.02</v>
      </c>
      <c r="Q1027" s="5">
        <v>1680.13</v>
      </c>
      <c r="R1027" s="5">
        <v>1407.48</v>
      </c>
      <c r="S1027" s="5">
        <v>272.65</v>
      </c>
      <c r="T1027" s="7">
        <v>0.162279109354633</v>
      </c>
      <c r="U1027" t="s">
        <v>10</v>
      </c>
      <c r="V1027" t="s">
        <v>50</v>
      </c>
      <c r="W1027" t="s">
        <v>50</v>
      </c>
      <c r="X1027" t="s">
        <v>35</v>
      </c>
      <c r="Y1027" t="s">
        <v>2052</v>
      </c>
      <c r="Z1027" t="s">
        <v>101</v>
      </c>
    </row>
    <row r="1028" spans="1:26">
      <c r="A1028" t="s">
        <v>2824</v>
      </c>
      <c r="B1028" t="s">
        <v>2824</v>
      </c>
      <c r="C1028" s="4">
        <v>45954</v>
      </c>
      <c r="D1028">
        <v>2025</v>
      </c>
      <c r="E1028">
        <v>10</v>
      </c>
      <c r="F1028" t="s">
        <v>26</v>
      </c>
      <c r="G1028" t="s">
        <v>137</v>
      </c>
      <c r="H1028" t="s">
        <v>1766</v>
      </c>
      <c r="I1028" t="s">
        <v>689</v>
      </c>
      <c r="J1028" t="s">
        <v>899</v>
      </c>
      <c r="K1028" t="s">
        <v>171</v>
      </c>
      <c r="L1028">
        <v>1</v>
      </c>
      <c r="M1028" s="5">
        <v>123.11</v>
      </c>
      <c r="N1028" s="6">
        <v>0</v>
      </c>
      <c r="O1028" s="5">
        <v>0</v>
      </c>
      <c r="P1028" s="5">
        <v>18.47</v>
      </c>
      <c r="Q1028" s="5">
        <v>123.11</v>
      </c>
      <c r="R1028" s="5">
        <v>91.18</v>
      </c>
      <c r="S1028" s="5">
        <v>31.93</v>
      </c>
      <c r="T1028" s="7">
        <v>0.259361546584356</v>
      </c>
      <c r="U1028" t="s">
        <v>11</v>
      </c>
      <c r="V1028" t="s">
        <v>50</v>
      </c>
      <c r="W1028" t="s">
        <v>50</v>
      </c>
      <c r="X1028" t="s">
        <v>33</v>
      </c>
      <c r="Y1028" t="s">
        <v>2704</v>
      </c>
      <c r="Z1028" t="s">
        <v>101</v>
      </c>
    </row>
    <row r="1029" spans="1:26">
      <c r="A1029" t="s">
        <v>2825</v>
      </c>
      <c r="B1029" t="s">
        <v>2825</v>
      </c>
      <c r="C1029" s="4">
        <v>46095</v>
      </c>
      <c r="D1029">
        <v>2026</v>
      </c>
      <c r="E1029">
        <v>3</v>
      </c>
      <c r="F1029" t="s">
        <v>19</v>
      </c>
      <c r="G1029" t="s">
        <v>82</v>
      </c>
      <c r="H1029" t="s">
        <v>2826</v>
      </c>
      <c r="I1029" t="s">
        <v>1714</v>
      </c>
      <c r="J1029" t="s">
        <v>2513</v>
      </c>
      <c r="K1029" t="s">
        <v>1916</v>
      </c>
      <c r="L1029">
        <v>3</v>
      </c>
      <c r="M1029" s="5">
        <v>342.27</v>
      </c>
      <c r="N1029" s="6">
        <v>20</v>
      </c>
      <c r="O1029" s="5">
        <v>205.36</v>
      </c>
      <c r="P1029" s="5">
        <v>123.22</v>
      </c>
      <c r="Q1029" s="5">
        <v>944.67</v>
      </c>
      <c r="R1029" s="5">
        <v>798.3</v>
      </c>
      <c r="S1029" s="5">
        <v>146.37</v>
      </c>
      <c r="T1029" s="7">
        <v>0.154942995966846</v>
      </c>
      <c r="U1029" t="s">
        <v>14</v>
      </c>
      <c r="V1029" t="s">
        <v>50</v>
      </c>
      <c r="W1029" t="s">
        <v>50</v>
      </c>
      <c r="X1029" t="s">
        <v>33</v>
      </c>
      <c r="Y1029" t="s">
        <v>193</v>
      </c>
      <c r="Z1029" t="s">
        <v>80</v>
      </c>
    </row>
    <row r="1030" spans="1:26">
      <c r="A1030" t="s">
        <v>2827</v>
      </c>
      <c r="B1030" t="s">
        <v>2827</v>
      </c>
      <c r="C1030" s="4">
        <v>45758</v>
      </c>
      <c r="D1030">
        <v>2025</v>
      </c>
      <c r="E1030">
        <v>4</v>
      </c>
      <c r="F1030" t="s">
        <v>20</v>
      </c>
      <c r="G1030" t="s">
        <v>74</v>
      </c>
      <c r="H1030" t="s">
        <v>2828</v>
      </c>
      <c r="I1030" t="s">
        <v>703</v>
      </c>
      <c r="J1030" t="s">
        <v>717</v>
      </c>
      <c r="K1030" t="s">
        <v>718</v>
      </c>
      <c r="L1030">
        <v>2</v>
      </c>
      <c r="M1030" s="5">
        <v>224.28</v>
      </c>
      <c r="N1030" s="6">
        <v>0</v>
      </c>
      <c r="O1030" s="5">
        <v>0</v>
      </c>
      <c r="P1030" s="5">
        <v>67.28</v>
      </c>
      <c r="Q1030" s="5">
        <v>448.56</v>
      </c>
      <c r="R1030" s="5">
        <v>384.78</v>
      </c>
      <c r="S1030" s="5">
        <v>63.78</v>
      </c>
      <c r="T1030" s="7">
        <v>0.142188336008561</v>
      </c>
      <c r="U1030" t="s">
        <v>12</v>
      </c>
      <c r="V1030" t="s">
        <v>50</v>
      </c>
      <c r="W1030" t="s">
        <v>50</v>
      </c>
      <c r="X1030" t="s">
        <v>33</v>
      </c>
      <c r="Y1030" t="s">
        <v>204</v>
      </c>
      <c r="Z1030" t="s">
        <v>101</v>
      </c>
    </row>
    <row r="1031" spans="1:26">
      <c r="A1031" t="s">
        <v>2829</v>
      </c>
      <c r="B1031" t="s">
        <v>2829</v>
      </c>
      <c r="C1031" s="4">
        <v>46042</v>
      </c>
      <c r="D1031">
        <v>2026</v>
      </c>
      <c r="E1031">
        <v>1</v>
      </c>
      <c r="F1031" t="s">
        <v>30</v>
      </c>
      <c r="G1031" t="s">
        <v>82</v>
      </c>
      <c r="H1031" t="s">
        <v>1026</v>
      </c>
      <c r="I1031" t="s">
        <v>819</v>
      </c>
      <c r="J1031" t="s">
        <v>396</v>
      </c>
      <c r="K1031" t="s">
        <v>1297</v>
      </c>
      <c r="L1031">
        <v>3</v>
      </c>
      <c r="M1031" s="5">
        <v>94.15</v>
      </c>
      <c r="N1031" s="6">
        <v>0</v>
      </c>
      <c r="O1031" s="5">
        <v>0</v>
      </c>
      <c r="P1031" s="5">
        <v>42.37</v>
      </c>
      <c r="Q1031" s="5">
        <v>282.45</v>
      </c>
      <c r="R1031" s="5">
        <v>204.51</v>
      </c>
      <c r="S1031" s="5">
        <v>77.94</v>
      </c>
      <c r="T1031" s="7">
        <v>0.275942644715879</v>
      </c>
      <c r="U1031" t="s">
        <v>12</v>
      </c>
      <c r="V1031" t="s">
        <v>50</v>
      </c>
      <c r="W1031" t="s">
        <v>50</v>
      </c>
      <c r="X1031" t="s">
        <v>33</v>
      </c>
      <c r="Y1031" t="s">
        <v>341</v>
      </c>
      <c r="Z1031" t="s">
        <v>101</v>
      </c>
    </row>
    <row r="1032" spans="1:26">
      <c r="A1032" t="s">
        <v>2830</v>
      </c>
      <c r="B1032" t="s">
        <v>2830</v>
      </c>
      <c r="C1032" s="4">
        <v>46004</v>
      </c>
      <c r="D1032">
        <v>2025</v>
      </c>
      <c r="E1032">
        <v>12</v>
      </c>
      <c r="F1032" t="s">
        <v>28</v>
      </c>
      <c r="G1032" t="s">
        <v>137</v>
      </c>
      <c r="H1032" t="s">
        <v>658</v>
      </c>
      <c r="I1032" t="s">
        <v>2193</v>
      </c>
      <c r="J1032" t="s">
        <v>127</v>
      </c>
      <c r="K1032" t="s">
        <v>128</v>
      </c>
      <c r="L1032">
        <v>5</v>
      </c>
      <c r="M1032" s="5">
        <v>91.61</v>
      </c>
      <c r="N1032" s="6">
        <v>0</v>
      </c>
      <c r="O1032" s="5">
        <v>0</v>
      </c>
      <c r="P1032" s="5">
        <v>68.71</v>
      </c>
      <c r="Q1032" s="5">
        <v>526.76</v>
      </c>
      <c r="R1032" s="5">
        <v>353.5</v>
      </c>
      <c r="S1032" s="5">
        <v>173.26</v>
      </c>
      <c r="T1032" s="7">
        <v>0.328916394562989</v>
      </c>
      <c r="U1032" t="s">
        <v>9</v>
      </c>
      <c r="V1032" t="s">
        <v>50</v>
      </c>
      <c r="W1032" t="s">
        <v>50</v>
      </c>
      <c r="X1032" t="s">
        <v>33</v>
      </c>
      <c r="Y1032" t="s">
        <v>753</v>
      </c>
      <c r="Z1032" t="s">
        <v>80</v>
      </c>
    </row>
    <row r="1033" spans="1:26">
      <c r="A1033" t="s">
        <v>2831</v>
      </c>
      <c r="B1033" t="s">
        <v>2831</v>
      </c>
      <c r="C1033" s="4">
        <v>45995</v>
      </c>
      <c r="D1033">
        <v>2025</v>
      </c>
      <c r="E1033">
        <v>12</v>
      </c>
      <c r="F1033" t="s">
        <v>28</v>
      </c>
      <c r="G1033" t="s">
        <v>137</v>
      </c>
      <c r="H1033" t="s">
        <v>1294</v>
      </c>
      <c r="I1033" t="s">
        <v>174</v>
      </c>
      <c r="J1033" t="s">
        <v>2044</v>
      </c>
      <c r="K1033" t="s">
        <v>2171</v>
      </c>
      <c r="L1033">
        <v>6</v>
      </c>
      <c r="M1033" s="5">
        <v>431.29</v>
      </c>
      <c r="N1033" s="6">
        <v>5</v>
      </c>
      <c r="O1033" s="5">
        <v>129.39</v>
      </c>
      <c r="P1033" s="5">
        <v>368.75</v>
      </c>
      <c r="Q1033" s="5">
        <v>2458.35</v>
      </c>
      <c r="R1033" s="5">
        <v>1916.22</v>
      </c>
      <c r="S1033" s="5">
        <v>542.13</v>
      </c>
      <c r="T1033" s="7">
        <v>0.220525962535847</v>
      </c>
      <c r="U1033" t="s">
        <v>10</v>
      </c>
      <c r="V1033" t="s">
        <v>50</v>
      </c>
      <c r="W1033" t="s">
        <v>50</v>
      </c>
      <c r="X1033" t="s">
        <v>33</v>
      </c>
      <c r="Y1033" t="s">
        <v>2832</v>
      </c>
      <c r="Z1033" t="s">
        <v>101</v>
      </c>
    </row>
    <row r="1034" spans="1:26">
      <c r="A1034" t="s">
        <v>2833</v>
      </c>
      <c r="B1034" t="s">
        <v>2833</v>
      </c>
      <c r="C1034" s="4">
        <v>45757</v>
      </c>
      <c r="D1034">
        <v>2025</v>
      </c>
      <c r="E1034">
        <v>4</v>
      </c>
      <c r="F1034" t="s">
        <v>20</v>
      </c>
      <c r="G1034" t="s">
        <v>74</v>
      </c>
      <c r="H1034" t="s">
        <v>2834</v>
      </c>
      <c r="I1034" t="s">
        <v>151</v>
      </c>
      <c r="J1034" t="s">
        <v>2681</v>
      </c>
      <c r="K1034" t="s">
        <v>2835</v>
      </c>
      <c r="L1034">
        <v>2</v>
      </c>
      <c r="M1034" s="5">
        <v>434.65</v>
      </c>
      <c r="N1034" s="6">
        <v>0</v>
      </c>
      <c r="O1034" s="5">
        <v>0</v>
      </c>
      <c r="P1034" s="5">
        <v>130.39</v>
      </c>
      <c r="Q1034" s="5">
        <v>869.3</v>
      </c>
      <c r="R1034" s="5">
        <v>703.26</v>
      </c>
      <c r="S1034" s="5">
        <v>166.04</v>
      </c>
      <c r="T1034" s="7">
        <v>0.191004256298171</v>
      </c>
      <c r="U1034" t="s">
        <v>10</v>
      </c>
      <c r="V1034" t="s">
        <v>50</v>
      </c>
      <c r="W1034" t="s">
        <v>50</v>
      </c>
      <c r="X1034" t="s">
        <v>33</v>
      </c>
      <c r="Y1034" t="s">
        <v>1840</v>
      </c>
      <c r="Z1034" t="s">
        <v>101</v>
      </c>
    </row>
    <row r="1035" spans="1:26">
      <c r="A1035" t="s">
        <v>2836</v>
      </c>
      <c r="B1035" t="s">
        <v>2836</v>
      </c>
      <c r="C1035" s="4">
        <v>45998</v>
      </c>
      <c r="D1035">
        <v>2025</v>
      </c>
      <c r="E1035">
        <v>12</v>
      </c>
      <c r="F1035" t="s">
        <v>28</v>
      </c>
      <c r="G1035" t="s">
        <v>137</v>
      </c>
      <c r="H1035" t="s">
        <v>2837</v>
      </c>
      <c r="I1035" t="s">
        <v>756</v>
      </c>
      <c r="J1035" t="s">
        <v>39</v>
      </c>
      <c r="K1035" t="s">
        <v>2838</v>
      </c>
      <c r="L1035">
        <v>2</v>
      </c>
      <c r="M1035" s="5">
        <v>161.03</v>
      </c>
      <c r="N1035" s="6">
        <v>0</v>
      </c>
      <c r="O1035" s="5">
        <v>0</v>
      </c>
      <c r="P1035" s="5">
        <v>48.31</v>
      </c>
      <c r="Q1035" s="5">
        <v>370.37</v>
      </c>
      <c r="R1035" s="5">
        <v>248.48</v>
      </c>
      <c r="S1035" s="5">
        <v>121.89</v>
      </c>
      <c r="T1035" s="7">
        <v>0.329103329103329</v>
      </c>
      <c r="U1035" t="s">
        <v>13</v>
      </c>
      <c r="V1035" t="s">
        <v>50</v>
      </c>
      <c r="W1035" t="s">
        <v>50</v>
      </c>
      <c r="X1035" t="s">
        <v>33</v>
      </c>
      <c r="Y1035" t="s">
        <v>739</v>
      </c>
      <c r="Z1035" t="s">
        <v>80</v>
      </c>
    </row>
    <row r="1036" spans="1:26">
      <c r="A1036" t="s">
        <v>2839</v>
      </c>
      <c r="B1036" t="s">
        <v>2839</v>
      </c>
      <c r="C1036" s="4">
        <v>45861</v>
      </c>
      <c r="D1036">
        <v>2025</v>
      </c>
      <c r="E1036">
        <v>7</v>
      </c>
      <c r="F1036" t="s">
        <v>23</v>
      </c>
      <c r="G1036" t="s">
        <v>89</v>
      </c>
      <c r="H1036" t="s">
        <v>162</v>
      </c>
      <c r="I1036" t="s">
        <v>262</v>
      </c>
      <c r="J1036" t="s">
        <v>2259</v>
      </c>
      <c r="K1036" t="s">
        <v>2018</v>
      </c>
      <c r="L1036">
        <v>1</v>
      </c>
      <c r="M1036" s="5">
        <v>147.97</v>
      </c>
      <c r="N1036" s="6">
        <v>10</v>
      </c>
      <c r="O1036" s="5">
        <v>14.8</v>
      </c>
      <c r="P1036" s="5">
        <v>19.98</v>
      </c>
      <c r="Q1036" s="5">
        <v>133.17</v>
      </c>
      <c r="R1036" s="5">
        <v>112.8</v>
      </c>
      <c r="S1036" s="5">
        <v>20.37</v>
      </c>
      <c r="T1036" s="7">
        <v>0.15296237891417</v>
      </c>
      <c r="U1036" t="s">
        <v>10</v>
      </c>
      <c r="V1036" t="s">
        <v>50</v>
      </c>
      <c r="W1036" t="s">
        <v>50</v>
      </c>
      <c r="X1036" t="s">
        <v>33</v>
      </c>
      <c r="Y1036" t="s">
        <v>462</v>
      </c>
      <c r="Z1036" t="s">
        <v>101</v>
      </c>
    </row>
    <row r="1037" spans="1:26">
      <c r="A1037" t="s">
        <v>2840</v>
      </c>
      <c r="B1037" t="s">
        <v>2840</v>
      </c>
      <c r="C1037" s="4">
        <v>45879</v>
      </c>
      <c r="D1037">
        <v>2025</v>
      </c>
      <c r="E1037">
        <v>8</v>
      </c>
      <c r="F1037" t="s">
        <v>24</v>
      </c>
      <c r="G1037" t="s">
        <v>89</v>
      </c>
      <c r="H1037" t="s">
        <v>1670</v>
      </c>
      <c r="I1037" t="s">
        <v>498</v>
      </c>
      <c r="J1037" t="s">
        <v>39</v>
      </c>
      <c r="K1037" t="s">
        <v>2353</v>
      </c>
      <c r="L1037">
        <v>3</v>
      </c>
      <c r="M1037" s="5">
        <v>365.92</v>
      </c>
      <c r="N1037" s="6">
        <v>20</v>
      </c>
      <c r="O1037" s="5">
        <v>219.55</v>
      </c>
      <c r="P1037" s="5">
        <v>131.73</v>
      </c>
      <c r="Q1037" s="5">
        <v>1009.94</v>
      </c>
      <c r="R1037" s="5">
        <v>931.14</v>
      </c>
      <c r="S1037" s="5">
        <v>78.8</v>
      </c>
      <c r="T1037" s="7">
        <v>0.078024437095273</v>
      </c>
      <c r="U1037" t="s">
        <v>13</v>
      </c>
      <c r="V1037" t="s">
        <v>50</v>
      </c>
      <c r="W1037" t="s">
        <v>50</v>
      </c>
      <c r="X1037" t="s">
        <v>33</v>
      </c>
      <c r="Y1037" t="s">
        <v>1598</v>
      </c>
      <c r="Z1037" t="s">
        <v>80</v>
      </c>
    </row>
    <row r="1038" spans="1:26">
      <c r="A1038" t="s">
        <v>2841</v>
      </c>
      <c r="B1038" t="s">
        <v>2841</v>
      </c>
      <c r="C1038" s="4">
        <v>46033</v>
      </c>
      <c r="D1038">
        <v>2026</v>
      </c>
      <c r="E1038">
        <v>1</v>
      </c>
      <c r="F1038" t="s">
        <v>30</v>
      </c>
      <c r="G1038" t="s">
        <v>82</v>
      </c>
      <c r="H1038" t="s">
        <v>2842</v>
      </c>
      <c r="I1038" t="s">
        <v>933</v>
      </c>
      <c r="J1038" t="s">
        <v>681</v>
      </c>
      <c r="K1038" t="s">
        <v>1402</v>
      </c>
      <c r="L1038">
        <v>1</v>
      </c>
      <c r="M1038" s="5">
        <v>425.88</v>
      </c>
      <c r="N1038" s="6">
        <v>0</v>
      </c>
      <c r="O1038" s="5">
        <v>0</v>
      </c>
      <c r="P1038" s="5">
        <v>63.88</v>
      </c>
      <c r="Q1038" s="5">
        <v>489.76</v>
      </c>
      <c r="R1038" s="5">
        <v>357.47</v>
      </c>
      <c r="S1038" s="5">
        <v>132.29</v>
      </c>
      <c r="T1038" s="7">
        <v>0.270111891538713</v>
      </c>
      <c r="U1038" t="s">
        <v>14</v>
      </c>
      <c r="V1038" t="s">
        <v>50</v>
      </c>
      <c r="W1038" t="s">
        <v>50</v>
      </c>
      <c r="X1038" t="s">
        <v>33</v>
      </c>
      <c r="Y1038" t="s">
        <v>2029</v>
      </c>
      <c r="Z1038" t="s">
        <v>80</v>
      </c>
    </row>
    <row r="1039" spans="1:26">
      <c r="A1039" t="s">
        <v>2843</v>
      </c>
      <c r="B1039" t="s">
        <v>2843</v>
      </c>
      <c r="C1039" s="4">
        <v>45777</v>
      </c>
      <c r="D1039">
        <v>2025</v>
      </c>
      <c r="E1039">
        <v>4</v>
      </c>
      <c r="F1039" t="s">
        <v>20</v>
      </c>
      <c r="G1039" t="s">
        <v>74</v>
      </c>
      <c r="H1039" t="s">
        <v>383</v>
      </c>
      <c r="I1039" t="s">
        <v>251</v>
      </c>
      <c r="J1039" t="s">
        <v>40</v>
      </c>
      <c r="K1039" t="s">
        <v>426</v>
      </c>
      <c r="L1039">
        <v>3</v>
      </c>
      <c r="M1039" s="5">
        <v>205.93</v>
      </c>
      <c r="N1039" s="6">
        <v>0</v>
      </c>
      <c r="O1039" s="5">
        <v>0</v>
      </c>
      <c r="P1039" s="5">
        <v>92.67</v>
      </c>
      <c r="Q1039" s="5">
        <v>617.79</v>
      </c>
      <c r="R1039" s="5">
        <v>510.6</v>
      </c>
      <c r="S1039" s="5">
        <v>107.19</v>
      </c>
      <c r="T1039" s="7">
        <v>0.173505560141796</v>
      </c>
      <c r="U1039" t="s">
        <v>13</v>
      </c>
      <c r="V1039" t="s">
        <v>50</v>
      </c>
      <c r="W1039" t="s">
        <v>50</v>
      </c>
      <c r="X1039" t="s">
        <v>34</v>
      </c>
      <c r="Y1039" t="s">
        <v>2844</v>
      </c>
      <c r="Z1039" t="s">
        <v>101</v>
      </c>
    </row>
    <row r="1040" spans="1:26">
      <c r="A1040" t="s">
        <v>2845</v>
      </c>
      <c r="B1040" t="s">
        <v>2845</v>
      </c>
      <c r="C1040" s="4">
        <v>45970</v>
      </c>
      <c r="D1040">
        <v>2025</v>
      </c>
      <c r="E1040">
        <v>11</v>
      </c>
      <c r="F1040" t="s">
        <v>27</v>
      </c>
      <c r="G1040" t="s">
        <v>137</v>
      </c>
      <c r="H1040" t="s">
        <v>2846</v>
      </c>
      <c r="I1040" t="s">
        <v>1526</v>
      </c>
      <c r="J1040" t="s">
        <v>998</v>
      </c>
      <c r="K1040" t="s">
        <v>999</v>
      </c>
      <c r="L1040">
        <v>1</v>
      </c>
      <c r="M1040" s="5">
        <v>102.51</v>
      </c>
      <c r="N1040" s="6">
        <v>10</v>
      </c>
      <c r="O1040" s="5">
        <v>10.25</v>
      </c>
      <c r="P1040" s="5">
        <v>13.84</v>
      </c>
      <c r="Q1040" s="5">
        <v>106.1</v>
      </c>
      <c r="R1040" s="5">
        <v>88.72</v>
      </c>
      <c r="S1040" s="5">
        <v>17.38</v>
      </c>
      <c r="T1040" s="7">
        <v>0.163807728557964</v>
      </c>
      <c r="U1040" t="s">
        <v>9</v>
      </c>
      <c r="V1040" t="s">
        <v>50</v>
      </c>
      <c r="W1040" t="s">
        <v>50</v>
      </c>
      <c r="X1040" t="s">
        <v>33</v>
      </c>
      <c r="Y1040" t="s">
        <v>1317</v>
      </c>
      <c r="Z1040" t="s">
        <v>80</v>
      </c>
    </row>
    <row r="1041" spans="1:26">
      <c r="A1041" t="s">
        <v>2847</v>
      </c>
      <c r="B1041" t="s">
        <v>2847</v>
      </c>
      <c r="C1041" s="4">
        <v>45819</v>
      </c>
      <c r="D1041">
        <v>2025</v>
      </c>
      <c r="E1041">
        <v>6</v>
      </c>
      <c r="F1041" t="s">
        <v>22</v>
      </c>
      <c r="G1041" t="s">
        <v>74</v>
      </c>
      <c r="H1041" t="s">
        <v>2020</v>
      </c>
      <c r="I1041" t="s">
        <v>623</v>
      </c>
      <c r="J1041" t="s">
        <v>813</v>
      </c>
      <c r="K1041" t="s">
        <v>814</v>
      </c>
      <c r="L1041">
        <v>6</v>
      </c>
      <c r="M1041" s="5">
        <v>144.65</v>
      </c>
      <c r="N1041" s="6">
        <v>15</v>
      </c>
      <c r="O1041" s="5">
        <v>130.19</v>
      </c>
      <c r="P1041" s="5">
        <v>110.66</v>
      </c>
      <c r="Q1041" s="5">
        <v>737.71</v>
      </c>
      <c r="R1041" s="5">
        <v>641.94</v>
      </c>
      <c r="S1041" s="5">
        <v>95.77</v>
      </c>
      <c r="T1041" s="7">
        <v>0.129820661235445</v>
      </c>
      <c r="U1041" t="s">
        <v>12</v>
      </c>
      <c r="V1041" t="s">
        <v>50</v>
      </c>
      <c r="W1041" t="s">
        <v>50</v>
      </c>
      <c r="X1041" t="s">
        <v>33</v>
      </c>
      <c r="Y1041" t="s">
        <v>956</v>
      </c>
      <c r="Z1041" t="s">
        <v>101</v>
      </c>
    </row>
    <row r="1042" spans="1:26">
      <c r="A1042" t="s">
        <v>2848</v>
      </c>
      <c r="B1042" t="s">
        <v>2848</v>
      </c>
      <c r="C1042" s="4">
        <v>45798</v>
      </c>
      <c r="D1042">
        <v>2025</v>
      </c>
      <c r="E1042">
        <v>5</v>
      </c>
      <c r="F1042" t="s">
        <v>21</v>
      </c>
      <c r="G1042" t="s">
        <v>74</v>
      </c>
      <c r="H1042" t="s">
        <v>234</v>
      </c>
      <c r="I1042" t="s">
        <v>623</v>
      </c>
      <c r="J1042" t="s">
        <v>610</v>
      </c>
      <c r="K1042" t="s">
        <v>611</v>
      </c>
      <c r="L1042">
        <v>6</v>
      </c>
      <c r="M1042" s="5">
        <v>139.27</v>
      </c>
      <c r="N1042" s="6">
        <v>0</v>
      </c>
      <c r="O1042" s="5">
        <v>0</v>
      </c>
      <c r="P1042" s="5">
        <v>125.34</v>
      </c>
      <c r="Q1042" s="5">
        <v>835.62</v>
      </c>
      <c r="R1042" s="5">
        <v>641.94</v>
      </c>
      <c r="S1042" s="5">
        <v>193.68</v>
      </c>
      <c r="T1042" s="7">
        <v>0.231779995691822</v>
      </c>
      <c r="U1042" t="s">
        <v>9</v>
      </c>
      <c r="V1042" t="s">
        <v>50</v>
      </c>
      <c r="W1042" t="s">
        <v>50</v>
      </c>
      <c r="X1042" t="s">
        <v>35</v>
      </c>
      <c r="Y1042" t="s">
        <v>2849</v>
      </c>
      <c r="Z1042" t="s">
        <v>101</v>
      </c>
    </row>
    <row r="1043" spans="1:26">
      <c r="A1043" t="s">
        <v>2850</v>
      </c>
      <c r="B1043" t="s">
        <v>2850</v>
      </c>
      <c r="C1043" s="4">
        <v>45965</v>
      </c>
      <c r="D1043">
        <v>2025</v>
      </c>
      <c r="E1043">
        <v>11</v>
      </c>
      <c r="F1043" t="s">
        <v>27</v>
      </c>
      <c r="G1043" t="s">
        <v>137</v>
      </c>
      <c r="H1043" t="s">
        <v>1215</v>
      </c>
      <c r="I1043" t="s">
        <v>434</v>
      </c>
      <c r="J1043" t="s">
        <v>1718</v>
      </c>
      <c r="K1043" t="s">
        <v>1967</v>
      </c>
      <c r="L1043">
        <v>1</v>
      </c>
      <c r="M1043" s="5">
        <v>83.13</v>
      </c>
      <c r="N1043" s="6">
        <v>20</v>
      </c>
      <c r="O1043" s="5">
        <v>16.63</v>
      </c>
      <c r="P1043" s="5">
        <v>9.98</v>
      </c>
      <c r="Q1043" s="5">
        <v>66.5</v>
      </c>
      <c r="R1043" s="5">
        <v>69.09</v>
      </c>
      <c r="S1043" s="5">
        <v>-2.59</v>
      </c>
      <c r="T1043" s="7">
        <v>-0.0389473684210526</v>
      </c>
      <c r="U1043" t="s">
        <v>10</v>
      </c>
      <c r="V1043" t="s">
        <v>50</v>
      </c>
      <c r="W1043" t="s">
        <v>50</v>
      </c>
      <c r="X1043" t="s">
        <v>35</v>
      </c>
      <c r="Y1043" t="s">
        <v>1541</v>
      </c>
      <c r="Z1043" t="s">
        <v>101</v>
      </c>
    </row>
    <row r="1044" spans="1:26">
      <c r="A1044" t="s">
        <v>2851</v>
      </c>
      <c r="B1044" t="s">
        <v>2851</v>
      </c>
      <c r="C1044" s="4">
        <v>46004</v>
      </c>
      <c r="D1044">
        <v>2025</v>
      </c>
      <c r="E1044">
        <v>12</v>
      </c>
      <c r="F1044" t="s">
        <v>28</v>
      </c>
      <c r="G1044" t="s">
        <v>137</v>
      </c>
      <c r="H1044" t="s">
        <v>1786</v>
      </c>
      <c r="I1044" t="s">
        <v>285</v>
      </c>
      <c r="J1044" t="s">
        <v>2646</v>
      </c>
      <c r="K1044" t="s">
        <v>2647</v>
      </c>
      <c r="L1044">
        <v>4</v>
      </c>
      <c r="M1044" s="5">
        <v>603.65</v>
      </c>
      <c r="N1044" s="6">
        <v>15</v>
      </c>
      <c r="O1044" s="5">
        <v>362.19</v>
      </c>
      <c r="P1044" s="5">
        <v>307.86</v>
      </c>
      <c r="Q1044" s="5">
        <v>2360.27</v>
      </c>
      <c r="R1044" s="5">
        <v>1345.6</v>
      </c>
      <c r="S1044" s="5">
        <v>1014.67</v>
      </c>
      <c r="T1044" s="7">
        <v>0.429895732267918</v>
      </c>
      <c r="U1044" t="s">
        <v>14</v>
      </c>
      <c r="V1044" t="s">
        <v>51</v>
      </c>
      <c r="W1044" t="s">
        <v>51</v>
      </c>
      <c r="X1044" t="s">
        <v>33</v>
      </c>
      <c r="Y1044" t="s">
        <v>1925</v>
      </c>
      <c r="Z1044" t="s">
        <v>80</v>
      </c>
    </row>
    <row r="1045" spans="1:26">
      <c r="A1045" t="s">
        <v>2852</v>
      </c>
      <c r="B1045" t="s">
        <v>2852</v>
      </c>
      <c r="C1045" s="4">
        <v>45769</v>
      </c>
      <c r="D1045">
        <v>2025</v>
      </c>
      <c r="E1045">
        <v>4</v>
      </c>
      <c r="F1045" t="s">
        <v>20</v>
      </c>
      <c r="G1045" t="s">
        <v>74</v>
      </c>
      <c r="H1045" t="s">
        <v>2399</v>
      </c>
      <c r="I1045" t="s">
        <v>722</v>
      </c>
      <c r="J1045" t="s">
        <v>2044</v>
      </c>
      <c r="K1045" t="s">
        <v>2171</v>
      </c>
      <c r="L1045">
        <v>7</v>
      </c>
      <c r="M1045" s="5">
        <v>158.27</v>
      </c>
      <c r="N1045" s="6">
        <v>5</v>
      </c>
      <c r="O1045" s="5">
        <v>55.39</v>
      </c>
      <c r="P1045" s="5">
        <v>157.88</v>
      </c>
      <c r="Q1045" s="5">
        <v>1052.5</v>
      </c>
      <c r="R1045" s="5">
        <v>965.65</v>
      </c>
      <c r="S1045" s="5">
        <v>86.85</v>
      </c>
      <c r="T1045" s="7">
        <v>0.0825178147268408</v>
      </c>
      <c r="U1045" t="s">
        <v>11</v>
      </c>
      <c r="V1045" t="s">
        <v>50</v>
      </c>
      <c r="W1045" t="s">
        <v>50</v>
      </c>
      <c r="X1045" t="s">
        <v>33</v>
      </c>
      <c r="Y1045" t="s">
        <v>2522</v>
      </c>
      <c r="Z1045" t="s">
        <v>101</v>
      </c>
    </row>
    <row r="1046" spans="1:26">
      <c r="A1046" t="s">
        <v>2853</v>
      </c>
      <c r="B1046" t="s">
        <v>2853</v>
      </c>
      <c r="C1046" s="4">
        <v>45928</v>
      </c>
      <c r="D1046">
        <v>2025</v>
      </c>
      <c r="E1046">
        <v>9</v>
      </c>
      <c r="F1046" t="s">
        <v>25</v>
      </c>
      <c r="G1046" t="s">
        <v>89</v>
      </c>
      <c r="H1046" t="s">
        <v>125</v>
      </c>
      <c r="I1046" t="s">
        <v>1190</v>
      </c>
      <c r="J1046" t="s">
        <v>1781</v>
      </c>
      <c r="K1046" t="s">
        <v>1782</v>
      </c>
      <c r="L1046">
        <v>2</v>
      </c>
      <c r="M1046" s="5">
        <v>468.94</v>
      </c>
      <c r="N1046" s="6">
        <v>15</v>
      </c>
      <c r="O1046" s="5">
        <v>140.68</v>
      </c>
      <c r="P1046" s="5">
        <v>119.58</v>
      </c>
      <c r="Q1046" s="5">
        <v>916.78</v>
      </c>
      <c r="R1046" s="5">
        <v>673.6</v>
      </c>
      <c r="S1046" s="5">
        <v>243.18</v>
      </c>
      <c r="T1046" s="7">
        <v>0.265254477628221</v>
      </c>
      <c r="U1046" t="s">
        <v>10</v>
      </c>
      <c r="V1046" t="s">
        <v>50</v>
      </c>
      <c r="W1046" t="s">
        <v>50</v>
      </c>
      <c r="X1046" t="s">
        <v>33</v>
      </c>
      <c r="Y1046" t="s">
        <v>2854</v>
      </c>
      <c r="Z1046" t="s">
        <v>80</v>
      </c>
    </row>
    <row r="1047" spans="1:26">
      <c r="A1047" t="s">
        <v>2855</v>
      </c>
      <c r="B1047" t="s">
        <v>2855</v>
      </c>
      <c r="C1047" s="4">
        <v>45939</v>
      </c>
      <c r="D1047">
        <v>2025</v>
      </c>
      <c r="E1047">
        <v>10</v>
      </c>
      <c r="F1047" t="s">
        <v>26</v>
      </c>
      <c r="G1047" t="s">
        <v>137</v>
      </c>
      <c r="H1047" t="s">
        <v>1364</v>
      </c>
      <c r="I1047" t="s">
        <v>470</v>
      </c>
      <c r="J1047" t="s">
        <v>665</v>
      </c>
      <c r="K1047" t="s">
        <v>666</v>
      </c>
      <c r="L1047">
        <v>1</v>
      </c>
      <c r="M1047" s="5">
        <v>290.45</v>
      </c>
      <c r="N1047" s="6">
        <v>20</v>
      </c>
      <c r="O1047" s="5">
        <v>58.09</v>
      </c>
      <c r="P1047" s="5">
        <v>34.85</v>
      </c>
      <c r="Q1047" s="5">
        <v>232.36</v>
      </c>
      <c r="R1047" s="5">
        <v>237.89</v>
      </c>
      <c r="S1047" s="5">
        <v>-5.53</v>
      </c>
      <c r="T1047" s="7">
        <v>-0.0237992769839904</v>
      </c>
      <c r="U1047" t="s">
        <v>13</v>
      </c>
      <c r="V1047" t="s">
        <v>50</v>
      </c>
      <c r="W1047" t="s">
        <v>50</v>
      </c>
      <c r="X1047" t="s">
        <v>33</v>
      </c>
      <c r="Y1047" t="s">
        <v>550</v>
      </c>
      <c r="Z1047" t="s">
        <v>101</v>
      </c>
    </row>
    <row r="1048" spans="1:26">
      <c r="A1048" t="s">
        <v>2856</v>
      </c>
      <c r="B1048" t="s">
        <v>2856</v>
      </c>
      <c r="C1048" s="4">
        <v>45799</v>
      </c>
      <c r="D1048">
        <v>2025</v>
      </c>
      <c r="E1048">
        <v>5</v>
      </c>
      <c r="F1048" t="s">
        <v>21</v>
      </c>
      <c r="G1048" t="s">
        <v>74</v>
      </c>
      <c r="H1048" t="s">
        <v>792</v>
      </c>
      <c r="I1048" t="s">
        <v>787</v>
      </c>
      <c r="J1048" t="s">
        <v>263</v>
      </c>
      <c r="K1048" t="s">
        <v>264</v>
      </c>
      <c r="L1048">
        <v>7</v>
      </c>
      <c r="M1048" s="5">
        <v>186.02</v>
      </c>
      <c r="N1048" s="6">
        <v>0</v>
      </c>
      <c r="O1048" s="5">
        <v>0</v>
      </c>
      <c r="P1048" s="5">
        <v>195.32</v>
      </c>
      <c r="Q1048" s="5">
        <v>1302.14</v>
      </c>
      <c r="R1048" s="5">
        <v>715.61</v>
      </c>
      <c r="S1048" s="5">
        <v>586.53</v>
      </c>
      <c r="T1048" s="7">
        <v>0.45043543704978</v>
      </c>
      <c r="U1048" t="s">
        <v>12</v>
      </c>
      <c r="V1048" t="s">
        <v>50</v>
      </c>
      <c r="W1048" t="s">
        <v>50</v>
      </c>
      <c r="X1048" t="s">
        <v>35</v>
      </c>
      <c r="Y1048" t="s">
        <v>2685</v>
      </c>
      <c r="Z1048" t="s">
        <v>101</v>
      </c>
    </row>
    <row r="1049" spans="1:26">
      <c r="A1049" t="s">
        <v>2857</v>
      </c>
      <c r="B1049" t="s">
        <v>2857</v>
      </c>
      <c r="C1049" s="4">
        <v>45922</v>
      </c>
      <c r="D1049">
        <v>2025</v>
      </c>
      <c r="E1049">
        <v>9</v>
      </c>
      <c r="F1049" t="s">
        <v>25</v>
      </c>
      <c r="G1049" t="s">
        <v>89</v>
      </c>
      <c r="H1049" t="s">
        <v>300</v>
      </c>
      <c r="I1049" t="s">
        <v>819</v>
      </c>
      <c r="J1049" t="s">
        <v>1009</v>
      </c>
      <c r="K1049" t="s">
        <v>838</v>
      </c>
      <c r="L1049">
        <v>4</v>
      </c>
      <c r="M1049" s="5">
        <v>96.58</v>
      </c>
      <c r="N1049" s="6">
        <v>5</v>
      </c>
      <c r="O1049" s="5">
        <v>19.32</v>
      </c>
      <c r="P1049" s="5">
        <v>55.05</v>
      </c>
      <c r="Q1049" s="5">
        <v>367</v>
      </c>
      <c r="R1049" s="5">
        <v>272.68</v>
      </c>
      <c r="S1049" s="5">
        <v>94.32</v>
      </c>
      <c r="T1049" s="7">
        <v>0.25700272479564</v>
      </c>
      <c r="U1049" t="s">
        <v>9</v>
      </c>
      <c r="V1049" t="s">
        <v>50</v>
      </c>
      <c r="W1049" t="s">
        <v>50</v>
      </c>
      <c r="X1049" t="s">
        <v>33</v>
      </c>
      <c r="Y1049" t="s">
        <v>2034</v>
      </c>
      <c r="Z1049" t="s">
        <v>101</v>
      </c>
    </row>
    <row r="1050" spans="1:26">
      <c r="A1050" t="s">
        <v>2858</v>
      </c>
      <c r="B1050" t="s">
        <v>2858</v>
      </c>
      <c r="C1050" s="4">
        <v>45895</v>
      </c>
      <c r="D1050">
        <v>2025</v>
      </c>
      <c r="E1050">
        <v>8</v>
      </c>
      <c r="F1050" t="s">
        <v>24</v>
      </c>
      <c r="G1050" t="s">
        <v>89</v>
      </c>
      <c r="H1050" t="s">
        <v>425</v>
      </c>
      <c r="I1050" t="s">
        <v>379</v>
      </c>
      <c r="J1050" t="s">
        <v>610</v>
      </c>
      <c r="K1050" t="s">
        <v>141</v>
      </c>
      <c r="L1050">
        <v>4</v>
      </c>
      <c r="M1050" s="5">
        <v>269.54</v>
      </c>
      <c r="N1050" s="6">
        <v>0</v>
      </c>
      <c r="O1050" s="5">
        <v>0</v>
      </c>
      <c r="P1050" s="5">
        <v>161.72</v>
      </c>
      <c r="Q1050" s="5">
        <v>1078.16</v>
      </c>
      <c r="R1050" s="5">
        <v>837.52</v>
      </c>
      <c r="S1050" s="5">
        <v>240.64</v>
      </c>
      <c r="T1050" s="7">
        <v>0.223195073087482</v>
      </c>
      <c r="U1050" t="s">
        <v>12</v>
      </c>
      <c r="V1050" t="s">
        <v>50</v>
      </c>
      <c r="W1050" t="s">
        <v>50</v>
      </c>
      <c r="X1050" t="s">
        <v>33</v>
      </c>
      <c r="Y1050" t="s">
        <v>2859</v>
      </c>
      <c r="Z1050" t="s">
        <v>101</v>
      </c>
    </row>
    <row r="1051" spans="1:26">
      <c r="A1051" t="s">
        <v>2860</v>
      </c>
      <c r="B1051" t="s">
        <v>2860</v>
      </c>
      <c r="C1051" s="4">
        <v>45969</v>
      </c>
      <c r="D1051">
        <v>2025</v>
      </c>
      <c r="E1051">
        <v>11</v>
      </c>
      <c r="F1051" t="s">
        <v>27</v>
      </c>
      <c r="G1051" t="s">
        <v>137</v>
      </c>
      <c r="H1051" t="s">
        <v>1778</v>
      </c>
      <c r="I1051" t="s">
        <v>769</v>
      </c>
      <c r="J1051" t="s">
        <v>43</v>
      </c>
      <c r="K1051" t="s">
        <v>375</v>
      </c>
      <c r="L1051">
        <v>7</v>
      </c>
      <c r="M1051" s="5">
        <v>257.81</v>
      </c>
      <c r="N1051" s="6">
        <v>15</v>
      </c>
      <c r="O1051" s="5">
        <v>270.7</v>
      </c>
      <c r="P1051" s="5">
        <v>230.1</v>
      </c>
      <c r="Q1051" s="5">
        <v>1764.07</v>
      </c>
      <c r="R1051" s="5">
        <v>1374.1</v>
      </c>
      <c r="S1051" s="5">
        <v>389.97</v>
      </c>
      <c r="T1051" s="7">
        <v>0.2210626562438</v>
      </c>
      <c r="U1051" t="s">
        <v>9</v>
      </c>
      <c r="V1051" t="s">
        <v>50</v>
      </c>
      <c r="W1051" t="s">
        <v>50</v>
      </c>
      <c r="X1051" t="s">
        <v>34</v>
      </c>
      <c r="Y1051" t="s">
        <v>1981</v>
      </c>
      <c r="Z1051" t="s">
        <v>80</v>
      </c>
    </row>
    <row r="1052" spans="1:26">
      <c r="A1052" t="s">
        <v>2861</v>
      </c>
      <c r="B1052" t="s">
        <v>2861</v>
      </c>
      <c r="C1052" s="4">
        <v>45805</v>
      </c>
      <c r="D1052">
        <v>2025</v>
      </c>
      <c r="E1052">
        <v>5</v>
      </c>
      <c r="F1052" t="s">
        <v>21</v>
      </c>
      <c r="G1052" t="s">
        <v>74</v>
      </c>
      <c r="H1052" t="s">
        <v>952</v>
      </c>
      <c r="I1052" t="s">
        <v>623</v>
      </c>
      <c r="J1052" t="s">
        <v>296</v>
      </c>
      <c r="K1052" t="s">
        <v>297</v>
      </c>
      <c r="L1052">
        <v>8</v>
      </c>
      <c r="M1052" s="5">
        <v>155.34</v>
      </c>
      <c r="N1052" s="6">
        <v>15</v>
      </c>
      <c r="O1052" s="5">
        <v>186.41</v>
      </c>
      <c r="P1052" s="5">
        <v>158.45</v>
      </c>
      <c r="Q1052" s="5">
        <v>1056.31</v>
      </c>
      <c r="R1052" s="5">
        <v>855.92</v>
      </c>
      <c r="S1052" s="5">
        <v>200.39</v>
      </c>
      <c r="T1052" s="7">
        <v>0.189707566907442</v>
      </c>
      <c r="U1052" t="s">
        <v>10</v>
      </c>
      <c r="V1052" t="s">
        <v>50</v>
      </c>
      <c r="W1052" t="s">
        <v>50</v>
      </c>
      <c r="X1052" t="s">
        <v>35</v>
      </c>
      <c r="Y1052" t="s">
        <v>2239</v>
      </c>
      <c r="Z1052" t="s">
        <v>101</v>
      </c>
    </row>
    <row r="1053" spans="1:26">
      <c r="A1053" t="s">
        <v>2862</v>
      </c>
      <c r="B1053" t="s">
        <v>2862</v>
      </c>
      <c r="C1053" s="4">
        <v>45970</v>
      </c>
      <c r="D1053">
        <v>2025</v>
      </c>
      <c r="E1053">
        <v>11</v>
      </c>
      <c r="F1053" t="s">
        <v>27</v>
      </c>
      <c r="G1053" t="s">
        <v>137</v>
      </c>
      <c r="H1053" t="s">
        <v>469</v>
      </c>
      <c r="I1053" t="s">
        <v>609</v>
      </c>
      <c r="J1053" t="s">
        <v>1219</v>
      </c>
      <c r="K1053" t="s">
        <v>1134</v>
      </c>
      <c r="L1053">
        <v>4</v>
      </c>
      <c r="M1053" s="5">
        <v>328.59</v>
      </c>
      <c r="N1053" s="6">
        <v>20</v>
      </c>
      <c r="O1053" s="5">
        <v>262.87</v>
      </c>
      <c r="P1053" s="5">
        <v>157.72</v>
      </c>
      <c r="Q1053" s="5">
        <v>1209.21</v>
      </c>
      <c r="R1053" s="5">
        <v>1021.96</v>
      </c>
      <c r="S1053" s="5">
        <v>187.25</v>
      </c>
      <c r="T1053" s="7">
        <v>0.15485316859768</v>
      </c>
      <c r="U1053" t="s">
        <v>13</v>
      </c>
      <c r="V1053" t="s">
        <v>50</v>
      </c>
      <c r="W1053" t="s">
        <v>50</v>
      </c>
      <c r="X1053" t="s">
        <v>34</v>
      </c>
      <c r="Y1053" t="s">
        <v>2844</v>
      </c>
      <c r="Z1053" t="s">
        <v>80</v>
      </c>
    </row>
    <row r="1054" spans="1:26">
      <c r="A1054" t="s">
        <v>2863</v>
      </c>
      <c r="B1054" t="s">
        <v>2863</v>
      </c>
      <c r="C1054" s="4">
        <v>46004</v>
      </c>
      <c r="D1054">
        <v>2025</v>
      </c>
      <c r="E1054">
        <v>12</v>
      </c>
      <c r="F1054" t="s">
        <v>28</v>
      </c>
      <c r="G1054" t="s">
        <v>137</v>
      </c>
      <c r="H1054" t="s">
        <v>2864</v>
      </c>
      <c r="I1054" t="s">
        <v>1264</v>
      </c>
      <c r="J1054" t="s">
        <v>1855</v>
      </c>
      <c r="K1054" t="s">
        <v>1328</v>
      </c>
      <c r="L1054">
        <v>1</v>
      </c>
      <c r="M1054" s="5">
        <v>182.3</v>
      </c>
      <c r="N1054" s="6">
        <v>15</v>
      </c>
      <c r="O1054" s="5">
        <v>27.34</v>
      </c>
      <c r="P1054" s="5">
        <v>23.24</v>
      </c>
      <c r="Q1054" s="5">
        <v>178.2</v>
      </c>
      <c r="R1054" s="5">
        <v>107.6</v>
      </c>
      <c r="S1054" s="5">
        <v>70.6</v>
      </c>
      <c r="T1054" s="7">
        <v>0.396184062850729</v>
      </c>
      <c r="U1054" t="s">
        <v>12</v>
      </c>
      <c r="V1054" t="s">
        <v>50</v>
      </c>
      <c r="W1054" t="s">
        <v>50</v>
      </c>
      <c r="X1054" t="s">
        <v>33</v>
      </c>
      <c r="Y1054" t="s">
        <v>1689</v>
      </c>
      <c r="Z1054" t="s">
        <v>80</v>
      </c>
    </row>
    <row r="1055" spans="1:26">
      <c r="A1055" t="s">
        <v>2865</v>
      </c>
      <c r="B1055" t="s">
        <v>2865</v>
      </c>
      <c r="C1055" s="4">
        <v>46008</v>
      </c>
      <c r="D1055">
        <v>2025</v>
      </c>
      <c r="E1055">
        <v>12</v>
      </c>
      <c r="F1055" t="s">
        <v>28</v>
      </c>
      <c r="G1055" t="s">
        <v>137</v>
      </c>
      <c r="H1055" t="s">
        <v>1603</v>
      </c>
      <c r="I1055" t="s">
        <v>609</v>
      </c>
      <c r="J1055" t="s">
        <v>1100</v>
      </c>
      <c r="K1055" t="s">
        <v>287</v>
      </c>
      <c r="L1055">
        <v>3</v>
      </c>
      <c r="M1055" s="5">
        <v>328.59</v>
      </c>
      <c r="N1055" s="6">
        <v>20</v>
      </c>
      <c r="O1055" s="5">
        <v>197.15</v>
      </c>
      <c r="P1055" s="5">
        <v>118.29</v>
      </c>
      <c r="Q1055" s="5">
        <v>788.62</v>
      </c>
      <c r="R1055" s="5">
        <v>766.47</v>
      </c>
      <c r="S1055" s="5">
        <v>22.15</v>
      </c>
      <c r="T1055" s="7">
        <v>0.0280870381172174</v>
      </c>
      <c r="U1055" t="s">
        <v>9</v>
      </c>
      <c r="V1055" t="s">
        <v>50</v>
      </c>
      <c r="W1055" t="s">
        <v>50</v>
      </c>
      <c r="X1055" t="s">
        <v>33</v>
      </c>
      <c r="Y1055" t="s">
        <v>2302</v>
      </c>
      <c r="Z1055" t="s">
        <v>101</v>
      </c>
    </row>
    <row r="1056" spans="1:26">
      <c r="A1056" t="s">
        <v>2866</v>
      </c>
      <c r="B1056" t="s">
        <v>2866</v>
      </c>
      <c r="C1056" s="4">
        <v>45862</v>
      </c>
      <c r="D1056">
        <v>2025</v>
      </c>
      <c r="E1056">
        <v>7</v>
      </c>
      <c r="F1056" t="s">
        <v>23</v>
      </c>
      <c r="G1056" t="s">
        <v>89</v>
      </c>
      <c r="H1056" t="s">
        <v>812</v>
      </c>
      <c r="I1056" t="s">
        <v>2587</v>
      </c>
      <c r="J1056" t="s">
        <v>1150</v>
      </c>
      <c r="K1056" t="s">
        <v>1151</v>
      </c>
      <c r="L1056">
        <v>1</v>
      </c>
      <c r="M1056" s="5">
        <v>72.93</v>
      </c>
      <c r="N1056" s="6">
        <v>15</v>
      </c>
      <c r="O1056" s="5">
        <v>10.94</v>
      </c>
      <c r="P1056" s="5">
        <v>9.3</v>
      </c>
      <c r="Q1056" s="5">
        <v>61.99</v>
      </c>
      <c r="R1056" s="5">
        <v>54.25</v>
      </c>
      <c r="S1056" s="5">
        <v>7.74</v>
      </c>
      <c r="T1056" s="7">
        <v>0.124858848201323</v>
      </c>
      <c r="U1056" t="s">
        <v>14</v>
      </c>
      <c r="V1056" t="s">
        <v>50</v>
      </c>
      <c r="W1056" t="s">
        <v>50</v>
      </c>
      <c r="X1056" t="s">
        <v>35</v>
      </c>
      <c r="Y1056" t="s">
        <v>2236</v>
      </c>
      <c r="Z1056" t="s">
        <v>101</v>
      </c>
    </row>
    <row r="1057" spans="1:26">
      <c r="A1057" t="s">
        <v>2867</v>
      </c>
      <c r="B1057" t="s">
        <v>2867</v>
      </c>
      <c r="C1057" s="4">
        <v>45801</v>
      </c>
      <c r="D1057">
        <v>2025</v>
      </c>
      <c r="E1057">
        <v>5</v>
      </c>
      <c r="F1057" t="s">
        <v>21</v>
      </c>
      <c r="G1057" t="s">
        <v>74</v>
      </c>
      <c r="H1057" t="s">
        <v>2367</v>
      </c>
      <c r="I1057" t="s">
        <v>970</v>
      </c>
      <c r="J1057" t="s">
        <v>369</v>
      </c>
      <c r="K1057" t="s">
        <v>370</v>
      </c>
      <c r="L1057">
        <v>4</v>
      </c>
      <c r="M1057" s="5">
        <v>385.5</v>
      </c>
      <c r="N1057" s="6">
        <v>0</v>
      </c>
      <c r="O1057" s="5">
        <v>0</v>
      </c>
      <c r="P1057" s="5">
        <v>231.3</v>
      </c>
      <c r="Q1057" s="5">
        <v>1773.3</v>
      </c>
      <c r="R1057" s="5">
        <v>1015.32</v>
      </c>
      <c r="S1057" s="5">
        <v>757.98</v>
      </c>
      <c r="T1057" s="7">
        <v>0.427440365420403</v>
      </c>
      <c r="U1057" t="s">
        <v>11</v>
      </c>
      <c r="V1057" t="s">
        <v>50</v>
      </c>
      <c r="W1057" t="s">
        <v>50</v>
      </c>
      <c r="X1057" t="s">
        <v>33</v>
      </c>
      <c r="Y1057" t="s">
        <v>2868</v>
      </c>
      <c r="Z1057" t="s">
        <v>80</v>
      </c>
    </row>
    <row r="1058" spans="1:26">
      <c r="A1058" t="s">
        <v>2869</v>
      </c>
      <c r="B1058" t="s">
        <v>2869</v>
      </c>
      <c r="C1058" s="4">
        <v>46104</v>
      </c>
      <c r="D1058">
        <v>2026</v>
      </c>
      <c r="E1058">
        <v>3</v>
      </c>
      <c r="F1058" t="s">
        <v>19</v>
      </c>
      <c r="G1058" t="s">
        <v>82</v>
      </c>
      <c r="H1058" t="s">
        <v>1532</v>
      </c>
      <c r="I1058" t="s">
        <v>279</v>
      </c>
      <c r="J1058" t="s">
        <v>1468</v>
      </c>
      <c r="K1058" t="s">
        <v>1473</v>
      </c>
      <c r="L1058">
        <v>4</v>
      </c>
      <c r="M1058" s="5">
        <v>472.65</v>
      </c>
      <c r="N1058" s="6">
        <v>10</v>
      </c>
      <c r="O1058" s="5">
        <v>189.06</v>
      </c>
      <c r="P1058" s="5">
        <v>255.23</v>
      </c>
      <c r="Q1058" s="5">
        <v>1701.54</v>
      </c>
      <c r="R1058" s="5">
        <v>1235.76</v>
      </c>
      <c r="S1058" s="5">
        <v>465.78</v>
      </c>
      <c r="T1058" s="7">
        <v>0.273740258824359</v>
      </c>
      <c r="U1058" t="s">
        <v>14</v>
      </c>
      <c r="V1058" t="s">
        <v>50</v>
      </c>
      <c r="W1058" t="s">
        <v>50</v>
      </c>
      <c r="X1058" t="s">
        <v>34</v>
      </c>
      <c r="Y1058" t="s">
        <v>939</v>
      </c>
      <c r="Z1058" t="s">
        <v>101</v>
      </c>
    </row>
    <row r="1059" spans="1:26">
      <c r="A1059" t="s">
        <v>2870</v>
      </c>
      <c r="B1059" t="s">
        <v>2870</v>
      </c>
      <c r="C1059" s="4">
        <v>46065</v>
      </c>
      <c r="D1059">
        <v>2026</v>
      </c>
      <c r="E1059">
        <v>2</v>
      </c>
      <c r="F1059" t="s">
        <v>31</v>
      </c>
      <c r="G1059" t="s">
        <v>82</v>
      </c>
      <c r="H1059" t="s">
        <v>453</v>
      </c>
      <c r="I1059" t="s">
        <v>444</v>
      </c>
      <c r="J1059" t="s">
        <v>45</v>
      </c>
      <c r="K1059" t="s">
        <v>1351</v>
      </c>
      <c r="L1059">
        <v>4</v>
      </c>
      <c r="M1059" s="5">
        <v>99.93</v>
      </c>
      <c r="N1059" s="6">
        <v>0</v>
      </c>
      <c r="O1059" s="5">
        <v>0</v>
      </c>
      <c r="P1059" s="5">
        <v>59.96</v>
      </c>
      <c r="Q1059" s="5">
        <v>399.72</v>
      </c>
      <c r="R1059" s="5">
        <v>344.2</v>
      </c>
      <c r="S1059" s="5">
        <v>55.52</v>
      </c>
      <c r="T1059" s="7">
        <v>0.138897228059642</v>
      </c>
      <c r="U1059" t="s">
        <v>14</v>
      </c>
      <c r="V1059" t="s">
        <v>50</v>
      </c>
      <c r="W1059" t="s">
        <v>50</v>
      </c>
      <c r="X1059" t="s">
        <v>35</v>
      </c>
      <c r="Y1059" t="s">
        <v>1719</v>
      </c>
      <c r="Z1059" t="s">
        <v>101</v>
      </c>
    </row>
    <row r="1060" spans="1:26">
      <c r="A1060" t="s">
        <v>2871</v>
      </c>
      <c r="B1060" t="s">
        <v>2871</v>
      </c>
      <c r="C1060" s="4">
        <v>45941</v>
      </c>
      <c r="D1060">
        <v>2025</v>
      </c>
      <c r="E1060">
        <v>10</v>
      </c>
      <c r="F1060" t="s">
        <v>26</v>
      </c>
      <c r="G1060" t="s">
        <v>137</v>
      </c>
      <c r="H1060" t="s">
        <v>2872</v>
      </c>
      <c r="I1060" t="s">
        <v>174</v>
      </c>
      <c r="J1060" t="s">
        <v>676</v>
      </c>
      <c r="K1060" t="s">
        <v>1894</v>
      </c>
      <c r="L1060">
        <v>2</v>
      </c>
      <c r="M1060" s="5">
        <v>397.22</v>
      </c>
      <c r="N1060" s="6">
        <v>10</v>
      </c>
      <c r="O1060" s="5">
        <v>79.44</v>
      </c>
      <c r="P1060" s="5">
        <v>107.25</v>
      </c>
      <c r="Q1060" s="5">
        <v>822.25</v>
      </c>
      <c r="R1060" s="5">
        <v>638.74</v>
      </c>
      <c r="S1060" s="5">
        <v>183.51</v>
      </c>
      <c r="T1060" s="7">
        <v>0.223180297962907</v>
      </c>
      <c r="U1060" t="s">
        <v>9</v>
      </c>
      <c r="V1060" t="s">
        <v>50</v>
      </c>
      <c r="W1060" t="s">
        <v>50</v>
      </c>
      <c r="X1060" t="s">
        <v>33</v>
      </c>
      <c r="Y1060" t="s">
        <v>772</v>
      </c>
      <c r="Z1060" t="s">
        <v>80</v>
      </c>
    </row>
    <row r="1061" spans="1:26">
      <c r="A1061" t="s">
        <v>2873</v>
      </c>
      <c r="B1061" t="s">
        <v>2873</v>
      </c>
      <c r="C1061" s="4">
        <v>45990</v>
      </c>
      <c r="D1061">
        <v>2025</v>
      </c>
      <c r="E1061">
        <v>11</v>
      </c>
      <c r="F1061" t="s">
        <v>27</v>
      </c>
      <c r="G1061" t="s">
        <v>137</v>
      </c>
      <c r="H1061" t="s">
        <v>150</v>
      </c>
      <c r="I1061" t="s">
        <v>553</v>
      </c>
      <c r="J1061" t="s">
        <v>2513</v>
      </c>
      <c r="K1061" t="s">
        <v>1357</v>
      </c>
      <c r="L1061">
        <v>5</v>
      </c>
      <c r="M1061" s="5">
        <v>325.3</v>
      </c>
      <c r="N1061" s="6">
        <v>5</v>
      </c>
      <c r="O1061" s="5">
        <v>81.33</v>
      </c>
      <c r="P1061" s="5">
        <v>231.78</v>
      </c>
      <c r="Q1061" s="5">
        <v>1776.95</v>
      </c>
      <c r="R1061" s="5">
        <v>1268.5</v>
      </c>
      <c r="S1061" s="5">
        <v>508.45</v>
      </c>
      <c r="T1061" s="7">
        <v>0.286136357241341</v>
      </c>
      <c r="U1061" t="s">
        <v>13</v>
      </c>
      <c r="V1061" t="s">
        <v>50</v>
      </c>
      <c r="W1061" t="s">
        <v>50</v>
      </c>
      <c r="X1061" t="s">
        <v>33</v>
      </c>
      <c r="Y1061" t="s">
        <v>2874</v>
      </c>
      <c r="Z1061" t="s">
        <v>80</v>
      </c>
    </row>
    <row r="1062" spans="1:26">
      <c r="A1062" t="s">
        <v>2875</v>
      </c>
      <c r="B1062" t="s">
        <v>2875</v>
      </c>
      <c r="C1062" s="4">
        <v>46101</v>
      </c>
      <c r="D1062">
        <v>2026</v>
      </c>
      <c r="E1062">
        <v>3</v>
      </c>
      <c r="F1062" t="s">
        <v>19</v>
      </c>
      <c r="G1062" t="s">
        <v>82</v>
      </c>
      <c r="H1062" t="s">
        <v>1651</v>
      </c>
      <c r="I1062" t="s">
        <v>116</v>
      </c>
      <c r="J1062" t="s">
        <v>269</v>
      </c>
      <c r="K1062" t="s">
        <v>407</v>
      </c>
      <c r="L1062">
        <v>3</v>
      </c>
      <c r="M1062" s="5">
        <v>172.63</v>
      </c>
      <c r="N1062" s="6">
        <v>15</v>
      </c>
      <c r="O1062" s="5">
        <v>77.68</v>
      </c>
      <c r="P1062" s="5">
        <v>66.03</v>
      </c>
      <c r="Q1062" s="5">
        <v>440.21</v>
      </c>
      <c r="R1062" s="5">
        <v>426</v>
      </c>
      <c r="S1062" s="5">
        <v>14.21</v>
      </c>
      <c r="T1062" s="7">
        <v>0.0322800481588333</v>
      </c>
      <c r="U1062" t="s">
        <v>13</v>
      </c>
      <c r="V1062" t="s">
        <v>50</v>
      </c>
      <c r="W1062" t="s">
        <v>50</v>
      </c>
      <c r="X1062" t="s">
        <v>33</v>
      </c>
      <c r="Y1062" t="s">
        <v>841</v>
      </c>
      <c r="Z1062" t="s">
        <v>101</v>
      </c>
    </row>
    <row r="1063" spans="1:26">
      <c r="A1063" t="s">
        <v>2876</v>
      </c>
      <c r="B1063" t="s">
        <v>2876</v>
      </c>
      <c r="C1063" s="4">
        <v>45979</v>
      </c>
      <c r="D1063">
        <v>2025</v>
      </c>
      <c r="E1063">
        <v>11</v>
      </c>
      <c r="F1063" t="s">
        <v>27</v>
      </c>
      <c r="G1063" t="s">
        <v>137</v>
      </c>
      <c r="H1063" t="s">
        <v>2493</v>
      </c>
      <c r="I1063" t="s">
        <v>332</v>
      </c>
      <c r="J1063" t="s">
        <v>280</v>
      </c>
      <c r="K1063" t="s">
        <v>281</v>
      </c>
      <c r="L1063">
        <v>6</v>
      </c>
      <c r="M1063" s="5">
        <v>73.95</v>
      </c>
      <c r="N1063" s="6">
        <v>5</v>
      </c>
      <c r="O1063" s="5">
        <v>22.18</v>
      </c>
      <c r="P1063" s="5">
        <v>63.23</v>
      </c>
      <c r="Q1063" s="5">
        <v>421.52</v>
      </c>
      <c r="R1063" s="5">
        <v>325.92</v>
      </c>
      <c r="S1063" s="5">
        <v>95.6</v>
      </c>
      <c r="T1063" s="7">
        <v>0.226798253938129</v>
      </c>
      <c r="U1063" t="s">
        <v>14</v>
      </c>
      <c r="V1063" t="s">
        <v>50</v>
      </c>
      <c r="W1063" t="s">
        <v>50</v>
      </c>
      <c r="X1063" t="s">
        <v>33</v>
      </c>
      <c r="Y1063" t="s">
        <v>359</v>
      </c>
      <c r="Z1063" t="s">
        <v>101</v>
      </c>
    </row>
    <row r="1064" spans="1:26">
      <c r="A1064" t="s">
        <v>2877</v>
      </c>
      <c r="B1064" t="s">
        <v>2877</v>
      </c>
      <c r="C1064" s="4">
        <v>45789</v>
      </c>
      <c r="D1064">
        <v>2025</v>
      </c>
      <c r="E1064">
        <v>5</v>
      </c>
      <c r="F1064" t="s">
        <v>21</v>
      </c>
      <c r="G1064" t="s">
        <v>74</v>
      </c>
      <c r="H1064" t="s">
        <v>195</v>
      </c>
      <c r="I1064" t="s">
        <v>547</v>
      </c>
      <c r="J1064" t="s">
        <v>202</v>
      </c>
      <c r="K1064" t="s">
        <v>231</v>
      </c>
      <c r="L1064">
        <v>1</v>
      </c>
      <c r="M1064" s="5">
        <v>503.36</v>
      </c>
      <c r="N1064" s="6">
        <v>0</v>
      </c>
      <c r="O1064" s="5">
        <v>0</v>
      </c>
      <c r="P1064" s="5">
        <v>75.5</v>
      </c>
      <c r="Q1064" s="5">
        <v>503.36</v>
      </c>
      <c r="R1064" s="5">
        <v>389.8</v>
      </c>
      <c r="S1064" s="5">
        <v>113.56</v>
      </c>
      <c r="T1064" s="7">
        <v>0.225603941513032</v>
      </c>
      <c r="U1064" t="s">
        <v>11</v>
      </c>
      <c r="V1064" t="s">
        <v>50</v>
      </c>
      <c r="W1064" t="s">
        <v>50</v>
      </c>
      <c r="X1064" t="s">
        <v>33</v>
      </c>
      <c r="Y1064" t="s">
        <v>2878</v>
      </c>
      <c r="Z1064" t="s">
        <v>101</v>
      </c>
    </row>
    <row r="1065" spans="1:26">
      <c r="A1065" t="s">
        <v>2879</v>
      </c>
      <c r="B1065" t="s">
        <v>2879</v>
      </c>
      <c r="C1065" s="4">
        <v>45819</v>
      </c>
      <c r="D1065">
        <v>2025</v>
      </c>
      <c r="E1065">
        <v>6</v>
      </c>
      <c r="F1065" t="s">
        <v>22</v>
      </c>
      <c r="G1065" t="s">
        <v>74</v>
      </c>
      <c r="H1065" t="s">
        <v>2880</v>
      </c>
      <c r="I1065" t="s">
        <v>110</v>
      </c>
      <c r="J1065" t="s">
        <v>770</v>
      </c>
      <c r="K1065" t="s">
        <v>771</v>
      </c>
      <c r="L1065">
        <v>3</v>
      </c>
      <c r="M1065" s="5">
        <v>342.46</v>
      </c>
      <c r="N1065" s="6">
        <v>10</v>
      </c>
      <c r="O1065" s="5">
        <v>102.74</v>
      </c>
      <c r="P1065" s="5">
        <v>138.7</v>
      </c>
      <c r="Q1065" s="5">
        <v>924.64</v>
      </c>
      <c r="R1065" s="5">
        <v>815.34</v>
      </c>
      <c r="S1065" s="5">
        <v>109.3</v>
      </c>
      <c r="T1065" s="7">
        <v>0.118208167503028</v>
      </c>
      <c r="U1065" t="s">
        <v>13</v>
      </c>
      <c r="V1065" t="s">
        <v>50</v>
      </c>
      <c r="W1065" t="s">
        <v>50</v>
      </c>
      <c r="X1065" t="s">
        <v>33</v>
      </c>
      <c r="Y1065" t="s">
        <v>1874</v>
      </c>
      <c r="Z1065" t="s">
        <v>101</v>
      </c>
    </row>
    <row r="1066" spans="1:26">
      <c r="A1066" t="s">
        <v>2881</v>
      </c>
      <c r="B1066" t="s">
        <v>2881</v>
      </c>
      <c r="C1066" s="4">
        <v>45971</v>
      </c>
      <c r="D1066">
        <v>2025</v>
      </c>
      <c r="E1066">
        <v>11</v>
      </c>
      <c r="F1066" t="s">
        <v>27</v>
      </c>
      <c r="G1066" t="s">
        <v>137</v>
      </c>
      <c r="H1066" t="s">
        <v>1370</v>
      </c>
      <c r="I1066" t="s">
        <v>235</v>
      </c>
      <c r="J1066" t="s">
        <v>929</v>
      </c>
      <c r="K1066" t="s">
        <v>2882</v>
      </c>
      <c r="L1066">
        <v>3</v>
      </c>
      <c r="M1066" s="5">
        <v>217.42</v>
      </c>
      <c r="N1066" s="6">
        <v>0</v>
      </c>
      <c r="O1066" s="5">
        <v>0</v>
      </c>
      <c r="P1066" s="5">
        <v>97.84</v>
      </c>
      <c r="Q1066" s="5">
        <v>652.26</v>
      </c>
      <c r="R1066" s="5">
        <v>531.09</v>
      </c>
      <c r="S1066" s="5">
        <v>121.17</v>
      </c>
      <c r="T1066" s="7">
        <v>0.185769478428847</v>
      </c>
      <c r="U1066" t="s">
        <v>14</v>
      </c>
      <c r="V1066" t="s">
        <v>50</v>
      </c>
      <c r="W1066" t="s">
        <v>50</v>
      </c>
      <c r="X1066" t="s">
        <v>33</v>
      </c>
      <c r="Y1066" t="s">
        <v>620</v>
      </c>
      <c r="Z1066" t="s">
        <v>101</v>
      </c>
    </row>
    <row r="1067" spans="1:26">
      <c r="A1067" t="s">
        <v>2883</v>
      </c>
      <c r="B1067" t="s">
        <v>2883</v>
      </c>
      <c r="C1067" s="4">
        <v>45984</v>
      </c>
      <c r="D1067">
        <v>2025</v>
      </c>
      <c r="E1067">
        <v>11</v>
      </c>
      <c r="F1067" t="s">
        <v>27</v>
      </c>
      <c r="G1067" t="s">
        <v>137</v>
      </c>
      <c r="H1067" t="s">
        <v>2884</v>
      </c>
      <c r="I1067" t="s">
        <v>180</v>
      </c>
      <c r="J1067" t="s">
        <v>746</v>
      </c>
      <c r="K1067" t="s">
        <v>568</v>
      </c>
      <c r="L1067">
        <v>4</v>
      </c>
      <c r="M1067" s="5">
        <v>379.12</v>
      </c>
      <c r="N1067" s="6">
        <v>10</v>
      </c>
      <c r="O1067" s="5">
        <v>151.65</v>
      </c>
      <c r="P1067" s="5">
        <v>204.72</v>
      </c>
      <c r="Q1067" s="5">
        <v>1569.55</v>
      </c>
      <c r="R1067" s="5">
        <v>1172.2</v>
      </c>
      <c r="S1067" s="5">
        <v>397.35</v>
      </c>
      <c r="T1067" s="7">
        <v>0.253161734255041</v>
      </c>
      <c r="U1067" t="s">
        <v>9</v>
      </c>
      <c r="V1067" t="s">
        <v>50</v>
      </c>
      <c r="W1067" t="s">
        <v>50</v>
      </c>
      <c r="X1067" t="s">
        <v>33</v>
      </c>
      <c r="Y1067" t="s">
        <v>2885</v>
      </c>
      <c r="Z1067" t="s">
        <v>80</v>
      </c>
    </row>
    <row r="1068" spans="1:26">
      <c r="A1068" t="s">
        <v>2886</v>
      </c>
      <c r="B1068" t="s">
        <v>2886</v>
      </c>
      <c r="C1068" s="4">
        <v>46005</v>
      </c>
      <c r="D1068">
        <v>2025</v>
      </c>
      <c r="E1068">
        <v>12</v>
      </c>
      <c r="F1068" t="s">
        <v>28</v>
      </c>
      <c r="G1068" t="s">
        <v>137</v>
      </c>
      <c r="H1068" t="s">
        <v>2887</v>
      </c>
      <c r="I1068" t="s">
        <v>750</v>
      </c>
      <c r="J1068" t="s">
        <v>654</v>
      </c>
      <c r="K1068" t="s">
        <v>2003</v>
      </c>
      <c r="L1068">
        <v>3</v>
      </c>
      <c r="M1068" s="5">
        <v>474.19</v>
      </c>
      <c r="N1068" s="6">
        <v>20</v>
      </c>
      <c r="O1068" s="5">
        <v>284.51</v>
      </c>
      <c r="P1068" s="5">
        <v>170.71</v>
      </c>
      <c r="Q1068" s="5">
        <v>1308.77</v>
      </c>
      <c r="R1068" s="5">
        <v>1031.67</v>
      </c>
      <c r="S1068" s="5">
        <v>277.1</v>
      </c>
      <c r="T1068" s="7">
        <v>0.211725513268183</v>
      </c>
      <c r="U1068" t="s">
        <v>14</v>
      </c>
      <c r="V1068" t="s">
        <v>50</v>
      </c>
      <c r="W1068" t="s">
        <v>50</v>
      </c>
      <c r="X1068" t="s">
        <v>33</v>
      </c>
      <c r="Y1068" t="s">
        <v>1831</v>
      </c>
      <c r="Z1068" t="s">
        <v>80</v>
      </c>
    </row>
    <row r="1069" spans="1:26">
      <c r="A1069" t="s">
        <v>2888</v>
      </c>
      <c r="B1069" t="s">
        <v>2888</v>
      </c>
      <c r="C1069" s="4">
        <v>45929</v>
      </c>
      <c r="D1069">
        <v>2025</v>
      </c>
      <c r="E1069">
        <v>9</v>
      </c>
      <c r="F1069" t="s">
        <v>25</v>
      </c>
      <c r="G1069" t="s">
        <v>89</v>
      </c>
      <c r="H1069" t="s">
        <v>1660</v>
      </c>
      <c r="I1069" t="s">
        <v>1714</v>
      </c>
      <c r="J1069" t="s">
        <v>746</v>
      </c>
      <c r="K1069" t="s">
        <v>2021</v>
      </c>
      <c r="L1069">
        <v>7</v>
      </c>
      <c r="M1069" s="5">
        <v>367.68</v>
      </c>
      <c r="N1069" s="6">
        <v>15</v>
      </c>
      <c r="O1069" s="5">
        <v>386.06</v>
      </c>
      <c r="P1069" s="5">
        <v>328.16</v>
      </c>
      <c r="Q1069" s="5">
        <v>2187.7</v>
      </c>
      <c r="R1069" s="5">
        <v>1862.7</v>
      </c>
      <c r="S1069" s="5">
        <v>325</v>
      </c>
      <c r="T1069" s="7">
        <v>0.148557846139782</v>
      </c>
      <c r="U1069" t="s">
        <v>14</v>
      </c>
      <c r="V1069" t="s">
        <v>50</v>
      </c>
      <c r="W1069" t="s">
        <v>50</v>
      </c>
      <c r="X1069" t="s">
        <v>33</v>
      </c>
      <c r="Y1069" t="s">
        <v>2135</v>
      </c>
      <c r="Z1069" t="s">
        <v>101</v>
      </c>
    </row>
    <row r="1070" spans="1:26">
      <c r="A1070" t="s">
        <v>2889</v>
      </c>
      <c r="B1070" t="s">
        <v>2889</v>
      </c>
      <c r="C1070" s="4">
        <v>45954</v>
      </c>
      <c r="D1070">
        <v>2025</v>
      </c>
      <c r="E1070">
        <v>10</v>
      </c>
      <c r="F1070" t="s">
        <v>26</v>
      </c>
      <c r="G1070" t="s">
        <v>137</v>
      </c>
      <c r="H1070" t="s">
        <v>1660</v>
      </c>
      <c r="I1070" t="s">
        <v>1228</v>
      </c>
      <c r="J1070" t="s">
        <v>2646</v>
      </c>
      <c r="K1070" t="s">
        <v>2647</v>
      </c>
      <c r="L1070">
        <v>6</v>
      </c>
      <c r="M1070" s="5">
        <v>211.31</v>
      </c>
      <c r="N1070" s="6">
        <v>0</v>
      </c>
      <c r="O1070" s="5">
        <v>0</v>
      </c>
      <c r="P1070" s="5">
        <v>190.18</v>
      </c>
      <c r="Q1070" s="5">
        <v>1267.86</v>
      </c>
      <c r="R1070" s="5">
        <v>949.68</v>
      </c>
      <c r="S1070" s="5">
        <v>318.18</v>
      </c>
      <c r="T1070" s="7">
        <v>0.250958307699588</v>
      </c>
      <c r="U1070" t="s">
        <v>12</v>
      </c>
      <c r="V1070" t="s">
        <v>50</v>
      </c>
      <c r="W1070" t="s">
        <v>50</v>
      </c>
      <c r="X1070" t="s">
        <v>35</v>
      </c>
      <c r="Y1070" t="s">
        <v>1021</v>
      </c>
      <c r="Z1070" t="s">
        <v>101</v>
      </c>
    </row>
    <row r="1071" spans="1:26">
      <c r="A1071" t="s">
        <v>2890</v>
      </c>
      <c r="B1071" t="s">
        <v>2890</v>
      </c>
      <c r="C1071" s="4">
        <v>46005</v>
      </c>
      <c r="D1071">
        <v>2025</v>
      </c>
      <c r="E1071">
        <v>12</v>
      </c>
      <c r="F1071" t="s">
        <v>28</v>
      </c>
      <c r="G1071" t="s">
        <v>137</v>
      </c>
      <c r="H1071" t="s">
        <v>1096</v>
      </c>
      <c r="I1071" t="s">
        <v>609</v>
      </c>
      <c r="J1071" t="s">
        <v>820</v>
      </c>
      <c r="K1071" t="s">
        <v>821</v>
      </c>
      <c r="L1071">
        <v>4</v>
      </c>
      <c r="M1071" s="5">
        <v>328.59</v>
      </c>
      <c r="N1071" s="6">
        <v>0</v>
      </c>
      <c r="O1071" s="5">
        <v>0</v>
      </c>
      <c r="P1071" s="5">
        <v>197.15</v>
      </c>
      <c r="Q1071" s="5">
        <v>1511.51</v>
      </c>
      <c r="R1071" s="5">
        <v>1021.96</v>
      </c>
      <c r="S1071" s="5">
        <v>489.55</v>
      </c>
      <c r="T1071" s="7">
        <v>0.323881416596648</v>
      </c>
      <c r="U1071" t="s">
        <v>10</v>
      </c>
      <c r="V1071" t="s">
        <v>50</v>
      </c>
      <c r="W1071" t="s">
        <v>50</v>
      </c>
      <c r="X1071" t="s">
        <v>35</v>
      </c>
      <c r="Y1071" t="s">
        <v>1907</v>
      </c>
      <c r="Z1071" t="s">
        <v>80</v>
      </c>
    </row>
    <row r="1072" spans="1:26">
      <c r="A1072" t="s">
        <v>2891</v>
      </c>
      <c r="B1072" t="s">
        <v>2891</v>
      </c>
      <c r="C1072" s="4">
        <v>45845</v>
      </c>
      <c r="D1072">
        <v>2025</v>
      </c>
      <c r="E1072">
        <v>7</v>
      </c>
      <c r="F1072" t="s">
        <v>23</v>
      </c>
      <c r="G1072" t="s">
        <v>89</v>
      </c>
      <c r="H1072" t="s">
        <v>2782</v>
      </c>
      <c r="I1072" t="s">
        <v>765</v>
      </c>
      <c r="J1072" t="s">
        <v>291</v>
      </c>
      <c r="K1072" t="s">
        <v>270</v>
      </c>
      <c r="L1072">
        <v>4</v>
      </c>
      <c r="M1072" s="5">
        <v>376.11</v>
      </c>
      <c r="N1072" s="6">
        <v>0</v>
      </c>
      <c r="O1072" s="5">
        <v>0</v>
      </c>
      <c r="P1072" s="5">
        <v>225.67</v>
      </c>
      <c r="Q1072" s="5">
        <v>1504.44</v>
      </c>
      <c r="R1072" s="5">
        <v>1206.28</v>
      </c>
      <c r="S1072" s="5">
        <v>298.16</v>
      </c>
      <c r="T1072" s="7">
        <v>0.198186700699264</v>
      </c>
      <c r="U1072" t="s">
        <v>11</v>
      </c>
      <c r="V1072" t="s">
        <v>51</v>
      </c>
      <c r="W1072" t="s">
        <v>51</v>
      </c>
      <c r="X1072" t="s">
        <v>35</v>
      </c>
      <c r="Y1072" t="s">
        <v>2892</v>
      </c>
      <c r="Z1072" t="s">
        <v>101</v>
      </c>
    </row>
    <row r="1073" spans="1:26">
      <c r="A1073" t="s">
        <v>2893</v>
      </c>
      <c r="B1073" t="s">
        <v>2893</v>
      </c>
      <c r="C1073" s="4">
        <v>46066</v>
      </c>
      <c r="D1073">
        <v>2026</v>
      </c>
      <c r="E1073">
        <v>2</v>
      </c>
      <c r="F1073" t="s">
        <v>31</v>
      </c>
      <c r="G1073" t="s">
        <v>82</v>
      </c>
      <c r="H1073" t="s">
        <v>712</v>
      </c>
      <c r="I1073" t="s">
        <v>362</v>
      </c>
      <c r="J1073" t="s">
        <v>42</v>
      </c>
      <c r="K1073" t="s">
        <v>619</v>
      </c>
      <c r="L1073">
        <v>5</v>
      </c>
      <c r="M1073" s="5">
        <v>329.69</v>
      </c>
      <c r="N1073" s="6">
        <v>15</v>
      </c>
      <c r="O1073" s="5">
        <v>247.27</v>
      </c>
      <c r="P1073" s="5">
        <v>210.18</v>
      </c>
      <c r="Q1073" s="5">
        <v>1401.18</v>
      </c>
      <c r="R1073" s="5">
        <v>1236.25</v>
      </c>
      <c r="S1073" s="5">
        <v>164.93</v>
      </c>
      <c r="T1073" s="7">
        <v>0.117707931885982</v>
      </c>
      <c r="U1073" t="s">
        <v>10</v>
      </c>
      <c r="V1073" t="s">
        <v>50</v>
      </c>
      <c r="W1073" t="s">
        <v>50</v>
      </c>
      <c r="X1073" t="s">
        <v>33</v>
      </c>
      <c r="Y1073" t="s">
        <v>1138</v>
      </c>
      <c r="Z1073" t="s">
        <v>101</v>
      </c>
    </row>
    <row r="1074" spans="1:26">
      <c r="A1074" t="s">
        <v>2894</v>
      </c>
      <c r="B1074" t="s">
        <v>2894</v>
      </c>
      <c r="C1074" s="4">
        <v>45969</v>
      </c>
      <c r="D1074">
        <v>2025</v>
      </c>
      <c r="E1074">
        <v>11</v>
      </c>
      <c r="F1074" t="s">
        <v>27</v>
      </c>
      <c r="G1074" t="s">
        <v>137</v>
      </c>
      <c r="H1074" t="s">
        <v>1709</v>
      </c>
      <c r="I1074" t="s">
        <v>454</v>
      </c>
      <c r="J1074" t="s">
        <v>46</v>
      </c>
      <c r="K1074" t="s">
        <v>2638</v>
      </c>
      <c r="L1074">
        <v>8</v>
      </c>
      <c r="M1074" s="5">
        <v>307.93</v>
      </c>
      <c r="N1074" s="6">
        <v>10</v>
      </c>
      <c r="O1074" s="5">
        <v>246.34</v>
      </c>
      <c r="P1074" s="5">
        <v>332.56</v>
      </c>
      <c r="Q1074" s="5">
        <v>2549.66</v>
      </c>
      <c r="R1074" s="5">
        <v>1477.92</v>
      </c>
      <c r="S1074" s="5">
        <v>1071.74</v>
      </c>
      <c r="T1074" s="7">
        <v>0.420346242244064</v>
      </c>
      <c r="U1074" t="s">
        <v>9</v>
      </c>
      <c r="V1074" t="s">
        <v>50</v>
      </c>
      <c r="W1074" t="s">
        <v>50</v>
      </c>
      <c r="X1074" t="s">
        <v>34</v>
      </c>
      <c r="Y1074" t="s">
        <v>931</v>
      </c>
      <c r="Z1074" t="s">
        <v>80</v>
      </c>
    </row>
    <row r="1075" spans="1:26">
      <c r="A1075" t="s">
        <v>2895</v>
      </c>
      <c r="B1075" t="s">
        <v>2895</v>
      </c>
      <c r="C1075" s="4">
        <v>45886</v>
      </c>
      <c r="D1075">
        <v>2025</v>
      </c>
      <c r="E1075">
        <v>8</v>
      </c>
      <c r="F1075" t="s">
        <v>24</v>
      </c>
      <c r="G1075" t="s">
        <v>89</v>
      </c>
      <c r="H1075" t="s">
        <v>671</v>
      </c>
      <c r="I1075" t="s">
        <v>332</v>
      </c>
      <c r="J1075" t="s">
        <v>1381</v>
      </c>
      <c r="K1075" t="s">
        <v>1382</v>
      </c>
      <c r="L1075">
        <v>5</v>
      </c>
      <c r="M1075" s="5">
        <v>77.08</v>
      </c>
      <c r="N1075" s="6">
        <v>0</v>
      </c>
      <c r="O1075" s="5">
        <v>0</v>
      </c>
      <c r="P1075" s="5">
        <v>57.81</v>
      </c>
      <c r="Q1075" s="5">
        <v>443.21</v>
      </c>
      <c r="R1075" s="5">
        <v>271.6</v>
      </c>
      <c r="S1075" s="5">
        <v>171.61</v>
      </c>
      <c r="T1075" s="7">
        <v>0.387197942284696</v>
      </c>
      <c r="U1075" t="s">
        <v>11</v>
      </c>
      <c r="V1075" t="s">
        <v>50</v>
      </c>
      <c r="W1075" t="s">
        <v>50</v>
      </c>
      <c r="X1075" t="s">
        <v>33</v>
      </c>
      <c r="Y1075" t="s">
        <v>2000</v>
      </c>
      <c r="Z1075" t="s">
        <v>80</v>
      </c>
    </row>
    <row r="1076" spans="1:26">
      <c r="A1076" t="s">
        <v>2896</v>
      </c>
      <c r="B1076" t="s">
        <v>2896</v>
      </c>
      <c r="C1076" s="4">
        <v>46092</v>
      </c>
      <c r="D1076">
        <v>2026</v>
      </c>
      <c r="E1076">
        <v>3</v>
      </c>
      <c r="F1076" t="s">
        <v>19</v>
      </c>
      <c r="G1076" t="s">
        <v>82</v>
      </c>
      <c r="H1076" t="s">
        <v>2662</v>
      </c>
      <c r="I1076" t="s">
        <v>514</v>
      </c>
      <c r="J1076" t="s">
        <v>445</v>
      </c>
      <c r="K1076" t="s">
        <v>446</v>
      </c>
      <c r="L1076">
        <v>1</v>
      </c>
      <c r="M1076" s="5">
        <v>589.75</v>
      </c>
      <c r="N1076" s="6">
        <v>0</v>
      </c>
      <c r="O1076" s="5">
        <v>0</v>
      </c>
      <c r="P1076" s="5">
        <v>88.46</v>
      </c>
      <c r="Q1076" s="5">
        <v>589.75</v>
      </c>
      <c r="R1076" s="5">
        <v>343.65</v>
      </c>
      <c r="S1076" s="5">
        <v>246.1</v>
      </c>
      <c r="T1076" s="7">
        <v>0.417295464179737</v>
      </c>
      <c r="U1076" t="s">
        <v>11</v>
      </c>
      <c r="V1076" t="s">
        <v>50</v>
      </c>
      <c r="W1076" t="s">
        <v>50</v>
      </c>
      <c r="X1076" t="s">
        <v>33</v>
      </c>
      <c r="Y1076" t="s">
        <v>437</v>
      </c>
      <c r="Z1076" t="s">
        <v>101</v>
      </c>
    </row>
    <row r="1077" spans="1:26">
      <c r="A1077" t="s">
        <v>2897</v>
      </c>
      <c r="B1077" t="s">
        <v>2897</v>
      </c>
      <c r="C1077" s="4">
        <v>45784</v>
      </c>
      <c r="D1077">
        <v>2025</v>
      </c>
      <c r="E1077">
        <v>5</v>
      </c>
      <c r="F1077" t="s">
        <v>21</v>
      </c>
      <c r="G1077" t="s">
        <v>74</v>
      </c>
      <c r="H1077" t="s">
        <v>2059</v>
      </c>
      <c r="I1077" t="s">
        <v>362</v>
      </c>
      <c r="J1077" t="s">
        <v>489</v>
      </c>
      <c r="K1077" t="s">
        <v>2898</v>
      </c>
      <c r="L1077">
        <v>2</v>
      </c>
      <c r="M1077" s="5">
        <v>329.69</v>
      </c>
      <c r="N1077" s="6">
        <v>0</v>
      </c>
      <c r="O1077" s="5">
        <v>0</v>
      </c>
      <c r="P1077" s="5">
        <v>98.91</v>
      </c>
      <c r="Q1077" s="5">
        <v>659.38</v>
      </c>
      <c r="R1077" s="5">
        <v>494.5</v>
      </c>
      <c r="S1077" s="5">
        <v>164.88</v>
      </c>
      <c r="T1077" s="7">
        <v>0.250053080166217</v>
      </c>
      <c r="U1077" t="s">
        <v>9</v>
      </c>
      <c r="V1077" t="s">
        <v>51</v>
      </c>
      <c r="W1077" t="s">
        <v>51</v>
      </c>
      <c r="X1077" t="s">
        <v>35</v>
      </c>
      <c r="Y1077" t="s">
        <v>2899</v>
      </c>
      <c r="Z1077" t="s">
        <v>101</v>
      </c>
    </row>
    <row r="1078" spans="1:26">
      <c r="A1078" t="s">
        <v>2900</v>
      </c>
      <c r="B1078" t="s">
        <v>2900</v>
      </c>
      <c r="C1078" s="4">
        <v>45875</v>
      </c>
      <c r="D1078">
        <v>2025</v>
      </c>
      <c r="E1078">
        <v>8</v>
      </c>
      <c r="F1078" t="s">
        <v>24</v>
      </c>
      <c r="G1078" t="s">
        <v>89</v>
      </c>
      <c r="H1078" t="s">
        <v>536</v>
      </c>
      <c r="I1078" t="s">
        <v>138</v>
      </c>
      <c r="J1078" t="s">
        <v>269</v>
      </c>
      <c r="K1078" t="s">
        <v>2636</v>
      </c>
      <c r="L1078">
        <v>4</v>
      </c>
      <c r="M1078" s="5">
        <v>383.51</v>
      </c>
      <c r="N1078" s="6">
        <v>15</v>
      </c>
      <c r="O1078" s="5">
        <v>230.11</v>
      </c>
      <c r="P1078" s="5">
        <v>195.59</v>
      </c>
      <c r="Q1078" s="5">
        <v>1303.93</v>
      </c>
      <c r="R1078" s="5">
        <v>1143.6</v>
      </c>
      <c r="S1078" s="5">
        <v>160.33</v>
      </c>
      <c r="T1078" s="7">
        <v>0.122959054550474</v>
      </c>
      <c r="U1078" t="s">
        <v>14</v>
      </c>
      <c r="V1078" t="s">
        <v>50</v>
      </c>
      <c r="W1078" t="s">
        <v>50</v>
      </c>
      <c r="X1078" t="s">
        <v>34</v>
      </c>
      <c r="Y1078" t="s">
        <v>2363</v>
      </c>
      <c r="Z1078" t="s">
        <v>101</v>
      </c>
    </row>
    <row r="1079" spans="1:26">
      <c r="A1079" t="s">
        <v>2901</v>
      </c>
      <c r="B1079" t="s">
        <v>2901</v>
      </c>
      <c r="C1079" s="4">
        <v>45791</v>
      </c>
      <c r="D1079">
        <v>2025</v>
      </c>
      <c r="E1079">
        <v>5</v>
      </c>
      <c r="F1079" t="s">
        <v>21</v>
      </c>
      <c r="G1079" t="s">
        <v>74</v>
      </c>
      <c r="H1079" t="s">
        <v>1506</v>
      </c>
      <c r="I1079" t="s">
        <v>623</v>
      </c>
      <c r="J1079" t="s">
        <v>140</v>
      </c>
      <c r="K1079" t="s">
        <v>141</v>
      </c>
      <c r="L1079">
        <v>7</v>
      </c>
      <c r="M1079" s="5">
        <v>153.82</v>
      </c>
      <c r="N1079" s="6">
        <v>0</v>
      </c>
      <c r="O1079" s="5">
        <v>0</v>
      </c>
      <c r="P1079" s="5">
        <v>161.51</v>
      </c>
      <c r="Q1079" s="5">
        <v>1076.74</v>
      </c>
      <c r="R1079" s="5">
        <v>748.93</v>
      </c>
      <c r="S1079" s="5">
        <v>327.81</v>
      </c>
      <c r="T1079" s="7">
        <v>0.304446755948511</v>
      </c>
      <c r="U1079" t="s">
        <v>13</v>
      </c>
      <c r="V1079" t="s">
        <v>50</v>
      </c>
      <c r="W1079" t="s">
        <v>50</v>
      </c>
      <c r="X1079" t="s">
        <v>33</v>
      </c>
      <c r="Y1079" t="s">
        <v>1116</v>
      </c>
      <c r="Z1079" t="s">
        <v>101</v>
      </c>
    </row>
    <row r="1080" spans="1:26">
      <c r="A1080" t="s">
        <v>2902</v>
      </c>
      <c r="B1080" t="s">
        <v>2902</v>
      </c>
      <c r="C1080" s="4">
        <v>46011</v>
      </c>
      <c r="D1080">
        <v>2025</v>
      </c>
      <c r="E1080">
        <v>12</v>
      </c>
      <c r="F1080" t="s">
        <v>28</v>
      </c>
      <c r="G1080" t="s">
        <v>137</v>
      </c>
      <c r="H1080" t="s">
        <v>322</v>
      </c>
      <c r="I1080" t="s">
        <v>362</v>
      </c>
      <c r="J1080" t="s">
        <v>197</v>
      </c>
      <c r="K1080" t="s">
        <v>287</v>
      </c>
      <c r="L1080">
        <v>5</v>
      </c>
      <c r="M1080" s="5">
        <v>338.07</v>
      </c>
      <c r="N1080" s="6">
        <v>10</v>
      </c>
      <c r="O1080" s="5">
        <v>169.03</v>
      </c>
      <c r="P1080" s="5">
        <v>228.2</v>
      </c>
      <c r="Q1080" s="5">
        <v>1749.52</v>
      </c>
      <c r="R1080" s="5">
        <v>1236.25</v>
      </c>
      <c r="S1080" s="5">
        <v>513.27</v>
      </c>
      <c r="T1080" s="7">
        <v>0.293377612145045</v>
      </c>
      <c r="U1080" t="s">
        <v>11</v>
      </c>
      <c r="V1080" t="s">
        <v>50</v>
      </c>
      <c r="W1080" t="s">
        <v>50</v>
      </c>
      <c r="X1080" t="s">
        <v>33</v>
      </c>
      <c r="Y1080" t="s">
        <v>697</v>
      </c>
      <c r="Z1080" t="s">
        <v>80</v>
      </c>
    </row>
    <row r="1081" spans="1:26">
      <c r="A1081" t="s">
        <v>2903</v>
      </c>
      <c r="B1081" t="s">
        <v>2903</v>
      </c>
      <c r="C1081" s="4">
        <v>45954</v>
      </c>
      <c r="D1081">
        <v>2025</v>
      </c>
      <c r="E1081">
        <v>10</v>
      </c>
      <c r="F1081" t="s">
        <v>26</v>
      </c>
      <c r="G1081" t="s">
        <v>137</v>
      </c>
      <c r="H1081" t="s">
        <v>912</v>
      </c>
      <c r="I1081" t="s">
        <v>933</v>
      </c>
      <c r="J1081" t="s">
        <v>1928</v>
      </c>
      <c r="K1081" t="s">
        <v>2636</v>
      </c>
      <c r="L1081">
        <v>8</v>
      </c>
      <c r="M1081" s="5">
        <v>481.36</v>
      </c>
      <c r="N1081" s="6">
        <v>5</v>
      </c>
      <c r="O1081" s="5">
        <v>192.54</v>
      </c>
      <c r="P1081" s="5">
        <v>548.75</v>
      </c>
      <c r="Q1081" s="5">
        <v>3658.34</v>
      </c>
      <c r="R1081" s="5">
        <v>2859.76</v>
      </c>
      <c r="S1081" s="5">
        <v>798.58</v>
      </c>
      <c r="T1081" s="7">
        <v>0.218290262796788</v>
      </c>
      <c r="U1081" t="s">
        <v>11</v>
      </c>
      <c r="V1081" t="s">
        <v>50</v>
      </c>
      <c r="W1081" t="s">
        <v>50</v>
      </c>
      <c r="X1081" t="s">
        <v>33</v>
      </c>
      <c r="Y1081" t="s">
        <v>154</v>
      </c>
      <c r="Z1081" t="s">
        <v>101</v>
      </c>
    </row>
    <row r="1082" spans="1:26">
      <c r="A1082" t="s">
        <v>2904</v>
      </c>
      <c r="B1082" t="s">
        <v>2904</v>
      </c>
      <c r="C1082" s="4">
        <v>46049</v>
      </c>
      <c r="D1082">
        <v>2026</v>
      </c>
      <c r="E1082">
        <v>1</v>
      </c>
      <c r="F1082" t="s">
        <v>30</v>
      </c>
      <c r="G1082" t="s">
        <v>82</v>
      </c>
      <c r="H1082" t="s">
        <v>597</v>
      </c>
      <c r="I1082" t="s">
        <v>262</v>
      </c>
      <c r="J1082" t="s">
        <v>1361</v>
      </c>
      <c r="K1082" t="s">
        <v>2905</v>
      </c>
      <c r="L1082">
        <v>2</v>
      </c>
      <c r="M1082" s="5">
        <v>147.97</v>
      </c>
      <c r="N1082" s="6">
        <v>20</v>
      </c>
      <c r="O1082" s="5">
        <v>59.19</v>
      </c>
      <c r="P1082" s="5">
        <v>35.51</v>
      </c>
      <c r="Q1082" s="5">
        <v>236.75</v>
      </c>
      <c r="R1082" s="5">
        <v>225.6</v>
      </c>
      <c r="S1082" s="5">
        <v>11.15</v>
      </c>
      <c r="T1082" s="7">
        <v>0.0470960929250264</v>
      </c>
      <c r="U1082" t="s">
        <v>12</v>
      </c>
      <c r="V1082" t="s">
        <v>50</v>
      </c>
      <c r="W1082" t="s">
        <v>50</v>
      </c>
      <c r="X1082" t="s">
        <v>33</v>
      </c>
      <c r="Y1082" t="s">
        <v>1454</v>
      </c>
      <c r="Z1082" t="s">
        <v>101</v>
      </c>
    </row>
    <row r="1083" spans="1:26">
      <c r="A1083" t="s">
        <v>2906</v>
      </c>
      <c r="B1083" t="s">
        <v>2906</v>
      </c>
      <c r="C1083" s="4">
        <v>45787</v>
      </c>
      <c r="D1083">
        <v>2025</v>
      </c>
      <c r="E1083">
        <v>5</v>
      </c>
      <c r="F1083" t="s">
        <v>21</v>
      </c>
      <c r="G1083" t="s">
        <v>74</v>
      </c>
      <c r="H1083" t="s">
        <v>2907</v>
      </c>
      <c r="I1083" t="s">
        <v>844</v>
      </c>
      <c r="J1083" t="s">
        <v>42</v>
      </c>
      <c r="K1083" t="s">
        <v>1191</v>
      </c>
      <c r="L1083">
        <v>4</v>
      </c>
      <c r="M1083" s="5">
        <v>298.68</v>
      </c>
      <c r="N1083" s="6">
        <v>0</v>
      </c>
      <c r="O1083" s="5">
        <v>0</v>
      </c>
      <c r="P1083" s="5">
        <v>179.21</v>
      </c>
      <c r="Q1083" s="5">
        <v>1373.93</v>
      </c>
      <c r="R1083" s="5">
        <v>1002.76</v>
      </c>
      <c r="S1083" s="5">
        <v>371.17</v>
      </c>
      <c r="T1083" s="7">
        <v>0.270152045591842</v>
      </c>
      <c r="U1083" t="s">
        <v>11</v>
      </c>
      <c r="V1083" t="s">
        <v>50</v>
      </c>
      <c r="W1083" t="s">
        <v>50</v>
      </c>
      <c r="X1083" t="s">
        <v>33</v>
      </c>
      <c r="Y1083" t="s">
        <v>1743</v>
      </c>
      <c r="Z1083" t="s">
        <v>80</v>
      </c>
    </row>
    <row r="1084" spans="1:26">
      <c r="A1084" t="s">
        <v>2908</v>
      </c>
      <c r="B1084" t="s">
        <v>2908</v>
      </c>
      <c r="C1084" s="4">
        <v>46105</v>
      </c>
      <c r="D1084">
        <v>2026</v>
      </c>
      <c r="E1084">
        <v>3</v>
      </c>
      <c r="F1084" t="s">
        <v>19</v>
      </c>
      <c r="G1084" t="s">
        <v>82</v>
      </c>
      <c r="H1084" t="s">
        <v>2244</v>
      </c>
      <c r="I1084" t="s">
        <v>279</v>
      </c>
      <c r="J1084" t="s">
        <v>357</v>
      </c>
      <c r="K1084" t="s">
        <v>358</v>
      </c>
      <c r="L1084">
        <v>3</v>
      </c>
      <c r="M1084" s="5">
        <v>418.79</v>
      </c>
      <c r="N1084" s="6">
        <v>20</v>
      </c>
      <c r="O1084" s="5">
        <v>251.27</v>
      </c>
      <c r="P1084" s="5">
        <v>150.77</v>
      </c>
      <c r="Q1084" s="5">
        <v>1005.1</v>
      </c>
      <c r="R1084" s="5">
        <v>926.82</v>
      </c>
      <c r="S1084" s="5">
        <v>78.28</v>
      </c>
      <c r="T1084" s="7">
        <v>0.077882797731569</v>
      </c>
      <c r="U1084" t="s">
        <v>12</v>
      </c>
      <c r="V1084" t="s">
        <v>50</v>
      </c>
      <c r="W1084" t="s">
        <v>50</v>
      </c>
      <c r="X1084" t="s">
        <v>33</v>
      </c>
      <c r="Y1084" t="s">
        <v>2165</v>
      </c>
      <c r="Z1084" t="s">
        <v>101</v>
      </c>
    </row>
    <row r="1085" spans="1:26">
      <c r="A1085" t="s">
        <v>2909</v>
      </c>
      <c r="B1085" t="s">
        <v>2909</v>
      </c>
      <c r="C1085" s="4">
        <v>45773</v>
      </c>
      <c r="D1085">
        <v>2025</v>
      </c>
      <c r="E1085">
        <v>4</v>
      </c>
      <c r="F1085" t="s">
        <v>20</v>
      </c>
      <c r="G1085" t="s">
        <v>74</v>
      </c>
      <c r="H1085" t="s">
        <v>2352</v>
      </c>
      <c r="I1085" t="s">
        <v>598</v>
      </c>
      <c r="J1085" t="s">
        <v>296</v>
      </c>
      <c r="K1085" t="s">
        <v>297</v>
      </c>
      <c r="L1085">
        <v>2</v>
      </c>
      <c r="M1085" s="5">
        <v>491.81</v>
      </c>
      <c r="N1085" s="6">
        <v>0</v>
      </c>
      <c r="O1085" s="5">
        <v>0</v>
      </c>
      <c r="P1085" s="5">
        <v>147.54</v>
      </c>
      <c r="Q1085" s="5">
        <v>1131.16</v>
      </c>
      <c r="R1085" s="5">
        <v>731.14</v>
      </c>
      <c r="S1085" s="5">
        <v>400.02</v>
      </c>
      <c r="T1085" s="7">
        <v>0.353636974433325</v>
      </c>
      <c r="U1085" t="s">
        <v>13</v>
      </c>
      <c r="V1085" t="s">
        <v>50</v>
      </c>
      <c r="W1085" t="s">
        <v>50</v>
      </c>
      <c r="X1085" t="s">
        <v>33</v>
      </c>
      <c r="Y1085" t="s">
        <v>1968</v>
      </c>
      <c r="Z1085" t="s">
        <v>80</v>
      </c>
    </row>
    <row r="1086" spans="1:26">
      <c r="A1086" t="s">
        <v>2910</v>
      </c>
      <c r="B1086" t="s">
        <v>2910</v>
      </c>
      <c r="C1086" s="4">
        <v>45959</v>
      </c>
      <c r="D1086">
        <v>2025</v>
      </c>
      <c r="E1086">
        <v>10</v>
      </c>
      <c r="F1086" t="s">
        <v>26</v>
      </c>
      <c r="G1086" t="s">
        <v>137</v>
      </c>
      <c r="H1086" t="s">
        <v>428</v>
      </c>
      <c r="I1086" t="s">
        <v>157</v>
      </c>
      <c r="J1086" t="s">
        <v>1834</v>
      </c>
      <c r="K1086" t="s">
        <v>1835</v>
      </c>
      <c r="L1086">
        <v>4</v>
      </c>
      <c r="M1086" s="5">
        <v>60.83</v>
      </c>
      <c r="N1086" s="6">
        <v>15</v>
      </c>
      <c r="O1086" s="5">
        <v>36.5</v>
      </c>
      <c r="P1086" s="5">
        <v>31.02</v>
      </c>
      <c r="Q1086" s="5">
        <v>206.82</v>
      </c>
      <c r="R1086" s="5">
        <v>192.6</v>
      </c>
      <c r="S1086" s="5">
        <v>14.22</v>
      </c>
      <c r="T1086" s="7">
        <v>0.0687554395126197</v>
      </c>
      <c r="U1086" t="s">
        <v>12</v>
      </c>
      <c r="V1086" t="s">
        <v>50</v>
      </c>
      <c r="W1086" t="s">
        <v>50</v>
      </c>
      <c r="X1086" t="s">
        <v>34</v>
      </c>
      <c r="Y1086" t="s">
        <v>160</v>
      </c>
      <c r="Z1086" t="s">
        <v>101</v>
      </c>
    </row>
    <row r="1087" spans="1:26">
      <c r="A1087" t="s">
        <v>2911</v>
      </c>
      <c r="B1087" t="s">
        <v>2911</v>
      </c>
      <c r="C1087" s="4">
        <v>45819</v>
      </c>
      <c r="D1087">
        <v>2025</v>
      </c>
      <c r="E1087">
        <v>6</v>
      </c>
      <c r="F1087" t="s">
        <v>22</v>
      </c>
      <c r="G1087" t="s">
        <v>74</v>
      </c>
      <c r="H1087" t="s">
        <v>1267</v>
      </c>
      <c r="I1087" t="s">
        <v>459</v>
      </c>
      <c r="J1087" t="s">
        <v>208</v>
      </c>
      <c r="K1087" t="s">
        <v>2912</v>
      </c>
      <c r="L1087">
        <v>7</v>
      </c>
      <c r="M1087" s="5">
        <v>110.25</v>
      </c>
      <c r="N1087" s="6">
        <v>0</v>
      </c>
      <c r="O1087" s="5">
        <v>0</v>
      </c>
      <c r="P1087" s="5">
        <v>115.76</v>
      </c>
      <c r="Q1087" s="5">
        <v>771.75</v>
      </c>
      <c r="R1087" s="5">
        <v>558.74</v>
      </c>
      <c r="S1087" s="5">
        <v>213.01</v>
      </c>
      <c r="T1087" s="7">
        <v>0.276009070294785</v>
      </c>
      <c r="U1087" t="s">
        <v>11</v>
      </c>
      <c r="V1087" t="s">
        <v>51</v>
      </c>
      <c r="W1087" t="s">
        <v>51</v>
      </c>
      <c r="X1087" t="s">
        <v>33</v>
      </c>
      <c r="Y1087" t="s">
        <v>2913</v>
      </c>
      <c r="Z1087" t="s">
        <v>101</v>
      </c>
    </row>
    <row r="1088" spans="1:26">
      <c r="A1088" t="s">
        <v>2914</v>
      </c>
      <c r="B1088" t="s">
        <v>2914</v>
      </c>
      <c r="C1088" s="4">
        <v>45927</v>
      </c>
      <c r="D1088">
        <v>2025</v>
      </c>
      <c r="E1088">
        <v>9</v>
      </c>
      <c r="F1088" t="s">
        <v>25</v>
      </c>
      <c r="G1088" t="s">
        <v>89</v>
      </c>
      <c r="H1088" t="s">
        <v>2915</v>
      </c>
      <c r="I1088" t="s">
        <v>301</v>
      </c>
      <c r="J1088" t="s">
        <v>1657</v>
      </c>
      <c r="K1088" t="s">
        <v>1658</v>
      </c>
      <c r="L1088">
        <v>3</v>
      </c>
      <c r="M1088" s="5">
        <v>219.39</v>
      </c>
      <c r="N1088" s="6">
        <v>5</v>
      </c>
      <c r="O1088" s="5">
        <v>32.91</v>
      </c>
      <c r="P1088" s="5">
        <v>93.79</v>
      </c>
      <c r="Q1088" s="5">
        <v>719.05</v>
      </c>
      <c r="R1088" s="5">
        <v>586.32</v>
      </c>
      <c r="S1088" s="5">
        <v>132.73</v>
      </c>
      <c r="T1088" s="7">
        <v>0.18459077950073</v>
      </c>
      <c r="U1088" t="s">
        <v>11</v>
      </c>
      <c r="V1088" t="s">
        <v>50</v>
      </c>
      <c r="W1088" t="s">
        <v>50</v>
      </c>
      <c r="X1088" t="s">
        <v>35</v>
      </c>
      <c r="Y1088" t="s">
        <v>2916</v>
      </c>
      <c r="Z1088" t="s">
        <v>80</v>
      </c>
    </row>
    <row r="1089" spans="1:26">
      <c r="A1089" t="s">
        <v>2917</v>
      </c>
      <c r="B1089" t="s">
        <v>2917</v>
      </c>
      <c r="C1089" s="4">
        <v>46077</v>
      </c>
      <c r="D1089">
        <v>2026</v>
      </c>
      <c r="E1089">
        <v>2</v>
      </c>
      <c r="F1089" t="s">
        <v>31</v>
      </c>
      <c r="G1089" t="s">
        <v>82</v>
      </c>
      <c r="H1089" t="s">
        <v>699</v>
      </c>
      <c r="I1089" t="s">
        <v>323</v>
      </c>
      <c r="J1089" t="s">
        <v>746</v>
      </c>
      <c r="K1089" t="s">
        <v>510</v>
      </c>
      <c r="L1089">
        <v>4</v>
      </c>
      <c r="M1089" s="5">
        <v>51.33</v>
      </c>
      <c r="N1089" s="6">
        <v>0</v>
      </c>
      <c r="O1089" s="5">
        <v>0</v>
      </c>
      <c r="P1089" s="5">
        <v>30.8</v>
      </c>
      <c r="Q1089" s="5">
        <v>205.32</v>
      </c>
      <c r="R1089" s="5">
        <v>149.92</v>
      </c>
      <c r="S1089" s="5">
        <v>55.4</v>
      </c>
      <c r="T1089" s="7">
        <v>0.269822715760764</v>
      </c>
      <c r="U1089" t="s">
        <v>12</v>
      </c>
      <c r="V1089" t="s">
        <v>50</v>
      </c>
      <c r="W1089" t="s">
        <v>50</v>
      </c>
      <c r="X1089" t="s">
        <v>33</v>
      </c>
      <c r="Y1089" t="s">
        <v>1265</v>
      </c>
      <c r="Z1089" t="s">
        <v>101</v>
      </c>
    </row>
    <row r="1090" spans="1:26">
      <c r="A1090" t="s">
        <v>2918</v>
      </c>
      <c r="B1090" t="s">
        <v>2918</v>
      </c>
      <c r="C1090" s="4">
        <v>45933</v>
      </c>
      <c r="D1090">
        <v>2025</v>
      </c>
      <c r="E1090">
        <v>10</v>
      </c>
      <c r="F1090" t="s">
        <v>26</v>
      </c>
      <c r="G1090" t="s">
        <v>137</v>
      </c>
      <c r="H1090" t="s">
        <v>646</v>
      </c>
      <c r="I1090" t="s">
        <v>787</v>
      </c>
      <c r="J1090" t="s">
        <v>770</v>
      </c>
      <c r="K1090" t="s">
        <v>771</v>
      </c>
      <c r="L1090">
        <v>3</v>
      </c>
      <c r="M1090" s="5">
        <v>178.07</v>
      </c>
      <c r="N1090" s="6">
        <v>0</v>
      </c>
      <c r="O1090" s="5">
        <v>0</v>
      </c>
      <c r="P1090" s="5">
        <v>80.13</v>
      </c>
      <c r="Q1090" s="5">
        <v>534.21</v>
      </c>
      <c r="R1090" s="5">
        <v>306.69</v>
      </c>
      <c r="S1090" s="5">
        <v>227.52</v>
      </c>
      <c r="T1090" s="7">
        <v>0.425899926995002</v>
      </c>
      <c r="U1090" t="s">
        <v>14</v>
      </c>
      <c r="V1090" t="s">
        <v>50</v>
      </c>
      <c r="W1090" t="s">
        <v>50</v>
      </c>
      <c r="X1090" t="s">
        <v>35</v>
      </c>
      <c r="Y1090" t="s">
        <v>2279</v>
      </c>
      <c r="Z1090" t="s">
        <v>101</v>
      </c>
    </row>
    <row r="1091" spans="1:26">
      <c r="A1091" t="s">
        <v>2919</v>
      </c>
      <c r="B1091" t="s">
        <v>2919</v>
      </c>
      <c r="C1091" s="4">
        <v>45941</v>
      </c>
      <c r="D1091">
        <v>2025</v>
      </c>
      <c r="E1091">
        <v>10</v>
      </c>
      <c r="F1091" t="s">
        <v>26</v>
      </c>
      <c r="G1091" t="s">
        <v>137</v>
      </c>
      <c r="H1091" t="s">
        <v>1391</v>
      </c>
      <c r="I1091" t="s">
        <v>429</v>
      </c>
      <c r="J1091" t="s">
        <v>257</v>
      </c>
      <c r="K1091" t="s">
        <v>258</v>
      </c>
      <c r="L1091">
        <v>7</v>
      </c>
      <c r="M1091" s="5">
        <v>414.65</v>
      </c>
      <c r="N1091" s="6">
        <v>5</v>
      </c>
      <c r="O1091" s="5">
        <v>145.13</v>
      </c>
      <c r="P1091" s="5">
        <v>413.61</v>
      </c>
      <c r="Q1091" s="5">
        <v>3171.03</v>
      </c>
      <c r="R1091" s="5">
        <v>2352.49</v>
      </c>
      <c r="S1091" s="5">
        <v>818.54</v>
      </c>
      <c r="T1091" s="7">
        <v>0.25813063894066</v>
      </c>
      <c r="U1091" t="s">
        <v>12</v>
      </c>
      <c r="V1091" t="s">
        <v>50</v>
      </c>
      <c r="W1091" t="s">
        <v>50</v>
      </c>
      <c r="X1091" t="s">
        <v>35</v>
      </c>
      <c r="Y1091" t="s">
        <v>2233</v>
      </c>
      <c r="Z1091" t="s">
        <v>80</v>
      </c>
    </row>
    <row r="1092" spans="1:26">
      <c r="A1092" t="s">
        <v>2920</v>
      </c>
      <c r="B1092" t="s">
        <v>2920</v>
      </c>
      <c r="C1092" s="4">
        <v>45775</v>
      </c>
      <c r="D1092">
        <v>2025</v>
      </c>
      <c r="E1092">
        <v>4</v>
      </c>
      <c r="F1092" t="s">
        <v>20</v>
      </c>
      <c r="G1092" t="s">
        <v>74</v>
      </c>
      <c r="H1092" t="s">
        <v>1446</v>
      </c>
      <c r="I1092" t="s">
        <v>450</v>
      </c>
      <c r="J1092" t="s">
        <v>345</v>
      </c>
      <c r="K1092" t="s">
        <v>1753</v>
      </c>
      <c r="L1092">
        <v>6</v>
      </c>
      <c r="M1092" s="5">
        <v>450.69</v>
      </c>
      <c r="N1092" s="6">
        <v>5</v>
      </c>
      <c r="O1092" s="5">
        <v>135.21</v>
      </c>
      <c r="P1092" s="5">
        <v>385.34</v>
      </c>
      <c r="Q1092" s="5">
        <v>2568.93</v>
      </c>
      <c r="R1092" s="5">
        <v>1524.3</v>
      </c>
      <c r="S1092" s="5">
        <v>1044.63</v>
      </c>
      <c r="T1092" s="7">
        <v>0.40664011864862</v>
      </c>
      <c r="U1092" t="s">
        <v>9</v>
      </c>
      <c r="V1092" t="s">
        <v>50</v>
      </c>
      <c r="W1092" t="s">
        <v>50</v>
      </c>
      <c r="X1092" t="s">
        <v>33</v>
      </c>
      <c r="Y1092" t="s">
        <v>2615</v>
      </c>
      <c r="Z1092" t="s">
        <v>101</v>
      </c>
    </row>
    <row r="1093" spans="1:26">
      <c r="A1093" t="s">
        <v>2921</v>
      </c>
      <c r="B1093" t="s">
        <v>2921</v>
      </c>
      <c r="C1093" s="4">
        <v>45850</v>
      </c>
      <c r="D1093">
        <v>2025</v>
      </c>
      <c r="E1093">
        <v>7</v>
      </c>
      <c r="F1093" t="s">
        <v>23</v>
      </c>
      <c r="G1093" t="s">
        <v>89</v>
      </c>
      <c r="H1093" t="s">
        <v>2922</v>
      </c>
      <c r="I1093" t="s">
        <v>1228</v>
      </c>
      <c r="J1093" t="s">
        <v>872</v>
      </c>
      <c r="K1093" t="s">
        <v>873</v>
      </c>
      <c r="L1093">
        <v>3</v>
      </c>
      <c r="M1093" s="5">
        <v>188.64</v>
      </c>
      <c r="N1093" s="6">
        <v>15</v>
      </c>
      <c r="O1093" s="5">
        <v>84.89</v>
      </c>
      <c r="P1093" s="5">
        <v>72.15</v>
      </c>
      <c r="Q1093" s="5">
        <v>553.18</v>
      </c>
      <c r="R1093" s="5">
        <v>474.84</v>
      </c>
      <c r="S1093" s="5">
        <v>78.34</v>
      </c>
      <c r="T1093" s="7">
        <v>0.141617556672331</v>
      </c>
      <c r="U1093" t="s">
        <v>13</v>
      </c>
      <c r="V1093" t="s">
        <v>50</v>
      </c>
      <c r="W1093" t="s">
        <v>50</v>
      </c>
      <c r="X1093" t="s">
        <v>33</v>
      </c>
      <c r="Y1093" t="s">
        <v>1995</v>
      </c>
      <c r="Z1093" t="s">
        <v>80</v>
      </c>
    </row>
    <row r="1094" spans="1:26">
      <c r="A1094" t="s">
        <v>2923</v>
      </c>
      <c r="B1094" t="s">
        <v>2923</v>
      </c>
      <c r="C1094" s="4">
        <v>46002</v>
      </c>
      <c r="D1094">
        <v>2025</v>
      </c>
      <c r="E1094">
        <v>12</v>
      </c>
      <c r="F1094" t="s">
        <v>28</v>
      </c>
      <c r="G1094" t="s">
        <v>137</v>
      </c>
      <c r="H1094" t="s">
        <v>2924</v>
      </c>
      <c r="I1094" t="s">
        <v>1419</v>
      </c>
      <c r="J1094" t="s">
        <v>1940</v>
      </c>
      <c r="K1094" t="s">
        <v>554</v>
      </c>
      <c r="L1094">
        <v>3</v>
      </c>
      <c r="M1094" s="5">
        <v>317.99</v>
      </c>
      <c r="N1094" s="6">
        <v>5</v>
      </c>
      <c r="O1094" s="5">
        <v>47.7</v>
      </c>
      <c r="P1094" s="5">
        <v>135.94</v>
      </c>
      <c r="Q1094" s="5">
        <v>906.27</v>
      </c>
      <c r="R1094" s="5">
        <v>705.15</v>
      </c>
      <c r="S1094" s="5">
        <v>201.12</v>
      </c>
      <c r="T1094" s="7">
        <v>0.221920619682876</v>
      </c>
      <c r="U1094" t="s">
        <v>11</v>
      </c>
      <c r="V1094" t="s">
        <v>50</v>
      </c>
      <c r="W1094" t="s">
        <v>50</v>
      </c>
      <c r="X1094" t="s">
        <v>34</v>
      </c>
      <c r="Y1094" t="s">
        <v>1481</v>
      </c>
      <c r="Z1094" t="s">
        <v>101</v>
      </c>
    </row>
    <row r="1095" spans="1:26">
      <c r="A1095" t="s">
        <v>2925</v>
      </c>
      <c r="B1095" t="s">
        <v>2925</v>
      </c>
      <c r="C1095" s="4">
        <v>46008</v>
      </c>
      <c r="D1095">
        <v>2025</v>
      </c>
      <c r="E1095">
        <v>12</v>
      </c>
      <c r="F1095" t="s">
        <v>28</v>
      </c>
      <c r="G1095" t="s">
        <v>137</v>
      </c>
      <c r="H1095" t="s">
        <v>103</v>
      </c>
      <c r="I1095" t="s">
        <v>924</v>
      </c>
      <c r="J1095" t="s">
        <v>770</v>
      </c>
      <c r="K1095" t="s">
        <v>287</v>
      </c>
      <c r="L1095">
        <v>7</v>
      </c>
      <c r="M1095" s="5">
        <v>293.79</v>
      </c>
      <c r="N1095" s="6">
        <v>5</v>
      </c>
      <c r="O1095" s="5">
        <v>102.83</v>
      </c>
      <c r="P1095" s="5">
        <v>293.06</v>
      </c>
      <c r="Q1095" s="5">
        <v>1953.7</v>
      </c>
      <c r="R1095" s="5">
        <v>1362.48</v>
      </c>
      <c r="S1095" s="5">
        <v>591.22</v>
      </c>
      <c r="T1095" s="7">
        <v>0.302615549982085</v>
      </c>
      <c r="U1095" t="s">
        <v>12</v>
      </c>
      <c r="V1095" t="s">
        <v>50</v>
      </c>
      <c r="W1095" t="s">
        <v>50</v>
      </c>
      <c r="X1095" t="s">
        <v>33</v>
      </c>
      <c r="Y1095" t="s">
        <v>1317</v>
      </c>
      <c r="Z1095" t="s">
        <v>101</v>
      </c>
    </row>
    <row r="1096" spans="1:26">
      <c r="A1096" t="s">
        <v>2926</v>
      </c>
      <c r="B1096" t="s">
        <v>2926</v>
      </c>
      <c r="C1096" s="4">
        <v>45990</v>
      </c>
      <c r="D1096">
        <v>2025</v>
      </c>
      <c r="E1096">
        <v>11</v>
      </c>
      <c r="F1096" t="s">
        <v>27</v>
      </c>
      <c r="G1096" t="s">
        <v>137</v>
      </c>
      <c r="H1096" t="s">
        <v>1494</v>
      </c>
      <c r="I1096" t="s">
        <v>1511</v>
      </c>
      <c r="J1096" t="s">
        <v>522</v>
      </c>
      <c r="K1096" t="s">
        <v>1869</v>
      </c>
      <c r="L1096">
        <v>5</v>
      </c>
      <c r="M1096" s="5">
        <v>207.09</v>
      </c>
      <c r="N1096" s="6">
        <v>0</v>
      </c>
      <c r="O1096" s="5">
        <v>0</v>
      </c>
      <c r="P1096" s="5">
        <v>155.32</v>
      </c>
      <c r="Q1096" s="5">
        <v>1190.77</v>
      </c>
      <c r="R1096" s="5">
        <v>792.15</v>
      </c>
      <c r="S1096" s="5">
        <v>398.62</v>
      </c>
      <c r="T1096" s="7">
        <v>0.334758181680761</v>
      </c>
      <c r="U1096" t="s">
        <v>9</v>
      </c>
      <c r="V1096" t="s">
        <v>50</v>
      </c>
      <c r="W1096" t="s">
        <v>50</v>
      </c>
      <c r="X1096" t="s">
        <v>33</v>
      </c>
      <c r="Y1096" t="s">
        <v>1166</v>
      </c>
      <c r="Z1096" t="s">
        <v>80</v>
      </c>
    </row>
    <row r="1097" spans="1:26">
      <c r="A1097" t="s">
        <v>2927</v>
      </c>
      <c r="B1097" t="s">
        <v>2927</v>
      </c>
      <c r="C1097" s="4">
        <v>45907</v>
      </c>
      <c r="D1097">
        <v>2025</v>
      </c>
      <c r="E1097">
        <v>9</v>
      </c>
      <c r="F1097" t="s">
        <v>25</v>
      </c>
      <c r="G1097" t="s">
        <v>89</v>
      </c>
      <c r="H1097" t="s">
        <v>294</v>
      </c>
      <c r="I1097" t="s">
        <v>750</v>
      </c>
      <c r="J1097" t="s">
        <v>1072</v>
      </c>
      <c r="K1097" t="s">
        <v>1830</v>
      </c>
      <c r="L1097">
        <v>7</v>
      </c>
      <c r="M1097" s="5">
        <v>503.11</v>
      </c>
      <c r="N1097" s="6">
        <v>10</v>
      </c>
      <c r="O1097" s="5">
        <v>352.18</v>
      </c>
      <c r="P1097" s="5">
        <v>475.44</v>
      </c>
      <c r="Q1097" s="5">
        <v>3645.03</v>
      </c>
      <c r="R1097" s="5">
        <v>2407.23</v>
      </c>
      <c r="S1097" s="5">
        <v>1237.8</v>
      </c>
      <c r="T1097" s="7">
        <v>0.339585682422367</v>
      </c>
      <c r="U1097" t="s">
        <v>13</v>
      </c>
      <c r="V1097" t="s">
        <v>51</v>
      </c>
      <c r="W1097" t="s">
        <v>51</v>
      </c>
      <c r="X1097" t="s">
        <v>35</v>
      </c>
      <c r="Y1097" t="s">
        <v>1287</v>
      </c>
      <c r="Z1097" t="s">
        <v>80</v>
      </c>
    </row>
    <row r="1098" spans="1:26">
      <c r="A1098" t="s">
        <v>2928</v>
      </c>
      <c r="B1098" t="s">
        <v>2928</v>
      </c>
      <c r="C1098" s="4">
        <v>46054</v>
      </c>
      <c r="D1098">
        <v>2026</v>
      </c>
      <c r="E1098">
        <v>2</v>
      </c>
      <c r="F1098" t="s">
        <v>31</v>
      </c>
      <c r="G1098" t="s">
        <v>82</v>
      </c>
      <c r="H1098" t="s">
        <v>1591</v>
      </c>
      <c r="I1098" t="s">
        <v>1714</v>
      </c>
      <c r="J1098" t="s">
        <v>2342</v>
      </c>
      <c r="K1098" t="s">
        <v>1457</v>
      </c>
      <c r="L1098">
        <v>2</v>
      </c>
      <c r="M1098" s="5">
        <v>342.27</v>
      </c>
      <c r="N1098" s="6">
        <v>5</v>
      </c>
      <c r="O1098" s="5">
        <v>34.23</v>
      </c>
      <c r="P1098" s="5">
        <v>97.55</v>
      </c>
      <c r="Q1098" s="5">
        <v>747.86</v>
      </c>
      <c r="R1098" s="5">
        <v>532.2</v>
      </c>
      <c r="S1098" s="5">
        <v>215.66</v>
      </c>
      <c r="T1098" s="7">
        <v>0.288369480918888</v>
      </c>
      <c r="U1098" t="s">
        <v>10</v>
      </c>
      <c r="V1098" t="s">
        <v>50</v>
      </c>
      <c r="W1098" t="s">
        <v>50</v>
      </c>
      <c r="X1098" t="s">
        <v>33</v>
      </c>
      <c r="Y1098" t="s">
        <v>710</v>
      </c>
      <c r="Z1098" t="s">
        <v>80</v>
      </c>
    </row>
    <row r="1099" spans="1:26">
      <c r="A1099" t="s">
        <v>2929</v>
      </c>
      <c r="B1099" t="s">
        <v>2929</v>
      </c>
      <c r="C1099" s="4">
        <v>45993</v>
      </c>
      <c r="D1099">
        <v>2025</v>
      </c>
      <c r="E1099">
        <v>12</v>
      </c>
      <c r="F1099" t="s">
        <v>28</v>
      </c>
      <c r="G1099" t="s">
        <v>137</v>
      </c>
      <c r="H1099" t="s">
        <v>1408</v>
      </c>
      <c r="I1099" t="s">
        <v>750</v>
      </c>
      <c r="J1099" t="s">
        <v>418</v>
      </c>
      <c r="K1099" t="s">
        <v>419</v>
      </c>
      <c r="L1099">
        <v>2</v>
      </c>
      <c r="M1099" s="5">
        <v>474.19</v>
      </c>
      <c r="N1099" s="6">
        <v>0</v>
      </c>
      <c r="O1099" s="5">
        <v>0</v>
      </c>
      <c r="P1099" s="5">
        <v>142.26</v>
      </c>
      <c r="Q1099" s="5">
        <v>948.38</v>
      </c>
      <c r="R1099" s="5">
        <v>687.78</v>
      </c>
      <c r="S1099" s="5">
        <v>260.6</v>
      </c>
      <c r="T1099" s="7">
        <v>0.274784369134735</v>
      </c>
      <c r="U1099" t="s">
        <v>12</v>
      </c>
      <c r="V1099" t="s">
        <v>50</v>
      </c>
      <c r="W1099" t="s">
        <v>50</v>
      </c>
      <c r="X1099" t="s">
        <v>33</v>
      </c>
      <c r="Y1099" t="s">
        <v>2930</v>
      </c>
      <c r="Z1099" t="s">
        <v>101</v>
      </c>
    </row>
    <row r="1100" spans="1:26">
      <c r="A1100" t="s">
        <v>2931</v>
      </c>
      <c r="B1100" t="s">
        <v>2931</v>
      </c>
      <c r="C1100" s="4">
        <v>46043</v>
      </c>
      <c r="D1100">
        <v>2026</v>
      </c>
      <c r="E1100">
        <v>1</v>
      </c>
      <c r="F1100" t="s">
        <v>30</v>
      </c>
      <c r="G1100" t="s">
        <v>82</v>
      </c>
      <c r="H1100" t="s">
        <v>2549</v>
      </c>
      <c r="I1100" t="s">
        <v>1264</v>
      </c>
      <c r="J1100" t="s">
        <v>1512</v>
      </c>
      <c r="K1100" t="s">
        <v>1412</v>
      </c>
      <c r="L1100">
        <v>7</v>
      </c>
      <c r="M1100" s="5">
        <v>206.3</v>
      </c>
      <c r="N1100" s="6">
        <v>0</v>
      </c>
      <c r="O1100" s="5">
        <v>0</v>
      </c>
      <c r="P1100" s="5">
        <v>216.62</v>
      </c>
      <c r="Q1100" s="5">
        <v>1444.1</v>
      </c>
      <c r="R1100" s="5">
        <v>753.2</v>
      </c>
      <c r="S1100" s="5">
        <v>690.9</v>
      </c>
      <c r="T1100" s="7">
        <v>0.478429471643238</v>
      </c>
      <c r="U1100" t="s">
        <v>11</v>
      </c>
      <c r="V1100" t="s">
        <v>50</v>
      </c>
      <c r="W1100" t="s">
        <v>50</v>
      </c>
      <c r="X1100" t="s">
        <v>33</v>
      </c>
      <c r="Y1100" t="s">
        <v>2932</v>
      </c>
      <c r="Z1100" t="s">
        <v>101</v>
      </c>
    </row>
    <row r="1101" spans="1:26">
      <c r="A1101" t="s">
        <v>2933</v>
      </c>
      <c r="B1101" t="s">
        <v>2933</v>
      </c>
      <c r="C1101" s="4">
        <v>45757</v>
      </c>
      <c r="D1101">
        <v>2025</v>
      </c>
      <c r="E1101">
        <v>4</v>
      </c>
      <c r="F1101" t="s">
        <v>20</v>
      </c>
      <c r="G1101" t="s">
        <v>74</v>
      </c>
      <c r="H1101" t="s">
        <v>294</v>
      </c>
      <c r="I1101" t="s">
        <v>801</v>
      </c>
      <c r="J1101" t="s">
        <v>1072</v>
      </c>
      <c r="K1101" t="s">
        <v>2347</v>
      </c>
      <c r="L1101">
        <v>3</v>
      </c>
      <c r="M1101" s="5">
        <v>233.01</v>
      </c>
      <c r="N1101" s="6">
        <v>0</v>
      </c>
      <c r="O1101" s="5">
        <v>0</v>
      </c>
      <c r="P1101" s="5">
        <v>104.85</v>
      </c>
      <c r="Q1101" s="5">
        <v>699.03</v>
      </c>
      <c r="R1101" s="5">
        <v>569.07</v>
      </c>
      <c r="S1101" s="5">
        <v>129.96</v>
      </c>
      <c r="T1101" s="7">
        <v>0.18591476760654</v>
      </c>
      <c r="U1101" t="s">
        <v>13</v>
      </c>
      <c r="V1101" t="s">
        <v>50</v>
      </c>
      <c r="W1101" t="s">
        <v>50</v>
      </c>
      <c r="X1101" t="s">
        <v>33</v>
      </c>
      <c r="Y1101" t="s">
        <v>2934</v>
      </c>
      <c r="Z1101" t="s">
        <v>101</v>
      </c>
    </row>
    <row r="1102" spans="1:26">
      <c r="A1102" t="s">
        <v>2935</v>
      </c>
      <c r="B1102" t="s">
        <v>2935</v>
      </c>
      <c r="C1102" s="4">
        <v>45927</v>
      </c>
      <c r="D1102">
        <v>2025</v>
      </c>
      <c r="E1102">
        <v>9</v>
      </c>
      <c r="F1102" t="s">
        <v>25</v>
      </c>
      <c r="G1102" t="s">
        <v>89</v>
      </c>
      <c r="H1102" t="s">
        <v>2936</v>
      </c>
      <c r="I1102" t="s">
        <v>913</v>
      </c>
      <c r="J1102" t="s">
        <v>39</v>
      </c>
      <c r="K1102" t="s">
        <v>159</v>
      </c>
      <c r="L1102">
        <v>1</v>
      </c>
      <c r="M1102" s="5">
        <v>214.04</v>
      </c>
      <c r="N1102" s="6">
        <v>0</v>
      </c>
      <c r="O1102" s="5">
        <v>0</v>
      </c>
      <c r="P1102" s="5">
        <v>32.11</v>
      </c>
      <c r="Q1102" s="5">
        <v>246.15</v>
      </c>
      <c r="R1102" s="5">
        <v>158.06</v>
      </c>
      <c r="S1102" s="5">
        <v>88.09</v>
      </c>
      <c r="T1102" s="7">
        <v>0.357871216737762</v>
      </c>
      <c r="U1102" t="s">
        <v>14</v>
      </c>
      <c r="V1102" t="s">
        <v>50</v>
      </c>
      <c r="W1102" t="s">
        <v>50</v>
      </c>
      <c r="X1102" t="s">
        <v>33</v>
      </c>
      <c r="Y1102" t="s">
        <v>2937</v>
      </c>
      <c r="Z1102" t="s">
        <v>80</v>
      </c>
    </row>
    <row r="1103" spans="1:26">
      <c r="A1103" t="s">
        <v>2938</v>
      </c>
      <c r="B1103" t="s">
        <v>2938</v>
      </c>
      <c r="C1103" s="4">
        <v>45780</v>
      </c>
      <c r="D1103">
        <v>2025</v>
      </c>
      <c r="E1103">
        <v>5</v>
      </c>
      <c r="F1103" t="s">
        <v>21</v>
      </c>
      <c r="G1103" t="s">
        <v>74</v>
      </c>
      <c r="H1103" t="s">
        <v>777</v>
      </c>
      <c r="I1103" t="s">
        <v>312</v>
      </c>
      <c r="J1103" t="s">
        <v>333</v>
      </c>
      <c r="K1103" t="s">
        <v>2105</v>
      </c>
      <c r="L1103">
        <v>3</v>
      </c>
      <c r="M1103" s="5">
        <v>383.51</v>
      </c>
      <c r="N1103" s="6">
        <v>10</v>
      </c>
      <c r="O1103" s="5">
        <v>115.05</v>
      </c>
      <c r="P1103" s="5">
        <v>155.32</v>
      </c>
      <c r="Q1103" s="5">
        <v>1190.8</v>
      </c>
      <c r="R1103" s="5">
        <v>857.7</v>
      </c>
      <c r="S1103" s="5">
        <v>333.1</v>
      </c>
      <c r="T1103" s="7">
        <v>0.27972791400739</v>
      </c>
      <c r="U1103" t="s">
        <v>12</v>
      </c>
      <c r="V1103" t="s">
        <v>50</v>
      </c>
      <c r="W1103" t="s">
        <v>50</v>
      </c>
      <c r="X1103" t="s">
        <v>33</v>
      </c>
      <c r="Y1103" t="s">
        <v>1221</v>
      </c>
      <c r="Z1103" t="s">
        <v>80</v>
      </c>
    </row>
    <row r="1104" spans="1:26">
      <c r="A1104" t="s">
        <v>2939</v>
      </c>
      <c r="B1104" t="s">
        <v>2939</v>
      </c>
      <c r="C1104" s="4">
        <v>45752</v>
      </c>
      <c r="D1104">
        <v>2025</v>
      </c>
      <c r="E1104">
        <v>4</v>
      </c>
      <c r="F1104" t="s">
        <v>20</v>
      </c>
      <c r="G1104" t="s">
        <v>74</v>
      </c>
      <c r="H1104" t="s">
        <v>792</v>
      </c>
      <c r="I1104" t="s">
        <v>787</v>
      </c>
      <c r="J1104" t="s">
        <v>77</v>
      </c>
      <c r="K1104" t="s">
        <v>978</v>
      </c>
      <c r="L1104">
        <v>3</v>
      </c>
      <c r="M1104" s="5">
        <v>174.1</v>
      </c>
      <c r="N1104" s="6">
        <v>10</v>
      </c>
      <c r="O1104" s="5">
        <v>52.23</v>
      </c>
      <c r="P1104" s="5">
        <v>70.51</v>
      </c>
      <c r="Q1104" s="5">
        <v>540.58</v>
      </c>
      <c r="R1104" s="5">
        <v>306.69</v>
      </c>
      <c r="S1104" s="5">
        <v>233.89</v>
      </c>
      <c r="T1104" s="7">
        <v>0.432664915461171</v>
      </c>
      <c r="U1104" t="s">
        <v>14</v>
      </c>
      <c r="V1104" t="s">
        <v>50</v>
      </c>
      <c r="W1104" t="s">
        <v>50</v>
      </c>
      <c r="X1104" t="s">
        <v>33</v>
      </c>
      <c r="Y1104" t="s">
        <v>2552</v>
      </c>
      <c r="Z1104" t="s">
        <v>80</v>
      </c>
    </row>
    <row r="1105" spans="1:26">
      <c r="A1105" t="s">
        <v>2940</v>
      </c>
      <c r="B1105" t="s">
        <v>2940</v>
      </c>
      <c r="C1105" s="4">
        <v>46022</v>
      </c>
      <c r="D1105">
        <v>2025</v>
      </c>
      <c r="E1105">
        <v>12</v>
      </c>
      <c r="F1105" t="s">
        <v>28</v>
      </c>
      <c r="G1105" t="s">
        <v>137</v>
      </c>
      <c r="H1105" t="s">
        <v>1532</v>
      </c>
      <c r="I1105" t="s">
        <v>498</v>
      </c>
      <c r="J1105" t="s">
        <v>1718</v>
      </c>
      <c r="K1105" t="s">
        <v>1480</v>
      </c>
      <c r="L1105">
        <v>8</v>
      </c>
      <c r="M1105" s="5">
        <v>382.87</v>
      </c>
      <c r="N1105" s="6">
        <v>10</v>
      </c>
      <c r="O1105" s="5">
        <v>306.3</v>
      </c>
      <c r="P1105" s="5">
        <v>413.5</v>
      </c>
      <c r="Q1105" s="5">
        <v>2756.66</v>
      </c>
      <c r="R1105" s="5">
        <v>2483.04</v>
      </c>
      <c r="S1105" s="5">
        <v>273.62</v>
      </c>
      <c r="T1105" s="7">
        <v>0.0992577974795586</v>
      </c>
      <c r="U1105" t="s">
        <v>13</v>
      </c>
      <c r="V1105" t="s">
        <v>50</v>
      </c>
      <c r="W1105" t="s">
        <v>50</v>
      </c>
      <c r="X1105" t="s">
        <v>34</v>
      </c>
      <c r="Y1105" t="s">
        <v>329</v>
      </c>
      <c r="Z1105" t="s">
        <v>101</v>
      </c>
    </row>
    <row r="1106" spans="1:26">
      <c r="A1106" t="s">
        <v>2941</v>
      </c>
      <c r="B1106" t="s">
        <v>2941</v>
      </c>
      <c r="C1106" s="4">
        <v>45865</v>
      </c>
      <c r="D1106">
        <v>2025</v>
      </c>
      <c r="E1106">
        <v>7</v>
      </c>
      <c r="F1106" t="s">
        <v>23</v>
      </c>
      <c r="G1106" t="s">
        <v>89</v>
      </c>
      <c r="H1106" t="s">
        <v>2942</v>
      </c>
      <c r="I1106" t="s">
        <v>450</v>
      </c>
      <c r="J1106" t="s">
        <v>98</v>
      </c>
      <c r="K1106" t="s">
        <v>287</v>
      </c>
      <c r="L1106">
        <v>3</v>
      </c>
      <c r="M1106" s="5">
        <v>440.5</v>
      </c>
      <c r="N1106" s="6">
        <v>20</v>
      </c>
      <c r="O1106" s="5">
        <v>264.3</v>
      </c>
      <c r="P1106" s="5">
        <v>158.58</v>
      </c>
      <c r="Q1106" s="5">
        <v>1215.78</v>
      </c>
      <c r="R1106" s="5">
        <v>762.15</v>
      </c>
      <c r="S1106" s="5">
        <v>453.63</v>
      </c>
      <c r="T1106" s="7">
        <v>0.373118491832404</v>
      </c>
      <c r="U1106" t="s">
        <v>14</v>
      </c>
      <c r="V1106" t="s">
        <v>50</v>
      </c>
      <c r="W1106" t="s">
        <v>50</v>
      </c>
      <c r="X1106" t="s">
        <v>33</v>
      </c>
      <c r="Y1106" t="s">
        <v>160</v>
      </c>
      <c r="Z1106" t="s">
        <v>80</v>
      </c>
    </row>
    <row r="1107" spans="1:26">
      <c r="A1107" t="s">
        <v>2943</v>
      </c>
      <c r="B1107" t="s">
        <v>2943</v>
      </c>
      <c r="C1107" s="4">
        <v>46047</v>
      </c>
      <c r="D1107">
        <v>2026</v>
      </c>
      <c r="E1107">
        <v>1</v>
      </c>
      <c r="F1107" t="s">
        <v>30</v>
      </c>
      <c r="G1107" t="s">
        <v>82</v>
      </c>
      <c r="H1107" t="s">
        <v>1239</v>
      </c>
      <c r="I1107" t="s">
        <v>1419</v>
      </c>
      <c r="J1107" t="s">
        <v>170</v>
      </c>
      <c r="K1107" t="s">
        <v>446</v>
      </c>
      <c r="L1107">
        <v>2</v>
      </c>
      <c r="M1107" s="5">
        <v>317.99</v>
      </c>
      <c r="N1107" s="6">
        <v>0</v>
      </c>
      <c r="O1107" s="5">
        <v>0</v>
      </c>
      <c r="P1107" s="5">
        <v>95.4</v>
      </c>
      <c r="Q1107" s="5">
        <v>731.38</v>
      </c>
      <c r="R1107" s="5">
        <v>470.1</v>
      </c>
      <c r="S1107" s="5">
        <v>261.28</v>
      </c>
      <c r="T1107" s="7">
        <v>0.357242473132982</v>
      </c>
      <c r="U1107" t="s">
        <v>13</v>
      </c>
      <c r="V1107" t="s">
        <v>51</v>
      </c>
      <c r="W1107" t="s">
        <v>51</v>
      </c>
      <c r="X1107" t="s">
        <v>33</v>
      </c>
      <c r="Y1107" t="s">
        <v>2418</v>
      </c>
      <c r="Z1107" t="s">
        <v>80</v>
      </c>
    </row>
    <row r="1108" spans="1:26">
      <c r="A1108" t="s">
        <v>2944</v>
      </c>
      <c r="B1108" t="s">
        <v>2944</v>
      </c>
      <c r="C1108" s="4">
        <v>46049</v>
      </c>
      <c r="D1108">
        <v>2026</v>
      </c>
      <c r="E1108">
        <v>1</v>
      </c>
      <c r="F1108" t="s">
        <v>30</v>
      </c>
      <c r="G1108" t="s">
        <v>82</v>
      </c>
      <c r="H1108" t="s">
        <v>2945</v>
      </c>
      <c r="I1108" t="s">
        <v>213</v>
      </c>
      <c r="J1108" t="s">
        <v>1014</v>
      </c>
      <c r="K1108" t="s">
        <v>1015</v>
      </c>
      <c r="L1108">
        <v>5</v>
      </c>
      <c r="M1108" s="5">
        <v>191.13</v>
      </c>
      <c r="N1108" s="6">
        <v>0</v>
      </c>
      <c r="O1108" s="5">
        <v>0</v>
      </c>
      <c r="P1108" s="5">
        <v>143.35</v>
      </c>
      <c r="Q1108" s="5">
        <v>955.65</v>
      </c>
      <c r="R1108" s="5">
        <v>767.1</v>
      </c>
      <c r="S1108" s="5">
        <v>188.55</v>
      </c>
      <c r="T1108" s="7">
        <v>0.197300266834092</v>
      </c>
      <c r="U1108" t="s">
        <v>9</v>
      </c>
      <c r="V1108" t="s">
        <v>50</v>
      </c>
      <c r="W1108" t="s">
        <v>50</v>
      </c>
      <c r="X1108" t="s">
        <v>33</v>
      </c>
      <c r="Y1108" t="s">
        <v>1655</v>
      </c>
      <c r="Z1108" t="s">
        <v>101</v>
      </c>
    </row>
    <row r="1109" spans="1:26">
      <c r="A1109" t="s">
        <v>2946</v>
      </c>
      <c r="B1109" t="s">
        <v>2946</v>
      </c>
      <c r="C1109" s="4">
        <v>45922</v>
      </c>
      <c r="D1109">
        <v>2025</v>
      </c>
      <c r="E1109">
        <v>9</v>
      </c>
      <c r="F1109" t="s">
        <v>25</v>
      </c>
      <c r="G1109" t="s">
        <v>89</v>
      </c>
      <c r="H1109" t="s">
        <v>2085</v>
      </c>
      <c r="I1109" t="s">
        <v>225</v>
      </c>
      <c r="J1109" t="s">
        <v>676</v>
      </c>
      <c r="K1109" t="s">
        <v>1894</v>
      </c>
      <c r="L1109">
        <v>8</v>
      </c>
      <c r="M1109" s="5">
        <v>360.25</v>
      </c>
      <c r="N1109" s="6">
        <v>0</v>
      </c>
      <c r="O1109" s="5">
        <v>0</v>
      </c>
      <c r="P1109" s="5">
        <v>432.3</v>
      </c>
      <c r="Q1109" s="5">
        <v>2882</v>
      </c>
      <c r="R1109" s="5">
        <v>2427.28</v>
      </c>
      <c r="S1109" s="5">
        <v>454.72</v>
      </c>
      <c r="T1109" s="7">
        <v>0.157779319916725</v>
      </c>
      <c r="U1109" t="s">
        <v>12</v>
      </c>
      <c r="V1109" t="s">
        <v>50</v>
      </c>
      <c r="W1109" t="s">
        <v>50</v>
      </c>
      <c r="X1109" t="s">
        <v>35</v>
      </c>
      <c r="Y1109" t="s">
        <v>2387</v>
      </c>
      <c r="Z1109" t="s">
        <v>101</v>
      </c>
    </row>
    <row r="1110" spans="1:26">
      <c r="A1110" t="s">
        <v>2947</v>
      </c>
      <c r="B1110" t="s">
        <v>2947</v>
      </c>
      <c r="C1110" s="4">
        <v>45867</v>
      </c>
      <c r="D1110">
        <v>2025</v>
      </c>
      <c r="E1110">
        <v>7</v>
      </c>
      <c r="F1110" t="s">
        <v>23</v>
      </c>
      <c r="G1110" t="s">
        <v>89</v>
      </c>
      <c r="H1110" t="s">
        <v>294</v>
      </c>
      <c r="I1110" t="s">
        <v>728</v>
      </c>
      <c r="J1110" t="s">
        <v>1507</v>
      </c>
      <c r="K1110" t="s">
        <v>1664</v>
      </c>
      <c r="L1110">
        <v>5</v>
      </c>
      <c r="M1110" s="5">
        <v>507.59</v>
      </c>
      <c r="N1110" s="6">
        <v>10</v>
      </c>
      <c r="O1110" s="5">
        <v>253.79</v>
      </c>
      <c r="P1110" s="5">
        <v>342.62</v>
      </c>
      <c r="Q1110" s="5">
        <v>2284.16</v>
      </c>
      <c r="R1110" s="5">
        <v>1935.8</v>
      </c>
      <c r="S1110" s="5">
        <v>348.36</v>
      </c>
      <c r="T1110" s="7">
        <v>0.152511207621182</v>
      </c>
      <c r="U1110" t="s">
        <v>11</v>
      </c>
      <c r="V1110" t="s">
        <v>50</v>
      </c>
      <c r="W1110" t="s">
        <v>50</v>
      </c>
      <c r="X1110" t="s">
        <v>33</v>
      </c>
      <c r="Y1110" t="s">
        <v>606</v>
      </c>
      <c r="Z1110" t="s">
        <v>101</v>
      </c>
    </row>
    <row r="1111" spans="1:26">
      <c r="A1111" t="s">
        <v>2948</v>
      </c>
      <c r="B1111" t="s">
        <v>2948</v>
      </c>
      <c r="C1111" s="4">
        <v>46074</v>
      </c>
      <c r="D1111">
        <v>2026</v>
      </c>
      <c r="E1111">
        <v>2</v>
      </c>
      <c r="F1111" t="s">
        <v>31</v>
      </c>
      <c r="G1111" t="s">
        <v>82</v>
      </c>
      <c r="H1111" t="s">
        <v>2317</v>
      </c>
      <c r="I1111" t="s">
        <v>537</v>
      </c>
      <c r="J1111" t="s">
        <v>263</v>
      </c>
      <c r="K1111" t="s">
        <v>264</v>
      </c>
      <c r="L1111">
        <v>4</v>
      </c>
      <c r="M1111" s="5">
        <v>232.58</v>
      </c>
      <c r="N1111" s="6">
        <v>0</v>
      </c>
      <c r="O1111" s="5">
        <v>0</v>
      </c>
      <c r="P1111" s="5">
        <v>139.55</v>
      </c>
      <c r="Q1111" s="5">
        <v>1069.87</v>
      </c>
      <c r="R1111" s="5">
        <v>764.8</v>
      </c>
      <c r="S1111" s="5">
        <v>305.07</v>
      </c>
      <c r="T1111" s="7">
        <v>0.285146793535663</v>
      </c>
      <c r="U1111" t="s">
        <v>13</v>
      </c>
      <c r="V1111" t="s">
        <v>50</v>
      </c>
      <c r="W1111" t="s">
        <v>50</v>
      </c>
      <c r="X1111" t="s">
        <v>34</v>
      </c>
      <c r="Y1111" t="s">
        <v>2349</v>
      </c>
      <c r="Z1111" t="s">
        <v>80</v>
      </c>
    </row>
    <row r="1112" spans="1:26">
      <c r="A1112" t="s">
        <v>2949</v>
      </c>
      <c r="B1112" t="s">
        <v>2949</v>
      </c>
      <c r="C1112" s="4">
        <v>45779</v>
      </c>
      <c r="D1112">
        <v>2025</v>
      </c>
      <c r="E1112">
        <v>5</v>
      </c>
      <c r="F1112" t="s">
        <v>21</v>
      </c>
      <c r="G1112" t="s">
        <v>74</v>
      </c>
      <c r="H1112" t="s">
        <v>526</v>
      </c>
      <c r="I1112" t="s">
        <v>470</v>
      </c>
      <c r="J1112" t="s">
        <v>665</v>
      </c>
      <c r="K1112" t="s">
        <v>1165</v>
      </c>
      <c r="L1112">
        <v>4</v>
      </c>
      <c r="M1112" s="5">
        <v>290.45</v>
      </c>
      <c r="N1112" s="6">
        <v>0</v>
      </c>
      <c r="O1112" s="5">
        <v>0</v>
      </c>
      <c r="P1112" s="5">
        <v>174.27</v>
      </c>
      <c r="Q1112" s="5">
        <v>1161.8</v>
      </c>
      <c r="R1112" s="5">
        <v>951.56</v>
      </c>
      <c r="S1112" s="5">
        <v>210.24</v>
      </c>
      <c r="T1112" s="7">
        <v>0.180960578412808</v>
      </c>
      <c r="U1112" t="s">
        <v>11</v>
      </c>
      <c r="V1112" t="s">
        <v>50</v>
      </c>
      <c r="W1112" t="s">
        <v>50</v>
      </c>
      <c r="X1112" t="s">
        <v>35</v>
      </c>
      <c r="Y1112" t="s">
        <v>2300</v>
      </c>
      <c r="Z1112" t="s">
        <v>101</v>
      </c>
    </row>
    <row r="1113" spans="1:26">
      <c r="A1113" t="s">
        <v>2950</v>
      </c>
      <c r="B1113" t="s">
        <v>2950</v>
      </c>
      <c r="C1113" s="4">
        <v>46072</v>
      </c>
      <c r="D1113">
        <v>2026</v>
      </c>
      <c r="E1113">
        <v>2</v>
      </c>
      <c r="F1113" t="s">
        <v>31</v>
      </c>
      <c r="G1113" t="s">
        <v>82</v>
      </c>
      <c r="H1113" t="s">
        <v>738</v>
      </c>
      <c r="I1113" t="s">
        <v>245</v>
      </c>
      <c r="J1113" t="s">
        <v>191</v>
      </c>
      <c r="K1113" t="s">
        <v>192</v>
      </c>
      <c r="L1113">
        <v>5</v>
      </c>
      <c r="M1113" s="5">
        <v>123.19</v>
      </c>
      <c r="N1113" s="6">
        <v>20</v>
      </c>
      <c r="O1113" s="5">
        <v>123.19</v>
      </c>
      <c r="P1113" s="5">
        <v>73.91</v>
      </c>
      <c r="Q1113" s="5">
        <v>492.76</v>
      </c>
      <c r="R1113" s="5">
        <v>544.6</v>
      </c>
      <c r="S1113" s="5">
        <v>-51.84</v>
      </c>
      <c r="T1113" s="7">
        <v>-0.105203344427307</v>
      </c>
      <c r="U1113" t="s">
        <v>13</v>
      </c>
      <c r="V1113" t="s">
        <v>50</v>
      </c>
      <c r="W1113" t="s">
        <v>50</v>
      </c>
      <c r="X1113" t="s">
        <v>33</v>
      </c>
      <c r="Y1113" t="s">
        <v>900</v>
      </c>
      <c r="Z1113" t="s">
        <v>101</v>
      </c>
    </row>
    <row r="1114" spans="1:26">
      <c r="A1114" t="s">
        <v>2951</v>
      </c>
      <c r="B1114" t="s">
        <v>2951</v>
      </c>
      <c r="C1114" s="4">
        <v>45915</v>
      </c>
      <c r="D1114">
        <v>2025</v>
      </c>
      <c r="E1114">
        <v>9</v>
      </c>
      <c r="F1114" t="s">
        <v>25</v>
      </c>
      <c r="G1114" t="s">
        <v>89</v>
      </c>
      <c r="H1114" t="s">
        <v>2163</v>
      </c>
      <c r="I1114" t="s">
        <v>374</v>
      </c>
      <c r="J1114" t="s">
        <v>363</v>
      </c>
      <c r="K1114" t="s">
        <v>364</v>
      </c>
      <c r="L1114">
        <v>5</v>
      </c>
      <c r="M1114" s="5">
        <v>435.35</v>
      </c>
      <c r="N1114" s="6">
        <v>0</v>
      </c>
      <c r="O1114" s="5">
        <v>0</v>
      </c>
      <c r="P1114" s="5">
        <v>326.51</v>
      </c>
      <c r="Q1114" s="5">
        <v>2176.75</v>
      </c>
      <c r="R1114" s="5">
        <v>1704.5</v>
      </c>
      <c r="S1114" s="5">
        <v>472.25</v>
      </c>
      <c r="T1114" s="7">
        <v>0.216951877799472</v>
      </c>
      <c r="U1114" t="s">
        <v>13</v>
      </c>
      <c r="V1114" t="s">
        <v>50</v>
      </c>
      <c r="W1114" t="s">
        <v>50</v>
      </c>
      <c r="X1114" t="s">
        <v>33</v>
      </c>
      <c r="Y1114" t="s">
        <v>2550</v>
      </c>
      <c r="Z1114" t="s">
        <v>101</v>
      </c>
    </row>
    <row r="1115" spans="1:26">
      <c r="A1115" t="s">
        <v>2952</v>
      </c>
      <c r="B1115" t="s">
        <v>2952</v>
      </c>
      <c r="C1115" s="4">
        <v>45997</v>
      </c>
      <c r="D1115">
        <v>2025</v>
      </c>
      <c r="E1115">
        <v>12</v>
      </c>
      <c r="F1115" t="s">
        <v>28</v>
      </c>
      <c r="G1115" t="s">
        <v>137</v>
      </c>
      <c r="H1115" t="s">
        <v>2953</v>
      </c>
      <c r="I1115" t="s">
        <v>245</v>
      </c>
      <c r="J1115" t="s">
        <v>1347</v>
      </c>
      <c r="K1115" t="s">
        <v>308</v>
      </c>
      <c r="L1115">
        <v>4</v>
      </c>
      <c r="M1115" s="5">
        <v>121.9</v>
      </c>
      <c r="N1115" s="6">
        <v>20</v>
      </c>
      <c r="O1115" s="5">
        <v>97.52</v>
      </c>
      <c r="P1115" s="5">
        <v>58.51</v>
      </c>
      <c r="Q1115" s="5">
        <v>448.59</v>
      </c>
      <c r="R1115" s="5">
        <v>435.68</v>
      </c>
      <c r="S1115" s="5">
        <v>12.91</v>
      </c>
      <c r="T1115" s="7">
        <v>0.0287790632871887</v>
      </c>
      <c r="U1115" t="s">
        <v>12</v>
      </c>
      <c r="V1115" t="s">
        <v>50</v>
      </c>
      <c r="W1115" t="s">
        <v>50</v>
      </c>
      <c r="X1115" t="s">
        <v>33</v>
      </c>
      <c r="Y1115" t="s">
        <v>953</v>
      </c>
      <c r="Z1115" t="s">
        <v>80</v>
      </c>
    </row>
    <row r="1116" spans="1:26">
      <c r="A1116" t="s">
        <v>2954</v>
      </c>
      <c r="B1116" t="s">
        <v>2954</v>
      </c>
      <c r="C1116" s="4">
        <v>45769</v>
      </c>
      <c r="D1116">
        <v>2025</v>
      </c>
      <c r="E1116">
        <v>4</v>
      </c>
      <c r="F1116" t="s">
        <v>20</v>
      </c>
      <c r="G1116" t="s">
        <v>74</v>
      </c>
      <c r="H1116" t="s">
        <v>646</v>
      </c>
      <c r="I1116" t="s">
        <v>84</v>
      </c>
      <c r="J1116" t="s">
        <v>296</v>
      </c>
      <c r="K1116" t="s">
        <v>297</v>
      </c>
      <c r="L1116">
        <v>3</v>
      </c>
      <c r="M1116" s="5">
        <v>459.1</v>
      </c>
      <c r="N1116" s="6">
        <v>10</v>
      </c>
      <c r="O1116" s="5">
        <v>137.73</v>
      </c>
      <c r="P1116" s="5">
        <v>185.94</v>
      </c>
      <c r="Q1116" s="5">
        <v>1239.57</v>
      </c>
      <c r="R1116" s="5">
        <v>1140.24</v>
      </c>
      <c r="S1116" s="5">
        <v>99.33</v>
      </c>
      <c r="T1116" s="7">
        <v>0.0801326266366563</v>
      </c>
      <c r="U1116" t="s">
        <v>13</v>
      </c>
      <c r="V1116" t="s">
        <v>50</v>
      </c>
      <c r="W1116" t="s">
        <v>50</v>
      </c>
      <c r="X1116" t="s">
        <v>33</v>
      </c>
      <c r="Y1116" t="s">
        <v>1513</v>
      </c>
      <c r="Z1116" t="s">
        <v>101</v>
      </c>
    </row>
    <row r="1117" spans="1:26">
      <c r="A1117" t="s">
        <v>2955</v>
      </c>
      <c r="B1117" t="s">
        <v>2955</v>
      </c>
      <c r="C1117" s="4">
        <v>45990</v>
      </c>
      <c r="D1117">
        <v>2025</v>
      </c>
      <c r="E1117">
        <v>11</v>
      </c>
      <c r="F1117" t="s">
        <v>27</v>
      </c>
      <c r="G1117" t="s">
        <v>137</v>
      </c>
      <c r="H1117" t="s">
        <v>1136</v>
      </c>
      <c r="I1117" t="s">
        <v>196</v>
      </c>
      <c r="J1117" t="s">
        <v>1290</v>
      </c>
      <c r="K1117" t="s">
        <v>1373</v>
      </c>
      <c r="L1117">
        <v>5</v>
      </c>
      <c r="M1117" s="5">
        <v>332.73</v>
      </c>
      <c r="N1117" s="6">
        <v>0</v>
      </c>
      <c r="O1117" s="5">
        <v>0</v>
      </c>
      <c r="P1117" s="5">
        <v>249.55</v>
      </c>
      <c r="Q1117" s="5">
        <v>1913.2</v>
      </c>
      <c r="R1117" s="5">
        <v>1306.1</v>
      </c>
      <c r="S1117" s="5">
        <v>607.1</v>
      </c>
      <c r="T1117" s="7">
        <v>0.317321764582898</v>
      </c>
      <c r="U1117" t="s">
        <v>10</v>
      </c>
      <c r="V1117" t="s">
        <v>50</v>
      </c>
      <c r="W1117" t="s">
        <v>50</v>
      </c>
      <c r="X1117" t="s">
        <v>33</v>
      </c>
      <c r="Y1117" t="s">
        <v>2625</v>
      </c>
      <c r="Z1117" t="s">
        <v>80</v>
      </c>
    </row>
    <row r="1118" spans="1:26">
      <c r="A1118" t="s">
        <v>2956</v>
      </c>
      <c r="B1118" t="s">
        <v>2956</v>
      </c>
      <c r="C1118" s="4">
        <v>45865</v>
      </c>
      <c r="D1118">
        <v>2025</v>
      </c>
      <c r="E1118">
        <v>7</v>
      </c>
      <c r="F1118" t="s">
        <v>23</v>
      </c>
      <c r="G1118" t="s">
        <v>89</v>
      </c>
      <c r="H1118" t="s">
        <v>2020</v>
      </c>
      <c r="I1118" t="s">
        <v>362</v>
      </c>
      <c r="J1118" t="s">
        <v>240</v>
      </c>
      <c r="K1118" t="s">
        <v>2957</v>
      </c>
      <c r="L1118">
        <v>3</v>
      </c>
      <c r="M1118" s="5">
        <v>361.78</v>
      </c>
      <c r="N1118" s="6">
        <v>5</v>
      </c>
      <c r="O1118" s="5">
        <v>54.27</v>
      </c>
      <c r="P1118" s="5">
        <v>154.66</v>
      </c>
      <c r="Q1118" s="5">
        <v>1185.73</v>
      </c>
      <c r="R1118" s="5">
        <v>741.75</v>
      </c>
      <c r="S1118" s="5">
        <v>443.98</v>
      </c>
      <c r="T1118" s="7">
        <v>0.374436001450583</v>
      </c>
      <c r="U1118" t="s">
        <v>9</v>
      </c>
      <c r="V1118" t="s">
        <v>50</v>
      </c>
      <c r="W1118" t="s">
        <v>50</v>
      </c>
      <c r="X1118" t="s">
        <v>33</v>
      </c>
      <c r="Y1118" t="s">
        <v>2958</v>
      </c>
      <c r="Z1118" t="s">
        <v>80</v>
      </c>
    </row>
    <row r="1119" spans="1:26">
      <c r="A1119" t="s">
        <v>2959</v>
      </c>
      <c r="B1119" t="s">
        <v>2959</v>
      </c>
      <c r="C1119" s="4">
        <v>45840</v>
      </c>
      <c r="D1119">
        <v>2025</v>
      </c>
      <c r="E1119">
        <v>7</v>
      </c>
      <c r="F1119" t="s">
        <v>23</v>
      </c>
      <c r="G1119" t="s">
        <v>89</v>
      </c>
      <c r="H1119" t="s">
        <v>2960</v>
      </c>
      <c r="I1119" t="s">
        <v>163</v>
      </c>
      <c r="J1119" t="s">
        <v>1219</v>
      </c>
      <c r="K1119" t="s">
        <v>1154</v>
      </c>
      <c r="L1119">
        <v>2</v>
      </c>
      <c r="M1119" s="5">
        <v>253.11</v>
      </c>
      <c r="N1119" s="6">
        <v>0</v>
      </c>
      <c r="O1119" s="5">
        <v>0</v>
      </c>
      <c r="P1119" s="5">
        <v>75.93</v>
      </c>
      <c r="Q1119" s="5">
        <v>506.22</v>
      </c>
      <c r="R1119" s="5">
        <v>381.48</v>
      </c>
      <c r="S1119" s="5">
        <v>124.74</v>
      </c>
      <c r="T1119" s="7">
        <v>0.246414602346806</v>
      </c>
      <c r="U1119" t="s">
        <v>13</v>
      </c>
      <c r="V1119" t="s">
        <v>50</v>
      </c>
      <c r="W1119" t="s">
        <v>50</v>
      </c>
      <c r="X1119" t="s">
        <v>33</v>
      </c>
      <c r="Y1119" t="s">
        <v>1914</v>
      </c>
      <c r="Z1119" t="s">
        <v>101</v>
      </c>
    </row>
    <row r="1120" spans="1:26">
      <c r="A1120" t="s">
        <v>2961</v>
      </c>
      <c r="B1120" t="s">
        <v>2961</v>
      </c>
      <c r="C1120" s="4">
        <v>46075</v>
      </c>
      <c r="D1120">
        <v>2026</v>
      </c>
      <c r="E1120">
        <v>2</v>
      </c>
      <c r="F1120" t="s">
        <v>31</v>
      </c>
      <c r="G1120" t="s">
        <v>82</v>
      </c>
      <c r="H1120" t="s">
        <v>528</v>
      </c>
      <c r="I1120" t="s">
        <v>285</v>
      </c>
      <c r="J1120" t="s">
        <v>302</v>
      </c>
      <c r="K1120" t="s">
        <v>303</v>
      </c>
      <c r="L1120">
        <v>3</v>
      </c>
      <c r="M1120" s="5">
        <v>541.35</v>
      </c>
      <c r="N1120" s="6">
        <v>10</v>
      </c>
      <c r="O1120" s="5">
        <v>162.41</v>
      </c>
      <c r="P1120" s="5">
        <v>219.25</v>
      </c>
      <c r="Q1120" s="5">
        <v>1680.89</v>
      </c>
      <c r="R1120" s="5">
        <v>1009.2</v>
      </c>
      <c r="S1120" s="5">
        <v>671.69</v>
      </c>
      <c r="T1120" s="7">
        <v>0.399603781330129</v>
      </c>
      <c r="U1120" t="s">
        <v>13</v>
      </c>
      <c r="V1120" t="s">
        <v>50</v>
      </c>
      <c r="W1120" t="s">
        <v>50</v>
      </c>
      <c r="X1120" t="s">
        <v>33</v>
      </c>
      <c r="Y1120" t="s">
        <v>1699</v>
      </c>
      <c r="Z1120" t="s">
        <v>80</v>
      </c>
    </row>
    <row r="1121" spans="1:26">
      <c r="A1121" t="s">
        <v>2962</v>
      </c>
      <c r="B1121" t="s">
        <v>2962</v>
      </c>
      <c r="C1121" s="4">
        <v>46050</v>
      </c>
      <c r="D1121">
        <v>2026</v>
      </c>
      <c r="E1121">
        <v>1</v>
      </c>
      <c r="F1121" t="s">
        <v>30</v>
      </c>
      <c r="G1121" t="s">
        <v>82</v>
      </c>
      <c r="H1121" t="s">
        <v>416</v>
      </c>
      <c r="I1121" t="s">
        <v>583</v>
      </c>
      <c r="J1121" t="s">
        <v>894</v>
      </c>
      <c r="K1121" t="s">
        <v>895</v>
      </c>
      <c r="L1121">
        <v>2</v>
      </c>
      <c r="M1121" s="5">
        <v>251.73</v>
      </c>
      <c r="N1121" s="6">
        <v>0</v>
      </c>
      <c r="O1121" s="5">
        <v>0</v>
      </c>
      <c r="P1121" s="5">
        <v>75.52</v>
      </c>
      <c r="Q1121" s="5">
        <v>503.46</v>
      </c>
      <c r="R1121" s="5">
        <v>421.04</v>
      </c>
      <c r="S1121" s="5">
        <v>82.42</v>
      </c>
      <c r="T1121" s="7">
        <v>0.163707146545902</v>
      </c>
      <c r="U1121" t="s">
        <v>11</v>
      </c>
      <c r="V1121" t="s">
        <v>50</v>
      </c>
      <c r="W1121" t="s">
        <v>50</v>
      </c>
      <c r="X1121" t="s">
        <v>33</v>
      </c>
      <c r="Y1121" t="s">
        <v>2963</v>
      </c>
      <c r="Z1121" t="s">
        <v>101</v>
      </c>
    </row>
    <row r="1122" spans="1:26">
      <c r="A1122" t="s">
        <v>2964</v>
      </c>
      <c r="B1122" t="s">
        <v>2964</v>
      </c>
      <c r="C1122" s="4">
        <v>45904</v>
      </c>
      <c r="D1122">
        <v>2025</v>
      </c>
      <c r="E1122">
        <v>9</v>
      </c>
      <c r="F1122" t="s">
        <v>25</v>
      </c>
      <c r="G1122" t="s">
        <v>89</v>
      </c>
      <c r="H1122" t="s">
        <v>400</v>
      </c>
      <c r="I1122" t="s">
        <v>196</v>
      </c>
      <c r="J1122" t="s">
        <v>567</v>
      </c>
      <c r="K1122" t="s">
        <v>568</v>
      </c>
      <c r="L1122">
        <v>5</v>
      </c>
      <c r="M1122" s="5">
        <v>364.28</v>
      </c>
      <c r="N1122" s="6">
        <v>15</v>
      </c>
      <c r="O1122" s="5">
        <v>273.21</v>
      </c>
      <c r="P1122" s="5">
        <v>232.23</v>
      </c>
      <c r="Q1122" s="5">
        <v>1548.19</v>
      </c>
      <c r="R1122" s="5">
        <v>1306.1</v>
      </c>
      <c r="S1122" s="5">
        <v>242.09</v>
      </c>
      <c r="T1122" s="7">
        <v>0.156369696225915</v>
      </c>
      <c r="U1122" t="s">
        <v>11</v>
      </c>
      <c r="V1122" t="s">
        <v>50</v>
      </c>
      <c r="W1122" t="s">
        <v>50</v>
      </c>
      <c r="X1122" t="s">
        <v>34</v>
      </c>
      <c r="Y1122" t="s">
        <v>2965</v>
      </c>
      <c r="Z1122" t="s">
        <v>101</v>
      </c>
    </row>
    <row r="1123" spans="1:26">
      <c r="A1123" t="s">
        <v>2966</v>
      </c>
      <c r="B1123" t="s">
        <v>2966</v>
      </c>
      <c r="C1123" s="4">
        <v>45927</v>
      </c>
      <c r="D1123">
        <v>2025</v>
      </c>
      <c r="E1123">
        <v>9</v>
      </c>
      <c r="F1123" t="s">
        <v>25</v>
      </c>
      <c r="G1123" t="s">
        <v>89</v>
      </c>
      <c r="H1123" t="s">
        <v>267</v>
      </c>
      <c r="I1123" t="s">
        <v>180</v>
      </c>
      <c r="J1123" t="s">
        <v>45</v>
      </c>
      <c r="K1123" t="s">
        <v>1351</v>
      </c>
      <c r="L1123">
        <v>3</v>
      </c>
      <c r="M1123" s="5">
        <v>379.12</v>
      </c>
      <c r="N1123" s="6">
        <v>0</v>
      </c>
      <c r="O1123" s="5">
        <v>0</v>
      </c>
      <c r="P1123" s="5">
        <v>170.6</v>
      </c>
      <c r="Q1123" s="5">
        <v>1307.96</v>
      </c>
      <c r="R1123" s="5">
        <v>879.15</v>
      </c>
      <c r="S1123" s="5">
        <v>428.81</v>
      </c>
      <c r="T1123" s="7">
        <v>0.327846417321631</v>
      </c>
      <c r="U1123" t="s">
        <v>9</v>
      </c>
      <c r="V1123" t="s">
        <v>50</v>
      </c>
      <c r="W1123" t="s">
        <v>50</v>
      </c>
      <c r="X1123" t="s">
        <v>34</v>
      </c>
      <c r="Y1123" t="s">
        <v>123</v>
      </c>
      <c r="Z1123" t="s">
        <v>80</v>
      </c>
    </row>
    <row r="1124" spans="1:26">
      <c r="A1124" t="s">
        <v>2967</v>
      </c>
      <c r="B1124" t="s">
        <v>2967</v>
      </c>
      <c r="C1124" s="4">
        <v>45990</v>
      </c>
      <c r="D1124">
        <v>2025</v>
      </c>
      <c r="E1124">
        <v>11</v>
      </c>
      <c r="F1124" t="s">
        <v>27</v>
      </c>
      <c r="G1124" t="s">
        <v>137</v>
      </c>
      <c r="H1124" t="s">
        <v>2713</v>
      </c>
      <c r="I1124" t="s">
        <v>196</v>
      </c>
      <c r="J1124" t="s">
        <v>333</v>
      </c>
      <c r="K1124" t="s">
        <v>2105</v>
      </c>
      <c r="L1124">
        <v>6</v>
      </c>
      <c r="M1124" s="5">
        <v>380.19</v>
      </c>
      <c r="N1124" s="6">
        <v>15</v>
      </c>
      <c r="O1124" s="5">
        <v>342.17</v>
      </c>
      <c r="P1124" s="5">
        <v>290.85</v>
      </c>
      <c r="Q1124" s="5">
        <v>2229.82</v>
      </c>
      <c r="R1124" s="5">
        <v>1567.32</v>
      </c>
      <c r="S1124" s="5">
        <v>662.5</v>
      </c>
      <c r="T1124" s="7">
        <v>0.297109183700926</v>
      </c>
      <c r="U1124" t="s">
        <v>14</v>
      </c>
      <c r="V1124" t="s">
        <v>50</v>
      </c>
      <c r="W1124" t="s">
        <v>50</v>
      </c>
      <c r="X1124" t="s">
        <v>33</v>
      </c>
      <c r="Y1124" t="s">
        <v>2968</v>
      </c>
      <c r="Z1124" t="s">
        <v>80</v>
      </c>
    </row>
    <row r="1125" spans="1:26">
      <c r="A1125" t="s">
        <v>2969</v>
      </c>
      <c r="B1125" t="s">
        <v>2969</v>
      </c>
      <c r="C1125" s="4">
        <v>46057</v>
      </c>
      <c r="D1125">
        <v>2026</v>
      </c>
      <c r="E1125">
        <v>2</v>
      </c>
      <c r="F1125" t="s">
        <v>31</v>
      </c>
      <c r="G1125" t="s">
        <v>82</v>
      </c>
      <c r="H1125" t="s">
        <v>2970</v>
      </c>
      <c r="I1125" t="s">
        <v>312</v>
      </c>
      <c r="J1125" t="s">
        <v>42</v>
      </c>
      <c r="K1125" t="s">
        <v>619</v>
      </c>
      <c r="L1125">
        <v>4</v>
      </c>
      <c r="M1125" s="5">
        <v>383.51</v>
      </c>
      <c r="N1125" s="6">
        <v>20</v>
      </c>
      <c r="O1125" s="5">
        <v>306.81</v>
      </c>
      <c r="P1125" s="5">
        <v>184.08</v>
      </c>
      <c r="Q1125" s="5">
        <v>1227.23</v>
      </c>
      <c r="R1125" s="5">
        <v>1143.6</v>
      </c>
      <c r="S1125" s="5">
        <v>83.63</v>
      </c>
      <c r="T1125" s="7">
        <v>0.0681453354301964</v>
      </c>
      <c r="U1125" t="s">
        <v>12</v>
      </c>
      <c r="V1125" t="s">
        <v>50</v>
      </c>
      <c r="W1125" t="s">
        <v>50</v>
      </c>
      <c r="X1125" t="s">
        <v>35</v>
      </c>
      <c r="Y1125" t="s">
        <v>2971</v>
      </c>
      <c r="Z1125" t="s">
        <v>101</v>
      </c>
    </row>
    <row r="1126" spans="1:26">
      <c r="A1126" t="s">
        <v>2972</v>
      </c>
      <c r="B1126" t="s">
        <v>2972</v>
      </c>
      <c r="C1126" s="4">
        <v>45805</v>
      </c>
      <c r="D1126">
        <v>2025</v>
      </c>
      <c r="E1126">
        <v>5</v>
      </c>
      <c r="F1126" t="s">
        <v>21</v>
      </c>
      <c r="G1126" t="s">
        <v>74</v>
      </c>
      <c r="H1126" t="s">
        <v>1140</v>
      </c>
      <c r="I1126" t="s">
        <v>476</v>
      </c>
      <c r="J1126" t="s">
        <v>45</v>
      </c>
      <c r="K1126" t="s">
        <v>1351</v>
      </c>
      <c r="L1126">
        <v>4</v>
      </c>
      <c r="M1126" s="5">
        <v>334.96</v>
      </c>
      <c r="N1126" s="6">
        <v>0</v>
      </c>
      <c r="O1126" s="5">
        <v>0</v>
      </c>
      <c r="P1126" s="5">
        <v>200.98</v>
      </c>
      <c r="Q1126" s="5">
        <v>1339.84</v>
      </c>
      <c r="R1126" s="5">
        <v>1005.68</v>
      </c>
      <c r="S1126" s="5">
        <v>334.16</v>
      </c>
      <c r="T1126" s="7">
        <v>0.24940291378075</v>
      </c>
      <c r="U1126" t="s">
        <v>14</v>
      </c>
      <c r="V1126" t="s">
        <v>50</v>
      </c>
      <c r="W1126" t="s">
        <v>50</v>
      </c>
      <c r="X1126" t="s">
        <v>33</v>
      </c>
      <c r="Y1126" t="s">
        <v>1712</v>
      </c>
      <c r="Z1126" t="s">
        <v>101</v>
      </c>
    </row>
    <row r="1127" spans="1:26">
      <c r="A1127" t="s">
        <v>2973</v>
      </c>
      <c r="B1127" t="s">
        <v>2973</v>
      </c>
      <c r="C1127" s="4">
        <v>45931</v>
      </c>
      <c r="D1127">
        <v>2025</v>
      </c>
      <c r="E1127">
        <v>10</v>
      </c>
      <c r="F1127" t="s">
        <v>26</v>
      </c>
      <c r="G1127" t="s">
        <v>137</v>
      </c>
      <c r="H1127" t="s">
        <v>2974</v>
      </c>
      <c r="I1127" t="s">
        <v>374</v>
      </c>
      <c r="J1127" t="s">
        <v>1507</v>
      </c>
      <c r="K1127" t="s">
        <v>1508</v>
      </c>
      <c r="L1127">
        <v>2</v>
      </c>
      <c r="M1127" s="5">
        <v>400.33</v>
      </c>
      <c r="N1127" s="6">
        <v>20</v>
      </c>
      <c r="O1127" s="5">
        <v>160.13</v>
      </c>
      <c r="P1127" s="5">
        <v>96.08</v>
      </c>
      <c r="Q1127" s="5">
        <v>640.53</v>
      </c>
      <c r="R1127" s="5">
        <v>681.8</v>
      </c>
      <c r="S1127" s="5">
        <v>-41.27</v>
      </c>
      <c r="T1127" s="7">
        <v>-0.0644310180631665</v>
      </c>
      <c r="U1127" t="s">
        <v>13</v>
      </c>
      <c r="V1127" t="s">
        <v>50</v>
      </c>
      <c r="W1127" t="s">
        <v>50</v>
      </c>
      <c r="X1127" t="s">
        <v>33</v>
      </c>
      <c r="Y1127" t="s">
        <v>2975</v>
      </c>
      <c r="Z1127" t="s">
        <v>101</v>
      </c>
    </row>
    <row r="1128" spans="1:26">
      <c r="A1128" t="s">
        <v>2976</v>
      </c>
      <c r="B1128" t="s">
        <v>2976</v>
      </c>
      <c r="C1128" s="4">
        <v>45858</v>
      </c>
      <c r="D1128">
        <v>2025</v>
      </c>
      <c r="E1128">
        <v>7</v>
      </c>
      <c r="F1128" t="s">
        <v>23</v>
      </c>
      <c r="G1128" t="s">
        <v>89</v>
      </c>
      <c r="H1128" t="s">
        <v>1630</v>
      </c>
      <c r="I1128" t="s">
        <v>844</v>
      </c>
      <c r="J1128" t="s">
        <v>445</v>
      </c>
      <c r="K1128" t="s">
        <v>1262</v>
      </c>
      <c r="L1128">
        <v>3</v>
      </c>
      <c r="M1128" s="5">
        <v>298.68</v>
      </c>
      <c r="N1128" s="6">
        <v>5</v>
      </c>
      <c r="O1128" s="5">
        <v>44.8</v>
      </c>
      <c r="P1128" s="5">
        <v>127.69</v>
      </c>
      <c r="Q1128" s="5">
        <v>978.93</v>
      </c>
      <c r="R1128" s="5">
        <v>752.07</v>
      </c>
      <c r="S1128" s="5">
        <v>226.86</v>
      </c>
      <c r="T1128" s="7">
        <v>0.231742821243603</v>
      </c>
      <c r="U1128" t="s">
        <v>10</v>
      </c>
      <c r="V1128" t="s">
        <v>50</v>
      </c>
      <c r="W1128" t="s">
        <v>50</v>
      </c>
      <c r="X1128" t="s">
        <v>33</v>
      </c>
      <c r="Y1128" t="s">
        <v>1413</v>
      </c>
      <c r="Z1128" t="s">
        <v>80</v>
      </c>
    </row>
    <row r="1129" spans="1:26">
      <c r="A1129" t="s">
        <v>2977</v>
      </c>
      <c r="B1129" t="s">
        <v>2977</v>
      </c>
      <c r="C1129" s="4">
        <v>46093</v>
      </c>
      <c r="D1129">
        <v>2026</v>
      </c>
      <c r="E1129">
        <v>3</v>
      </c>
      <c r="F1129" t="s">
        <v>19</v>
      </c>
      <c r="G1129" t="s">
        <v>82</v>
      </c>
      <c r="H1129" t="s">
        <v>1319</v>
      </c>
      <c r="I1129" t="s">
        <v>268</v>
      </c>
      <c r="J1129" t="s">
        <v>39</v>
      </c>
      <c r="K1129" t="s">
        <v>352</v>
      </c>
      <c r="L1129">
        <v>2</v>
      </c>
      <c r="M1129" s="5">
        <v>332.74</v>
      </c>
      <c r="N1129" s="6">
        <v>10</v>
      </c>
      <c r="O1129" s="5">
        <v>66.55</v>
      </c>
      <c r="P1129" s="5">
        <v>89.84</v>
      </c>
      <c r="Q1129" s="5">
        <v>598.93</v>
      </c>
      <c r="R1129" s="5">
        <v>410.54</v>
      </c>
      <c r="S1129" s="5">
        <v>188.39</v>
      </c>
      <c r="T1129" s="7">
        <v>0.314544270615932</v>
      </c>
      <c r="U1129" t="s">
        <v>14</v>
      </c>
      <c r="V1129" t="s">
        <v>50</v>
      </c>
      <c r="W1129" t="s">
        <v>50</v>
      </c>
      <c r="X1129" t="s">
        <v>33</v>
      </c>
      <c r="Y1129" t="s">
        <v>1743</v>
      </c>
      <c r="Z1129" t="s">
        <v>101</v>
      </c>
    </row>
    <row r="1130" spans="1:26">
      <c r="A1130" t="s">
        <v>2978</v>
      </c>
      <c r="B1130" t="s">
        <v>2978</v>
      </c>
      <c r="C1130" s="4">
        <v>45857</v>
      </c>
      <c r="D1130">
        <v>2025</v>
      </c>
      <c r="E1130">
        <v>7</v>
      </c>
      <c r="F1130" t="s">
        <v>23</v>
      </c>
      <c r="G1130" t="s">
        <v>89</v>
      </c>
      <c r="H1130" t="s">
        <v>2979</v>
      </c>
      <c r="I1130" t="s">
        <v>1526</v>
      </c>
      <c r="J1130" t="s">
        <v>164</v>
      </c>
      <c r="K1130" t="s">
        <v>165</v>
      </c>
      <c r="L1130">
        <v>1</v>
      </c>
      <c r="M1130" s="5">
        <v>102.51</v>
      </c>
      <c r="N1130" s="6">
        <v>0</v>
      </c>
      <c r="O1130" s="5">
        <v>0</v>
      </c>
      <c r="P1130" s="5">
        <v>15.38</v>
      </c>
      <c r="Q1130" s="5">
        <v>117.89</v>
      </c>
      <c r="R1130" s="5">
        <v>88.72</v>
      </c>
      <c r="S1130" s="5">
        <v>29.17</v>
      </c>
      <c r="T1130" s="7">
        <v>0.247434048689456</v>
      </c>
      <c r="U1130" t="s">
        <v>12</v>
      </c>
      <c r="V1130" t="s">
        <v>50</v>
      </c>
      <c r="W1130" t="s">
        <v>50</v>
      </c>
      <c r="X1130" t="s">
        <v>35</v>
      </c>
      <c r="Y1130" t="s">
        <v>187</v>
      </c>
      <c r="Z1130" t="s">
        <v>80</v>
      </c>
    </row>
    <row r="1131" spans="1:26">
      <c r="A1131" t="s">
        <v>2980</v>
      </c>
      <c r="B1131" t="s">
        <v>2980</v>
      </c>
      <c r="C1131" s="4">
        <v>45933</v>
      </c>
      <c r="D1131">
        <v>2025</v>
      </c>
      <c r="E1131">
        <v>10</v>
      </c>
      <c r="F1131" t="s">
        <v>26</v>
      </c>
      <c r="G1131" t="s">
        <v>137</v>
      </c>
      <c r="H1131" t="s">
        <v>985</v>
      </c>
      <c r="I1131" t="s">
        <v>350</v>
      </c>
      <c r="J1131" t="s">
        <v>257</v>
      </c>
      <c r="K1131" t="s">
        <v>258</v>
      </c>
      <c r="L1131">
        <v>8</v>
      </c>
      <c r="M1131" s="5">
        <v>362.77</v>
      </c>
      <c r="N1131" s="6">
        <v>10</v>
      </c>
      <c r="O1131" s="5">
        <v>290.22</v>
      </c>
      <c r="P1131" s="5">
        <v>391.79</v>
      </c>
      <c r="Q1131" s="5">
        <v>2611.94</v>
      </c>
      <c r="R1131" s="5">
        <v>1730.56</v>
      </c>
      <c r="S1131" s="5">
        <v>881.38</v>
      </c>
      <c r="T1131" s="7">
        <v>0.337442667136305</v>
      </c>
      <c r="U1131" t="s">
        <v>11</v>
      </c>
      <c r="V1131" t="s">
        <v>50</v>
      </c>
      <c r="W1131" t="s">
        <v>50</v>
      </c>
      <c r="X1131" t="s">
        <v>33</v>
      </c>
      <c r="Y1131" t="s">
        <v>900</v>
      </c>
      <c r="Z1131" t="s">
        <v>101</v>
      </c>
    </row>
    <row r="1132" spans="1:26">
      <c r="A1132" t="s">
        <v>2981</v>
      </c>
      <c r="B1132" t="s">
        <v>2981</v>
      </c>
      <c r="C1132" s="4">
        <v>46060</v>
      </c>
      <c r="D1132">
        <v>2026</v>
      </c>
      <c r="E1132">
        <v>2</v>
      </c>
      <c r="F1132" t="s">
        <v>31</v>
      </c>
      <c r="G1132" t="s">
        <v>82</v>
      </c>
      <c r="H1132" t="s">
        <v>2466</v>
      </c>
      <c r="I1132" t="s">
        <v>1153</v>
      </c>
      <c r="J1132" t="s">
        <v>333</v>
      </c>
      <c r="K1132" t="s">
        <v>334</v>
      </c>
      <c r="L1132">
        <v>3</v>
      </c>
      <c r="M1132" s="5">
        <v>360.52</v>
      </c>
      <c r="N1132" s="6">
        <v>0</v>
      </c>
      <c r="O1132" s="5">
        <v>0</v>
      </c>
      <c r="P1132" s="5">
        <v>162.23</v>
      </c>
      <c r="Q1132" s="5">
        <v>1243.79</v>
      </c>
      <c r="R1132" s="5">
        <v>973.44</v>
      </c>
      <c r="S1132" s="5">
        <v>270.35</v>
      </c>
      <c r="T1132" s="7">
        <v>0.217359843703519</v>
      </c>
      <c r="U1132" t="s">
        <v>13</v>
      </c>
      <c r="V1132" t="s">
        <v>50</v>
      </c>
      <c r="W1132" t="s">
        <v>50</v>
      </c>
      <c r="X1132" t="s">
        <v>35</v>
      </c>
      <c r="Y1132" t="s">
        <v>661</v>
      </c>
      <c r="Z1132" t="s">
        <v>80</v>
      </c>
    </row>
    <row r="1133" spans="1:26">
      <c r="A1133" t="s">
        <v>2982</v>
      </c>
      <c r="B1133" t="s">
        <v>2982</v>
      </c>
      <c r="C1133" s="4">
        <v>45991</v>
      </c>
      <c r="D1133">
        <v>2025</v>
      </c>
      <c r="E1133">
        <v>11</v>
      </c>
      <c r="F1133" t="s">
        <v>27</v>
      </c>
      <c r="G1133" t="s">
        <v>137</v>
      </c>
      <c r="H1133" t="s">
        <v>2002</v>
      </c>
      <c r="I1133" t="s">
        <v>1153</v>
      </c>
      <c r="J1133" t="s">
        <v>471</v>
      </c>
      <c r="K1133" t="s">
        <v>766</v>
      </c>
      <c r="L1133">
        <v>8</v>
      </c>
      <c r="M1133" s="5">
        <v>386.86</v>
      </c>
      <c r="N1133" s="6">
        <v>15</v>
      </c>
      <c r="O1133" s="5">
        <v>464.23</v>
      </c>
      <c r="P1133" s="5">
        <v>394.6</v>
      </c>
      <c r="Q1133" s="5">
        <v>3025.25</v>
      </c>
      <c r="R1133" s="5">
        <v>2595.84</v>
      </c>
      <c r="S1133" s="5">
        <v>429.41</v>
      </c>
      <c r="T1133" s="7">
        <v>0.141941988265433</v>
      </c>
      <c r="U1133" t="s">
        <v>12</v>
      </c>
      <c r="V1133" t="s">
        <v>50</v>
      </c>
      <c r="W1133" t="s">
        <v>50</v>
      </c>
      <c r="X1133" t="s">
        <v>33</v>
      </c>
      <c r="Y1133" t="s">
        <v>2042</v>
      </c>
      <c r="Z1133" t="s">
        <v>80</v>
      </c>
    </row>
    <row r="1134" spans="1:26">
      <c r="A1134" t="s">
        <v>2983</v>
      </c>
      <c r="B1134" t="s">
        <v>2983</v>
      </c>
      <c r="C1134" s="4">
        <v>45794</v>
      </c>
      <c r="D1134">
        <v>2025</v>
      </c>
      <c r="E1134">
        <v>5</v>
      </c>
      <c r="F1134" t="s">
        <v>21</v>
      </c>
      <c r="G1134" t="s">
        <v>74</v>
      </c>
      <c r="H1134" t="s">
        <v>1761</v>
      </c>
      <c r="I1134" t="s">
        <v>708</v>
      </c>
      <c r="J1134" t="s">
        <v>882</v>
      </c>
      <c r="K1134" t="s">
        <v>883</v>
      </c>
      <c r="L1134">
        <v>1</v>
      </c>
      <c r="M1134" s="5">
        <v>372.61</v>
      </c>
      <c r="N1134" s="6">
        <v>5</v>
      </c>
      <c r="O1134" s="5">
        <v>18.63</v>
      </c>
      <c r="P1134" s="5">
        <v>53.1</v>
      </c>
      <c r="Q1134" s="5">
        <v>407.08</v>
      </c>
      <c r="R1134" s="5">
        <v>319.91</v>
      </c>
      <c r="S1134" s="5">
        <v>87.17</v>
      </c>
      <c r="T1134" s="7">
        <v>0.214134813795814</v>
      </c>
      <c r="U1134" t="s">
        <v>12</v>
      </c>
      <c r="V1134" t="s">
        <v>50</v>
      </c>
      <c r="W1134" t="s">
        <v>50</v>
      </c>
      <c r="X1134" t="s">
        <v>33</v>
      </c>
      <c r="Y1134" t="s">
        <v>1476</v>
      </c>
      <c r="Z1134" t="s">
        <v>80</v>
      </c>
    </row>
    <row r="1135" spans="1:26">
      <c r="A1135" t="s">
        <v>2984</v>
      </c>
      <c r="B1135" t="s">
        <v>2984</v>
      </c>
      <c r="C1135" s="4">
        <v>45957</v>
      </c>
      <c r="D1135">
        <v>2025</v>
      </c>
      <c r="E1135">
        <v>10</v>
      </c>
      <c r="F1135" t="s">
        <v>26</v>
      </c>
      <c r="G1135" t="s">
        <v>137</v>
      </c>
      <c r="H1135" t="s">
        <v>2145</v>
      </c>
      <c r="I1135" t="s">
        <v>1264</v>
      </c>
      <c r="J1135" t="s">
        <v>47</v>
      </c>
      <c r="K1135" t="s">
        <v>2985</v>
      </c>
      <c r="L1135">
        <v>8</v>
      </c>
      <c r="M1135" s="5">
        <v>198.46</v>
      </c>
      <c r="N1135" s="6">
        <v>20</v>
      </c>
      <c r="O1135" s="5">
        <v>317.54</v>
      </c>
      <c r="P1135" s="5">
        <v>190.52</v>
      </c>
      <c r="Q1135" s="5">
        <v>1270.14</v>
      </c>
      <c r="R1135" s="5">
        <v>860.8</v>
      </c>
      <c r="S1135" s="5">
        <v>409.34</v>
      </c>
      <c r="T1135" s="7">
        <v>0.322279433763207</v>
      </c>
      <c r="U1135" t="s">
        <v>12</v>
      </c>
      <c r="V1135" t="s">
        <v>50</v>
      </c>
      <c r="W1135" t="s">
        <v>50</v>
      </c>
      <c r="X1135" t="s">
        <v>33</v>
      </c>
      <c r="Y1135" t="s">
        <v>398</v>
      </c>
      <c r="Z1135" t="s">
        <v>101</v>
      </c>
    </row>
    <row r="1136" spans="1:26">
      <c r="A1136" t="s">
        <v>2986</v>
      </c>
      <c r="B1136" t="s">
        <v>2986</v>
      </c>
      <c r="C1136" s="4">
        <v>45856</v>
      </c>
      <c r="D1136">
        <v>2025</v>
      </c>
      <c r="E1136">
        <v>7</v>
      </c>
      <c r="F1136" t="s">
        <v>23</v>
      </c>
      <c r="G1136" t="s">
        <v>89</v>
      </c>
      <c r="H1136" t="s">
        <v>2837</v>
      </c>
      <c r="I1136" t="s">
        <v>235</v>
      </c>
      <c r="J1136" t="s">
        <v>914</v>
      </c>
      <c r="K1136" t="s">
        <v>915</v>
      </c>
      <c r="L1136">
        <v>2</v>
      </c>
      <c r="M1136" s="5">
        <v>217.42</v>
      </c>
      <c r="N1136" s="6">
        <v>0</v>
      </c>
      <c r="O1136" s="5">
        <v>0</v>
      </c>
      <c r="P1136" s="5">
        <v>65.23</v>
      </c>
      <c r="Q1136" s="5">
        <v>434.84</v>
      </c>
      <c r="R1136" s="5">
        <v>354.06</v>
      </c>
      <c r="S1136" s="5">
        <v>80.78</v>
      </c>
      <c r="T1136" s="7">
        <v>0.185769478428847</v>
      </c>
      <c r="U1136" t="s">
        <v>9</v>
      </c>
      <c r="V1136" t="s">
        <v>50</v>
      </c>
      <c r="W1136" t="s">
        <v>50</v>
      </c>
      <c r="X1136" t="s">
        <v>33</v>
      </c>
      <c r="Y1136" t="s">
        <v>1615</v>
      </c>
      <c r="Z1136" t="s">
        <v>101</v>
      </c>
    </row>
    <row r="1137" spans="1:26">
      <c r="A1137" t="s">
        <v>2987</v>
      </c>
      <c r="B1137" t="s">
        <v>2987</v>
      </c>
      <c r="C1137" s="4">
        <v>46014</v>
      </c>
      <c r="D1137">
        <v>2025</v>
      </c>
      <c r="E1137">
        <v>12</v>
      </c>
      <c r="F1137" t="s">
        <v>28</v>
      </c>
      <c r="G1137" t="s">
        <v>137</v>
      </c>
      <c r="H1137" t="s">
        <v>2002</v>
      </c>
      <c r="I1137" t="s">
        <v>317</v>
      </c>
      <c r="J1137" t="s">
        <v>1014</v>
      </c>
      <c r="K1137" t="s">
        <v>1015</v>
      </c>
      <c r="L1137">
        <v>3</v>
      </c>
      <c r="M1137" s="5">
        <v>168.57</v>
      </c>
      <c r="N1137" s="6">
        <v>0</v>
      </c>
      <c r="O1137" s="5">
        <v>0</v>
      </c>
      <c r="P1137" s="5">
        <v>75.86</v>
      </c>
      <c r="Q1137" s="5">
        <v>505.71</v>
      </c>
      <c r="R1137" s="5">
        <v>412.92</v>
      </c>
      <c r="S1137" s="5">
        <v>92.79</v>
      </c>
      <c r="T1137" s="7">
        <v>0.183484605801744</v>
      </c>
      <c r="U1137" t="s">
        <v>13</v>
      </c>
      <c r="V1137" t="s">
        <v>50</v>
      </c>
      <c r="W1137" t="s">
        <v>50</v>
      </c>
      <c r="X1137" t="s">
        <v>33</v>
      </c>
      <c r="Y1137" t="s">
        <v>879</v>
      </c>
      <c r="Z1137" t="s">
        <v>101</v>
      </c>
    </row>
    <row r="1138" spans="1:26">
      <c r="A1138" t="s">
        <v>2988</v>
      </c>
      <c r="B1138" t="s">
        <v>2988</v>
      </c>
      <c r="C1138" s="4">
        <v>45788</v>
      </c>
      <c r="D1138">
        <v>2025</v>
      </c>
      <c r="E1138">
        <v>5</v>
      </c>
      <c r="F1138" t="s">
        <v>21</v>
      </c>
      <c r="G1138" t="s">
        <v>74</v>
      </c>
      <c r="H1138" t="s">
        <v>1070</v>
      </c>
      <c r="I1138" t="s">
        <v>350</v>
      </c>
      <c r="J1138" t="s">
        <v>40</v>
      </c>
      <c r="K1138" t="s">
        <v>2247</v>
      </c>
      <c r="L1138">
        <v>8</v>
      </c>
      <c r="M1138" s="5">
        <v>363.87</v>
      </c>
      <c r="N1138" s="6">
        <v>0</v>
      </c>
      <c r="O1138" s="5">
        <v>0</v>
      </c>
      <c r="P1138" s="5">
        <v>436.64</v>
      </c>
      <c r="Q1138" s="5">
        <v>3347.6</v>
      </c>
      <c r="R1138" s="5">
        <v>1730.56</v>
      </c>
      <c r="S1138" s="5">
        <v>1617.04</v>
      </c>
      <c r="T1138" s="7">
        <v>0.483044569243637</v>
      </c>
      <c r="U1138" t="s">
        <v>11</v>
      </c>
      <c r="V1138" t="s">
        <v>50</v>
      </c>
      <c r="W1138" t="s">
        <v>50</v>
      </c>
      <c r="X1138" t="s">
        <v>34</v>
      </c>
      <c r="Y1138" t="s">
        <v>2989</v>
      </c>
      <c r="Z1138" t="s">
        <v>80</v>
      </c>
    </row>
    <row r="1139" spans="1:26">
      <c r="A1139" t="s">
        <v>2990</v>
      </c>
      <c r="B1139" t="s">
        <v>2990</v>
      </c>
      <c r="C1139" s="4">
        <v>45909</v>
      </c>
      <c r="D1139">
        <v>2025</v>
      </c>
      <c r="E1139">
        <v>9</v>
      </c>
      <c r="F1139" t="s">
        <v>25</v>
      </c>
      <c r="G1139" t="s">
        <v>89</v>
      </c>
      <c r="H1139" t="s">
        <v>582</v>
      </c>
      <c r="I1139" t="s">
        <v>97</v>
      </c>
      <c r="J1139" t="s">
        <v>41</v>
      </c>
      <c r="K1139" t="s">
        <v>588</v>
      </c>
      <c r="L1139">
        <v>7</v>
      </c>
      <c r="M1139" s="5">
        <v>400.62</v>
      </c>
      <c r="N1139" s="6">
        <v>0</v>
      </c>
      <c r="O1139" s="5">
        <v>0</v>
      </c>
      <c r="P1139" s="5">
        <v>420.65</v>
      </c>
      <c r="Q1139" s="5">
        <v>2804.34</v>
      </c>
      <c r="R1139" s="5">
        <v>1655.78</v>
      </c>
      <c r="S1139" s="5">
        <v>1148.56</v>
      </c>
      <c r="T1139" s="7">
        <v>0.40956517398033</v>
      </c>
      <c r="U1139" t="s">
        <v>14</v>
      </c>
      <c r="V1139" t="s">
        <v>50</v>
      </c>
      <c r="W1139" t="s">
        <v>50</v>
      </c>
      <c r="X1139" t="s">
        <v>33</v>
      </c>
      <c r="Y1139" t="s">
        <v>2991</v>
      </c>
      <c r="Z1139" t="s">
        <v>101</v>
      </c>
    </row>
    <row r="1140" spans="1:26">
      <c r="A1140" t="s">
        <v>2992</v>
      </c>
      <c r="B1140" t="s">
        <v>2992</v>
      </c>
      <c r="C1140" s="4">
        <v>45751</v>
      </c>
      <c r="D1140">
        <v>2025</v>
      </c>
      <c r="E1140">
        <v>4</v>
      </c>
      <c r="F1140" t="s">
        <v>20</v>
      </c>
      <c r="G1140" t="s">
        <v>74</v>
      </c>
      <c r="H1140" t="s">
        <v>1168</v>
      </c>
      <c r="I1140" t="s">
        <v>2993</v>
      </c>
      <c r="J1140" t="s">
        <v>1490</v>
      </c>
      <c r="K1140" t="s">
        <v>1491</v>
      </c>
      <c r="L1140">
        <v>6</v>
      </c>
      <c r="M1140" s="5">
        <v>452.46</v>
      </c>
      <c r="N1140" s="6">
        <v>0</v>
      </c>
      <c r="O1140" s="5">
        <v>0</v>
      </c>
      <c r="P1140" s="5">
        <v>407.21</v>
      </c>
      <c r="Q1140" s="5">
        <v>2714.76</v>
      </c>
      <c r="R1140" s="5">
        <v>1885.56</v>
      </c>
      <c r="S1140" s="5">
        <v>829.2</v>
      </c>
      <c r="T1140" s="7">
        <v>0.30544136498254</v>
      </c>
      <c r="U1140" t="s">
        <v>10</v>
      </c>
      <c r="V1140" t="s">
        <v>50</v>
      </c>
      <c r="W1140" t="s">
        <v>50</v>
      </c>
      <c r="X1140" t="s">
        <v>33</v>
      </c>
      <c r="Y1140" t="s">
        <v>705</v>
      </c>
      <c r="Z1140" t="s">
        <v>101</v>
      </c>
    </row>
    <row r="1141" spans="1:26">
      <c r="A1141" t="s">
        <v>2994</v>
      </c>
      <c r="B1141" t="s">
        <v>2994</v>
      </c>
      <c r="C1141" s="4">
        <v>45872</v>
      </c>
      <c r="D1141">
        <v>2025</v>
      </c>
      <c r="E1141">
        <v>8</v>
      </c>
      <c r="F1141" t="s">
        <v>24</v>
      </c>
      <c r="G1141" t="s">
        <v>89</v>
      </c>
      <c r="H1141" t="s">
        <v>638</v>
      </c>
      <c r="I1141" t="s">
        <v>362</v>
      </c>
      <c r="J1141" t="s">
        <v>1347</v>
      </c>
      <c r="K1141" t="s">
        <v>2647</v>
      </c>
      <c r="L1141">
        <v>4</v>
      </c>
      <c r="M1141" s="5">
        <v>329.69</v>
      </c>
      <c r="N1141" s="6">
        <v>0</v>
      </c>
      <c r="O1141" s="5">
        <v>0</v>
      </c>
      <c r="P1141" s="5">
        <v>197.81</v>
      </c>
      <c r="Q1141" s="5">
        <v>1516.57</v>
      </c>
      <c r="R1141" s="5">
        <v>989</v>
      </c>
      <c r="S1141" s="5">
        <v>527.57</v>
      </c>
      <c r="T1141" s="7">
        <v>0.347870523615791</v>
      </c>
      <c r="U1141" t="s">
        <v>13</v>
      </c>
      <c r="V1141" t="s">
        <v>50</v>
      </c>
      <c r="W1141" t="s">
        <v>50</v>
      </c>
      <c r="X1141" t="s">
        <v>33</v>
      </c>
      <c r="Y1141" t="s">
        <v>1773</v>
      </c>
      <c r="Z1141" t="s">
        <v>80</v>
      </c>
    </row>
    <row r="1142" spans="1:26">
      <c r="A1142" t="s">
        <v>2995</v>
      </c>
      <c r="B1142" t="s">
        <v>2995</v>
      </c>
      <c r="C1142" s="4">
        <v>45826</v>
      </c>
      <c r="D1142">
        <v>2025</v>
      </c>
      <c r="E1142">
        <v>6</v>
      </c>
      <c r="F1142" t="s">
        <v>22</v>
      </c>
      <c r="G1142" t="s">
        <v>74</v>
      </c>
      <c r="H1142" t="s">
        <v>2996</v>
      </c>
      <c r="I1142" t="s">
        <v>592</v>
      </c>
      <c r="J1142" t="s">
        <v>1468</v>
      </c>
      <c r="K1142" t="s">
        <v>1473</v>
      </c>
      <c r="L1142">
        <v>4</v>
      </c>
      <c r="M1142" s="5">
        <v>221.61</v>
      </c>
      <c r="N1142" s="6">
        <v>20</v>
      </c>
      <c r="O1142" s="5">
        <v>177.29</v>
      </c>
      <c r="P1142" s="5">
        <v>106.37</v>
      </c>
      <c r="Q1142" s="5">
        <v>709.15</v>
      </c>
      <c r="R1142" s="5">
        <v>728.68</v>
      </c>
      <c r="S1142" s="5">
        <v>-19.53</v>
      </c>
      <c r="T1142" s="7">
        <v>-0.0275400126912501</v>
      </c>
      <c r="U1142" t="s">
        <v>10</v>
      </c>
      <c r="V1142" t="s">
        <v>50</v>
      </c>
      <c r="W1142" t="s">
        <v>50</v>
      </c>
      <c r="X1142" t="s">
        <v>33</v>
      </c>
      <c r="Y1142" t="s">
        <v>1277</v>
      </c>
      <c r="Z1142" t="s">
        <v>101</v>
      </c>
    </row>
    <row r="1143" spans="1:26">
      <c r="A1143" t="s">
        <v>2997</v>
      </c>
      <c r="B1143" t="s">
        <v>2997</v>
      </c>
      <c r="C1143" s="4">
        <v>45973</v>
      </c>
      <c r="D1143">
        <v>2025</v>
      </c>
      <c r="E1143">
        <v>11</v>
      </c>
      <c r="F1143" t="s">
        <v>27</v>
      </c>
      <c r="G1143" t="s">
        <v>137</v>
      </c>
      <c r="H1143" t="s">
        <v>1833</v>
      </c>
      <c r="I1143" t="s">
        <v>1228</v>
      </c>
      <c r="J1143" t="s">
        <v>390</v>
      </c>
      <c r="K1143" t="s">
        <v>391</v>
      </c>
      <c r="L1143">
        <v>2</v>
      </c>
      <c r="M1143" s="5">
        <v>188.64</v>
      </c>
      <c r="N1143" s="6">
        <v>15</v>
      </c>
      <c r="O1143" s="5">
        <v>56.59</v>
      </c>
      <c r="P1143" s="5">
        <v>48.1</v>
      </c>
      <c r="Q1143" s="5">
        <v>320.69</v>
      </c>
      <c r="R1143" s="5">
        <v>316.56</v>
      </c>
      <c r="S1143" s="5">
        <v>4.13</v>
      </c>
      <c r="T1143" s="7">
        <v>0.0128784807758271</v>
      </c>
      <c r="U1143" t="s">
        <v>10</v>
      </c>
      <c r="V1143" t="s">
        <v>50</v>
      </c>
      <c r="W1143" t="s">
        <v>50</v>
      </c>
      <c r="X1143" t="s">
        <v>33</v>
      </c>
      <c r="Y1143" t="s">
        <v>456</v>
      </c>
      <c r="Z1143" t="s">
        <v>101</v>
      </c>
    </row>
    <row r="1144" spans="1:26">
      <c r="A1144" t="s">
        <v>2998</v>
      </c>
      <c r="B1144" t="s">
        <v>2998</v>
      </c>
      <c r="C1144" s="4">
        <v>45962</v>
      </c>
      <c r="D1144">
        <v>2025</v>
      </c>
      <c r="E1144">
        <v>11</v>
      </c>
      <c r="F1144" t="s">
        <v>27</v>
      </c>
      <c r="G1144" t="s">
        <v>137</v>
      </c>
      <c r="H1144" t="s">
        <v>1838</v>
      </c>
      <c r="I1144" t="s">
        <v>592</v>
      </c>
      <c r="J1144" t="s">
        <v>1272</v>
      </c>
      <c r="K1144" t="s">
        <v>971</v>
      </c>
      <c r="L1144">
        <v>4</v>
      </c>
      <c r="M1144" s="5">
        <v>246.31</v>
      </c>
      <c r="N1144" s="6">
        <v>0</v>
      </c>
      <c r="O1144" s="5">
        <v>0</v>
      </c>
      <c r="P1144" s="5">
        <v>147.79</v>
      </c>
      <c r="Q1144" s="5">
        <v>1133.03</v>
      </c>
      <c r="R1144" s="5">
        <v>728.68</v>
      </c>
      <c r="S1144" s="5">
        <v>404.35</v>
      </c>
      <c r="T1144" s="7">
        <v>0.356874928289631</v>
      </c>
      <c r="U1144" t="s">
        <v>11</v>
      </c>
      <c r="V1144" t="s">
        <v>50</v>
      </c>
      <c r="W1144" t="s">
        <v>50</v>
      </c>
      <c r="X1144" t="s">
        <v>35</v>
      </c>
      <c r="Y1144" t="s">
        <v>2216</v>
      </c>
      <c r="Z1144" t="s">
        <v>80</v>
      </c>
    </row>
    <row r="1145" spans="1:26">
      <c r="A1145" t="s">
        <v>2999</v>
      </c>
      <c r="B1145" t="s">
        <v>2999</v>
      </c>
      <c r="C1145" s="4">
        <v>45959</v>
      </c>
      <c r="D1145">
        <v>2025</v>
      </c>
      <c r="E1145">
        <v>10</v>
      </c>
      <c r="F1145" t="s">
        <v>26</v>
      </c>
      <c r="G1145" t="s">
        <v>137</v>
      </c>
      <c r="H1145" t="s">
        <v>1497</v>
      </c>
      <c r="I1145" t="s">
        <v>819</v>
      </c>
      <c r="J1145" t="s">
        <v>681</v>
      </c>
      <c r="K1145" t="s">
        <v>2147</v>
      </c>
      <c r="L1145">
        <v>6</v>
      </c>
      <c r="M1145" s="5">
        <v>87.93</v>
      </c>
      <c r="N1145" s="6">
        <v>10</v>
      </c>
      <c r="O1145" s="5">
        <v>52.76</v>
      </c>
      <c r="P1145" s="5">
        <v>71.22</v>
      </c>
      <c r="Q1145" s="5">
        <v>474.82</v>
      </c>
      <c r="R1145" s="5">
        <v>409.02</v>
      </c>
      <c r="S1145" s="5">
        <v>65.8</v>
      </c>
      <c r="T1145" s="7">
        <v>0.138578829872373</v>
      </c>
      <c r="U1145" t="s">
        <v>12</v>
      </c>
      <c r="V1145" t="s">
        <v>50</v>
      </c>
      <c r="W1145" t="s">
        <v>50</v>
      </c>
      <c r="X1145" t="s">
        <v>33</v>
      </c>
      <c r="Y1145" t="s">
        <v>1527</v>
      </c>
      <c r="Z1145" t="s">
        <v>101</v>
      </c>
    </row>
    <row r="1146" spans="1:26">
      <c r="A1146" t="s">
        <v>3000</v>
      </c>
      <c r="B1146" t="s">
        <v>3000</v>
      </c>
      <c r="C1146" s="4">
        <v>46000</v>
      </c>
      <c r="D1146">
        <v>2025</v>
      </c>
      <c r="E1146">
        <v>12</v>
      </c>
      <c r="F1146" t="s">
        <v>28</v>
      </c>
      <c r="G1146" t="s">
        <v>137</v>
      </c>
      <c r="H1146" t="s">
        <v>218</v>
      </c>
      <c r="I1146" t="s">
        <v>609</v>
      </c>
      <c r="J1146" t="s">
        <v>742</v>
      </c>
      <c r="K1146" t="s">
        <v>1517</v>
      </c>
      <c r="L1146">
        <v>1</v>
      </c>
      <c r="M1146" s="5">
        <v>328.59</v>
      </c>
      <c r="N1146" s="6">
        <v>0</v>
      </c>
      <c r="O1146" s="5">
        <v>0</v>
      </c>
      <c r="P1146" s="5">
        <v>49.29</v>
      </c>
      <c r="Q1146" s="5">
        <v>328.59</v>
      </c>
      <c r="R1146" s="5">
        <v>255.49</v>
      </c>
      <c r="S1146" s="5">
        <v>73.1</v>
      </c>
      <c r="T1146" s="7">
        <v>0.222465686722055</v>
      </c>
      <c r="U1146" t="s">
        <v>14</v>
      </c>
      <c r="V1146" t="s">
        <v>50</v>
      </c>
      <c r="W1146" t="s">
        <v>50</v>
      </c>
      <c r="X1146" t="s">
        <v>33</v>
      </c>
      <c r="Y1146" t="s">
        <v>3001</v>
      </c>
      <c r="Z1146" t="s">
        <v>101</v>
      </c>
    </row>
    <row r="1147" spans="1:26">
      <c r="A1147" t="s">
        <v>3002</v>
      </c>
      <c r="B1147" t="s">
        <v>3002</v>
      </c>
      <c r="C1147" s="4">
        <v>46070</v>
      </c>
      <c r="D1147">
        <v>2026</v>
      </c>
      <c r="E1147">
        <v>2</v>
      </c>
      <c r="F1147" t="s">
        <v>31</v>
      </c>
      <c r="G1147" t="s">
        <v>82</v>
      </c>
      <c r="H1147" t="s">
        <v>2163</v>
      </c>
      <c r="I1147" t="s">
        <v>362</v>
      </c>
      <c r="J1147" t="s">
        <v>197</v>
      </c>
      <c r="K1147" t="s">
        <v>198</v>
      </c>
      <c r="L1147">
        <v>7</v>
      </c>
      <c r="M1147" s="5">
        <v>370.43</v>
      </c>
      <c r="N1147" s="6">
        <v>0</v>
      </c>
      <c r="O1147" s="5">
        <v>0</v>
      </c>
      <c r="P1147" s="5">
        <v>388.95</v>
      </c>
      <c r="Q1147" s="5">
        <v>2593.01</v>
      </c>
      <c r="R1147" s="5">
        <v>1730.75</v>
      </c>
      <c r="S1147" s="5">
        <v>862.26</v>
      </c>
      <c r="T1147" s="7">
        <v>0.332532462273574</v>
      </c>
      <c r="U1147" t="s">
        <v>9</v>
      </c>
      <c r="V1147" t="s">
        <v>50</v>
      </c>
      <c r="W1147" t="s">
        <v>50</v>
      </c>
      <c r="X1147" t="s">
        <v>33</v>
      </c>
      <c r="Y1147" t="s">
        <v>987</v>
      </c>
      <c r="Z1147" t="s">
        <v>101</v>
      </c>
    </row>
    <row r="1148" spans="1:26">
      <c r="A1148" t="s">
        <v>3003</v>
      </c>
      <c r="B1148" t="s">
        <v>3003</v>
      </c>
      <c r="C1148" s="4">
        <v>46102</v>
      </c>
      <c r="D1148">
        <v>2026</v>
      </c>
      <c r="E1148">
        <v>3</v>
      </c>
      <c r="F1148" t="s">
        <v>19</v>
      </c>
      <c r="G1148" t="s">
        <v>82</v>
      </c>
      <c r="H1148" t="s">
        <v>1581</v>
      </c>
      <c r="I1148" t="s">
        <v>290</v>
      </c>
      <c r="J1148" t="s">
        <v>1085</v>
      </c>
      <c r="K1148" t="s">
        <v>1086</v>
      </c>
      <c r="L1148">
        <v>4</v>
      </c>
      <c r="M1148" s="5">
        <v>80.5</v>
      </c>
      <c r="N1148" s="6">
        <v>5</v>
      </c>
      <c r="O1148" s="5">
        <v>16.1</v>
      </c>
      <c r="P1148" s="5">
        <v>45.88</v>
      </c>
      <c r="Q1148" s="5">
        <v>351.78</v>
      </c>
      <c r="R1148" s="5">
        <v>249</v>
      </c>
      <c r="S1148" s="5">
        <v>102.78</v>
      </c>
      <c r="T1148" s="7">
        <v>0.292171243390756</v>
      </c>
      <c r="U1148" t="s">
        <v>9</v>
      </c>
      <c r="V1148" t="s">
        <v>50</v>
      </c>
      <c r="W1148" t="s">
        <v>50</v>
      </c>
      <c r="X1148" t="s">
        <v>33</v>
      </c>
      <c r="Y1148" t="s">
        <v>160</v>
      </c>
      <c r="Z1148" t="s">
        <v>80</v>
      </c>
    </row>
    <row r="1149" spans="1:26">
      <c r="A1149" t="s">
        <v>3004</v>
      </c>
      <c r="B1149" t="s">
        <v>3004</v>
      </c>
      <c r="C1149" s="4">
        <v>46088</v>
      </c>
      <c r="D1149">
        <v>2026</v>
      </c>
      <c r="E1149">
        <v>3</v>
      </c>
      <c r="F1149" t="s">
        <v>19</v>
      </c>
      <c r="G1149" t="s">
        <v>82</v>
      </c>
      <c r="H1149" t="s">
        <v>1993</v>
      </c>
      <c r="I1149" t="s">
        <v>104</v>
      </c>
      <c r="J1149" t="s">
        <v>837</v>
      </c>
      <c r="K1149" t="s">
        <v>838</v>
      </c>
      <c r="L1149">
        <v>5</v>
      </c>
      <c r="M1149" s="5">
        <v>313.47</v>
      </c>
      <c r="N1149" s="6">
        <v>0</v>
      </c>
      <c r="O1149" s="5">
        <v>0</v>
      </c>
      <c r="P1149" s="5">
        <v>235.1</v>
      </c>
      <c r="Q1149" s="5">
        <v>1802.45</v>
      </c>
      <c r="R1149" s="5">
        <v>1230.6</v>
      </c>
      <c r="S1149" s="5">
        <v>571.85</v>
      </c>
      <c r="T1149" s="7">
        <v>0.317262614774335</v>
      </c>
      <c r="U1149" t="s">
        <v>11</v>
      </c>
      <c r="V1149" t="s">
        <v>50</v>
      </c>
      <c r="W1149" t="s">
        <v>50</v>
      </c>
      <c r="X1149" t="s">
        <v>33</v>
      </c>
      <c r="Y1149" t="s">
        <v>2471</v>
      </c>
      <c r="Z1149" t="s">
        <v>80</v>
      </c>
    </row>
    <row r="1150" spans="1:26">
      <c r="A1150" t="s">
        <v>3005</v>
      </c>
      <c r="B1150" t="s">
        <v>3005</v>
      </c>
      <c r="C1150" s="4">
        <v>45823</v>
      </c>
      <c r="D1150">
        <v>2025</v>
      </c>
      <c r="E1150">
        <v>6</v>
      </c>
      <c r="F1150" t="s">
        <v>22</v>
      </c>
      <c r="G1150" t="s">
        <v>74</v>
      </c>
      <c r="H1150" t="s">
        <v>294</v>
      </c>
      <c r="I1150" t="s">
        <v>562</v>
      </c>
      <c r="J1150" t="s">
        <v>2086</v>
      </c>
      <c r="K1150" t="s">
        <v>599</v>
      </c>
      <c r="L1150">
        <v>3</v>
      </c>
      <c r="M1150" s="5">
        <v>407.72</v>
      </c>
      <c r="N1150" s="6">
        <v>15</v>
      </c>
      <c r="O1150" s="5">
        <v>183.47</v>
      </c>
      <c r="P1150" s="5">
        <v>155.95</v>
      </c>
      <c r="Q1150" s="5">
        <v>1195.64</v>
      </c>
      <c r="R1150" s="5">
        <v>1023.72</v>
      </c>
      <c r="S1150" s="5">
        <v>171.92</v>
      </c>
      <c r="T1150" s="7">
        <v>0.143789100398113</v>
      </c>
      <c r="U1150" t="s">
        <v>13</v>
      </c>
      <c r="V1150" t="s">
        <v>50</v>
      </c>
      <c r="W1150" t="s">
        <v>50</v>
      </c>
      <c r="X1150" t="s">
        <v>33</v>
      </c>
      <c r="Y1150" t="s">
        <v>1773</v>
      </c>
      <c r="Z1150" t="s">
        <v>80</v>
      </c>
    </row>
    <row r="1151" spans="1:26">
      <c r="A1151" t="s">
        <v>3006</v>
      </c>
      <c r="B1151" t="s">
        <v>3006</v>
      </c>
      <c r="C1151" s="4">
        <v>46012</v>
      </c>
      <c r="D1151">
        <v>2025</v>
      </c>
      <c r="E1151">
        <v>12</v>
      </c>
      <c r="F1151" t="s">
        <v>28</v>
      </c>
      <c r="G1151" t="s">
        <v>137</v>
      </c>
      <c r="H1151" t="s">
        <v>1236</v>
      </c>
      <c r="I1151" t="s">
        <v>132</v>
      </c>
      <c r="J1151" t="s">
        <v>626</v>
      </c>
      <c r="K1151" t="s">
        <v>2353</v>
      </c>
      <c r="L1151">
        <v>7</v>
      </c>
      <c r="M1151" s="5">
        <v>286.44</v>
      </c>
      <c r="N1151" s="6">
        <v>0</v>
      </c>
      <c r="O1151" s="5">
        <v>0</v>
      </c>
      <c r="P1151" s="5">
        <v>300.76</v>
      </c>
      <c r="Q1151" s="5">
        <v>2305.84</v>
      </c>
      <c r="R1151" s="5">
        <v>1358.42</v>
      </c>
      <c r="S1151" s="5">
        <v>947.42</v>
      </c>
      <c r="T1151" s="7">
        <v>0.410878465114665</v>
      </c>
      <c r="U1151" t="s">
        <v>10</v>
      </c>
      <c r="V1151" t="s">
        <v>50</v>
      </c>
      <c r="W1151" t="s">
        <v>50</v>
      </c>
      <c r="X1151" t="s">
        <v>35</v>
      </c>
      <c r="Y1151" t="s">
        <v>1815</v>
      </c>
      <c r="Z1151" t="s">
        <v>80</v>
      </c>
    </row>
    <row r="1152" spans="1:26">
      <c r="A1152" t="s">
        <v>3007</v>
      </c>
      <c r="B1152" t="s">
        <v>3007</v>
      </c>
      <c r="C1152" s="4">
        <v>45936</v>
      </c>
      <c r="D1152">
        <v>2025</v>
      </c>
      <c r="E1152">
        <v>10</v>
      </c>
      <c r="F1152" t="s">
        <v>26</v>
      </c>
      <c r="G1152" t="s">
        <v>137</v>
      </c>
      <c r="H1152" t="s">
        <v>389</v>
      </c>
      <c r="I1152" t="s">
        <v>765</v>
      </c>
      <c r="J1152" t="s">
        <v>127</v>
      </c>
      <c r="K1152" t="s">
        <v>128</v>
      </c>
      <c r="L1152">
        <v>4</v>
      </c>
      <c r="M1152" s="5">
        <v>376.8</v>
      </c>
      <c r="N1152" s="6">
        <v>0</v>
      </c>
      <c r="O1152" s="5">
        <v>0</v>
      </c>
      <c r="P1152" s="5">
        <v>226.08</v>
      </c>
      <c r="Q1152" s="5">
        <v>1507.2</v>
      </c>
      <c r="R1152" s="5">
        <v>1206.28</v>
      </c>
      <c r="S1152" s="5">
        <v>300.92</v>
      </c>
      <c r="T1152" s="7">
        <v>0.199654989384289</v>
      </c>
      <c r="U1152" t="s">
        <v>9</v>
      </c>
      <c r="V1152" t="s">
        <v>50</v>
      </c>
      <c r="W1152" t="s">
        <v>50</v>
      </c>
      <c r="X1152" t="s">
        <v>33</v>
      </c>
      <c r="Y1152" t="s">
        <v>2709</v>
      </c>
      <c r="Z1152" t="s">
        <v>101</v>
      </c>
    </row>
    <row r="1153" spans="1:26">
      <c r="A1153" t="s">
        <v>3008</v>
      </c>
      <c r="B1153" t="s">
        <v>3008</v>
      </c>
      <c r="C1153" s="4">
        <v>45991</v>
      </c>
      <c r="D1153">
        <v>2025</v>
      </c>
      <c r="E1153">
        <v>11</v>
      </c>
      <c r="F1153" t="s">
        <v>27</v>
      </c>
      <c r="G1153" t="s">
        <v>137</v>
      </c>
      <c r="H1153" t="s">
        <v>1763</v>
      </c>
      <c r="I1153" t="s">
        <v>689</v>
      </c>
      <c r="J1153" t="s">
        <v>77</v>
      </c>
      <c r="K1153" t="s">
        <v>2176</v>
      </c>
      <c r="L1153">
        <v>1</v>
      </c>
      <c r="M1153" s="5">
        <v>123.11</v>
      </c>
      <c r="N1153" s="6">
        <v>15</v>
      </c>
      <c r="O1153" s="5">
        <v>18.47</v>
      </c>
      <c r="P1153" s="5">
        <v>15.7</v>
      </c>
      <c r="Q1153" s="5">
        <v>120.34</v>
      </c>
      <c r="R1153" s="5">
        <v>91.18</v>
      </c>
      <c r="S1153" s="5">
        <v>29.16</v>
      </c>
      <c r="T1153" s="7">
        <v>0.242313445238491</v>
      </c>
      <c r="U1153" t="s">
        <v>11</v>
      </c>
      <c r="V1153" t="s">
        <v>50</v>
      </c>
      <c r="W1153" t="s">
        <v>50</v>
      </c>
      <c r="X1153" t="s">
        <v>33</v>
      </c>
      <c r="Y1153" t="s">
        <v>3009</v>
      </c>
      <c r="Z1153" t="s">
        <v>80</v>
      </c>
    </row>
    <row r="1154" spans="1:26">
      <c r="A1154" t="s">
        <v>3010</v>
      </c>
      <c r="B1154" t="s">
        <v>3010</v>
      </c>
      <c r="C1154" s="4">
        <v>45760</v>
      </c>
      <c r="D1154">
        <v>2025</v>
      </c>
      <c r="E1154">
        <v>4</v>
      </c>
      <c r="F1154" t="s">
        <v>20</v>
      </c>
      <c r="G1154" t="s">
        <v>74</v>
      </c>
      <c r="H1154" t="s">
        <v>542</v>
      </c>
      <c r="I1154" t="s">
        <v>459</v>
      </c>
      <c r="J1154" t="s">
        <v>357</v>
      </c>
      <c r="K1154" t="s">
        <v>1540</v>
      </c>
      <c r="L1154">
        <v>4</v>
      </c>
      <c r="M1154" s="5">
        <v>96.72</v>
      </c>
      <c r="N1154" s="6">
        <v>5</v>
      </c>
      <c r="O1154" s="5">
        <v>19.34</v>
      </c>
      <c r="P1154" s="5">
        <v>55.13</v>
      </c>
      <c r="Q1154" s="5">
        <v>422.67</v>
      </c>
      <c r="R1154" s="5">
        <v>319.28</v>
      </c>
      <c r="S1154" s="5">
        <v>103.39</v>
      </c>
      <c r="T1154" s="7">
        <v>0.244611635554925</v>
      </c>
      <c r="U1154" t="s">
        <v>9</v>
      </c>
      <c r="V1154" t="s">
        <v>50</v>
      </c>
      <c r="W1154" t="s">
        <v>50</v>
      </c>
      <c r="X1154" t="s">
        <v>33</v>
      </c>
      <c r="Y1154" t="s">
        <v>1256</v>
      </c>
      <c r="Z1154" t="s">
        <v>80</v>
      </c>
    </row>
    <row r="1155" spans="1:26">
      <c r="A1155" t="s">
        <v>3011</v>
      </c>
      <c r="B1155" t="s">
        <v>3011</v>
      </c>
      <c r="C1155" s="4">
        <v>46005</v>
      </c>
      <c r="D1155">
        <v>2025</v>
      </c>
      <c r="E1155">
        <v>12</v>
      </c>
      <c r="F1155" t="s">
        <v>28</v>
      </c>
      <c r="G1155" t="s">
        <v>137</v>
      </c>
      <c r="H1155" t="s">
        <v>83</v>
      </c>
      <c r="I1155" t="s">
        <v>196</v>
      </c>
      <c r="J1155" t="s">
        <v>401</v>
      </c>
      <c r="K1155" t="s">
        <v>287</v>
      </c>
      <c r="L1155">
        <v>2</v>
      </c>
      <c r="M1155" s="5">
        <v>332.73</v>
      </c>
      <c r="N1155" s="6">
        <v>0</v>
      </c>
      <c r="O1155" s="5">
        <v>0</v>
      </c>
      <c r="P1155" s="5">
        <v>99.82</v>
      </c>
      <c r="Q1155" s="5">
        <v>765.28</v>
      </c>
      <c r="R1155" s="5">
        <v>522.44</v>
      </c>
      <c r="S1155" s="5">
        <v>242.84</v>
      </c>
      <c r="T1155" s="7">
        <v>0.317321764582898</v>
      </c>
      <c r="U1155" t="s">
        <v>14</v>
      </c>
      <c r="V1155" t="s">
        <v>50</v>
      </c>
      <c r="W1155" t="s">
        <v>50</v>
      </c>
      <c r="X1155" t="s">
        <v>33</v>
      </c>
      <c r="Y1155" t="s">
        <v>2080</v>
      </c>
      <c r="Z1155" t="s">
        <v>80</v>
      </c>
    </row>
    <row r="1156" spans="1:26">
      <c r="A1156" t="s">
        <v>3012</v>
      </c>
      <c r="B1156" t="s">
        <v>3012</v>
      </c>
      <c r="C1156" s="4">
        <v>45844</v>
      </c>
      <c r="D1156">
        <v>2025</v>
      </c>
      <c r="E1156">
        <v>7</v>
      </c>
      <c r="F1156" t="s">
        <v>23</v>
      </c>
      <c r="G1156" t="s">
        <v>89</v>
      </c>
      <c r="H1156" t="s">
        <v>2782</v>
      </c>
      <c r="I1156" t="s">
        <v>1367</v>
      </c>
      <c r="J1156" t="s">
        <v>246</v>
      </c>
      <c r="K1156" t="s">
        <v>247</v>
      </c>
      <c r="L1156">
        <v>2</v>
      </c>
      <c r="M1156" s="5">
        <v>55.81</v>
      </c>
      <c r="N1156" s="6">
        <v>0</v>
      </c>
      <c r="O1156" s="5">
        <v>0</v>
      </c>
      <c r="P1156" s="5">
        <v>16.74</v>
      </c>
      <c r="Q1156" s="5">
        <v>128.36</v>
      </c>
      <c r="R1156" s="5">
        <v>89.92</v>
      </c>
      <c r="S1156" s="5">
        <v>38.44</v>
      </c>
      <c r="T1156" s="7">
        <v>0.29947023995014</v>
      </c>
      <c r="U1156" t="s">
        <v>11</v>
      </c>
      <c r="V1156" t="s">
        <v>50</v>
      </c>
      <c r="W1156" t="s">
        <v>50</v>
      </c>
      <c r="X1156" t="s">
        <v>33</v>
      </c>
      <c r="Y1156" t="s">
        <v>228</v>
      </c>
      <c r="Z1156" t="s">
        <v>80</v>
      </c>
    </row>
    <row r="1157" spans="1:26">
      <c r="A1157" t="s">
        <v>3013</v>
      </c>
      <c r="B1157" t="s">
        <v>3013</v>
      </c>
      <c r="C1157" s="4">
        <v>45815</v>
      </c>
      <c r="D1157">
        <v>2025</v>
      </c>
      <c r="E1157">
        <v>6</v>
      </c>
      <c r="F1157" t="s">
        <v>22</v>
      </c>
      <c r="G1157" t="s">
        <v>74</v>
      </c>
      <c r="H1157" t="s">
        <v>985</v>
      </c>
      <c r="I1157" t="s">
        <v>854</v>
      </c>
      <c r="J1157" t="s">
        <v>548</v>
      </c>
      <c r="K1157" t="s">
        <v>1427</v>
      </c>
      <c r="L1157">
        <v>4</v>
      </c>
      <c r="M1157" s="5">
        <v>575.96</v>
      </c>
      <c r="N1157" s="6">
        <v>0</v>
      </c>
      <c r="O1157" s="5">
        <v>0</v>
      </c>
      <c r="P1157" s="5">
        <v>345.58</v>
      </c>
      <c r="Q1157" s="5">
        <v>2649.42</v>
      </c>
      <c r="R1157" s="5">
        <v>1516.76</v>
      </c>
      <c r="S1157" s="5">
        <v>1132.66</v>
      </c>
      <c r="T1157" s="7">
        <v>0.427512436684255</v>
      </c>
      <c r="U1157" t="s">
        <v>10</v>
      </c>
      <c r="V1157" t="s">
        <v>50</v>
      </c>
      <c r="W1157" t="s">
        <v>50</v>
      </c>
      <c r="X1157" t="s">
        <v>33</v>
      </c>
      <c r="Y1157" t="s">
        <v>2770</v>
      </c>
      <c r="Z1157" t="s">
        <v>80</v>
      </c>
    </row>
    <row r="1158" spans="1:26">
      <c r="A1158" t="s">
        <v>3014</v>
      </c>
      <c r="B1158" t="s">
        <v>3014</v>
      </c>
      <c r="C1158" s="4">
        <v>45877</v>
      </c>
      <c r="D1158">
        <v>2025</v>
      </c>
      <c r="E1158">
        <v>8</v>
      </c>
      <c r="F1158" t="s">
        <v>24</v>
      </c>
      <c r="G1158" t="s">
        <v>89</v>
      </c>
      <c r="H1158" t="s">
        <v>2516</v>
      </c>
      <c r="I1158" t="s">
        <v>444</v>
      </c>
      <c r="J1158" t="s">
        <v>2044</v>
      </c>
      <c r="K1158" t="s">
        <v>1209</v>
      </c>
      <c r="L1158">
        <v>3</v>
      </c>
      <c r="M1158" s="5">
        <v>99.93</v>
      </c>
      <c r="N1158" s="6">
        <v>0</v>
      </c>
      <c r="O1158" s="5">
        <v>0</v>
      </c>
      <c r="P1158" s="5">
        <v>44.97</v>
      </c>
      <c r="Q1158" s="5">
        <v>299.79</v>
      </c>
      <c r="R1158" s="5">
        <v>258.15</v>
      </c>
      <c r="S1158" s="5">
        <v>41.64</v>
      </c>
      <c r="T1158" s="7">
        <v>0.138897228059642</v>
      </c>
      <c r="U1158" t="s">
        <v>13</v>
      </c>
      <c r="V1158" t="s">
        <v>50</v>
      </c>
      <c r="W1158" t="s">
        <v>50</v>
      </c>
      <c r="X1158" t="s">
        <v>33</v>
      </c>
      <c r="Y1158" t="s">
        <v>3015</v>
      </c>
      <c r="Z1158" t="s">
        <v>101</v>
      </c>
    </row>
    <row r="1159" spans="1:26">
      <c r="A1159" t="s">
        <v>3016</v>
      </c>
      <c r="B1159" t="s">
        <v>3016</v>
      </c>
      <c r="C1159" s="4">
        <v>45950</v>
      </c>
      <c r="D1159">
        <v>2025</v>
      </c>
      <c r="E1159">
        <v>10</v>
      </c>
      <c r="F1159" t="s">
        <v>26</v>
      </c>
      <c r="G1159" t="s">
        <v>137</v>
      </c>
      <c r="H1159" t="s">
        <v>3017</v>
      </c>
      <c r="I1159" t="s">
        <v>928</v>
      </c>
      <c r="J1159" t="s">
        <v>1507</v>
      </c>
      <c r="K1159" t="s">
        <v>1508</v>
      </c>
      <c r="L1159">
        <v>3</v>
      </c>
      <c r="M1159" s="5">
        <v>238.97</v>
      </c>
      <c r="N1159" s="6">
        <v>10</v>
      </c>
      <c r="O1159" s="5">
        <v>71.69</v>
      </c>
      <c r="P1159" s="5">
        <v>96.78</v>
      </c>
      <c r="Q1159" s="5">
        <v>645.22</v>
      </c>
      <c r="R1159" s="5">
        <v>577.23</v>
      </c>
      <c r="S1159" s="5">
        <v>67.99</v>
      </c>
      <c r="T1159" s="7">
        <v>0.10537491088311</v>
      </c>
      <c r="U1159" t="s">
        <v>12</v>
      </c>
      <c r="V1159" t="s">
        <v>50</v>
      </c>
      <c r="W1159" t="s">
        <v>50</v>
      </c>
      <c r="X1159" t="s">
        <v>33</v>
      </c>
      <c r="Y1159" t="s">
        <v>941</v>
      </c>
      <c r="Z1159" t="s">
        <v>101</v>
      </c>
    </row>
    <row r="1160" spans="1:26">
      <c r="A1160" t="s">
        <v>3018</v>
      </c>
      <c r="B1160" t="s">
        <v>3018</v>
      </c>
      <c r="C1160" s="4">
        <v>45944</v>
      </c>
      <c r="D1160">
        <v>2025</v>
      </c>
      <c r="E1160">
        <v>10</v>
      </c>
      <c r="F1160" t="s">
        <v>26</v>
      </c>
      <c r="G1160" t="s">
        <v>137</v>
      </c>
      <c r="H1160" t="s">
        <v>2668</v>
      </c>
      <c r="I1160" t="s">
        <v>207</v>
      </c>
      <c r="J1160" t="s">
        <v>2044</v>
      </c>
      <c r="K1160" t="s">
        <v>1891</v>
      </c>
      <c r="L1160">
        <v>8</v>
      </c>
      <c r="M1160" s="5">
        <v>337.44</v>
      </c>
      <c r="N1160" s="6">
        <v>15</v>
      </c>
      <c r="O1160" s="5">
        <v>404.93</v>
      </c>
      <c r="P1160" s="5">
        <v>344.19</v>
      </c>
      <c r="Q1160" s="5">
        <v>2294.59</v>
      </c>
      <c r="R1160" s="5">
        <v>2079.44</v>
      </c>
      <c r="S1160" s="5">
        <v>215.15</v>
      </c>
      <c r="T1160" s="7">
        <v>0.0937640275604792</v>
      </c>
      <c r="U1160" t="s">
        <v>10</v>
      </c>
      <c r="V1160" t="s">
        <v>50</v>
      </c>
      <c r="W1160" t="s">
        <v>50</v>
      </c>
      <c r="X1160" t="s">
        <v>33</v>
      </c>
      <c r="Y1160" t="s">
        <v>2300</v>
      </c>
      <c r="Z1160" t="s">
        <v>101</v>
      </c>
    </row>
    <row r="1161" spans="1:26">
      <c r="A1161" t="s">
        <v>3019</v>
      </c>
      <c r="B1161" t="s">
        <v>3019</v>
      </c>
      <c r="C1161" s="4">
        <v>45974</v>
      </c>
      <c r="D1161">
        <v>2025</v>
      </c>
      <c r="E1161">
        <v>11</v>
      </c>
      <c r="F1161" t="s">
        <v>27</v>
      </c>
      <c r="G1161" t="s">
        <v>137</v>
      </c>
      <c r="H1161" t="s">
        <v>2482</v>
      </c>
      <c r="I1161" t="s">
        <v>1419</v>
      </c>
      <c r="J1161" t="s">
        <v>872</v>
      </c>
      <c r="K1161" t="s">
        <v>873</v>
      </c>
      <c r="L1161">
        <v>1</v>
      </c>
      <c r="M1161" s="5">
        <v>317.99</v>
      </c>
      <c r="N1161" s="6">
        <v>0</v>
      </c>
      <c r="O1161" s="5">
        <v>0</v>
      </c>
      <c r="P1161" s="5">
        <v>47.7</v>
      </c>
      <c r="Q1161" s="5">
        <v>317.99</v>
      </c>
      <c r="R1161" s="5">
        <v>235.05</v>
      </c>
      <c r="S1161" s="5">
        <v>82.94</v>
      </c>
      <c r="T1161" s="7">
        <v>0.260825812132457</v>
      </c>
      <c r="U1161" t="s">
        <v>14</v>
      </c>
      <c r="V1161" t="s">
        <v>50</v>
      </c>
      <c r="W1161" t="s">
        <v>50</v>
      </c>
      <c r="X1161" t="s">
        <v>33</v>
      </c>
      <c r="Y1161" t="s">
        <v>3020</v>
      </c>
      <c r="Z1161" t="s">
        <v>101</v>
      </c>
    </row>
    <row r="1162" spans="1:26">
      <c r="A1162" t="s">
        <v>3021</v>
      </c>
      <c r="B1162" t="s">
        <v>3021</v>
      </c>
      <c r="C1162" s="4">
        <v>46019</v>
      </c>
      <c r="D1162">
        <v>2025</v>
      </c>
      <c r="E1162">
        <v>12</v>
      </c>
      <c r="F1162" t="s">
        <v>28</v>
      </c>
      <c r="G1162" t="s">
        <v>137</v>
      </c>
      <c r="H1162" t="s">
        <v>355</v>
      </c>
      <c r="I1162" t="s">
        <v>1132</v>
      </c>
      <c r="J1162" t="s">
        <v>899</v>
      </c>
      <c r="K1162" t="s">
        <v>171</v>
      </c>
      <c r="L1162">
        <v>8</v>
      </c>
      <c r="M1162" s="5">
        <v>320.1</v>
      </c>
      <c r="N1162" s="6">
        <v>10</v>
      </c>
      <c r="O1162" s="5">
        <v>256.08</v>
      </c>
      <c r="P1162" s="5">
        <v>345.71</v>
      </c>
      <c r="Q1162" s="5">
        <v>2650.43</v>
      </c>
      <c r="R1162" s="5">
        <v>1802.24</v>
      </c>
      <c r="S1162" s="5">
        <v>848.19</v>
      </c>
      <c r="T1162" s="7">
        <v>0.320019770376882</v>
      </c>
      <c r="U1162" t="s">
        <v>13</v>
      </c>
      <c r="V1162" t="s">
        <v>50</v>
      </c>
      <c r="W1162" t="s">
        <v>50</v>
      </c>
      <c r="X1162" t="s">
        <v>33</v>
      </c>
      <c r="Y1162" t="s">
        <v>2071</v>
      </c>
      <c r="Z1162" t="s">
        <v>80</v>
      </c>
    </row>
    <row r="1163" spans="1:26">
      <c r="A1163" t="s">
        <v>3022</v>
      </c>
      <c r="B1163" t="s">
        <v>3022</v>
      </c>
      <c r="C1163" s="4">
        <v>45997</v>
      </c>
      <c r="D1163">
        <v>2025</v>
      </c>
      <c r="E1163">
        <v>12</v>
      </c>
      <c r="F1163" t="s">
        <v>28</v>
      </c>
      <c r="G1163" t="s">
        <v>137</v>
      </c>
      <c r="H1163" t="s">
        <v>1544</v>
      </c>
      <c r="I1163" t="s">
        <v>819</v>
      </c>
      <c r="J1163" t="s">
        <v>1009</v>
      </c>
      <c r="K1163" t="s">
        <v>2247</v>
      </c>
      <c r="L1163">
        <v>5</v>
      </c>
      <c r="M1163" s="5">
        <v>97.45</v>
      </c>
      <c r="N1163" s="6">
        <v>20</v>
      </c>
      <c r="O1163" s="5">
        <v>97.45</v>
      </c>
      <c r="P1163" s="5">
        <v>58.47</v>
      </c>
      <c r="Q1163" s="5">
        <v>448.27</v>
      </c>
      <c r="R1163" s="5">
        <v>340.85</v>
      </c>
      <c r="S1163" s="5">
        <v>107.42</v>
      </c>
      <c r="T1163" s="7">
        <v>0.239632364423227</v>
      </c>
      <c r="U1163" t="s">
        <v>11</v>
      </c>
      <c r="V1163" t="s">
        <v>50</v>
      </c>
      <c r="W1163" t="s">
        <v>50</v>
      </c>
      <c r="X1163" t="s">
        <v>33</v>
      </c>
      <c r="Y1163" t="s">
        <v>845</v>
      </c>
      <c r="Z1163" t="s">
        <v>80</v>
      </c>
    </row>
    <row r="1164" spans="1:26">
      <c r="A1164" t="s">
        <v>3023</v>
      </c>
      <c r="B1164" t="s">
        <v>3023</v>
      </c>
      <c r="C1164" s="4">
        <v>45996</v>
      </c>
      <c r="D1164">
        <v>2025</v>
      </c>
      <c r="E1164">
        <v>12</v>
      </c>
      <c r="F1164" t="s">
        <v>28</v>
      </c>
      <c r="G1164" t="s">
        <v>137</v>
      </c>
      <c r="H1164" t="s">
        <v>1380</v>
      </c>
      <c r="I1164" t="s">
        <v>356</v>
      </c>
      <c r="J1164" t="s">
        <v>202</v>
      </c>
      <c r="K1164" t="s">
        <v>231</v>
      </c>
      <c r="L1164">
        <v>5</v>
      </c>
      <c r="M1164" s="5">
        <v>455.79</v>
      </c>
      <c r="N1164" s="6">
        <v>10</v>
      </c>
      <c r="O1164" s="5">
        <v>227.9</v>
      </c>
      <c r="P1164" s="5">
        <v>307.66</v>
      </c>
      <c r="Q1164" s="5">
        <v>2051.05</v>
      </c>
      <c r="R1164" s="5">
        <v>1414.4</v>
      </c>
      <c r="S1164" s="5">
        <v>636.65</v>
      </c>
      <c r="T1164" s="7">
        <v>0.310401989225031</v>
      </c>
      <c r="U1164" t="s">
        <v>11</v>
      </c>
      <c r="V1164" t="s">
        <v>50</v>
      </c>
      <c r="W1164" t="s">
        <v>50</v>
      </c>
      <c r="X1164" t="s">
        <v>33</v>
      </c>
      <c r="Y1164" t="s">
        <v>1052</v>
      </c>
      <c r="Z1164" t="s">
        <v>101</v>
      </c>
    </row>
    <row r="1165" spans="1:26">
      <c r="A1165" t="s">
        <v>3024</v>
      </c>
      <c r="B1165" t="s">
        <v>3024</v>
      </c>
      <c r="C1165" s="4">
        <v>45844</v>
      </c>
      <c r="D1165">
        <v>2025</v>
      </c>
      <c r="E1165">
        <v>7</v>
      </c>
      <c r="F1165" t="s">
        <v>23</v>
      </c>
      <c r="G1165" t="s">
        <v>89</v>
      </c>
      <c r="H1165" t="s">
        <v>1215</v>
      </c>
      <c r="I1165" t="s">
        <v>756</v>
      </c>
      <c r="J1165" t="s">
        <v>1219</v>
      </c>
      <c r="K1165" t="s">
        <v>989</v>
      </c>
      <c r="L1165">
        <v>4</v>
      </c>
      <c r="M1165" s="5">
        <v>161.03</v>
      </c>
      <c r="N1165" s="6">
        <v>20</v>
      </c>
      <c r="O1165" s="5">
        <v>128.82</v>
      </c>
      <c r="P1165" s="5">
        <v>77.29</v>
      </c>
      <c r="Q1165" s="5">
        <v>592.59</v>
      </c>
      <c r="R1165" s="5">
        <v>496.96</v>
      </c>
      <c r="S1165" s="5">
        <v>95.63</v>
      </c>
      <c r="T1165" s="7">
        <v>0.161376331021448</v>
      </c>
      <c r="U1165" t="s">
        <v>14</v>
      </c>
      <c r="V1165" t="s">
        <v>50</v>
      </c>
      <c r="W1165" t="s">
        <v>50</v>
      </c>
      <c r="X1165" t="s">
        <v>33</v>
      </c>
      <c r="Y1165" t="s">
        <v>1194</v>
      </c>
      <c r="Z1165" t="s">
        <v>80</v>
      </c>
    </row>
    <row r="1166" spans="1:26">
      <c r="A1166" t="s">
        <v>3025</v>
      </c>
      <c r="B1166" t="s">
        <v>3025</v>
      </c>
      <c r="C1166" s="4">
        <v>45914</v>
      </c>
      <c r="D1166">
        <v>2025</v>
      </c>
      <c r="E1166">
        <v>9</v>
      </c>
      <c r="F1166" t="s">
        <v>25</v>
      </c>
      <c r="G1166" t="s">
        <v>89</v>
      </c>
      <c r="H1166" t="s">
        <v>1707</v>
      </c>
      <c r="I1166" t="s">
        <v>1511</v>
      </c>
      <c r="J1166" t="s">
        <v>2513</v>
      </c>
      <c r="K1166" t="s">
        <v>1916</v>
      </c>
      <c r="L1166">
        <v>2</v>
      </c>
      <c r="M1166" s="5">
        <v>183.39</v>
      </c>
      <c r="N1166" s="6">
        <v>15</v>
      </c>
      <c r="O1166" s="5">
        <v>55.02</v>
      </c>
      <c r="P1166" s="5">
        <v>46.76</v>
      </c>
      <c r="Q1166" s="5">
        <v>358.52</v>
      </c>
      <c r="R1166" s="5">
        <v>316.86</v>
      </c>
      <c r="S1166" s="5">
        <v>41.66</v>
      </c>
      <c r="T1166" s="7">
        <v>0.116199933058128</v>
      </c>
      <c r="U1166" t="s">
        <v>12</v>
      </c>
      <c r="V1166" t="s">
        <v>51</v>
      </c>
      <c r="W1166" t="s">
        <v>51</v>
      </c>
      <c r="X1166" t="s">
        <v>35</v>
      </c>
      <c r="Y1166" t="s">
        <v>1325</v>
      </c>
      <c r="Z1166" t="s">
        <v>80</v>
      </c>
    </row>
    <row r="1167" spans="1:26">
      <c r="A1167" t="s">
        <v>3026</v>
      </c>
      <c r="B1167" t="s">
        <v>3026</v>
      </c>
      <c r="C1167" s="4">
        <v>46100</v>
      </c>
      <c r="D1167">
        <v>2026</v>
      </c>
      <c r="E1167">
        <v>3</v>
      </c>
      <c r="F1167" t="s">
        <v>19</v>
      </c>
      <c r="G1167" t="s">
        <v>82</v>
      </c>
      <c r="H1167" t="s">
        <v>2141</v>
      </c>
      <c r="I1167" t="s">
        <v>91</v>
      </c>
      <c r="J1167" t="s">
        <v>955</v>
      </c>
      <c r="K1167" t="s">
        <v>182</v>
      </c>
      <c r="L1167">
        <v>5</v>
      </c>
      <c r="M1167" s="5">
        <v>234.86</v>
      </c>
      <c r="N1167" s="6">
        <v>10</v>
      </c>
      <c r="O1167" s="5">
        <v>117.43</v>
      </c>
      <c r="P1167" s="5">
        <v>158.53</v>
      </c>
      <c r="Q1167" s="5">
        <v>1056.87</v>
      </c>
      <c r="R1167" s="5">
        <v>1066.15</v>
      </c>
      <c r="S1167" s="5">
        <v>-9.28</v>
      </c>
      <c r="T1167" s="7">
        <v>-0.00878064473397864</v>
      </c>
      <c r="U1167" t="s">
        <v>12</v>
      </c>
      <c r="V1167" t="s">
        <v>50</v>
      </c>
      <c r="W1167" t="s">
        <v>50</v>
      </c>
      <c r="X1167" t="s">
        <v>33</v>
      </c>
      <c r="Y1167" t="s">
        <v>3027</v>
      </c>
      <c r="Z1167" t="s">
        <v>101</v>
      </c>
    </row>
    <row r="1168" spans="1:26">
      <c r="A1168" t="s">
        <v>3028</v>
      </c>
      <c r="B1168" t="s">
        <v>3028</v>
      </c>
      <c r="C1168" s="4">
        <v>45923</v>
      </c>
      <c r="D1168">
        <v>2025</v>
      </c>
      <c r="E1168">
        <v>9</v>
      </c>
      <c r="F1168" t="s">
        <v>25</v>
      </c>
      <c r="G1168" t="s">
        <v>89</v>
      </c>
      <c r="H1168" t="s">
        <v>1571</v>
      </c>
      <c r="I1168" t="s">
        <v>543</v>
      </c>
      <c r="J1168" t="s">
        <v>191</v>
      </c>
      <c r="K1168" t="s">
        <v>499</v>
      </c>
      <c r="L1168">
        <v>1</v>
      </c>
      <c r="M1168" s="5">
        <v>401.06</v>
      </c>
      <c r="N1168" s="6">
        <v>0</v>
      </c>
      <c r="O1168" s="5">
        <v>0</v>
      </c>
      <c r="P1168" s="5">
        <v>60.16</v>
      </c>
      <c r="Q1168" s="5">
        <v>401.06</v>
      </c>
      <c r="R1168" s="5">
        <v>347.47</v>
      </c>
      <c r="S1168" s="5">
        <v>53.59</v>
      </c>
      <c r="T1168" s="7">
        <v>0.133620904602803</v>
      </c>
      <c r="U1168" t="s">
        <v>9</v>
      </c>
      <c r="V1168" t="s">
        <v>50</v>
      </c>
      <c r="W1168" t="s">
        <v>50</v>
      </c>
      <c r="X1168" t="s">
        <v>33</v>
      </c>
      <c r="Y1168" t="s">
        <v>1914</v>
      </c>
      <c r="Z1168" t="s">
        <v>101</v>
      </c>
    </row>
    <row r="1169" spans="1:26">
      <c r="A1169" t="s">
        <v>3029</v>
      </c>
      <c r="B1169" t="s">
        <v>3029</v>
      </c>
      <c r="C1169" s="4">
        <v>45767</v>
      </c>
      <c r="D1169">
        <v>2025</v>
      </c>
      <c r="E1169">
        <v>4</v>
      </c>
      <c r="F1169" t="s">
        <v>20</v>
      </c>
      <c r="G1169" t="s">
        <v>74</v>
      </c>
      <c r="H1169" t="s">
        <v>578</v>
      </c>
      <c r="I1169" t="s">
        <v>913</v>
      </c>
      <c r="J1169" t="s">
        <v>1014</v>
      </c>
      <c r="K1169" t="s">
        <v>1015</v>
      </c>
      <c r="L1169">
        <v>4</v>
      </c>
      <c r="M1169" s="5">
        <v>214.04</v>
      </c>
      <c r="N1169" s="6">
        <v>20</v>
      </c>
      <c r="O1169" s="5">
        <v>171.23</v>
      </c>
      <c r="P1169" s="5">
        <v>102.74</v>
      </c>
      <c r="Q1169" s="5">
        <v>787.67</v>
      </c>
      <c r="R1169" s="5">
        <v>632.24</v>
      </c>
      <c r="S1169" s="5">
        <v>155.43</v>
      </c>
      <c r="T1169" s="7">
        <v>0.197328830601648</v>
      </c>
      <c r="U1169" t="s">
        <v>13</v>
      </c>
      <c r="V1169" t="s">
        <v>50</v>
      </c>
      <c r="W1169" t="s">
        <v>50</v>
      </c>
      <c r="X1169" t="s">
        <v>34</v>
      </c>
      <c r="Y1169" t="s">
        <v>1065</v>
      </c>
      <c r="Z1169" t="s">
        <v>80</v>
      </c>
    </row>
    <row r="1170" spans="1:26">
      <c r="A1170" t="s">
        <v>3030</v>
      </c>
      <c r="B1170" t="s">
        <v>3030</v>
      </c>
      <c r="C1170" s="4">
        <v>45913</v>
      </c>
      <c r="D1170">
        <v>2025</v>
      </c>
      <c r="E1170">
        <v>9</v>
      </c>
      <c r="F1170" t="s">
        <v>25</v>
      </c>
      <c r="G1170" t="s">
        <v>89</v>
      </c>
      <c r="H1170" t="s">
        <v>1597</v>
      </c>
      <c r="I1170" t="s">
        <v>592</v>
      </c>
      <c r="J1170" t="s">
        <v>751</v>
      </c>
      <c r="K1170" t="s">
        <v>752</v>
      </c>
      <c r="L1170">
        <v>2</v>
      </c>
      <c r="M1170" s="5">
        <v>221.61</v>
      </c>
      <c r="N1170" s="6">
        <v>10</v>
      </c>
      <c r="O1170" s="5">
        <v>44.32</v>
      </c>
      <c r="P1170" s="5">
        <v>59.84</v>
      </c>
      <c r="Q1170" s="5">
        <v>458.74</v>
      </c>
      <c r="R1170" s="5">
        <v>364.34</v>
      </c>
      <c r="S1170" s="5">
        <v>94.4</v>
      </c>
      <c r="T1170" s="7">
        <v>0.20578105244801</v>
      </c>
      <c r="U1170" t="s">
        <v>11</v>
      </c>
      <c r="V1170" t="s">
        <v>50</v>
      </c>
      <c r="W1170" t="s">
        <v>50</v>
      </c>
      <c r="X1170" t="s">
        <v>33</v>
      </c>
      <c r="Y1170" t="s">
        <v>2892</v>
      </c>
      <c r="Z1170" t="s">
        <v>80</v>
      </c>
    </row>
    <row r="1171" spans="1:26">
      <c r="A1171" t="s">
        <v>3031</v>
      </c>
      <c r="B1171" t="s">
        <v>3031</v>
      </c>
      <c r="C1171" s="4">
        <v>45882</v>
      </c>
      <c r="D1171">
        <v>2025</v>
      </c>
      <c r="E1171">
        <v>8</v>
      </c>
      <c r="F1171" t="s">
        <v>24</v>
      </c>
      <c r="G1171" t="s">
        <v>89</v>
      </c>
      <c r="H1171" t="s">
        <v>234</v>
      </c>
      <c r="I1171" t="s">
        <v>2426</v>
      </c>
      <c r="J1171" t="s">
        <v>906</v>
      </c>
      <c r="K1171" t="s">
        <v>907</v>
      </c>
      <c r="L1171">
        <v>5</v>
      </c>
      <c r="M1171" s="5">
        <v>157.79</v>
      </c>
      <c r="N1171" s="6">
        <v>5</v>
      </c>
      <c r="O1171" s="5">
        <v>39.45</v>
      </c>
      <c r="P1171" s="5">
        <v>112.42</v>
      </c>
      <c r="Q1171" s="5">
        <v>749.5</v>
      </c>
      <c r="R1171" s="5">
        <v>639.9</v>
      </c>
      <c r="S1171" s="5">
        <v>109.6</v>
      </c>
      <c r="T1171" s="7">
        <v>0.146230820547031</v>
      </c>
      <c r="U1171" t="s">
        <v>10</v>
      </c>
      <c r="V1171" t="s">
        <v>50</v>
      </c>
      <c r="W1171" t="s">
        <v>50</v>
      </c>
      <c r="X1171" t="s">
        <v>33</v>
      </c>
      <c r="Y1171" t="s">
        <v>2387</v>
      </c>
      <c r="Z1171" t="s">
        <v>101</v>
      </c>
    </row>
    <row r="1172" spans="1:26">
      <c r="A1172" t="s">
        <v>3032</v>
      </c>
      <c r="B1172" t="s">
        <v>3032</v>
      </c>
      <c r="C1172" s="4">
        <v>46018</v>
      </c>
      <c r="D1172">
        <v>2025</v>
      </c>
      <c r="E1172">
        <v>12</v>
      </c>
      <c r="F1172" t="s">
        <v>28</v>
      </c>
      <c r="G1172" t="s">
        <v>137</v>
      </c>
      <c r="H1172" t="s">
        <v>602</v>
      </c>
      <c r="I1172" t="s">
        <v>1264</v>
      </c>
      <c r="J1172" t="s">
        <v>1107</v>
      </c>
      <c r="K1172" t="s">
        <v>287</v>
      </c>
      <c r="L1172">
        <v>7</v>
      </c>
      <c r="M1172" s="5">
        <v>189.47</v>
      </c>
      <c r="N1172" s="6">
        <v>20</v>
      </c>
      <c r="O1172" s="5">
        <v>265.26</v>
      </c>
      <c r="P1172" s="5">
        <v>159.15</v>
      </c>
      <c r="Q1172" s="5">
        <v>1220.18</v>
      </c>
      <c r="R1172" s="5">
        <v>753.2</v>
      </c>
      <c r="S1172" s="5">
        <v>466.98</v>
      </c>
      <c r="T1172" s="7">
        <v>0.382714025799472</v>
      </c>
      <c r="U1172" t="s">
        <v>14</v>
      </c>
      <c r="V1172" t="s">
        <v>50</v>
      </c>
      <c r="W1172" t="s">
        <v>50</v>
      </c>
      <c r="X1172" t="s">
        <v>33</v>
      </c>
      <c r="Y1172" t="s">
        <v>3033</v>
      </c>
      <c r="Z1172" t="s">
        <v>80</v>
      </c>
    </row>
    <row r="1173" spans="1:26">
      <c r="A1173" t="s">
        <v>3034</v>
      </c>
      <c r="B1173" t="s">
        <v>3034</v>
      </c>
      <c r="C1173" s="4">
        <v>46056</v>
      </c>
      <c r="D1173">
        <v>2026</v>
      </c>
      <c r="E1173">
        <v>2</v>
      </c>
      <c r="F1173" t="s">
        <v>31</v>
      </c>
      <c r="G1173" t="s">
        <v>82</v>
      </c>
      <c r="H1173" t="s">
        <v>2110</v>
      </c>
      <c r="I1173" t="s">
        <v>1742</v>
      </c>
      <c r="J1173" t="s">
        <v>318</v>
      </c>
      <c r="K1173" t="s">
        <v>159</v>
      </c>
      <c r="L1173">
        <v>4</v>
      </c>
      <c r="M1173" s="5">
        <v>268.32</v>
      </c>
      <c r="N1173" s="6">
        <v>15</v>
      </c>
      <c r="O1173" s="5">
        <v>160.99</v>
      </c>
      <c r="P1173" s="5">
        <v>136.84</v>
      </c>
      <c r="Q1173" s="5">
        <v>912.29</v>
      </c>
      <c r="R1173" s="5">
        <v>965.76</v>
      </c>
      <c r="S1173" s="5">
        <v>-53.47</v>
      </c>
      <c r="T1173" s="7">
        <v>-0.0586107487750606</v>
      </c>
      <c r="U1173" t="s">
        <v>9</v>
      </c>
      <c r="V1173" t="s">
        <v>50</v>
      </c>
      <c r="W1173" t="s">
        <v>50</v>
      </c>
      <c r="X1173" t="s">
        <v>35</v>
      </c>
      <c r="Y1173" t="s">
        <v>1444</v>
      </c>
      <c r="Z1173" t="s">
        <v>101</v>
      </c>
    </row>
    <row r="1174" spans="1:26">
      <c r="A1174" t="s">
        <v>3035</v>
      </c>
      <c r="B1174" t="s">
        <v>3035</v>
      </c>
      <c r="C1174" s="4">
        <v>45995</v>
      </c>
      <c r="D1174">
        <v>2025</v>
      </c>
      <c r="E1174">
        <v>12</v>
      </c>
      <c r="F1174" t="s">
        <v>28</v>
      </c>
      <c r="G1174" t="s">
        <v>137</v>
      </c>
      <c r="H1174" t="s">
        <v>702</v>
      </c>
      <c r="I1174" t="s">
        <v>2170</v>
      </c>
      <c r="J1174" t="s">
        <v>445</v>
      </c>
      <c r="K1174" t="s">
        <v>446</v>
      </c>
      <c r="L1174">
        <v>4</v>
      </c>
      <c r="M1174" s="5">
        <v>68.95</v>
      </c>
      <c r="N1174" s="6">
        <v>20</v>
      </c>
      <c r="O1174" s="5">
        <v>55.16</v>
      </c>
      <c r="P1174" s="5">
        <v>33.1</v>
      </c>
      <c r="Q1174" s="5">
        <v>220.64</v>
      </c>
      <c r="R1174" s="5">
        <v>231.56</v>
      </c>
      <c r="S1174" s="5">
        <v>-10.92</v>
      </c>
      <c r="T1174" s="7">
        <v>-0.049492385786802</v>
      </c>
      <c r="U1174" t="s">
        <v>14</v>
      </c>
      <c r="V1174" t="s">
        <v>50</v>
      </c>
      <c r="W1174" t="s">
        <v>50</v>
      </c>
      <c r="X1174" t="s">
        <v>33</v>
      </c>
      <c r="Y1174" t="s">
        <v>678</v>
      </c>
      <c r="Z1174" t="s">
        <v>101</v>
      </c>
    </row>
    <row r="1175" spans="1:26">
      <c r="A1175" t="s">
        <v>3036</v>
      </c>
      <c r="B1175" t="s">
        <v>3036</v>
      </c>
      <c r="C1175" s="4">
        <v>45815</v>
      </c>
      <c r="D1175">
        <v>2025</v>
      </c>
      <c r="E1175">
        <v>6</v>
      </c>
      <c r="F1175" t="s">
        <v>22</v>
      </c>
      <c r="G1175" t="s">
        <v>74</v>
      </c>
      <c r="H1175" t="s">
        <v>2337</v>
      </c>
      <c r="I1175" t="s">
        <v>362</v>
      </c>
      <c r="J1175" t="s">
        <v>955</v>
      </c>
      <c r="K1175" t="s">
        <v>1721</v>
      </c>
      <c r="L1175">
        <v>2</v>
      </c>
      <c r="M1175" s="5">
        <v>329.69</v>
      </c>
      <c r="N1175" s="6">
        <v>0</v>
      </c>
      <c r="O1175" s="5">
        <v>0</v>
      </c>
      <c r="P1175" s="5">
        <v>98.91</v>
      </c>
      <c r="Q1175" s="5">
        <v>758.29</v>
      </c>
      <c r="R1175" s="5">
        <v>494.5</v>
      </c>
      <c r="S1175" s="5">
        <v>263.79</v>
      </c>
      <c r="T1175" s="7">
        <v>0.347874823616295</v>
      </c>
      <c r="U1175" t="s">
        <v>11</v>
      </c>
      <c r="V1175" t="s">
        <v>50</v>
      </c>
      <c r="W1175" t="s">
        <v>50</v>
      </c>
      <c r="X1175" t="s">
        <v>33</v>
      </c>
      <c r="Y1175" t="s">
        <v>3037</v>
      </c>
      <c r="Z1175" t="s">
        <v>80</v>
      </c>
    </row>
    <row r="1176" spans="1:26">
      <c r="A1176" t="s">
        <v>3038</v>
      </c>
      <c r="B1176" t="s">
        <v>3038</v>
      </c>
      <c r="C1176" s="4">
        <v>45927</v>
      </c>
      <c r="D1176">
        <v>2025</v>
      </c>
      <c r="E1176">
        <v>9</v>
      </c>
      <c r="F1176" t="s">
        <v>25</v>
      </c>
      <c r="G1176" t="s">
        <v>89</v>
      </c>
      <c r="H1176" t="s">
        <v>1763</v>
      </c>
      <c r="I1176" t="s">
        <v>151</v>
      </c>
      <c r="J1176" t="s">
        <v>610</v>
      </c>
      <c r="K1176" t="s">
        <v>1105</v>
      </c>
      <c r="L1176">
        <v>3</v>
      </c>
      <c r="M1176" s="5">
        <v>434.65</v>
      </c>
      <c r="N1176" s="6">
        <v>0</v>
      </c>
      <c r="O1176" s="5">
        <v>0</v>
      </c>
      <c r="P1176" s="5">
        <v>195.59</v>
      </c>
      <c r="Q1176" s="5">
        <v>1499.54</v>
      </c>
      <c r="R1176" s="5">
        <v>1054.89</v>
      </c>
      <c r="S1176" s="5">
        <v>444.65</v>
      </c>
      <c r="T1176" s="7">
        <v>0.296524267442015</v>
      </c>
      <c r="U1176" t="s">
        <v>14</v>
      </c>
      <c r="V1176" t="s">
        <v>50</v>
      </c>
      <c r="W1176" t="s">
        <v>50</v>
      </c>
      <c r="X1176" t="s">
        <v>33</v>
      </c>
      <c r="Y1176" t="s">
        <v>3039</v>
      </c>
      <c r="Z1176" t="s">
        <v>80</v>
      </c>
    </row>
    <row r="1177" spans="1:26">
      <c r="A1177" t="s">
        <v>3040</v>
      </c>
      <c r="B1177" t="s">
        <v>3040</v>
      </c>
      <c r="C1177" s="4">
        <v>45786</v>
      </c>
      <c r="D1177">
        <v>2025</v>
      </c>
      <c r="E1177">
        <v>5</v>
      </c>
      <c r="F1177" t="s">
        <v>21</v>
      </c>
      <c r="G1177" t="s">
        <v>74</v>
      </c>
      <c r="H1177" t="s">
        <v>2722</v>
      </c>
      <c r="I1177" t="s">
        <v>338</v>
      </c>
      <c r="J1177" t="s">
        <v>208</v>
      </c>
      <c r="K1177" t="s">
        <v>588</v>
      </c>
      <c r="L1177">
        <v>1</v>
      </c>
      <c r="M1177" s="5">
        <v>210.36</v>
      </c>
      <c r="N1177" s="6">
        <v>0</v>
      </c>
      <c r="O1177" s="5">
        <v>0</v>
      </c>
      <c r="P1177" s="5">
        <v>31.55</v>
      </c>
      <c r="Q1177" s="5">
        <v>210.36</v>
      </c>
      <c r="R1177" s="5">
        <v>155.65</v>
      </c>
      <c r="S1177" s="5">
        <v>54.71</v>
      </c>
      <c r="T1177" s="7">
        <v>0.260077961589656</v>
      </c>
      <c r="U1177" t="s">
        <v>13</v>
      </c>
      <c r="V1177" t="s">
        <v>51</v>
      </c>
      <c r="W1177" t="s">
        <v>51</v>
      </c>
      <c r="X1177" t="s">
        <v>33</v>
      </c>
      <c r="Y1177" t="s">
        <v>3041</v>
      </c>
      <c r="Z1177" t="s">
        <v>101</v>
      </c>
    </row>
    <row r="1178" spans="1:26">
      <c r="A1178" t="s">
        <v>3042</v>
      </c>
      <c r="B1178" t="s">
        <v>3042</v>
      </c>
      <c r="C1178" s="4">
        <v>45805</v>
      </c>
      <c r="D1178">
        <v>2025</v>
      </c>
      <c r="E1178">
        <v>5</v>
      </c>
      <c r="F1178" t="s">
        <v>21</v>
      </c>
      <c r="G1178" t="s">
        <v>74</v>
      </c>
      <c r="H1178" t="s">
        <v>355</v>
      </c>
      <c r="I1178" t="s">
        <v>609</v>
      </c>
      <c r="J1178" t="s">
        <v>1512</v>
      </c>
      <c r="K1178" t="s">
        <v>1412</v>
      </c>
      <c r="L1178">
        <v>4</v>
      </c>
      <c r="M1178" s="5">
        <v>372.64</v>
      </c>
      <c r="N1178" s="6">
        <v>0</v>
      </c>
      <c r="O1178" s="5">
        <v>0</v>
      </c>
      <c r="P1178" s="5">
        <v>223.58</v>
      </c>
      <c r="Q1178" s="5">
        <v>1490.56</v>
      </c>
      <c r="R1178" s="5">
        <v>1021.96</v>
      </c>
      <c r="S1178" s="5">
        <v>468.6</v>
      </c>
      <c r="T1178" s="7">
        <v>0.314378488621726</v>
      </c>
      <c r="U1178" t="s">
        <v>10</v>
      </c>
      <c r="V1178" t="s">
        <v>50</v>
      </c>
      <c r="W1178" t="s">
        <v>50</v>
      </c>
      <c r="X1178" t="s">
        <v>35</v>
      </c>
      <c r="Y1178" t="s">
        <v>1046</v>
      </c>
      <c r="Z1178" t="s">
        <v>101</v>
      </c>
    </row>
    <row r="1179" spans="1:26">
      <c r="A1179" t="s">
        <v>3043</v>
      </c>
      <c r="B1179" t="s">
        <v>3043</v>
      </c>
      <c r="C1179" s="4">
        <v>45771</v>
      </c>
      <c r="D1179">
        <v>2025</v>
      </c>
      <c r="E1179">
        <v>4</v>
      </c>
      <c r="F1179" t="s">
        <v>20</v>
      </c>
      <c r="G1179" t="s">
        <v>74</v>
      </c>
      <c r="H1179" t="s">
        <v>343</v>
      </c>
      <c r="I1179" t="s">
        <v>235</v>
      </c>
      <c r="J1179" t="s">
        <v>563</v>
      </c>
      <c r="K1179" t="s">
        <v>564</v>
      </c>
      <c r="L1179">
        <v>7</v>
      </c>
      <c r="M1179" s="5">
        <v>237.06</v>
      </c>
      <c r="N1179" s="6">
        <v>0</v>
      </c>
      <c r="O1179" s="5">
        <v>0</v>
      </c>
      <c r="P1179" s="5">
        <v>248.91</v>
      </c>
      <c r="Q1179" s="5">
        <v>1659.42</v>
      </c>
      <c r="R1179" s="5">
        <v>1239.21</v>
      </c>
      <c r="S1179" s="5">
        <v>420.21</v>
      </c>
      <c r="T1179" s="7">
        <v>0.253227031131359</v>
      </c>
      <c r="U1179" t="s">
        <v>11</v>
      </c>
      <c r="V1179" t="s">
        <v>50</v>
      </c>
      <c r="W1179" t="s">
        <v>50</v>
      </c>
      <c r="X1179" t="s">
        <v>34</v>
      </c>
      <c r="Y1179" t="s">
        <v>1187</v>
      </c>
      <c r="Z1179" t="s">
        <v>101</v>
      </c>
    </row>
    <row r="1180" spans="1:26">
      <c r="A1180" t="s">
        <v>3044</v>
      </c>
      <c r="B1180" t="s">
        <v>3044</v>
      </c>
      <c r="C1180" s="4">
        <v>45971</v>
      </c>
      <c r="D1180">
        <v>2025</v>
      </c>
      <c r="E1180">
        <v>11</v>
      </c>
      <c r="F1180" t="s">
        <v>27</v>
      </c>
      <c r="G1180" t="s">
        <v>137</v>
      </c>
      <c r="H1180" t="s">
        <v>3045</v>
      </c>
      <c r="I1180" t="s">
        <v>947</v>
      </c>
      <c r="J1180" t="s">
        <v>286</v>
      </c>
      <c r="K1180" t="s">
        <v>287</v>
      </c>
      <c r="L1180">
        <v>4</v>
      </c>
      <c r="M1180" s="5">
        <v>533.82</v>
      </c>
      <c r="N1180" s="6">
        <v>0</v>
      </c>
      <c r="O1180" s="5">
        <v>0</v>
      </c>
      <c r="P1180" s="5">
        <v>320.29</v>
      </c>
      <c r="Q1180" s="5">
        <v>2135.28</v>
      </c>
      <c r="R1180" s="5">
        <v>1590.76</v>
      </c>
      <c r="S1180" s="5">
        <v>544.52</v>
      </c>
      <c r="T1180" s="7">
        <v>0.255011052414672</v>
      </c>
      <c r="U1180" t="s">
        <v>11</v>
      </c>
      <c r="V1180" t="s">
        <v>50</v>
      </c>
      <c r="W1180" t="s">
        <v>50</v>
      </c>
      <c r="X1180" t="s">
        <v>33</v>
      </c>
      <c r="Y1180" t="s">
        <v>1563</v>
      </c>
      <c r="Z1180" t="s">
        <v>101</v>
      </c>
    </row>
    <row r="1181" spans="1:26">
      <c r="A1181" t="s">
        <v>3046</v>
      </c>
      <c r="B1181" t="s">
        <v>3046</v>
      </c>
      <c r="C1181" s="4">
        <v>45815</v>
      </c>
      <c r="D1181">
        <v>2025</v>
      </c>
      <c r="E1181">
        <v>6</v>
      </c>
      <c r="F1181" t="s">
        <v>22</v>
      </c>
      <c r="G1181" t="s">
        <v>74</v>
      </c>
      <c r="H1181" t="s">
        <v>234</v>
      </c>
      <c r="I1181" t="s">
        <v>765</v>
      </c>
      <c r="J1181" t="s">
        <v>202</v>
      </c>
      <c r="K1181" t="s">
        <v>203</v>
      </c>
      <c r="L1181">
        <v>7</v>
      </c>
      <c r="M1181" s="5">
        <v>397.67</v>
      </c>
      <c r="N1181" s="6">
        <v>0</v>
      </c>
      <c r="O1181" s="5">
        <v>0</v>
      </c>
      <c r="P1181" s="5">
        <v>417.55</v>
      </c>
      <c r="Q1181" s="5">
        <v>3201.24</v>
      </c>
      <c r="R1181" s="5">
        <v>2110.99</v>
      </c>
      <c r="S1181" s="5">
        <v>1090.25</v>
      </c>
      <c r="T1181" s="7">
        <v>0.34057115367795</v>
      </c>
      <c r="U1181" t="s">
        <v>11</v>
      </c>
      <c r="V1181" t="s">
        <v>50</v>
      </c>
      <c r="W1181" t="s">
        <v>50</v>
      </c>
      <c r="X1181" t="s">
        <v>33</v>
      </c>
      <c r="Y1181" t="s">
        <v>2231</v>
      </c>
      <c r="Z1181" t="s">
        <v>80</v>
      </c>
    </row>
    <row r="1182" spans="1:26">
      <c r="A1182" t="s">
        <v>3047</v>
      </c>
      <c r="B1182" t="s">
        <v>3047</v>
      </c>
      <c r="C1182" s="4">
        <v>45845</v>
      </c>
      <c r="D1182">
        <v>2025</v>
      </c>
      <c r="E1182">
        <v>7</v>
      </c>
      <c r="F1182" t="s">
        <v>23</v>
      </c>
      <c r="G1182" t="s">
        <v>89</v>
      </c>
      <c r="H1182" t="s">
        <v>2500</v>
      </c>
      <c r="I1182" t="s">
        <v>722</v>
      </c>
      <c r="J1182" t="s">
        <v>955</v>
      </c>
      <c r="K1182" t="s">
        <v>2362</v>
      </c>
      <c r="L1182">
        <v>8</v>
      </c>
      <c r="M1182" s="5">
        <v>160.3</v>
      </c>
      <c r="N1182" s="6">
        <v>15</v>
      </c>
      <c r="O1182" s="5">
        <v>192.36</v>
      </c>
      <c r="P1182" s="5">
        <v>163.51</v>
      </c>
      <c r="Q1182" s="5">
        <v>1090.04</v>
      </c>
      <c r="R1182" s="5">
        <v>1103.6</v>
      </c>
      <c r="S1182" s="5">
        <v>-13.56</v>
      </c>
      <c r="T1182" s="7">
        <v>-0.0124399104620014</v>
      </c>
      <c r="U1182" t="s">
        <v>11</v>
      </c>
      <c r="V1182" t="s">
        <v>50</v>
      </c>
      <c r="W1182" t="s">
        <v>50</v>
      </c>
      <c r="X1182" t="s">
        <v>35</v>
      </c>
      <c r="Y1182" t="s">
        <v>3048</v>
      </c>
      <c r="Z1182" t="s">
        <v>101</v>
      </c>
    </row>
    <row r="1183" spans="1:26">
      <c r="A1183" t="s">
        <v>3049</v>
      </c>
      <c r="B1183" t="s">
        <v>3049</v>
      </c>
      <c r="C1183" s="4">
        <v>45823</v>
      </c>
      <c r="D1183">
        <v>2025</v>
      </c>
      <c r="E1183">
        <v>6</v>
      </c>
      <c r="F1183" t="s">
        <v>22</v>
      </c>
      <c r="G1183" t="s">
        <v>74</v>
      </c>
      <c r="H1183" t="s">
        <v>1099</v>
      </c>
      <c r="I1183" t="s">
        <v>91</v>
      </c>
      <c r="J1183" t="s">
        <v>412</v>
      </c>
      <c r="K1183" t="s">
        <v>413</v>
      </c>
      <c r="L1183">
        <v>3</v>
      </c>
      <c r="M1183" s="5">
        <v>234.86</v>
      </c>
      <c r="N1183" s="6">
        <v>0</v>
      </c>
      <c r="O1183" s="5">
        <v>0</v>
      </c>
      <c r="P1183" s="5">
        <v>105.69</v>
      </c>
      <c r="Q1183" s="5">
        <v>810.27</v>
      </c>
      <c r="R1183" s="5">
        <v>639.69</v>
      </c>
      <c r="S1183" s="5">
        <v>170.58</v>
      </c>
      <c r="T1183" s="7">
        <v>0.210522418453108</v>
      </c>
      <c r="U1183" t="s">
        <v>10</v>
      </c>
      <c r="V1183" t="s">
        <v>50</v>
      </c>
      <c r="W1183" t="s">
        <v>50</v>
      </c>
      <c r="X1183" t="s">
        <v>34</v>
      </c>
      <c r="Y1183" t="s">
        <v>2029</v>
      </c>
      <c r="Z1183" t="s">
        <v>80</v>
      </c>
    </row>
    <row r="1184" spans="1:26">
      <c r="A1184" t="s">
        <v>3050</v>
      </c>
      <c r="B1184" t="s">
        <v>3050</v>
      </c>
      <c r="C1184" s="4">
        <v>46109</v>
      </c>
      <c r="D1184">
        <v>2026</v>
      </c>
      <c r="E1184">
        <v>3</v>
      </c>
      <c r="F1184" t="s">
        <v>19</v>
      </c>
      <c r="G1184" t="s">
        <v>82</v>
      </c>
      <c r="H1184" t="s">
        <v>3051</v>
      </c>
      <c r="I1184" t="s">
        <v>1419</v>
      </c>
      <c r="J1184" t="s">
        <v>445</v>
      </c>
      <c r="K1184" t="s">
        <v>446</v>
      </c>
      <c r="L1184">
        <v>5</v>
      </c>
      <c r="M1184" s="5">
        <v>317.99</v>
      </c>
      <c r="N1184" s="6">
        <v>0</v>
      </c>
      <c r="O1184" s="5">
        <v>0</v>
      </c>
      <c r="P1184" s="5">
        <v>238.49</v>
      </c>
      <c r="Q1184" s="5">
        <v>1828.44</v>
      </c>
      <c r="R1184" s="5">
        <v>1175.25</v>
      </c>
      <c r="S1184" s="5">
        <v>653.19</v>
      </c>
      <c r="T1184" s="7">
        <v>0.357238957800092</v>
      </c>
      <c r="U1184" t="s">
        <v>13</v>
      </c>
      <c r="V1184" t="s">
        <v>50</v>
      </c>
      <c r="W1184" t="s">
        <v>50</v>
      </c>
      <c r="X1184" t="s">
        <v>35</v>
      </c>
      <c r="Y1184" t="s">
        <v>817</v>
      </c>
      <c r="Z1184" t="s">
        <v>80</v>
      </c>
    </row>
    <row r="1185" spans="1:26">
      <c r="A1185" t="s">
        <v>3052</v>
      </c>
      <c r="B1185" t="s">
        <v>3052</v>
      </c>
      <c r="C1185" s="4">
        <v>46091</v>
      </c>
      <c r="D1185">
        <v>2026</v>
      </c>
      <c r="E1185">
        <v>3</v>
      </c>
      <c r="F1185" t="s">
        <v>19</v>
      </c>
      <c r="G1185" t="s">
        <v>82</v>
      </c>
      <c r="H1185" t="s">
        <v>405</v>
      </c>
      <c r="I1185" t="s">
        <v>722</v>
      </c>
      <c r="J1185" t="s">
        <v>1272</v>
      </c>
      <c r="K1185" t="s">
        <v>971</v>
      </c>
      <c r="L1185">
        <v>1</v>
      </c>
      <c r="M1185" s="5">
        <v>157.98</v>
      </c>
      <c r="N1185" s="6">
        <v>15</v>
      </c>
      <c r="O1185" s="5">
        <v>23.7</v>
      </c>
      <c r="P1185" s="5">
        <v>20.14</v>
      </c>
      <c r="Q1185" s="5">
        <v>134.28</v>
      </c>
      <c r="R1185" s="5">
        <v>137.95</v>
      </c>
      <c r="S1185" s="5">
        <v>-3.67</v>
      </c>
      <c r="T1185" s="7">
        <v>-0.0273309502532023</v>
      </c>
      <c r="U1185" t="s">
        <v>13</v>
      </c>
      <c r="V1185" t="s">
        <v>50</v>
      </c>
      <c r="W1185" t="s">
        <v>50</v>
      </c>
      <c r="X1185" t="s">
        <v>33</v>
      </c>
      <c r="Y1185" t="s">
        <v>2009</v>
      </c>
      <c r="Z1185" t="s">
        <v>101</v>
      </c>
    </row>
    <row r="1186" spans="1:26">
      <c r="A1186" t="s">
        <v>3053</v>
      </c>
      <c r="B1186" t="s">
        <v>3053</v>
      </c>
      <c r="C1186" s="4">
        <v>45941</v>
      </c>
      <c r="D1186">
        <v>2025</v>
      </c>
      <c r="E1186">
        <v>10</v>
      </c>
      <c r="F1186" t="s">
        <v>26</v>
      </c>
      <c r="G1186" t="s">
        <v>137</v>
      </c>
      <c r="H1186" t="s">
        <v>361</v>
      </c>
      <c r="I1186" t="s">
        <v>274</v>
      </c>
      <c r="J1186" t="s">
        <v>47</v>
      </c>
      <c r="K1186" t="s">
        <v>1197</v>
      </c>
      <c r="L1186">
        <v>4</v>
      </c>
      <c r="M1186" s="5">
        <v>334.46</v>
      </c>
      <c r="N1186" s="6">
        <v>5</v>
      </c>
      <c r="O1186" s="5">
        <v>66.89</v>
      </c>
      <c r="P1186" s="5">
        <v>190.64</v>
      </c>
      <c r="Q1186" s="5">
        <v>1461.59</v>
      </c>
      <c r="R1186" s="5">
        <v>886.88</v>
      </c>
      <c r="S1186" s="5">
        <v>574.71</v>
      </c>
      <c r="T1186" s="7">
        <v>0.393208765796153</v>
      </c>
      <c r="U1186" t="s">
        <v>12</v>
      </c>
      <c r="V1186" t="s">
        <v>50</v>
      </c>
      <c r="W1186" t="s">
        <v>50</v>
      </c>
      <c r="X1186" t="s">
        <v>34</v>
      </c>
      <c r="Y1186" t="s">
        <v>1914</v>
      </c>
      <c r="Z1186" t="s">
        <v>80</v>
      </c>
    </row>
    <row r="1187" spans="1:26">
      <c r="A1187" t="s">
        <v>3054</v>
      </c>
      <c r="B1187" t="s">
        <v>3054</v>
      </c>
      <c r="C1187" s="4">
        <v>45967</v>
      </c>
      <c r="D1187">
        <v>2025</v>
      </c>
      <c r="E1187">
        <v>11</v>
      </c>
      <c r="F1187" t="s">
        <v>27</v>
      </c>
      <c r="G1187" t="s">
        <v>137</v>
      </c>
      <c r="H1187" t="s">
        <v>2025</v>
      </c>
      <c r="I1187" t="s">
        <v>196</v>
      </c>
      <c r="J1187" t="s">
        <v>38</v>
      </c>
      <c r="K1187" t="s">
        <v>236</v>
      </c>
      <c r="L1187">
        <v>2</v>
      </c>
      <c r="M1187" s="5">
        <v>332.73</v>
      </c>
      <c r="N1187" s="6">
        <v>20</v>
      </c>
      <c r="O1187" s="5">
        <v>133.09</v>
      </c>
      <c r="P1187" s="5">
        <v>79.86</v>
      </c>
      <c r="Q1187" s="5">
        <v>532.37</v>
      </c>
      <c r="R1187" s="5">
        <v>522.44</v>
      </c>
      <c r="S1187" s="5">
        <v>9.93</v>
      </c>
      <c r="T1187" s="7">
        <v>0.0186524409715048</v>
      </c>
      <c r="U1187" t="s">
        <v>14</v>
      </c>
      <c r="V1187" t="s">
        <v>50</v>
      </c>
      <c r="W1187" t="s">
        <v>50</v>
      </c>
      <c r="X1187" t="s">
        <v>33</v>
      </c>
      <c r="Y1187" t="s">
        <v>2432</v>
      </c>
      <c r="Z1187" t="s">
        <v>101</v>
      </c>
    </row>
    <row r="1188" spans="1:26">
      <c r="A1188" t="s">
        <v>3055</v>
      </c>
      <c r="B1188" t="s">
        <v>2354</v>
      </c>
      <c r="C1188" s="4">
        <v>45807</v>
      </c>
      <c r="D1188">
        <v>2025</v>
      </c>
      <c r="E1188">
        <v>5</v>
      </c>
      <c r="F1188" t="s">
        <v>21</v>
      </c>
      <c r="G1188" t="s">
        <v>74</v>
      </c>
      <c r="H1188" t="s">
        <v>2006</v>
      </c>
      <c r="I1188" t="s">
        <v>854</v>
      </c>
      <c r="J1188" t="s">
        <v>445</v>
      </c>
      <c r="K1188" t="s">
        <v>1262</v>
      </c>
      <c r="L1188">
        <v>3</v>
      </c>
      <c r="M1188" s="5">
        <v>530.16</v>
      </c>
      <c r="N1188" s="6">
        <v>10</v>
      </c>
      <c r="O1188" s="5">
        <v>159.05</v>
      </c>
      <c r="P1188" s="5">
        <v>214.71</v>
      </c>
      <c r="Q1188" s="5">
        <v>1431.43</v>
      </c>
      <c r="R1188" s="5">
        <v>1137.57</v>
      </c>
      <c r="S1188" s="5">
        <v>293.86</v>
      </c>
      <c r="T1188" s="7">
        <v>0.205291212284219</v>
      </c>
      <c r="U1188" t="s">
        <v>12</v>
      </c>
      <c r="V1188" t="s">
        <v>50</v>
      </c>
      <c r="W1188" t="s">
        <v>50</v>
      </c>
      <c r="X1188" t="s">
        <v>33</v>
      </c>
      <c r="Y1188" t="s">
        <v>199</v>
      </c>
      <c r="Z1188" t="s">
        <v>101</v>
      </c>
    </row>
    <row r="1189" spans="1:26">
      <c r="A1189" t="s">
        <v>3056</v>
      </c>
      <c r="B1189" t="s">
        <v>3056</v>
      </c>
      <c r="C1189" s="4">
        <v>45759</v>
      </c>
      <c r="D1189">
        <v>2025</v>
      </c>
      <c r="E1189">
        <v>4</v>
      </c>
      <c r="F1189" t="s">
        <v>20</v>
      </c>
      <c r="G1189" t="s">
        <v>74</v>
      </c>
      <c r="H1189" t="s">
        <v>2213</v>
      </c>
      <c r="I1189" t="s">
        <v>774</v>
      </c>
      <c r="J1189" t="s">
        <v>882</v>
      </c>
      <c r="K1189" t="s">
        <v>883</v>
      </c>
      <c r="L1189">
        <v>1</v>
      </c>
      <c r="M1189" s="5">
        <v>661.91</v>
      </c>
      <c r="N1189" s="6">
        <v>10</v>
      </c>
      <c r="O1189" s="5">
        <v>66.19</v>
      </c>
      <c r="P1189" s="5">
        <v>89.36</v>
      </c>
      <c r="Q1189" s="5">
        <v>685.08</v>
      </c>
      <c r="R1189" s="5">
        <v>398.72</v>
      </c>
      <c r="S1189" s="5">
        <v>286.36</v>
      </c>
      <c r="T1189" s="7">
        <v>0.41799497868862</v>
      </c>
      <c r="U1189" t="s">
        <v>14</v>
      </c>
      <c r="V1189" t="s">
        <v>50</v>
      </c>
      <c r="W1189" t="s">
        <v>50</v>
      </c>
      <c r="X1189" t="s">
        <v>33</v>
      </c>
      <c r="Y1189" t="s">
        <v>3057</v>
      </c>
      <c r="Z1189" t="s">
        <v>80</v>
      </c>
    </row>
    <row r="1190" spans="1:26">
      <c r="A1190" t="s">
        <v>3058</v>
      </c>
      <c r="B1190" t="s">
        <v>3058</v>
      </c>
      <c r="C1190" s="4">
        <v>45912</v>
      </c>
      <c r="D1190">
        <v>2025</v>
      </c>
      <c r="E1190">
        <v>9</v>
      </c>
      <c r="F1190" t="s">
        <v>25</v>
      </c>
      <c r="G1190" t="s">
        <v>89</v>
      </c>
      <c r="H1190" t="s">
        <v>3059</v>
      </c>
      <c r="I1190" t="s">
        <v>498</v>
      </c>
      <c r="J1190" t="s">
        <v>1718</v>
      </c>
      <c r="K1190" t="s">
        <v>1191</v>
      </c>
      <c r="L1190">
        <v>3</v>
      </c>
      <c r="M1190" s="5">
        <v>365.92</v>
      </c>
      <c r="N1190" s="6">
        <v>0</v>
      </c>
      <c r="O1190" s="5">
        <v>0</v>
      </c>
      <c r="P1190" s="5">
        <v>164.66</v>
      </c>
      <c r="Q1190" s="5">
        <v>1097.76</v>
      </c>
      <c r="R1190" s="5">
        <v>931.14</v>
      </c>
      <c r="S1190" s="5">
        <v>166.62</v>
      </c>
      <c r="T1190" s="7">
        <v>0.151781810231745</v>
      </c>
      <c r="U1190" t="s">
        <v>10</v>
      </c>
      <c r="V1190" t="s">
        <v>50</v>
      </c>
      <c r="W1190" t="s">
        <v>50</v>
      </c>
      <c r="X1190" t="s">
        <v>35</v>
      </c>
      <c r="Y1190" t="s">
        <v>2448</v>
      </c>
      <c r="Z1190" t="s">
        <v>101</v>
      </c>
    </row>
    <row r="1191" spans="1:26">
      <c r="A1191" t="s">
        <v>3060</v>
      </c>
      <c r="B1191" t="s">
        <v>3060</v>
      </c>
      <c r="C1191" s="4">
        <v>46004</v>
      </c>
      <c r="D1191">
        <v>2025</v>
      </c>
      <c r="E1191">
        <v>12</v>
      </c>
      <c r="F1191" t="s">
        <v>28</v>
      </c>
      <c r="G1191" t="s">
        <v>137</v>
      </c>
      <c r="H1191" t="s">
        <v>230</v>
      </c>
      <c r="I1191" t="s">
        <v>213</v>
      </c>
      <c r="J1191" t="s">
        <v>43</v>
      </c>
      <c r="K1191" t="s">
        <v>375</v>
      </c>
      <c r="L1191">
        <v>5</v>
      </c>
      <c r="M1191" s="5">
        <v>191.87</v>
      </c>
      <c r="N1191" s="6">
        <v>5</v>
      </c>
      <c r="O1191" s="5">
        <v>47.97</v>
      </c>
      <c r="P1191" s="5">
        <v>136.71</v>
      </c>
      <c r="Q1191" s="5">
        <v>1048.09</v>
      </c>
      <c r="R1191" s="5">
        <v>767.1</v>
      </c>
      <c r="S1191" s="5">
        <v>280.99</v>
      </c>
      <c r="T1191" s="7">
        <v>0.268097205392667</v>
      </c>
      <c r="U1191" t="s">
        <v>9</v>
      </c>
      <c r="V1191" t="s">
        <v>50</v>
      </c>
      <c r="W1191" t="s">
        <v>50</v>
      </c>
      <c r="X1191" t="s">
        <v>33</v>
      </c>
      <c r="Y1191" t="s">
        <v>3061</v>
      </c>
      <c r="Z1191" t="s">
        <v>80</v>
      </c>
    </row>
    <row r="1192" spans="1:26">
      <c r="A1192" t="s">
        <v>3062</v>
      </c>
      <c r="B1192" t="s">
        <v>3062</v>
      </c>
      <c r="C1192" s="4">
        <v>45901</v>
      </c>
      <c r="D1192">
        <v>2025</v>
      </c>
      <c r="E1192">
        <v>9</v>
      </c>
      <c r="F1192" t="s">
        <v>25</v>
      </c>
      <c r="G1192" t="s">
        <v>89</v>
      </c>
      <c r="H1192" t="s">
        <v>3063</v>
      </c>
      <c r="I1192" t="s">
        <v>1686</v>
      </c>
      <c r="J1192" t="s">
        <v>240</v>
      </c>
      <c r="K1192" t="s">
        <v>2573</v>
      </c>
      <c r="L1192">
        <v>4</v>
      </c>
      <c r="M1192" s="5">
        <v>232.2</v>
      </c>
      <c r="N1192" s="6">
        <v>10</v>
      </c>
      <c r="O1192" s="5">
        <v>92.88</v>
      </c>
      <c r="P1192" s="5">
        <v>125.39</v>
      </c>
      <c r="Q1192" s="5">
        <v>835.92</v>
      </c>
      <c r="R1192" s="5">
        <v>643.92</v>
      </c>
      <c r="S1192" s="5">
        <v>192</v>
      </c>
      <c r="T1192" s="7">
        <v>0.229687051392478</v>
      </c>
      <c r="U1192" t="s">
        <v>14</v>
      </c>
      <c r="V1192" t="s">
        <v>50</v>
      </c>
      <c r="W1192" t="s">
        <v>50</v>
      </c>
      <c r="X1192" t="s">
        <v>33</v>
      </c>
      <c r="Y1192" t="s">
        <v>1874</v>
      </c>
      <c r="Z1192" t="s">
        <v>101</v>
      </c>
    </row>
    <row r="1193" spans="1:26">
      <c r="A1193" t="s">
        <v>3064</v>
      </c>
      <c r="B1193" t="s">
        <v>3064</v>
      </c>
      <c r="C1193" s="4">
        <v>45837</v>
      </c>
      <c r="D1193">
        <v>2025</v>
      </c>
      <c r="E1193">
        <v>6</v>
      </c>
      <c r="F1193" t="s">
        <v>22</v>
      </c>
      <c r="G1193" t="s">
        <v>74</v>
      </c>
      <c r="H1193" t="s">
        <v>732</v>
      </c>
      <c r="I1193" t="s">
        <v>245</v>
      </c>
      <c r="J1193" t="s">
        <v>538</v>
      </c>
      <c r="K1193" t="s">
        <v>539</v>
      </c>
      <c r="L1193">
        <v>1</v>
      </c>
      <c r="M1193" s="5">
        <v>121.9</v>
      </c>
      <c r="N1193" s="6">
        <v>0</v>
      </c>
      <c r="O1193" s="5">
        <v>0</v>
      </c>
      <c r="P1193" s="5">
        <v>18.28</v>
      </c>
      <c r="Q1193" s="5">
        <v>140.19</v>
      </c>
      <c r="R1193" s="5">
        <v>108.92</v>
      </c>
      <c r="S1193" s="5">
        <v>31.27</v>
      </c>
      <c r="T1193" s="7">
        <v>0.223054426135958</v>
      </c>
      <c r="U1193" t="s">
        <v>14</v>
      </c>
      <c r="V1193" t="s">
        <v>50</v>
      </c>
      <c r="W1193" t="s">
        <v>50</v>
      </c>
      <c r="X1193" t="s">
        <v>33</v>
      </c>
      <c r="Y1193" t="s">
        <v>1800</v>
      </c>
      <c r="Z1193" t="s">
        <v>80</v>
      </c>
    </row>
    <row r="1194" spans="1:26">
      <c r="A1194" t="s">
        <v>3065</v>
      </c>
      <c r="B1194" t="s">
        <v>3065</v>
      </c>
      <c r="C1194" s="4">
        <v>45809</v>
      </c>
      <c r="D1194">
        <v>2025</v>
      </c>
      <c r="E1194">
        <v>6</v>
      </c>
      <c r="F1194" t="s">
        <v>22</v>
      </c>
      <c r="G1194" t="s">
        <v>74</v>
      </c>
      <c r="H1194" t="s">
        <v>3066</v>
      </c>
      <c r="I1194" t="s">
        <v>1419</v>
      </c>
      <c r="J1194" t="s">
        <v>191</v>
      </c>
      <c r="K1194" t="s">
        <v>192</v>
      </c>
      <c r="L1194">
        <v>4</v>
      </c>
      <c r="M1194" s="5">
        <v>317.99</v>
      </c>
      <c r="N1194" s="6">
        <v>5</v>
      </c>
      <c r="O1194" s="5">
        <v>63.6</v>
      </c>
      <c r="P1194" s="5">
        <v>181.25</v>
      </c>
      <c r="Q1194" s="5">
        <v>1389.61</v>
      </c>
      <c r="R1194" s="5">
        <v>940.2</v>
      </c>
      <c r="S1194" s="5">
        <v>449.41</v>
      </c>
      <c r="T1194" s="7">
        <v>0.323407286936623</v>
      </c>
      <c r="U1194" t="s">
        <v>10</v>
      </c>
      <c r="V1194" t="s">
        <v>50</v>
      </c>
      <c r="W1194" t="s">
        <v>50</v>
      </c>
      <c r="X1194" t="s">
        <v>35</v>
      </c>
      <c r="Y1194" t="s">
        <v>3027</v>
      </c>
      <c r="Z1194" t="s">
        <v>80</v>
      </c>
    </row>
    <row r="1195" spans="1:26">
      <c r="A1195" t="s">
        <v>3067</v>
      </c>
      <c r="B1195" t="s">
        <v>3067</v>
      </c>
      <c r="C1195" s="4">
        <v>45844</v>
      </c>
      <c r="D1195">
        <v>2025</v>
      </c>
      <c r="E1195">
        <v>7</v>
      </c>
      <c r="F1195" t="s">
        <v>23</v>
      </c>
      <c r="G1195" t="s">
        <v>89</v>
      </c>
      <c r="H1195" t="s">
        <v>902</v>
      </c>
      <c r="I1195" t="s">
        <v>1419</v>
      </c>
      <c r="J1195" t="s">
        <v>369</v>
      </c>
      <c r="K1195" t="s">
        <v>370</v>
      </c>
      <c r="L1195">
        <v>5</v>
      </c>
      <c r="M1195" s="5">
        <v>317.99</v>
      </c>
      <c r="N1195" s="6">
        <v>0</v>
      </c>
      <c r="O1195" s="5">
        <v>0</v>
      </c>
      <c r="P1195" s="5">
        <v>238.49</v>
      </c>
      <c r="Q1195" s="5">
        <v>1828.44</v>
      </c>
      <c r="R1195" s="5">
        <v>1175.25</v>
      </c>
      <c r="S1195" s="5">
        <v>653.19</v>
      </c>
      <c r="T1195" s="7">
        <v>0.357238957800092</v>
      </c>
      <c r="U1195" t="s">
        <v>11</v>
      </c>
      <c r="V1195" t="s">
        <v>51</v>
      </c>
      <c r="W1195" t="s">
        <v>51</v>
      </c>
      <c r="X1195" t="s">
        <v>33</v>
      </c>
      <c r="Y1195" t="s">
        <v>908</v>
      </c>
      <c r="Z1195" t="s">
        <v>80</v>
      </c>
    </row>
    <row r="1196" spans="1:26">
      <c r="A1196" t="s">
        <v>3068</v>
      </c>
      <c r="B1196" t="s">
        <v>3068</v>
      </c>
      <c r="C1196" s="4">
        <v>45955</v>
      </c>
      <c r="D1196">
        <v>2025</v>
      </c>
      <c r="E1196">
        <v>10</v>
      </c>
      <c r="F1196" t="s">
        <v>26</v>
      </c>
      <c r="G1196" t="s">
        <v>137</v>
      </c>
      <c r="H1196" t="s">
        <v>3069</v>
      </c>
      <c r="I1196" t="s">
        <v>317</v>
      </c>
      <c r="J1196" t="s">
        <v>202</v>
      </c>
      <c r="K1196" t="s">
        <v>203</v>
      </c>
      <c r="L1196">
        <v>5</v>
      </c>
      <c r="M1196" s="5">
        <v>155.55</v>
      </c>
      <c r="N1196" s="6">
        <v>0</v>
      </c>
      <c r="O1196" s="5">
        <v>0</v>
      </c>
      <c r="P1196" s="5">
        <v>116.66</v>
      </c>
      <c r="Q1196" s="5">
        <v>894.41</v>
      </c>
      <c r="R1196" s="5">
        <v>688.2</v>
      </c>
      <c r="S1196" s="5">
        <v>206.21</v>
      </c>
      <c r="T1196" s="7">
        <v>0.230554220100401</v>
      </c>
      <c r="U1196" t="s">
        <v>13</v>
      </c>
      <c r="V1196" t="s">
        <v>50</v>
      </c>
      <c r="W1196" t="s">
        <v>50</v>
      </c>
      <c r="X1196" t="s">
        <v>33</v>
      </c>
      <c r="Y1196" t="s">
        <v>3070</v>
      </c>
      <c r="Z1196" t="s">
        <v>80</v>
      </c>
    </row>
    <row r="1197" spans="1:26">
      <c r="A1197" t="s">
        <v>3071</v>
      </c>
      <c r="B1197" t="s">
        <v>3071</v>
      </c>
      <c r="C1197" s="4">
        <v>45983</v>
      </c>
      <c r="D1197">
        <v>2025</v>
      </c>
      <c r="E1197">
        <v>11</v>
      </c>
      <c r="F1197" t="s">
        <v>27</v>
      </c>
      <c r="G1197" t="s">
        <v>137</v>
      </c>
      <c r="H1197" t="s">
        <v>2996</v>
      </c>
      <c r="I1197" t="s">
        <v>854</v>
      </c>
      <c r="J1197" t="s">
        <v>471</v>
      </c>
      <c r="K1197" t="s">
        <v>472</v>
      </c>
      <c r="L1197">
        <v>1</v>
      </c>
      <c r="M1197" s="5">
        <v>530.16</v>
      </c>
      <c r="N1197" s="6">
        <v>20</v>
      </c>
      <c r="O1197" s="5">
        <v>106.03</v>
      </c>
      <c r="P1197" s="5">
        <v>63.62</v>
      </c>
      <c r="Q1197" s="5">
        <v>487.75</v>
      </c>
      <c r="R1197" s="5">
        <v>379.19</v>
      </c>
      <c r="S1197" s="5">
        <v>108.56</v>
      </c>
      <c r="T1197" s="7">
        <v>0.22257303946694</v>
      </c>
      <c r="U1197" t="s">
        <v>11</v>
      </c>
      <c r="V1197" t="s">
        <v>50</v>
      </c>
      <c r="W1197" t="s">
        <v>50</v>
      </c>
      <c r="X1197" t="s">
        <v>34</v>
      </c>
      <c r="Y1197" t="s">
        <v>1166</v>
      </c>
      <c r="Z1197" t="s">
        <v>80</v>
      </c>
    </row>
    <row r="1198" spans="1:26">
      <c r="A1198" t="s">
        <v>3072</v>
      </c>
      <c r="B1198" t="s">
        <v>3072</v>
      </c>
      <c r="C1198" s="4">
        <v>45773</v>
      </c>
      <c r="D1198">
        <v>2025</v>
      </c>
      <c r="E1198">
        <v>4</v>
      </c>
      <c r="F1198" t="s">
        <v>20</v>
      </c>
      <c r="G1198" t="s">
        <v>74</v>
      </c>
      <c r="H1198" t="s">
        <v>1617</v>
      </c>
      <c r="I1198" t="s">
        <v>1714</v>
      </c>
      <c r="J1198" t="s">
        <v>41</v>
      </c>
      <c r="K1198" t="s">
        <v>588</v>
      </c>
      <c r="L1198">
        <v>4</v>
      </c>
      <c r="M1198" s="5">
        <v>342.27</v>
      </c>
      <c r="N1198" s="6">
        <v>0</v>
      </c>
      <c r="O1198" s="5">
        <v>0</v>
      </c>
      <c r="P1198" s="5">
        <v>205.36</v>
      </c>
      <c r="Q1198" s="5">
        <v>1574.44</v>
      </c>
      <c r="R1198" s="5">
        <v>1064.4</v>
      </c>
      <c r="S1198" s="5">
        <v>510.04</v>
      </c>
      <c r="T1198" s="7">
        <v>0.323950102893727</v>
      </c>
      <c r="U1198" t="s">
        <v>9</v>
      </c>
      <c r="V1198" t="s">
        <v>50</v>
      </c>
      <c r="W1198" t="s">
        <v>50</v>
      </c>
      <c r="X1198" t="s">
        <v>34</v>
      </c>
      <c r="Y1198" t="s">
        <v>3073</v>
      </c>
      <c r="Z1198" t="s">
        <v>80</v>
      </c>
    </row>
    <row r="1199" spans="1:26">
      <c r="A1199" t="s">
        <v>3074</v>
      </c>
      <c r="B1199" t="s">
        <v>3074</v>
      </c>
      <c r="C1199" s="4">
        <v>46054</v>
      </c>
      <c r="D1199">
        <v>2026</v>
      </c>
      <c r="E1199">
        <v>2</v>
      </c>
      <c r="F1199" t="s">
        <v>31</v>
      </c>
      <c r="G1199" t="s">
        <v>82</v>
      </c>
      <c r="H1199" t="s">
        <v>1522</v>
      </c>
      <c r="I1199" t="s">
        <v>2993</v>
      </c>
      <c r="J1199" t="s">
        <v>659</v>
      </c>
      <c r="K1199" t="s">
        <v>660</v>
      </c>
      <c r="L1199">
        <v>1</v>
      </c>
      <c r="M1199" s="5">
        <v>414.29</v>
      </c>
      <c r="N1199" s="6">
        <v>0</v>
      </c>
      <c r="O1199" s="5">
        <v>0</v>
      </c>
      <c r="P1199" s="5">
        <v>62.14</v>
      </c>
      <c r="Q1199" s="5">
        <v>476.43</v>
      </c>
      <c r="R1199" s="5">
        <v>314.26</v>
      </c>
      <c r="S1199" s="5">
        <v>162.17</v>
      </c>
      <c r="T1199" s="7">
        <v>0.340385785949667</v>
      </c>
      <c r="U1199" t="s">
        <v>11</v>
      </c>
      <c r="V1199" t="s">
        <v>50</v>
      </c>
      <c r="W1199" t="s">
        <v>50</v>
      </c>
      <c r="X1199" t="s">
        <v>33</v>
      </c>
      <c r="Y1199" t="s">
        <v>1582</v>
      </c>
      <c r="Z1199" t="s">
        <v>80</v>
      </c>
    </row>
    <row r="1200" spans="1:26">
      <c r="A1200" t="s">
        <v>3075</v>
      </c>
      <c r="B1200" t="s">
        <v>3075</v>
      </c>
      <c r="C1200" s="4">
        <v>45864</v>
      </c>
      <c r="D1200">
        <v>2025</v>
      </c>
      <c r="E1200">
        <v>7</v>
      </c>
      <c r="F1200" t="s">
        <v>23</v>
      </c>
      <c r="G1200" t="s">
        <v>89</v>
      </c>
      <c r="H1200" t="s">
        <v>1503</v>
      </c>
      <c r="I1200" t="s">
        <v>503</v>
      </c>
      <c r="J1200" t="s">
        <v>369</v>
      </c>
      <c r="K1200" t="s">
        <v>370</v>
      </c>
      <c r="L1200">
        <v>5</v>
      </c>
      <c r="M1200" s="5">
        <v>71.29</v>
      </c>
      <c r="N1200" s="6">
        <v>20</v>
      </c>
      <c r="O1200" s="5">
        <v>71.29</v>
      </c>
      <c r="P1200" s="5">
        <v>42.77</v>
      </c>
      <c r="Q1200" s="5">
        <v>327.93</v>
      </c>
      <c r="R1200" s="5">
        <v>296.85</v>
      </c>
      <c r="S1200" s="5">
        <v>31.08</v>
      </c>
      <c r="T1200" s="7">
        <v>0.0947763242155338</v>
      </c>
      <c r="U1200" t="s">
        <v>9</v>
      </c>
      <c r="V1200" t="s">
        <v>50</v>
      </c>
      <c r="W1200" t="s">
        <v>50</v>
      </c>
      <c r="X1200" t="s">
        <v>33</v>
      </c>
      <c r="Y1200" t="s">
        <v>3076</v>
      </c>
      <c r="Z1200" t="s">
        <v>80</v>
      </c>
    </row>
    <row r="1201" spans="1:26">
      <c r="A1201" t="s">
        <v>3077</v>
      </c>
      <c r="B1201" t="s">
        <v>3077</v>
      </c>
      <c r="C1201" s="4">
        <v>45856</v>
      </c>
      <c r="D1201">
        <v>2025</v>
      </c>
      <c r="E1201">
        <v>7</v>
      </c>
      <c r="F1201" t="s">
        <v>23</v>
      </c>
      <c r="G1201" t="s">
        <v>89</v>
      </c>
      <c r="H1201" t="s">
        <v>2698</v>
      </c>
      <c r="I1201" t="s">
        <v>2093</v>
      </c>
      <c r="J1201" t="s">
        <v>460</v>
      </c>
      <c r="K1201" t="s">
        <v>1536</v>
      </c>
      <c r="L1201">
        <v>7</v>
      </c>
      <c r="M1201" s="5">
        <v>405.94</v>
      </c>
      <c r="N1201" s="6">
        <v>5</v>
      </c>
      <c r="O1201" s="5">
        <v>142.08</v>
      </c>
      <c r="P1201" s="5">
        <v>404.92</v>
      </c>
      <c r="Q1201" s="5">
        <v>2699.5</v>
      </c>
      <c r="R1201" s="5">
        <v>2438.31</v>
      </c>
      <c r="S1201" s="5">
        <v>261.19</v>
      </c>
      <c r="T1201" s="7">
        <v>0.0967549546212262</v>
      </c>
      <c r="U1201" t="s">
        <v>10</v>
      </c>
      <c r="V1201" t="s">
        <v>50</v>
      </c>
      <c r="W1201" t="s">
        <v>50</v>
      </c>
      <c r="X1201" t="s">
        <v>33</v>
      </c>
      <c r="Y1201" t="s">
        <v>3078</v>
      </c>
      <c r="Z1201" t="s">
        <v>101</v>
      </c>
    </row>
    <row r="1202" spans="1:26">
      <c r="A1202" t="s">
        <v>3079</v>
      </c>
      <c r="B1202" t="s">
        <v>3079</v>
      </c>
      <c r="C1202" s="4">
        <v>45915</v>
      </c>
      <c r="D1202">
        <v>2025</v>
      </c>
      <c r="E1202">
        <v>9</v>
      </c>
      <c r="F1202" t="s">
        <v>25</v>
      </c>
      <c r="G1202" t="s">
        <v>89</v>
      </c>
      <c r="H1202" t="s">
        <v>2345</v>
      </c>
      <c r="I1202" t="s">
        <v>1132</v>
      </c>
      <c r="J1202" t="s">
        <v>208</v>
      </c>
      <c r="K1202" t="s">
        <v>890</v>
      </c>
      <c r="L1202">
        <v>1</v>
      </c>
      <c r="M1202" s="5">
        <v>297.32</v>
      </c>
      <c r="N1202" s="6">
        <v>15</v>
      </c>
      <c r="O1202" s="5">
        <v>44.6</v>
      </c>
      <c r="P1202" s="5">
        <v>37.91</v>
      </c>
      <c r="Q1202" s="5">
        <v>252.72</v>
      </c>
      <c r="R1202" s="5">
        <v>225.28</v>
      </c>
      <c r="S1202" s="5">
        <v>27.44</v>
      </c>
      <c r="T1202" s="7">
        <v>0.10857866413422</v>
      </c>
      <c r="U1202" t="s">
        <v>10</v>
      </c>
      <c r="V1202" t="s">
        <v>50</v>
      </c>
      <c r="W1202" t="s">
        <v>50</v>
      </c>
      <c r="X1202" t="s">
        <v>35</v>
      </c>
      <c r="Y1202" t="s">
        <v>3080</v>
      </c>
      <c r="Z1202" t="s">
        <v>101</v>
      </c>
    </row>
    <row r="1203" spans="1:26">
      <c r="A1203" t="s">
        <v>3081</v>
      </c>
      <c r="B1203" t="s">
        <v>3081</v>
      </c>
      <c r="C1203" s="4">
        <v>45957</v>
      </c>
      <c r="D1203">
        <v>2025</v>
      </c>
      <c r="E1203">
        <v>10</v>
      </c>
      <c r="F1203" t="s">
        <v>26</v>
      </c>
      <c r="G1203" t="s">
        <v>137</v>
      </c>
      <c r="H1203" t="s">
        <v>103</v>
      </c>
      <c r="I1203" t="s">
        <v>312</v>
      </c>
      <c r="J1203" t="s">
        <v>858</v>
      </c>
      <c r="K1203" t="s">
        <v>859</v>
      </c>
      <c r="L1203">
        <v>0</v>
      </c>
      <c r="M1203" s="5">
        <v>416.63</v>
      </c>
      <c r="N1203" s="6">
        <v>0</v>
      </c>
      <c r="O1203" s="5">
        <v>0</v>
      </c>
      <c r="P1203" s="5">
        <v>0</v>
      </c>
      <c r="Q1203" s="5">
        <v>2916.41</v>
      </c>
      <c r="R1203" s="5">
        <v>2001.3</v>
      </c>
      <c r="S1203" s="5">
        <v>915.11</v>
      </c>
      <c r="T1203" s="7">
        <v>0.313779612605909</v>
      </c>
      <c r="U1203" t="s">
        <v>11</v>
      </c>
      <c r="V1203" t="s">
        <v>50</v>
      </c>
      <c r="W1203" t="s">
        <v>50</v>
      </c>
      <c r="X1203" t="s">
        <v>34</v>
      </c>
      <c r="Y1203" t="s">
        <v>2071</v>
      </c>
      <c r="Z1203" t="s">
        <v>101</v>
      </c>
    </row>
    <row r="1204" spans="1:26">
      <c r="A1204" t="s">
        <v>3082</v>
      </c>
      <c r="B1204" t="s">
        <v>3082</v>
      </c>
      <c r="C1204" s="4">
        <v>45765</v>
      </c>
      <c r="D1204">
        <v>2025</v>
      </c>
      <c r="E1204">
        <v>4</v>
      </c>
      <c r="F1204" t="s">
        <v>20</v>
      </c>
      <c r="G1204" t="s">
        <v>74</v>
      </c>
      <c r="H1204" t="s">
        <v>513</v>
      </c>
      <c r="I1204" t="s">
        <v>116</v>
      </c>
      <c r="J1204" t="s">
        <v>882</v>
      </c>
      <c r="K1204" t="s">
        <v>1500</v>
      </c>
      <c r="L1204">
        <v>4</v>
      </c>
      <c r="M1204" s="5">
        <v>187.54</v>
      </c>
      <c r="N1204" s="6">
        <v>15</v>
      </c>
      <c r="O1204" s="5">
        <v>112.52</v>
      </c>
      <c r="P1204" s="5">
        <v>95.65</v>
      </c>
      <c r="Q1204" s="5">
        <v>637.64</v>
      </c>
      <c r="R1204" s="5">
        <v>568</v>
      </c>
      <c r="S1204" s="5">
        <v>69.64</v>
      </c>
      <c r="T1204" s="7">
        <v>0.109215231164921</v>
      </c>
      <c r="U1204" t="s">
        <v>9</v>
      </c>
      <c r="V1204" t="s">
        <v>50</v>
      </c>
      <c r="W1204" t="s">
        <v>50</v>
      </c>
      <c r="X1204" t="s">
        <v>33</v>
      </c>
      <c r="Y1204" t="s">
        <v>166</v>
      </c>
      <c r="Z1204" t="s">
        <v>101</v>
      </c>
    </row>
    <row r="1205" spans="1:26">
      <c r="A1205" t="s">
        <v>3083</v>
      </c>
      <c r="B1205" t="s">
        <v>3083</v>
      </c>
      <c r="C1205" s="4">
        <v>45942</v>
      </c>
      <c r="D1205">
        <v>2025</v>
      </c>
      <c r="E1205">
        <v>10</v>
      </c>
      <c r="F1205" t="s">
        <v>26</v>
      </c>
      <c r="G1205" t="s">
        <v>137</v>
      </c>
      <c r="H1205" t="s">
        <v>361</v>
      </c>
      <c r="I1205" t="s">
        <v>1132</v>
      </c>
      <c r="J1205" t="s">
        <v>833</v>
      </c>
      <c r="K1205" t="s">
        <v>3084</v>
      </c>
      <c r="L1205">
        <v>4</v>
      </c>
      <c r="M1205" s="5">
        <v>320.5</v>
      </c>
      <c r="N1205" s="6">
        <v>20</v>
      </c>
      <c r="O1205" s="5">
        <v>256.4</v>
      </c>
      <c r="P1205" s="5">
        <v>153.84</v>
      </c>
      <c r="Q1205" s="5">
        <v>1179.44</v>
      </c>
      <c r="R1205" s="5">
        <v>901.12</v>
      </c>
      <c r="S1205" s="5">
        <v>278.32</v>
      </c>
      <c r="T1205" s="7">
        <v>0.235976395577562</v>
      </c>
      <c r="U1205" t="s">
        <v>12</v>
      </c>
      <c r="V1205" t="s">
        <v>50</v>
      </c>
      <c r="W1205" t="s">
        <v>50</v>
      </c>
      <c r="X1205" t="s">
        <v>33</v>
      </c>
      <c r="Y1205" t="s">
        <v>79</v>
      </c>
      <c r="Z1205" t="s">
        <v>80</v>
      </c>
    </row>
    <row r="1206" spans="1:26">
      <c r="A1206" t="s">
        <v>3085</v>
      </c>
      <c r="B1206" t="s">
        <v>3085</v>
      </c>
      <c r="C1206" s="4">
        <v>46061</v>
      </c>
      <c r="D1206">
        <v>2026</v>
      </c>
      <c r="E1206">
        <v>2</v>
      </c>
      <c r="F1206" t="s">
        <v>31</v>
      </c>
      <c r="G1206" t="s">
        <v>82</v>
      </c>
      <c r="H1206" t="s">
        <v>1630</v>
      </c>
      <c r="I1206" t="s">
        <v>207</v>
      </c>
      <c r="J1206" t="s">
        <v>77</v>
      </c>
      <c r="K1206" t="s">
        <v>989</v>
      </c>
      <c r="L1206">
        <v>2</v>
      </c>
      <c r="M1206" s="5">
        <v>306.62</v>
      </c>
      <c r="N1206" s="6">
        <v>5</v>
      </c>
      <c r="O1206" s="5">
        <v>30.66</v>
      </c>
      <c r="P1206" s="5">
        <v>87.39</v>
      </c>
      <c r="Q1206" s="5">
        <v>669.97</v>
      </c>
      <c r="R1206" s="5">
        <v>519.86</v>
      </c>
      <c r="S1206" s="5">
        <v>150.11</v>
      </c>
      <c r="T1206" s="7">
        <v>0.224054808424258</v>
      </c>
      <c r="U1206" t="s">
        <v>11</v>
      </c>
      <c r="V1206" t="s">
        <v>50</v>
      </c>
      <c r="W1206" t="s">
        <v>50</v>
      </c>
      <c r="X1206" t="s">
        <v>35</v>
      </c>
      <c r="Y1206" t="s">
        <v>3086</v>
      </c>
      <c r="Z1206" t="s">
        <v>80</v>
      </c>
    </row>
    <row r="1207" spans="1:26">
      <c r="A1207" t="s">
        <v>3087</v>
      </c>
      <c r="B1207" t="s">
        <v>3087</v>
      </c>
      <c r="C1207" s="4">
        <v>45914</v>
      </c>
      <c r="D1207">
        <v>2025</v>
      </c>
      <c r="E1207">
        <v>9</v>
      </c>
      <c r="F1207" t="s">
        <v>25</v>
      </c>
      <c r="G1207" t="s">
        <v>89</v>
      </c>
      <c r="H1207" t="s">
        <v>1768</v>
      </c>
      <c r="I1207" t="s">
        <v>807</v>
      </c>
      <c r="J1207" t="s">
        <v>445</v>
      </c>
      <c r="K1207" t="s">
        <v>1262</v>
      </c>
      <c r="L1207">
        <v>8</v>
      </c>
      <c r="M1207" s="5">
        <v>368.84</v>
      </c>
      <c r="N1207" s="6">
        <v>0</v>
      </c>
      <c r="O1207" s="5">
        <v>0</v>
      </c>
      <c r="P1207" s="5">
        <v>442.61</v>
      </c>
      <c r="Q1207" s="5">
        <v>3393.33</v>
      </c>
      <c r="R1207" s="5">
        <v>2110.8</v>
      </c>
      <c r="S1207" s="5">
        <v>1282.53</v>
      </c>
      <c r="T1207" s="7">
        <v>0.377956166951048</v>
      </c>
      <c r="U1207" t="s">
        <v>12</v>
      </c>
      <c r="V1207" t="s">
        <v>50</v>
      </c>
      <c r="W1207" t="s">
        <v>50</v>
      </c>
      <c r="X1207" t="s">
        <v>33</v>
      </c>
      <c r="Y1207" t="s">
        <v>1048</v>
      </c>
      <c r="Z1207" t="s">
        <v>80</v>
      </c>
    </row>
    <row r="1208" spans="1:26">
      <c r="A1208" t="s">
        <v>3088</v>
      </c>
      <c r="B1208" t="s">
        <v>3088</v>
      </c>
      <c r="C1208" s="4">
        <v>46011</v>
      </c>
      <c r="D1208">
        <v>2025</v>
      </c>
      <c r="E1208">
        <v>12</v>
      </c>
      <c r="F1208" t="s">
        <v>28</v>
      </c>
      <c r="G1208" t="s">
        <v>137</v>
      </c>
      <c r="H1208" t="s">
        <v>1294</v>
      </c>
      <c r="I1208" t="s">
        <v>139</v>
      </c>
      <c r="J1208" t="s">
        <v>567</v>
      </c>
      <c r="K1208" t="s">
        <v>568</v>
      </c>
      <c r="L1208">
        <v>7</v>
      </c>
      <c r="M1208" s="5">
        <v>39.59</v>
      </c>
      <c r="N1208" s="6">
        <v>10</v>
      </c>
      <c r="O1208" s="5">
        <v>27.71</v>
      </c>
      <c r="P1208" s="5">
        <v>37.41</v>
      </c>
      <c r="Q1208" s="5">
        <v>286.83</v>
      </c>
      <c r="R1208" s="5">
        <v>226.8</v>
      </c>
      <c r="S1208" s="5">
        <v>60.03</v>
      </c>
      <c r="T1208" s="7">
        <v>0.209287731408848</v>
      </c>
      <c r="U1208" t="s">
        <v>13</v>
      </c>
      <c r="V1208" t="s">
        <v>50</v>
      </c>
      <c r="W1208" t="s">
        <v>50</v>
      </c>
      <c r="X1208" t="s">
        <v>33</v>
      </c>
      <c r="Y1208" t="s">
        <v>2365</v>
      </c>
      <c r="Z1208" t="s">
        <v>80</v>
      </c>
    </row>
    <row r="1209" spans="1:26">
      <c r="A1209" t="s">
        <v>3089</v>
      </c>
      <c r="B1209" t="s">
        <v>3089</v>
      </c>
      <c r="C1209" s="4">
        <v>45753</v>
      </c>
      <c r="D1209">
        <v>2025</v>
      </c>
      <c r="E1209">
        <v>4</v>
      </c>
      <c r="F1209" t="s">
        <v>20</v>
      </c>
      <c r="G1209" t="s">
        <v>74</v>
      </c>
      <c r="H1209" t="s">
        <v>1007</v>
      </c>
      <c r="I1209" t="s">
        <v>312</v>
      </c>
      <c r="J1209" t="s">
        <v>593</v>
      </c>
      <c r="K1209" t="s">
        <v>594</v>
      </c>
      <c r="L1209">
        <v>4</v>
      </c>
      <c r="M1209" s="5">
        <v>426.31</v>
      </c>
      <c r="N1209" s="6">
        <v>0</v>
      </c>
      <c r="O1209" s="5">
        <v>0</v>
      </c>
      <c r="P1209" s="5">
        <v>255.79</v>
      </c>
      <c r="Q1209" s="5">
        <v>1961.03</v>
      </c>
      <c r="R1209" s="5">
        <v>1143.6</v>
      </c>
      <c r="S1209" s="5">
        <v>817.43</v>
      </c>
      <c r="T1209" s="7">
        <v>0.416837070315089</v>
      </c>
      <c r="U1209" t="s">
        <v>10</v>
      </c>
      <c r="V1209" t="s">
        <v>50</v>
      </c>
      <c r="W1209" t="s">
        <v>50</v>
      </c>
      <c r="X1209" t="s">
        <v>33</v>
      </c>
      <c r="Y1209" t="s">
        <v>3090</v>
      </c>
      <c r="Z1209" t="s">
        <v>80</v>
      </c>
    </row>
    <row r="1210" spans="1:26">
      <c r="A1210" t="s">
        <v>3091</v>
      </c>
      <c r="B1210" t="s">
        <v>3091</v>
      </c>
      <c r="C1210" s="4">
        <v>45965</v>
      </c>
      <c r="D1210">
        <v>2025</v>
      </c>
      <c r="E1210">
        <v>11</v>
      </c>
      <c r="F1210" t="s">
        <v>27</v>
      </c>
      <c r="G1210" t="s">
        <v>137</v>
      </c>
      <c r="H1210" t="s">
        <v>3092</v>
      </c>
      <c r="I1210" t="s">
        <v>417</v>
      </c>
      <c r="J1210" t="s">
        <v>280</v>
      </c>
      <c r="K1210" t="s">
        <v>281</v>
      </c>
      <c r="L1210">
        <v>3</v>
      </c>
      <c r="M1210" s="5">
        <v>380.12</v>
      </c>
      <c r="N1210" s="6">
        <v>0</v>
      </c>
      <c r="O1210" s="5">
        <v>0</v>
      </c>
      <c r="P1210" s="5">
        <v>171.05</v>
      </c>
      <c r="Q1210" s="5">
        <v>1140.36</v>
      </c>
      <c r="R1210" s="5">
        <v>929.94</v>
      </c>
      <c r="S1210" s="5">
        <v>210.42</v>
      </c>
      <c r="T1210" s="7">
        <v>0.184520677680732</v>
      </c>
      <c r="U1210" t="s">
        <v>13</v>
      </c>
      <c r="V1210" t="s">
        <v>50</v>
      </c>
      <c r="W1210" t="s">
        <v>50</v>
      </c>
      <c r="X1210" t="s">
        <v>33</v>
      </c>
      <c r="Y1210" t="s">
        <v>347</v>
      </c>
      <c r="Z1210" t="s">
        <v>101</v>
      </c>
    </row>
    <row r="1211" spans="1:26">
      <c r="A1211" t="s">
        <v>3093</v>
      </c>
      <c r="B1211" t="s">
        <v>3093</v>
      </c>
      <c r="C1211" s="4">
        <v>45760</v>
      </c>
      <c r="D1211">
        <v>2025</v>
      </c>
      <c r="E1211">
        <v>4</v>
      </c>
      <c r="F1211" t="s">
        <v>20</v>
      </c>
      <c r="G1211" t="s">
        <v>74</v>
      </c>
      <c r="H1211" t="s">
        <v>3094</v>
      </c>
      <c r="I1211" t="s">
        <v>1137</v>
      </c>
      <c r="J1211" t="s">
        <v>1208</v>
      </c>
      <c r="K1211" t="s">
        <v>999</v>
      </c>
      <c r="L1211">
        <v>2</v>
      </c>
      <c r="M1211" s="5">
        <v>405.1</v>
      </c>
      <c r="N1211" s="6">
        <v>20</v>
      </c>
      <c r="O1211" s="5">
        <v>162.04</v>
      </c>
      <c r="P1211" s="5">
        <v>97.22</v>
      </c>
      <c r="Q1211" s="5">
        <v>745.38</v>
      </c>
      <c r="R1211" s="5">
        <v>696.82</v>
      </c>
      <c r="S1211" s="5">
        <v>48.56</v>
      </c>
      <c r="T1211" s="7">
        <v>0.0651479782124554</v>
      </c>
      <c r="U1211" t="s">
        <v>13</v>
      </c>
      <c r="V1211" t="s">
        <v>50</v>
      </c>
      <c r="W1211" t="s">
        <v>50</v>
      </c>
      <c r="X1211" t="s">
        <v>33</v>
      </c>
      <c r="Y1211" t="s">
        <v>2080</v>
      </c>
      <c r="Z1211" t="s">
        <v>80</v>
      </c>
    </row>
    <row r="1212" spans="1:26">
      <c r="A1212" t="s">
        <v>3095</v>
      </c>
      <c r="B1212" t="s">
        <v>3095</v>
      </c>
      <c r="C1212" s="4">
        <v>45908</v>
      </c>
      <c r="D1212">
        <v>2025</v>
      </c>
      <c r="E1212">
        <v>9</v>
      </c>
      <c r="F1212" t="s">
        <v>25</v>
      </c>
      <c r="G1212" t="s">
        <v>89</v>
      </c>
      <c r="H1212" t="s">
        <v>685</v>
      </c>
      <c r="I1212" t="s">
        <v>84</v>
      </c>
      <c r="J1212" t="s">
        <v>802</v>
      </c>
      <c r="K1212" t="s">
        <v>803</v>
      </c>
      <c r="L1212">
        <v>5</v>
      </c>
      <c r="M1212" s="5">
        <v>448.94</v>
      </c>
      <c r="N1212" s="6">
        <v>20</v>
      </c>
      <c r="O1212" s="5">
        <v>448.94</v>
      </c>
      <c r="P1212" s="5">
        <v>269.36</v>
      </c>
      <c r="Q1212" s="5">
        <v>1795.76</v>
      </c>
      <c r="R1212" s="5">
        <v>1900.4</v>
      </c>
      <c r="S1212" s="5">
        <v>-104.64</v>
      </c>
      <c r="T1212" s="7">
        <v>-0.0582705929522876</v>
      </c>
      <c r="U1212" t="s">
        <v>11</v>
      </c>
      <c r="V1212" t="s">
        <v>50</v>
      </c>
      <c r="W1212" t="s">
        <v>50</v>
      </c>
      <c r="X1212" t="s">
        <v>33</v>
      </c>
      <c r="Y1212" t="s">
        <v>1546</v>
      </c>
      <c r="Z1212" t="s">
        <v>101</v>
      </c>
    </row>
    <row r="1213" spans="1:26">
      <c r="A1213" t="s">
        <v>3096</v>
      </c>
      <c r="B1213" t="s">
        <v>3096</v>
      </c>
      <c r="C1213" s="4">
        <v>45855</v>
      </c>
      <c r="D1213">
        <v>2025</v>
      </c>
      <c r="E1213">
        <v>7</v>
      </c>
      <c r="F1213" t="s">
        <v>23</v>
      </c>
      <c r="G1213" t="s">
        <v>89</v>
      </c>
      <c r="H1213" t="s">
        <v>2420</v>
      </c>
      <c r="I1213" t="s">
        <v>151</v>
      </c>
      <c r="J1213" t="s">
        <v>435</v>
      </c>
      <c r="K1213" t="s">
        <v>863</v>
      </c>
      <c r="L1213">
        <v>1</v>
      </c>
      <c r="M1213" s="5">
        <v>434.65</v>
      </c>
      <c r="N1213" s="6">
        <v>0</v>
      </c>
      <c r="O1213" s="5">
        <v>0</v>
      </c>
      <c r="P1213" s="5">
        <v>65.2</v>
      </c>
      <c r="Q1213" s="5">
        <v>434.65</v>
      </c>
      <c r="R1213" s="5">
        <v>351.63</v>
      </c>
      <c r="S1213" s="5">
        <v>83.02</v>
      </c>
      <c r="T1213" s="7">
        <v>0.191004256298171</v>
      </c>
      <c r="U1213" t="s">
        <v>9</v>
      </c>
      <c r="V1213" t="s">
        <v>50</v>
      </c>
      <c r="W1213" t="s">
        <v>50</v>
      </c>
      <c r="X1213" t="s">
        <v>33</v>
      </c>
      <c r="Y1213" t="s">
        <v>3097</v>
      </c>
      <c r="Z1213" t="s">
        <v>101</v>
      </c>
    </row>
    <row r="1214" spans="1:26">
      <c r="A1214" t="s">
        <v>3098</v>
      </c>
      <c r="B1214" t="s">
        <v>3098</v>
      </c>
      <c r="C1214" s="4">
        <v>45824</v>
      </c>
      <c r="D1214">
        <v>2025</v>
      </c>
      <c r="E1214">
        <v>6</v>
      </c>
      <c r="F1214" t="s">
        <v>22</v>
      </c>
      <c r="G1214" t="s">
        <v>74</v>
      </c>
      <c r="H1214" t="s">
        <v>3099</v>
      </c>
      <c r="I1214" t="s">
        <v>350</v>
      </c>
      <c r="J1214" t="s">
        <v>1009</v>
      </c>
      <c r="K1214" t="s">
        <v>1010</v>
      </c>
      <c r="L1214">
        <v>1</v>
      </c>
      <c r="M1214" s="5">
        <v>343.56</v>
      </c>
      <c r="N1214" s="6">
        <v>0</v>
      </c>
      <c r="O1214" s="5">
        <v>0</v>
      </c>
      <c r="P1214" s="5">
        <v>51.53</v>
      </c>
      <c r="Q1214" s="5">
        <v>343.56</v>
      </c>
      <c r="R1214" s="5">
        <v>216.32</v>
      </c>
      <c r="S1214" s="5">
        <v>127.24</v>
      </c>
      <c r="T1214" s="7">
        <v>0.370357433927116</v>
      </c>
      <c r="U1214" t="s">
        <v>9</v>
      </c>
      <c r="V1214" t="s">
        <v>50</v>
      </c>
      <c r="W1214" t="s">
        <v>50</v>
      </c>
      <c r="X1214" t="s">
        <v>33</v>
      </c>
      <c r="Y1214" t="s">
        <v>1495</v>
      </c>
      <c r="Z1214" t="s">
        <v>101</v>
      </c>
    </row>
    <row r="1215" spans="1:26">
      <c r="A1215" t="s">
        <v>3100</v>
      </c>
      <c r="B1215" t="s">
        <v>3100</v>
      </c>
      <c r="C1215" s="4">
        <v>45949</v>
      </c>
      <c r="D1215">
        <v>2025</v>
      </c>
      <c r="E1215">
        <v>10</v>
      </c>
      <c r="F1215" t="s">
        <v>26</v>
      </c>
      <c r="G1215" t="s">
        <v>137</v>
      </c>
      <c r="H1215" t="s">
        <v>1193</v>
      </c>
      <c r="I1215" t="s">
        <v>362</v>
      </c>
      <c r="J1215" t="s">
        <v>955</v>
      </c>
      <c r="K1215" t="s">
        <v>572</v>
      </c>
      <c r="L1215">
        <v>2</v>
      </c>
      <c r="M1215" s="5">
        <v>329.69</v>
      </c>
      <c r="N1215" s="6">
        <v>5</v>
      </c>
      <c r="O1215" s="5">
        <v>32.97</v>
      </c>
      <c r="P1215" s="5">
        <v>93.96</v>
      </c>
      <c r="Q1215" s="5">
        <v>720.37</v>
      </c>
      <c r="R1215" s="5">
        <v>494.5</v>
      </c>
      <c r="S1215" s="5">
        <v>225.87</v>
      </c>
      <c r="T1215" s="7">
        <v>0.313547204908589</v>
      </c>
      <c r="U1215" t="s">
        <v>13</v>
      </c>
      <c r="V1215" t="s">
        <v>50</v>
      </c>
      <c r="W1215" t="s">
        <v>50</v>
      </c>
      <c r="X1215" t="s">
        <v>33</v>
      </c>
      <c r="Y1215" t="s">
        <v>3101</v>
      </c>
      <c r="Z1215" t="s">
        <v>80</v>
      </c>
    </row>
    <row r="1216" spans="1:26">
      <c r="A1216" t="s">
        <v>3102</v>
      </c>
      <c r="B1216" t="s">
        <v>3102</v>
      </c>
      <c r="C1216" s="4">
        <v>45766</v>
      </c>
      <c r="D1216">
        <v>2025</v>
      </c>
      <c r="E1216">
        <v>4</v>
      </c>
      <c r="F1216" t="s">
        <v>20</v>
      </c>
      <c r="G1216" t="s">
        <v>74</v>
      </c>
      <c r="H1216" t="s">
        <v>250</v>
      </c>
      <c r="I1216" t="s">
        <v>574</v>
      </c>
      <c r="J1216" t="s">
        <v>906</v>
      </c>
      <c r="K1216" t="s">
        <v>907</v>
      </c>
      <c r="L1216">
        <v>2</v>
      </c>
      <c r="M1216" s="5">
        <v>125.15</v>
      </c>
      <c r="N1216" s="6">
        <v>10</v>
      </c>
      <c r="O1216" s="5">
        <v>25.03</v>
      </c>
      <c r="P1216" s="5">
        <v>33.79</v>
      </c>
      <c r="Q1216" s="5">
        <v>259.06</v>
      </c>
      <c r="R1216" s="5">
        <v>191.4</v>
      </c>
      <c r="S1216" s="5">
        <v>67.66</v>
      </c>
      <c r="T1216" s="7">
        <v>0.261175017370493</v>
      </c>
      <c r="U1216" t="s">
        <v>9</v>
      </c>
      <c r="V1216" t="s">
        <v>50</v>
      </c>
      <c r="W1216" t="s">
        <v>50</v>
      </c>
      <c r="X1216" t="s">
        <v>35</v>
      </c>
      <c r="Y1216" t="s">
        <v>996</v>
      </c>
      <c r="Z1216" t="s">
        <v>80</v>
      </c>
    </row>
    <row r="1217" spans="1:26">
      <c r="A1217" t="s">
        <v>3103</v>
      </c>
      <c r="B1217" t="s">
        <v>3103</v>
      </c>
      <c r="C1217" s="4">
        <v>45781</v>
      </c>
      <c r="D1217">
        <v>2025</v>
      </c>
      <c r="E1217">
        <v>5</v>
      </c>
      <c r="F1217" t="s">
        <v>21</v>
      </c>
      <c r="G1217" t="s">
        <v>74</v>
      </c>
      <c r="H1217" t="s">
        <v>3104</v>
      </c>
      <c r="I1217" t="s">
        <v>1419</v>
      </c>
      <c r="J1217" t="s">
        <v>899</v>
      </c>
      <c r="K1217" t="s">
        <v>171</v>
      </c>
      <c r="L1217">
        <v>7</v>
      </c>
      <c r="M1217" s="5">
        <v>329.41</v>
      </c>
      <c r="N1217" s="6">
        <v>0</v>
      </c>
      <c r="O1217" s="5">
        <v>0</v>
      </c>
      <c r="P1217" s="5">
        <v>345.88</v>
      </c>
      <c r="Q1217" s="5">
        <v>2651.75</v>
      </c>
      <c r="R1217" s="5">
        <v>1645.35</v>
      </c>
      <c r="S1217" s="5">
        <v>1006.4</v>
      </c>
      <c r="T1217" s="7">
        <v>0.379522956538135</v>
      </c>
      <c r="U1217" t="s">
        <v>10</v>
      </c>
      <c r="V1217" t="s">
        <v>50</v>
      </c>
      <c r="W1217" t="s">
        <v>50</v>
      </c>
      <c r="X1217" t="s">
        <v>33</v>
      </c>
      <c r="Y1217" t="s">
        <v>237</v>
      </c>
      <c r="Z1217" t="s">
        <v>80</v>
      </c>
    </row>
    <row r="1218" spans="1:26">
      <c r="A1218" t="s">
        <v>3105</v>
      </c>
      <c r="B1218" t="s">
        <v>3105</v>
      </c>
      <c r="C1218" s="4">
        <v>45753</v>
      </c>
      <c r="D1218">
        <v>2025</v>
      </c>
      <c r="E1218">
        <v>4</v>
      </c>
      <c r="F1218" t="s">
        <v>20</v>
      </c>
      <c r="G1218" t="s">
        <v>74</v>
      </c>
      <c r="H1218" t="s">
        <v>586</v>
      </c>
      <c r="I1218" t="s">
        <v>913</v>
      </c>
      <c r="J1218" t="s">
        <v>85</v>
      </c>
      <c r="K1218" t="s">
        <v>287</v>
      </c>
      <c r="L1218">
        <v>8</v>
      </c>
      <c r="M1218" s="5">
        <v>232.72</v>
      </c>
      <c r="N1218" s="6">
        <v>0</v>
      </c>
      <c r="O1218" s="5">
        <v>0</v>
      </c>
      <c r="P1218" s="5">
        <v>279.26</v>
      </c>
      <c r="Q1218" s="5">
        <v>2141.02</v>
      </c>
      <c r="R1218" s="5">
        <v>1264.48</v>
      </c>
      <c r="S1218" s="5">
        <v>876.54</v>
      </c>
      <c r="T1218" s="7">
        <v>0.409402994834238</v>
      </c>
      <c r="U1218" t="s">
        <v>13</v>
      </c>
      <c r="V1218" t="s">
        <v>50</v>
      </c>
      <c r="W1218" t="s">
        <v>50</v>
      </c>
      <c r="X1218" t="s">
        <v>33</v>
      </c>
      <c r="Y1218" t="s">
        <v>1831</v>
      </c>
      <c r="Z1218" t="s">
        <v>80</v>
      </c>
    </row>
    <row r="1219" spans="1:26">
      <c r="A1219" t="s">
        <v>3106</v>
      </c>
      <c r="B1219" t="s">
        <v>3106</v>
      </c>
      <c r="C1219" s="4">
        <v>45794</v>
      </c>
      <c r="D1219">
        <v>2025</v>
      </c>
      <c r="E1219">
        <v>5</v>
      </c>
      <c r="F1219" t="s">
        <v>21</v>
      </c>
      <c r="G1219" t="s">
        <v>74</v>
      </c>
      <c r="H1219" t="s">
        <v>3107</v>
      </c>
      <c r="I1219" t="s">
        <v>1307</v>
      </c>
      <c r="J1219" t="s">
        <v>1657</v>
      </c>
      <c r="K1219" t="s">
        <v>1658</v>
      </c>
      <c r="L1219">
        <v>3</v>
      </c>
      <c r="M1219" s="5">
        <v>236.56</v>
      </c>
      <c r="N1219" s="6">
        <v>0</v>
      </c>
      <c r="O1219" s="5">
        <v>0</v>
      </c>
      <c r="P1219" s="5">
        <v>106.45</v>
      </c>
      <c r="Q1219" s="5">
        <v>816.13</v>
      </c>
      <c r="R1219" s="5">
        <v>635.19</v>
      </c>
      <c r="S1219" s="5">
        <v>180.94</v>
      </c>
      <c r="T1219" s="7">
        <v>0.221704875448764</v>
      </c>
      <c r="U1219" t="s">
        <v>12</v>
      </c>
      <c r="V1219" t="s">
        <v>50</v>
      </c>
      <c r="W1219" t="s">
        <v>50</v>
      </c>
      <c r="X1219" t="s">
        <v>35</v>
      </c>
      <c r="Y1219" t="s">
        <v>447</v>
      </c>
      <c r="Z1219" t="s">
        <v>80</v>
      </c>
    </row>
    <row r="1220" spans="1:26">
      <c r="A1220" t="s">
        <v>3108</v>
      </c>
      <c r="B1220" t="s">
        <v>3108</v>
      </c>
      <c r="C1220" s="4">
        <v>45956</v>
      </c>
      <c r="D1220">
        <v>2025</v>
      </c>
      <c r="E1220">
        <v>10</v>
      </c>
      <c r="F1220" t="s">
        <v>26</v>
      </c>
      <c r="G1220" t="s">
        <v>137</v>
      </c>
      <c r="H1220" t="s">
        <v>3109</v>
      </c>
      <c r="I1220" t="s">
        <v>104</v>
      </c>
      <c r="J1220" t="s">
        <v>164</v>
      </c>
      <c r="K1220" t="s">
        <v>165</v>
      </c>
      <c r="L1220">
        <v>3</v>
      </c>
      <c r="M1220" s="5">
        <v>313.47</v>
      </c>
      <c r="N1220" s="6">
        <v>15</v>
      </c>
      <c r="O1220" s="5">
        <v>141.06</v>
      </c>
      <c r="P1220" s="5">
        <v>119.9</v>
      </c>
      <c r="Q1220" s="5">
        <v>919.25</v>
      </c>
      <c r="R1220" s="5">
        <v>738.36</v>
      </c>
      <c r="S1220" s="5">
        <v>180.89</v>
      </c>
      <c r="T1220" s="7">
        <v>0.19677998368235</v>
      </c>
      <c r="U1220" t="s">
        <v>10</v>
      </c>
      <c r="V1220" t="s">
        <v>50</v>
      </c>
      <c r="W1220" t="s">
        <v>50</v>
      </c>
      <c r="X1220" t="s">
        <v>33</v>
      </c>
      <c r="Y1220" t="s">
        <v>2570</v>
      </c>
      <c r="Z1220" t="s">
        <v>80</v>
      </c>
    </row>
    <row r="1221" spans="1:26">
      <c r="A1221" t="s">
        <v>3110</v>
      </c>
      <c r="B1221" t="s">
        <v>3110</v>
      </c>
      <c r="C1221" s="4">
        <v>45787</v>
      </c>
      <c r="D1221">
        <v>2025</v>
      </c>
      <c r="E1221">
        <v>5</v>
      </c>
      <c r="F1221" t="s">
        <v>21</v>
      </c>
      <c r="G1221" t="s">
        <v>74</v>
      </c>
      <c r="H1221" t="s">
        <v>876</v>
      </c>
      <c r="I1221" t="s">
        <v>933</v>
      </c>
      <c r="J1221" t="s">
        <v>133</v>
      </c>
      <c r="K1221" t="s">
        <v>340</v>
      </c>
      <c r="L1221">
        <v>5</v>
      </c>
      <c r="M1221" s="5">
        <v>449.95</v>
      </c>
      <c r="N1221" s="6">
        <v>5</v>
      </c>
      <c r="O1221" s="5">
        <v>112.49</v>
      </c>
      <c r="P1221" s="5">
        <v>320.59</v>
      </c>
      <c r="Q1221" s="5">
        <v>2457.85</v>
      </c>
      <c r="R1221" s="5">
        <v>1787.35</v>
      </c>
      <c r="S1221" s="5">
        <v>670.5</v>
      </c>
      <c r="T1221" s="7">
        <v>0.272799397847713</v>
      </c>
      <c r="U1221" t="s">
        <v>14</v>
      </c>
      <c r="V1221" t="s">
        <v>50</v>
      </c>
      <c r="W1221" t="s">
        <v>50</v>
      </c>
      <c r="X1221" t="s">
        <v>33</v>
      </c>
      <c r="Y1221" t="s">
        <v>714</v>
      </c>
      <c r="Z1221" t="s">
        <v>80</v>
      </c>
    </row>
    <row r="1222" spans="1:26">
      <c r="A1222" t="s">
        <v>3111</v>
      </c>
      <c r="B1222" t="s">
        <v>3111</v>
      </c>
      <c r="C1222" s="4">
        <v>45968</v>
      </c>
      <c r="D1222">
        <v>2025</v>
      </c>
      <c r="E1222">
        <v>11</v>
      </c>
      <c r="F1222" t="s">
        <v>27</v>
      </c>
      <c r="G1222" t="s">
        <v>137</v>
      </c>
      <c r="H1222" t="s">
        <v>1103</v>
      </c>
      <c r="I1222" t="s">
        <v>2587</v>
      </c>
      <c r="J1222" t="s">
        <v>746</v>
      </c>
      <c r="K1222" t="s">
        <v>352</v>
      </c>
      <c r="L1222">
        <v>8</v>
      </c>
      <c r="M1222" s="5">
        <v>82.91</v>
      </c>
      <c r="N1222" s="6">
        <v>0</v>
      </c>
      <c r="O1222" s="5">
        <v>0</v>
      </c>
      <c r="P1222" s="5">
        <v>99.49</v>
      </c>
      <c r="Q1222" s="5">
        <v>663.28</v>
      </c>
      <c r="R1222" s="5">
        <v>434</v>
      </c>
      <c r="S1222" s="5">
        <v>229.28</v>
      </c>
      <c r="T1222" s="7">
        <v>0.34567603425401</v>
      </c>
      <c r="U1222" t="s">
        <v>14</v>
      </c>
      <c r="V1222" t="s">
        <v>50</v>
      </c>
      <c r="W1222" t="s">
        <v>50</v>
      </c>
      <c r="X1222" t="s">
        <v>33</v>
      </c>
      <c r="Y1222" t="s">
        <v>1024</v>
      </c>
      <c r="Z1222" t="s">
        <v>101</v>
      </c>
    </row>
    <row r="1223" spans="1:26">
      <c r="A1223" t="s">
        <v>3112</v>
      </c>
      <c r="B1223" t="s">
        <v>3112</v>
      </c>
      <c r="C1223" s="4">
        <v>46102</v>
      </c>
      <c r="D1223">
        <v>2026</v>
      </c>
      <c r="E1223">
        <v>3</v>
      </c>
      <c r="F1223" t="s">
        <v>19</v>
      </c>
      <c r="G1223" t="s">
        <v>82</v>
      </c>
      <c r="H1223" t="s">
        <v>1726</v>
      </c>
      <c r="I1223" t="s">
        <v>1694</v>
      </c>
      <c r="J1223" t="s">
        <v>164</v>
      </c>
      <c r="K1223" t="s">
        <v>165</v>
      </c>
      <c r="L1223">
        <v>4</v>
      </c>
      <c r="M1223" s="5">
        <v>233.47</v>
      </c>
      <c r="N1223" s="6">
        <v>0</v>
      </c>
      <c r="O1223" s="5">
        <v>0</v>
      </c>
      <c r="P1223" s="5">
        <v>140.08</v>
      </c>
      <c r="Q1223" s="5">
        <v>1073.96</v>
      </c>
      <c r="R1223" s="5">
        <v>755.92</v>
      </c>
      <c r="S1223" s="5">
        <v>318.04</v>
      </c>
      <c r="T1223" s="7">
        <v>0.296137658758241</v>
      </c>
      <c r="U1223" t="s">
        <v>10</v>
      </c>
      <c r="V1223" t="s">
        <v>51</v>
      </c>
      <c r="W1223" t="s">
        <v>51</v>
      </c>
      <c r="X1223" t="s">
        <v>33</v>
      </c>
      <c r="Y1223" t="s">
        <v>2658</v>
      </c>
      <c r="Z1223" t="s">
        <v>80</v>
      </c>
    </row>
    <row r="1224" spans="1:26">
      <c r="A1224" t="s">
        <v>3113</v>
      </c>
      <c r="B1224" t="s">
        <v>3113</v>
      </c>
      <c r="C1224" s="4">
        <v>45791</v>
      </c>
      <c r="D1224">
        <v>2025</v>
      </c>
      <c r="E1224">
        <v>5</v>
      </c>
      <c r="F1224" t="s">
        <v>21</v>
      </c>
      <c r="G1224" t="s">
        <v>74</v>
      </c>
      <c r="H1224" t="s">
        <v>261</v>
      </c>
      <c r="I1224" t="s">
        <v>444</v>
      </c>
      <c r="J1224" t="s">
        <v>2044</v>
      </c>
      <c r="K1224" t="s">
        <v>1891</v>
      </c>
      <c r="L1224">
        <v>5</v>
      </c>
      <c r="M1224" s="5">
        <v>99.93</v>
      </c>
      <c r="N1224" s="6">
        <v>0</v>
      </c>
      <c r="O1224" s="5">
        <v>0</v>
      </c>
      <c r="P1224" s="5">
        <v>74.95</v>
      </c>
      <c r="Q1224" s="5">
        <v>499.65</v>
      </c>
      <c r="R1224" s="5">
        <v>430.25</v>
      </c>
      <c r="S1224" s="5">
        <v>69.4</v>
      </c>
      <c r="T1224" s="7">
        <v>0.138897228059642</v>
      </c>
      <c r="U1224" t="s">
        <v>10</v>
      </c>
      <c r="V1224" t="s">
        <v>50</v>
      </c>
      <c r="W1224" t="s">
        <v>50</v>
      </c>
      <c r="X1224" t="s">
        <v>33</v>
      </c>
      <c r="Y1224" t="s">
        <v>3086</v>
      </c>
      <c r="Z1224" t="s">
        <v>101</v>
      </c>
    </row>
    <row r="1225" spans="1:26">
      <c r="A1225" t="s">
        <v>3114</v>
      </c>
      <c r="B1225" t="s">
        <v>3114</v>
      </c>
      <c r="C1225" s="4">
        <v>46102</v>
      </c>
      <c r="D1225">
        <v>2026</v>
      </c>
      <c r="E1225">
        <v>3</v>
      </c>
      <c r="F1225" t="s">
        <v>19</v>
      </c>
      <c r="G1225" t="s">
        <v>82</v>
      </c>
      <c r="H1225" t="s">
        <v>2664</v>
      </c>
      <c r="I1225" t="s">
        <v>362</v>
      </c>
      <c r="J1225" t="s">
        <v>1409</v>
      </c>
      <c r="K1225" t="s">
        <v>2665</v>
      </c>
      <c r="L1225">
        <v>4</v>
      </c>
      <c r="M1225" s="5">
        <v>329.69</v>
      </c>
      <c r="N1225" s="6">
        <v>0</v>
      </c>
      <c r="O1225" s="5">
        <v>0</v>
      </c>
      <c r="P1225" s="5">
        <v>197.81</v>
      </c>
      <c r="Q1225" s="5">
        <v>1516.57</v>
      </c>
      <c r="R1225" s="5">
        <v>989</v>
      </c>
      <c r="S1225" s="5">
        <v>527.57</v>
      </c>
      <c r="T1225" s="7">
        <v>0.347870523615791</v>
      </c>
      <c r="U1225" t="s">
        <v>11</v>
      </c>
      <c r="V1225" t="s">
        <v>50</v>
      </c>
      <c r="W1225" t="s">
        <v>50</v>
      </c>
      <c r="X1225" t="s">
        <v>33</v>
      </c>
      <c r="Y1225" t="s">
        <v>2443</v>
      </c>
      <c r="Z1225" t="s">
        <v>80</v>
      </c>
    </row>
    <row r="1226" spans="1:26">
      <c r="A1226" t="s">
        <v>3115</v>
      </c>
      <c r="B1226" t="s">
        <v>3115</v>
      </c>
      <c r="C1226" s="4">
        <v>45794</v>
      </c>
      <c r="D1226">
        <v>2025</v>
      </c>
      <c r="E1226">
        <v>5</v>
      </c>
      <c r="F1226" t="s">
        <v>21</v>
      </c>
      <c r="G1226" t="s">
        <v>74</v>
      </c>
      <c r="H1226" t="s">
        <v>1845</v>
      </c>
      <c r="I1226" t="s">
        <v>411</v>
      </c>
      <c r="J1226" t="s">
        <v>1185</v>
      </c>
      <c r="K1226" t="s">
        <v>1186</v>
      </c>
      <c r="L1226">
        <v>3</v>
      </c>
      <c r="M1226" s="5">
        <v>459.58</v>
      </c>
      <c r="N1226" s="6">
        <v>15</v>
      </c>
      <c r="O1226" s="5">
        <v>206.81</v>
      </c>
      <c r="P1226" s="5">
        <v>175.79</v>
      </c>
      <c r="Q1226" s="5">
        <v>1347.72</v>
      </c>
      <c r="R1226" s="5">
        <v>1160.67</v>
      </c>
      <c r="S1226" s="5">
        <v>187.05</v>
      </c>
      <c r="T1226" s="7">
        <v>0.138789956370759</v>
      </c>
      <c r="U1226" t="s">
        <v>12</v>
      </c>
      <c r="V1226" t="s">
        <v>50</v>
      </c>
      <c r="W1226" t="s">
        <v>50</v>
      </c>
      <c r="X1226" t="s">
        <v>33</v>
      </c>
      <c r="Y1226" t="s">
        <v>1087</v>
      </c>
      <c r="Z1226" t="s">
        <v>80</v>
      </c>
    </row>
    <row r="1227" spans="1:26">
      <c r="A1227" t="s">
        <v>3116</v>
      </c>
      <c r="B1227" t="s">
        <v>3116</v>
      </c>
      <c r="C1227" s="4">
        <v>45858</v>
      </c>
      <c r="D1227">
        <v>2025</v>
      </c>
      <c r="E1227">
        <v>7</v>
      </c>
      <c r="F1227" t="s">
        <v>23</v>
      </c>
      <c r="G1227" t="s">
        <v>89</v>
      </c>
      <c r="H1227" t="s">
        <v>897</v>
      </c>
      <c r="I1227" t="s">
        <v>139</v>
      </c>
      <c r="J1227" t="s">
        <v>351</v>
      </c>
      <c r="K1227" t="s">
        <v>539</v>
      </c>
      <c r="L1227">
        <v>5</v>
      </c>
      <c r="M1227" s="5">
        <v>39.78</v>
      </c>
      <c r="N1227" s="6">
        <v>0</v>
      </c>
      <c r="O1227" s="5">
        <v>0</v>
      </c>
      <c r="P1227" s="5">
        <v>29.84</v>
      </c>
      <c r="Q1227" s="5">
        <v>228.73</v>
      </c>
      <c r="R1227" s="5">
        <v>162</v>
      </c>
      <c r="S1227" s="5">
        <v>66.73</v>
      </c>
      <c r="T1227" s="7">
        <v>0.29174135443536</v>
      </c>
      <c r="U1227" t="s">
        <v>9</v>
      </c>
      <c r="V1227" t="s">
        <v>50</v>
      </c>
      <c r="W1227" t="s">
        <v>50</v>
      </c>
      <c r="X1227" t="s">
        <v>33</v>
      </c>
      <c r="Y1227" t="s">
        <v>232</v>
      </c>
      <c r="Z1227" t="s">
        <v>80</v>
      </c>
    </row>
    <row r="1228" spans="1:26">
      <c r="A1228" t="s">
        <v>3117</v>
      </c>
      <c r="B1228" t="s">
        <v>3117</v>
      </c>
      <c r="C1228" s="4">
        <v>45784</v>
      </c>
      <c r="D1228">
        <v>2025</v>
      </c>
      <c r="E1228">
        <v>5</v>
      </c>
      <c r="F1228" t="s">
        <v>21</v>
      </c>
      <c r="G1228" t="s">
        <v>74</v>
      </c>
      <c r="H1228" t="s">
        <v>738</v>
      </c>
      <c r="I1228" t="s">
        <v>750</v>
      </c>
      <c r="J1228" t="s">
        <v>563</v>
      </c>
      <c r="K1228" t="s">
        <v>564</v>
      </c>
      <c r="L1228">
        <v>7</v>
      </c>
      <c r="M1228" s="5">
        <v>534.75</v>
      </c>
      <c r="N1228" s="6">
        <v>5</v>
      </c>
      <c r="O1228" s="5">
        <v>187.16</v>
      </c>
      <c r="P1228" s="5">
        <v>533.41</v>
      </c>
      <c r="Q1228" s="5">
        <v>3556.09</v>
      </c>
      <c r="R1228" s="5">
        <v>2407.23</v>
      </c>
      <c r="S1228" s="5">
        <v>1148.86</v>
      </c>
      <c r="T1228" s="7">
        <v>0.323068313794083</v>
      </c>
      <c r="U1228" t="s">
        <v>12</v>
      </c>
      <c r="V1228" t="s">
        <v>50</v>
      </c>
      <c r="W1228" t="s">
        <v>50</v>
      </c>
      <c r="X1228" t="s">
        <v>34</v>
      </c>
      <c r="Y1228" t="s">
        <v>3118</v>
      </c>
      <c r="Z1228" t="s">
        <v>101</v>
      </c>
    </row>
    <row r="1229" spans="1:26">
      <c r="A1229" t="s">
        <v>3119</v>
      </c>
      <c r="B1229" t="s">
        <v>3119</v>
      </c>
      <c r="C1229" s="4">
        <v>45926</v>
      </c>
      <c r="D1229">
        <v>2025</v>
      </c>
      <c r="E1229">
        <v>9</v>
      </c>
      <c r="F1229" t="s">
        <v>25</v>
      </c>
      <c r="G1229" t="s">
        <v>89</v>
      </c>
      <c r="H1229" t="s">
        <v>464</v>
      </c>
      <c r="I1229" t="s">
        <v>213</v>
      </c>
      <c r="J1229" t="s">
        <v>41</v>
      </c>
      <c r="K1229" t="s">
        <v>588</v>
      </c>
      <c r="L1229">
        <v>4</v>
      </c>
      <c r="M1229" s="5">
        <v>191.13</v>
      </c>
      <c r="N1229" s="6">
        <v>0</v>
      </c>
      <c r="O1229" s="5">
        <v>0</v>
      </c>
      <c r="P1229" s="5">
        <v>114.68</v>
      </c>
      <c r="Q1229" s="5">
        <v>764.52</v>
      </c>
      <c r="R1229" s="5">
        <v>613.68</v>
      </c>
      <c r="S1229" s="5">
        <v>150.84</v>
      </c>
      <c r="T1229" s="7">
        <v>0.197300266834092</v>
      </c>
      <c r="U1229" t="s">
        <v>12</v>
      </c>
      <c r="V1229" t="s">
        <v>50</v>
      </c>
      <c r="W1229" t="s">
        <v>50</v>
      </c>
      <c r="X1229" t="s">
        <v>34</v>
      </c>
      <c r="Y1229" t="s">
        <v>3120</v>
      </c>
      <c r="Z1229" t="s">
        <v>101</v>
      </c>
    </row>
    <row r="1230" spans="1:26">
      <c r="A1230" t="s">
        <v>3121</v>
      </c>
      <c r="B1230" t="s">
        <v>3121</v>
      </c>
      <c r="C1230" s="4">
        <v>45952</v>
      </c>
      <c r="D1230">
        <v>2025</v>
      </c>
      <c r="E1230">
        <v>10</v>
      </c>
      <c r="F1230" t="s">
        <v>26</v>
      </c>
      <c r="G1230" t="s">
        <v>137</v>
      </c>
      <c r="H1230" t="s">
        <v>513</v>
      </c>
      <c r="I1230" t="s">
        <v>2993</v>
      </c>
      <c r="J1230" t="s">
        <v>1485</v>
      </c>
      <c r="K1230" t="s">
        <v>3122</v>
      </c>
      <c r="L1230">
        <v>6</v>
      </c>
      <c r="M1230" s="5">
        <v>464.24</v>
      </c>
      <c r="N1230" s="6">
        <v>0</v>
      </c>
      <c r="O1230" s="5">
        <v>0</v>
      </c>
      <c r="P1230" s="5">
        <v>417.82</v>
      </c>
      <c r="Q1230" s="5">
        <v>2785.44</v>
      </c>
      <c r="R1230" s="5">
        <v>1885.56</v>
      </c>
      <c r="S1230" s="5">
        <v>899.88</v>
      </c>
      <c r="T1230" s="7">
        <v>0.32306565569533</v>
      </c>
      <c r="U1230" t="s">
        <v>14</v>
      </c>
      <c r="V1230" t="s">
        <v>50</v>
      </c>
      <c r="W1230" t="s">
        <v>50</v>
      </c>
      <c r="X1230" t="s">
        <v>33</v>
      </c>
      <c r="Y1230" t="s">
        <v>2468</v>
      </c>
      <c r="Z1230" t="s">
        <v>101</v>
      </c>
    </row>
    <row r="1231" spans="1:26">
      <c r="A1231" t="s">
        <v>3123</v>
      </c>
      <c r="B1231" t="s">
        <v>3123</v>
      </c>
      <c r="C1231" s="4">
        <v>45994</v>
      </c>
      <c r="D1231">
        <v>2025</v>
      </c>
      <c r="E1231">
        <v>12</v>
      </c>
      <c r="F1231" t="s">
        <v>28</v>
      </c>
      <c r="G1231" t="s">
        <v>137</v>
      </c>
      <c r="H1231" t="s">
        <v>2516</v>
      </c>
      <c r="I1231" t="s">
        <v>1264</v>
      </c>
      <c r="J1231" t="s">
        <v>197</v>
      </c>
      <c r="K1231" t="s">
        <v>198</v>
      </c>
      <c r="L1231">
        <v>4</v>
      </c>
      <c r="M1231" s="5">
        <v>182.3</v>
      </c>
      <c r="N1231" s="6">
        <v>0</v>
      </c>
      <c r="O1231" s="5">
        <v>0</v>
      </c>
      <c r="P1231" s="5">
        <v>109.38</v>
      </c>
      <c r="Q1231" s="5">
        <v>729.2</v>
      </c>
      <c r="R1231" s="5">
        <v>430.4</v>
      </c>
      <c r="S1231" s="5">
        <v>298.8</v>
      </c>
      <c r="T1231" s="7">
        <v>0.409764125068568</v>
      </c>
      <c r="U1231" t="s">
        <v>11</v>
      </c>
      <c r="V1231" t="s">
        <v>50</v>
      </c>
      <c r="W1231" t="s">
        <v>50</v>
      </c>
      <c r="X1231" t="s">
        <v>33</v>
      </c>
      <c r="Y1231" t="s">
        <v>2174</v>
      </c>
      <c r="Z1231" t="s">
        <v>101</v>
      </c>
    </row>
    <row r="1232" spans="1:26">
      <c r="A1232" t="s">
        <v>3124</v>
      </c>
      <c r="B1232" t="s">
        <v>3124</v>
      </c>
      <c r="C1232" s="4">
        <v>45991</v>
      </c>
      <c r="D1232">
        <v>2025</v>
      </c>
      <c r="E1232">
        <v>11</v>
      </c>
      <c r="F1232" t="s">
        <v>27</v>
      </c>
      <c r="G1232" t="s">
        <v>137</v>
      </c>
      <c r="H1232" t="s">
        <v>1271</v>
      </c>
      <c r="I1232" t="s">
        <v>1071</v>
      </c>
      <c r="J1232" t="s">
        <v>1440</v>
      </c>
      <c r="K1232" t="s">
        <v>1441</v>
      </c>
      <c r="L1232">
        <v>4</v>
      </c>
      <c r="M1232" s="5">
        <v>277.42</v>
      </c>
      <c r="N1232" s="6">
        <v>10</v>
      </c>
      <c r="O1232" s="5">
        <v>110.97</v>
      </c>
      <c r="P1232" s="5">
        <v>149.81</v>
      </c>
      <c r="Q1232" s="5">
        <v>1148.52</v>
      </c>
      <c r="R1232" s="5">
        <v>796.64</v>
      </c>
      <c r="S1232" s="5">
        <v>351.88</v>
      </c>
      <c r="T1232" s="7">
        <v>0.306376902448368</v>
      </c>
      <c r="U1232" t="s">
        <v>13</v>
      </c>
      <c r="V1232" t="s">
        <v>50</v>
      </c>
      <c r="W1232" t="s">
        <v>50</v>
      </c>
      <c r="X1232" t="s">
        <v>33</v>
      </c>
      <c r="Y1232" t="s">
        <v>495</v>
      </c>
      <c r="Z1232" t="s">
        <v>80</v>
      </c>
    </row>
    <row r="1233" spans="1:26">
      <c r="A1233" t="s">
        <v>3125</v>
      </c>
      <c r="B1233" t="s">
        <v>3125</v>
      </c>
      <c r="C1233" s="4">
        <v>45879</v>
      </c>
      <c r="D1233">
        <v>2025</v>
      </c>
      <c r="E1233">
        <v>8</v>
      </c>
      <c r="F1233" t="s">
        <v>24</v>
      </c>
      <c r="G1233" t="s">
        <v>89</v>
      </c>
      <c r="H1233" t="s">
        <v>578</v>
      </c>
      <c r="I1233" t="s">
        <v>328</v>
      </c>
      <c r="J1233" t="s">
        <v>286</v>
      </c>
      <c r="K1233" t="s">
        <v>649</v>
      </c>
      <c r="L1233">
        <v>3</v>
      </c>
      <c r="M1233" s="5">
        <v>124.84</v>
      </c>
      <c r="N1233" s="6">
        <v>20</v>
      </c>
      <c r="O1233" s="5">
        <v>74.9</v>
      </c>
      <c r="P1233" s="5">
        <v>44.94</v>
      </c>
      <c r="Q1233" s="5">
        <v>344.56</v>
      </c>
      <c r="R1233" s="5">
        <v>292.05</v>
      </c>
      <c r="S1233" s="5">
        <v>52.51</v>
      </c>
      <c r="T1233" s="7">
        <v>0.152397260273973</v>
      </c>
      <c r="U1233" t="s">
        <v>9</v>
      </c>
      <c r="V1233" t="s">
        <v>51</v>
      </c>
      <c r="W1233" t="s">
        <v>51</v>
      </c>
      <c r="X1233" t="s">
        <v>33</v>
      </c>
      <c r="Y1233" t="s">
        <v>2892</v>
      </c>
      <c r="Z1233" t="s">
        <v>80</v>
      </c>
    </row>
    <row r="1234" spans="1:26">
      <c r="A1234" t="s">
        <v>3126</v>
      </c>
      <c r="B1234" t="s">
        <v>3126</v>
      </c>
      <c r="C1234" s="4">
        <v>46033</v>
      </c>
      <c r="D1234">
        <v>2026</v>
      </c>
      <c r="E1234">
        <v>1</v>
      </c>
      <c r="F1234" t="s">
        <v>30</v>
      </c>
      <c r="G1234" t="s">
        <v>82</v>
      </c>
      <c r="H1234" t="s">
        <v>886</v>
      </c>
      <c r="I1234" t="s">
        <v>937</v>
      </c>
      <c r="J1234" t="s">
        <v>695</v>
      </c>
      <c r="K1234" t="s">
        <v>1259</v>
      </c>
      <c r="L1234">
        <v>4</v>
      </c>
      <c r="M1234" s="5">
        <v>438.7</v>
      </c>
      <c r="N1234" s="6">
        <v>10</v>
      </c>
      <c r="O1234" s="5">
        <v>175.48</v>
      </c>
      <c r="P1234" s="5">
        <v>236.9</v>
      </c>
      <c r="Q1234" s="5">
        <v>1816.22</v>
      </c>
      <c r="R1234" s="5">
        <v>1480.72</v>
      </c>
      <c r="S1234" s="5">
        <v>335.5</v>
      </c>
      <c r="T1234" s="7">
        <v>0.184724317538624</v>
      </c>
      <c r="U1234" t="s">
        <v>11</v>
      </c>
      <c r="V1234" t="s">
        <v>50</v>
      </c>
      <c r="W1234" t="s">
        <v>50</v>
      </c>
      <c r="X1234" t="s">
        <v>33</v>
      </c>
      <c r="Y1234" t="s">
        <v>3127</v>
      </c>
      <c r="Z1234" t="s">
        <v>80</v>
      </c>
    </row>
    <row r="1235" spans="1:26">
      <c r="A1235" t="s">
        <v>3128</v>
      </c>
      <c r="B1235" t="s">
        <v>3128</v>
      </c>
      <c r="C1235" s="4">
        <v>46045</v>
      </c>
      <c r="D1235">
        <v>2026</v>
      </c>
      <c r="E1235">
        <v>1</v>
      </c>
      <c r="F1235" t="s">
        <v>30</v>
      </c>
      <c r="G1235" t="s">
        <v>82</v>
      </c>
      <c r="H1235" t="s">
        <v>389</v>
      </c>
      <c r="I1235" t="s">
        <v>933</v>
      </c>
      <c r="J1235" t="s">
        <v>45</v>
      </c>
      <c r="K1235" t="s">
        <v>1351</v>
      </c>
      <c r="L1235">
        <v>7</v>
      </c>
      <c r="M1235" s="5">
        <v>486.23</v>
      </c>
      <c r="N1235" s="6">
        <v>15</v>
      </c>
      <c r="O1235" s="5">
        <v>510.54</v>
      </c>
      <c r="P1235" s="5">
        <v>433.96</v>
      </c>
      <c r="Q1235" s="5">
        <v>2893.07</v>
      </c>
      <c r="R1235" s="5">
        <v>2502.29</v>
      </c>
      <c r="S1235" s="5">
        <v>390.78</v>
      </c>
      <c r="T1235" s="7">
        <v>0.135074505628968</v>
      </c>
      <c r="U1235" t="s">
        <v>11</v>
      </c>
      <c r="V1235" t="s">
        <v>50</v>
      </c>
      <c r="W1235" t="s">
        <v>50</v>
      </c>
      <c r="X1235" t="s">
        <v>33</v>
      </c>
      <c r="Y1235" t="s">
        <v>1733</v>
      </c>
      <c r="Z1235" t="s">
        <v>101</v>
      </c>
    </row>
    <row r="1236" spans="1:26">
      <c r="A1236" t="s">
        <v>3129</v>
      </c>
      <c r="B1236" t="s">
        <v>3129</v>
      </c>
      <c r="C1236" s="4">
        <v>45864</v>
      </c>
      <c r="D1236">
        <v>2025</v>
      </c>
      <c r="E1236">
        <v>7</v>
      </c>
      <c r="F1236" t="s">
        <v>23</v>
      </c>
      <c r="G1236" t="s">
        <v>89</v>
      </c>
      <c r="H1236" t="s">
        <v>3130</v>
      </c>
      <c r="I1236" t="s">
        <v>2426</v>
      </c>
      <c r="J1236" t="s">
        <v>333</v>
      </c>
      <c r="K1236" t="s">
        <v>709</v>
      </c>
      <c r="L1236">
        <v>3</v>
      </c>
      <c r="M1236" s="5">
        <v>150.04</v>
      </c>
      <c r="N1236" s="6">
        <v>0</v>
      </c>
      <c r="O1236" s="5">
        <v>0</v>
      </c>
      <c r="P1236" s="5">
        <v>67.52</v>
      </c>
      <c r="Q1236" s="5">
        <v>517.64</v>
      </c>
      <c r="R1236" s="5">
        <v>383.94</v>
      </c>
      <c r="S1236" s="5">
        <v>133.7</v>
      </c>
      <c r="T1236" s="7">
        <v>0.258287613012905</v>
      </c>
      <c r="U1236" t="s">
        <v>10</v>
      </c>
      <c r="V1236" t="s">
        <v>50</v>
      </c>
      <c r="W1236" t="s">
        <v>50</v>
      </c>
      <c r="X1236" t="s">
        <v>33</v>
      </c>
      <c r="Y1236" t="s">
        <v>3131</v>
      </c>
      <c r="Z1236" t="s">
        <v>80</v>
      </c>
    </row>
    <row r="1237" spans="1:26">
      <c r="A1237" t="s">
        <v>3132</v>
      </c>
      <c r="B1237" t="s">
        <v>3132</v>
      </c>
      <c r="C1237" s="4">
        <v>45977</v>
      </c>
      <c r="D1237">
        <v>2025</v>
      </c>
      <c r="E1237">
        <v>11</v>
      </c>
      <c r="F1237" t="s">
        <v>27</v>
      </c>
      <c r="G1237" t="s">
        <v>137</v>
      </c>
      <c r="H1237" t="s">
        <v>355</v>
      </c>
      <c r="I1237" t="s">
        <v>543</v>
      </c>
      <c r="J1237" t="s">
        <v>440</v>
      </c>
      <c r="K1237" t="s">
        <v>992</v>
      </c>
      <c r="L1237">
        <v>8</v>
      </c>
      <c r="M1237" s="5">
        <v>435.18</v>
      </c>
      <c r="N1237" s="6">
        <v>20</v>
      </c>
      <c r="O1237" s="5">
        <v>696.29</v>
      </c>
      <c r="P1237" s="5">
        <v>417.77</v>
      </c>
      <c r="Q1237" s="5">
        <v>3202.92</v>
      </c>
      <c r="R1237" s="5">
        <v>2779.76</v>
      </c>
      <c r="S1237" s="5">
        <v>423.16</v>
      </c>
      <c r="T1237" s="7">
        <v>0.132116943289249</v>
      </c>
      <c r="U1237" t="s">
        <v>10</v>
      </c>
      <c r="V1237" t="s">
        <v>50</v>
      </c>
      <c r="W1237" t="s">
        <v>50</v>
      </c>
      <c r="X1237" t="s">
        <v>35</v>
      </c>
      <c r="Y1237" t="s">
        <v>1388</v>
      </c>
      <c r="Z1237" t="s">
        <v>80</v>
      </c>
    </row>
    <row r="1238" spans="1:26">
      <c r="A1238" t="s">
        <v>3133</v>
      </c>
      <c r="B1238" t="s">
        <v>3133</v>
      </c>
      <c r="C1238" s="4">
        <v>45767</v>
      </c>
      <c r="D1238">
        <v>2025</v>
      </c>
      <c r="E1238">
        <v>4</v>
      </c>
      <c r="F1238" t="s">
        <v>20</v>
      </c>
      <c r="G1238" t="s">
        <v>74</v>
      </c>
      <c r="H1238" t="s">
        <v>3134</v>
      </c>
      <c r="I1238" t="s">
        <v>615</v>
      </c>
      <c r="J1238" t="s">
        <v>351</v>
      </c>
      <c r="K1238" t="s">
        <v>934</v>
      </c>
      <c r="L1238">
        <v>2</v>
      </c>
      <c r="M1238" s="5">
        <v>46.76</v>
      </c>
      <c r="N1238" s="6">
        <v>0</v>
      </c>
      <c r="O1238" s="5">
        <v>0</v>
      </c>
      <c r="P1238" s="5">
        <v>14.03</v>
      </c>
      <c r="Q1238" s="5">
        <v>107.55</v>
      </c>
      <c r="R1238" s="5">
        <v>73.3</v>
      </c>
      <c r="S1238" s="5">
        <v>34.25</v>
      </c>
      <c r="T1238" s="7">
        <v>0.318456531845653</v>
      </c>
      <c r="U1238" t="s">
        <v>11</v>
      </c>
      <c r="V1238" t="s">
        <v>50</v>
      </c>
      <c r="W1238" t="s">
        <v>50</v>
      </c>
      <c r="X1238" t="s">
        <v>33</v>
      </c>
      <c r="Y1238" t="s">
        <v>2787</v>
      </c>
      <c r="Z1238" t="s">
        <v>80</v>
      </c>
    </row>
    <row r="1239" spans="1:26">
      <c r="A1239" t="s">
        <v>3135</v>
      </c>
      <c r="B1239" t="s">
        <v>3135</v>
      </c>
      <c r="C1239" s="4">
        <v>45892</v>
      </c>
      <c r="D1239">
        <v>2025</v>
      </c>
      <c r="E1239">
        <v>8</v>
      </c>
      <c r="F1239" t="s">
        <v>24</v>
      </c>
      <c r="G1239" t="s">
        <v>89</v>
      </c>
      <c r="H1239" t="s">
        <v>1157</v>
      </c>
      <c r="I1239" t="s">
        <v>647</v>
      </c>
      <c r="J1239" t="s">
        <v>1290</v>
      </c>
      <c r="K1239" t="s">
        <v>2591</v>
      </c>
      <c r="L1239">
        <v>3</v>
      </c>
      <c r="M1239" s="5">
        <v>86.2</v>
      </c>
      <c r="N1239" s="6">
        <v>15</v>
      </c>
      <c r="O1239" s="5">
        <v>38.79</v>
      </c>
      <c r="P1239" s="5">
        <v>32.97</v>
      </c>
      <c r="Q1239" s="5">
        <v>252.78</v>
      </c>
      <c r="R1239" s="5">
        <v>186.42</v>
      </c>
      <c r="S1239" s="5">
        <v>66.36</v>
      </c>
      <c r="T1239" s="7">
        <v>0.262520769048184</v>
      </c>
      <c r="U1239" t="s">
        <v>14</v>
      </c>
      <c r="V1239" t="s">
        <v>50</v>
      </c>
      <c r="W1239" t="s">
        <v>50</v>
      </c>
      <c r="X1239" t="s">
        <v>33</v>
      </c>
      <c r="Y1239" t="s">
        <v>3039</v>
      </c>
      <c r="Z1239" t="s">
        <v>80</v>
      </c>
    </row>
    <row r="1240" spans="1:26">
      <c r="A1240" t="s">
        <v>3136</v>
      </c>
      <c r="B1240" t="s">
        <v>3136</v>
      </c>
      <c r="C1240" s="4">
        <v>45914</v>
      </c>
      <c r="D1240">
        <v>2025</v>
      </c>
      <c r="E1240">
        <v>9</v>
      </c>
      <c r="F1240" t="s">
        <v>25</v>
      </c>
      <c r="G1240" t="s">
        <v>89</v>
      </c>
      <c r="H1240" t="s">
        <v>3137</v>
      </c>
      <c r="I1240" t="s">
        <v>169</v>
      </c>
      <c r="J1240" t="s">
        <v>538</v>
      </c>
      <c r="K1240" t="s">
        <v>287</v>
      </c>
      <c r="L1240">
        <v>2</v>
      </c>
      <c r="M1240" s="5">
        <v>141.11</v>
      </c>
      <c r="N1240" s="6">
        <v>15</v>
      </c>
      <c r="O1240" s="5">
        <v>42.33</v>
      </c>
      <c r="P1240" s="5">
        <v>35.98</v>
      </c>
      <c r="Q1240" s="5">
        <v>275.87</v>
      </c>
      <c r="R1240" s="5">
        <v>231.82</v>
      </c>
      <c r="S1240" s="5">
        <v>44.05</v>
      </c>
      <c r="T1240" s="7">
        <v>0.159676659296045</v>
      </c>
      <c r="U1240" t="s">
        <v>10</v>
      </c>
      <c r="V1240" t="s">
        <v>50</v>
      </c>
      <c r="W1240" t="s">
        <v>50</v>
      </c>
      <c r="X1240" t="s">
        <v>35</v>
      </c>
      <c r="Y1240" t="s">
        <v>3138</v>
      </c>
      <c r="Z1240" t="s">
        <v>80</v>
      </c>
    </row>
    <row r="1241" spans="1:26">
      <c r="A1241" t="s">
        <v>3139</v>
      </c>
      <c r="B1241" t="s">
        <v>3139</v>
      </c>
      <c r="C1241" s="4">
        <v>45867</v>
      </c>
      <c r="D1241">
        <v>2025</v>
      </c>
      <c r="E1241">
        <v>7</v>
      </c>
      <c r="F1241" t="s">
        <v>23</v>
      </c>
      <c r="G1241" t="s">
        <v>89</v>
      </c>
      <c r="H1241" t="s">
        <v>3140</v>
      </c>
      <c r="I1241" t="s">
        <v>609</v>
      </c>
      <c r="J1241" t="s">
        <v>1072</v>
      </c>
      <c r="K1241" t="s">
        <v>1830</v>
      </c>
      <c r="L1241">
        <v>2</v>
      </c>
      <c r="M1241" s="5">
        <v>328.59</v>
      </c>
      <c r="N1241" s="6">
        <v>0</v>
      </c>
      <c r="O1241" s="5">
        <v>0</v>
      </c>
      <c r="P1241" s="5">
        <v>98.58</v>
      </c>
      <c r="Q1241" s="5">
        <v>657.18</v>
      </c>
      <c r="R1241" s="5">
        <v>510.98</v>
      </c>
      <c r="S1241" s="5">
        <v>146.2</v>
      </c>
      <c r="T1241" s="7">
        <v>0.222465686722055</v>
      </c>
      <c r="U1241" t="s">
        <v>9</v>
      </c>
      <c r="V1241" t="s">
        <v>50</v>
      </c>
      <c r="W1241" t="s">
        <v>50</v>
      </c>
      <c r="X1241" t="s">
        <v>35</v>
      </c>
      <c r="Y1241" t="s">
        <v>3141</v>
      </c>
      <c r="Z1241" t="s">
        <v>101</v>
      </c>
    </row>
    <row r="1242" spans="1:26">
      <c r="A1242" t="s">
        <v>3142</v>
      </c>
      <c r="B1242" t="s">
        <v>3142</v>
      </c>
      <c r="C1242" s="4">
        <v>45955</v>
      </c>
      <c r="D1242">
        <v>2025</v>
      </c>
      <c r="E1242">
        <v>10</v>
      </c>
      <c r="F1242" t="s">
        <v>26</v>
      </c>
      <c r="G1242" t="s">
        <v>137</v>
      </c>
      <c r="H1242" t="s">
        <v>1218</v>
      </c>
      <c r="I1242" t="s">
        <v>1228</v>
      </c>
      <c r="J1242" t="s">
        <v>412</v>
      </c>
      <c r="K1242" t="s">
        <v>938</v>
      </c>
      <c r="L1242">
        <v>7</v>
      </c>
      <c r="M1242" s="5">
        <v>194.4</v>
      </c>
      <c r="N1242" s="6">
        <v>20</v>
      </c>
      <c r="O1242" s="5">
        <v>272.16</v>
      </c>
      <c r="P1242" s="5">
        <v>163.3</v>
      </c>
      <c r="Q1242" s="5">
        <v>1251.94</v>
      </c>
      <c r="R1242" s="5">
        <v>1107.96</v>
      </c>
      <c r="S1242" s="5">
        <v>143.98</v>
      </c>
      <c r="T1242" s="7">
        <v>0.115005511446235</v>
      </c>
      <c r="U1242" t="s">
        <v>10</v>
      </c>
      <c r="V1242" t="s">
        <v>50</v>
      </c>
      <c r="W1242" t="s">
        <v>50</v>
      </c>
      <c r="X1242" t="s">
        <v>33</v>
      </c>
      <c r="Y1242" t="s">
        <v>2262</v>
      </c>
      <c r="Z1242" t="s">
        <v>80</v>
      </c>
    </row>
    <row r="1243" spans="1:26">
      <c r="A1243" t="s">
        <v>3143</v>
      </c>
      <c r="B1243" t="s">
        <v>3143</v>
      </c>
      <c r="C1243" s="4">
        <v>46007</v>
      </c>
      <c r="D1243">
        <v>2025</v>
      </c>
      <c r="E1243">
        <v>12</v>
      </c>
      <c r="F1243" t="s">
        <v>28</v>
      </c>
      <c r="G1243" t="s">
        <v>137</v>
      </c>
      <c r="H1243" t="s">
        <v>513</v>
      </c>
      <c r="I1243" t="s">
        <v>2093</v>
      </c>
      <c r="J1243" t="s">
        <v>302</v>
      </c>
      <c r="K1243" t="s">
        <v>303</v>
      </c>
      <c r="L1243">
        <v>8</v>
      </c>
      <c r="M1243" s="5">
        <v>397.84</v>
      </c>
      <c r="N1243" s="6">
        <v>0</v>
      </c>
      <c r="O1243" s="5">
        <v>0</v>
      </c>
      <c r="P1243" s="5">
        <v>477.41</v>
      </c>
      <c r="Q1243" s="5">
        <v>3182.72</v>
      </c>
      <c r="R1243" s="5">
        <v>2786.64</v>
      </c>
      <c r="S1243" s="5">
        <v>396.08</v>
      </c>
      <c r="T1243" s="7">
        <v>0.124447013874925</v>
      </c>
      <c r="U1243" t="s">
        <v>13</v>
      </c>
      <c r="V1243" t="s">
        <v>51</v>
      </c>
      <c r="W1243" t="s">
        <v>51</v>
      </c>
      <c r="X1243" t="s">
        <v>33</v>
      </c>
      <c r="Y1243" t="s">
        <v>2113</v>
      </c>
      <c r="Z1243" t="s">
        <v>101</v>
      </c>
    </row>
    <row r="1244" spans="1:26">
      <c r="A1244" t="s">
        <v>3144</v>
      </c>
      <c r="B1244" t="s">
        <v>3144</v>
      </c>
      <c r="C1244" s="4">
        <v>45839</v>
      </c>
      <c r="D1244">
        <v>2025</v>
      </c>
      <c r="E1244">
        <v>7</v>
      </c>
      <c r="F1244" t="s">
        <v>23</v>
      </c>
      <c r="G1244" t="s">
        <v>89</v>
      </c>
      <c r="H1244" t="s">
        <v>671</v>
      </c>
      <c r="I1244" t="s">
        <v>756</v>
      </c>
      <c r="J1244" t="s">
        <v>1450</v>
      </c>
      <c r="K1244" t="s">
        <v>1864</v>
      </c>
      <c r="L1244">
        <v>5</v>
      </c>
      <c r="M1244" s="5">
        <v>183.19</v>
      </c>
      <c r="N1244" s="6">
        <v>0</v>
      </c>
      <c r="O1244" s="5">
        <v>0</v>
      </c>
      <c r="P1244" s="5">
        <v>137.39</v>
      </c>
      <c r="Q1244" s="5">
        <v>915.95</v>
      </c>
      <c r="R1244" s="5">
        <v>621.2</v>
      </c>
      <c r="S1244" s="5">
        <v>294.75</v>
      </c>
      <c r="T1244" s="7">
        <v>0.321797041323216</v>
      </c>
      <c r="U1244" t="s">
        <v>12</v>
      </c>
      <c r="V1244" t="s">
        <v>50</v>
      </c>
      <c r="W1244" t="s">
        <v>50</v>
      </c>
      <c r="X1244" t="s">
        <v>33</v>
      </c>
      <c r="Y1244" t="s">
        <v>3001</v>
      </c>
      <c r="Z1244" t="s">
        <v>101</v>
      </c>
    </row>
    <row r="1245" spans="1:26">
      <c r="A1245" t="s">
        <v>3145</v>
      </c>
      <c r="B1245" t="s">
        <v>3145</v>
      </c>
      <c r="C1245" s="4">
        <v>45838</v>
      </c>
      <c r="D1245">
        <v>2025</v>
      </c>
      <c r="E1245">
        <v>6</v>
      </c>
      <c r="F1245" t="s">
        <v>22</v>
      </c>
      <c r="G1245" t="s">
        <v>74</v>
      </c>
      <c r="H1245" t="s">
        <v>1633</v>
      </c>
      <c r="I1245" t="s">
        <v>84</v>
      </c>
      <c r="J1245" t="s">
        <v>85</v>
      </c>
      <c r="K1245" t="s">
        <v>86</v>
      </c>
      <c r="L1245">
        <v>2</v>
      </c>
      <c r="M1245" s="5">
        <v>448.94</v>
      </c>
      <c r="N1245" s="6">
        <v>0</v>
      </c>
      <c r="O1245" s="5">
        <v>0</v>
      </c>
      <c r="P1245" s="5">
        <v>134.68</v>
      </c>
      <c r="Q1245" s="5">
        <v>897.88</v>
      </c>
      <c r="R1245" s="5">
        <v>760.16</v>
      </c>
      <c r="S1245" s="5">
        <v>137.72</v>
      </c>
      <c r="T1245" s="7">
        <v>0.15338352563817</v>
      </c>
      <c r="U1245" t="s">
        <v>9</v>
      </c>
      <c r="V1245" t="s">
        <v>50</v>
      </c>
      <c r="W1245" t="s">
        <v>50</v>
      </c>
      <c r="X1245" t="s">
        <v>34</v>
      </c>
      <c r="Y1245" t="s">
        <v>1252</v>
      </c>
      <c r="Z1245" t="s">
        <v>101</v>
      </c>
    </row>
    <row r="1246" spans="1:26">
      <c r="A1246" t="s">
        <v>3146</v>
      </c>
      <c r="B1246" t="s">
        <v>3146</v>
      </c>
      <c r="C1246" s="4">
        <v>45824</v>
      </c>
      <c r="D1246">
        <v>2025</v>
      </c>
      <c r="E1246">
        <v>6</v>
      </c>
      <c r="F1246" t="s">
        <v>22</v>
      </c>
      <c r="G1246" t="s">
        <v>74</v>
      </c>
      <c r="H1246" t="s">
        <v>3147</v>
      </c>
      <c r="I1246" t="s">
        <v>2587</v>
      </c>
      <c r="J1246" t="s">
        <v>1409</v>
      </c>
      <c r="K1246" t="s">
        <v>2665</v>
      </c>
      <c r="L1246">
        <v>5</v>
      </c>
      <c r="M1246" s="5">
        <v>72.93</v>
      </c>
      <c r="N1246" s="6">
        <v>15</v>
      </c>
      <c r="O1246" s="5">
        <v>54.7</v>
      </c>
      <c r="P1246" s="5">
        <v>46.49</v>
      </c>
      <c r="Q1246" s="5">
        <v>309.95</v>
      </c>
      <c r="R1246" s="5">
        <v>271.25</v>
      </c>
      <c r="S1246" s="5">
        <v>38.7</v>
      </c>
      <c r="T1246" s="7">
        <v>0.124858848201323</v>
      </c>
      <c r="U1246" t="s">
        <v>14</v>
      </c>
      <c r="V1246" t="s">
        <v>50</v>
      </c>
      <c r="W1246" t="s">
        <v>50</v>
      </c>
      <c r="X1246" t="s">
        <v>33</v>
      </c>
      <c r="Y1246" t="s">
        <v>2577</v>
      </c>
      <c r="Z1246" t="s">
        <v>101</v>
      </c>
    </row>
    <row r="1247" spans="1:26">
      <c r="A1247" t="s">
        <v>3148</v>
      </c>
      <c r="B1247" t="s">
        <v>3148</v>
      </c>
      <c r="C1247" s="4">
        <v>45757</v>
      </c>
      <c r="D1247">
        <v>2025</v>
      </c>
      <c r="E1247">
        <v>4</v>
      </c>
      <c r="F1247" t="s">
        <v>20</v>
      </c>
      <c r="G1247" t="s">
        <v>74</v>
      </c>
      <c r="H1247" t="s">
        <v>738</v>
      </c>
      <c r="I1247" t="s">
        <v>476</v>
      </c>
      <c r="J1247" t="s">
        <v>906</v>
      </c>
      <c r="K1247" t="s">
        <v>2912</v>
      </c>
      <c r="L1247">
        <v>4</v>
      </c>
      <c r="M1247" s="5">
        <v>308.6</v>
      </c>
      <c r="N1247" s="6">
        <v>5</v>
      </c>
      <c r="O1247" s="5">
        <v>61.72</v>
      </c>
      <c r="P1247" s="5">
        <v>175.9</v>
      </c>
      <c r="Q1247" s="5">
        <v>1172.68</v>
      </c>
      <c r="R1247" s="5">
        <v>1005.68</v>
      </c>
      <c r="S1247" s="5">
        <v>167</v>
      </c>
      <c r="T1247" s="7">
        <v>0.142408841286626</v>
      </c>
      <c r="U1247" t="s">
        <v>13</v>
      </c>
      <c r="V1247" t="s">
        <v>50</v>
      </c>
      <c r="W1247" t="s">
        <v>50</v>
      </c>
      <c r="X1247" t="s">
        <v>33</v>
      </c>
      <c r="Y1247" t="s">
        <v>3149</v>
      </c>
      <c r="Z1247" t="s">
        <v>101</v>
      </c>
    </row>
    <row r="1248" spans="1:26">
      <c r="A1248" t="s">
        <v>3150</v>
      </c>
      <c r="B1248" t="s">
        <v>3150</v>
      </c>
      <c r="C1248" s="4">
        <v>45817</v>
      </c>
      <c r="D1248">
        <v>2025</v>
      </c>
      <c r="E1248">
        <v>6</v>
      </c>
      <c r="F1248" t="s">
        <v>22</v>
      </c>
      <c r="G1248" t="s">
        <v>74</v>
      </c>
      <c r="H1248" t="s">
        <v>3151</v>
      </c>
      <c r="I1248" t="s">
        <v>493</v>
      </c>
      <c r="J1248" t="s">
        <v>802</v>
      </c>
      <c r="K1248" t="s">
        <v>803</v>
      </c>
      <c r="L1248">
        <v>4</v>
      </c>
      <c r="M1248" s="5">
        <v>423.99</v>
      </c>
      <c r="N1248" s="6">
        <v>5</v>
      </c>
      <c r="O1248" s="5">
        <v>84.8</v>
      </c>
      <c r="P1248" s="5">
        <v>241.67</v>
      </c>
      <c r="Q1248" s="5">
        <v>1611.16</v>
      </c>
      <c r="R1248" s="5">
        <v>1280.76</v>
      </c>
      <c r="S1248" s="5">
        <v>330.4</v>
      </c>
      <c r="T1248" s="7">
        <v>0.205069639266119</v>
      </c>
      <c r="U1248" t="s">
        <v>11</v>
      </c>
      <c r="V1248" t="s">
        <v>50</v>
      </c>
      <c r="W1248" t="s">
        <v>50</v>
      </c>
      <c r="X1248" t="s">
        <v>33</v>
      </c>
      <c r="Y1248" t="s">
        <v>1077</v>
      </c>
      <c r="Z1248" t="s">
        <v>101</v>
      </c>
    </row>
    <row r="1249" spans="1:26">
      <c r="A1249" t="s">
        <v>3152</v>
      </c>
      <c r="B1249" t="s">
        <v>3152</v>
      </c>
      <c r="C1249" s="4">
        <v>45977</v>
      </c>
      <c r="D1249">
        <v>2025</v>
      </c>
      <c r="E1249">
        <v>11</v>
      </c>
      <c r="F1249" t="s">
        <v>27</v>
      </c>
      <c r="G1249" t="s">
        <v>137</v>
      </c>
      <c r="H1249" t="s">
        <v>812</v>
      </c>
      <c r="I1249" t="s">
        <v>374</v>
      </c>
      <c r="J1249" t="s">
        <v>318</v>
      </c>
      <c r="K1249" t="s">
        <v>3153</v>
      </c>
      <c r="L1249">
        <v>4</v>
      </c>
      <c r="M1249" s="5">
        <v>400.33</v>
      </c>
      <c r="N1249" s="6">
        <v>10</v>
      </c>
      <c r="O1249" s="5">
        <v>160.13</v>
      </c>
      <c r="P1249" s="5">
        <v>216.18</v>
      </c>
      <c r="Q1249" s="5">
        <v>1657.37</v>
      </c>
      <c r="R1249" s="5">
        <v>1363.6</v>
      </c>
      <c r="S1249" s="5">
        <v>293.77</v>
      </c>
      <c r="T1249" s="7">
        <v>0.177250704429307</v>
      </c>
      <c r="U1249" t="s">
        <v>11</v>
      </c>
      <c r="V1249" t="s">
        <v>51</v>
      </c>
      <c r="W1249" t="s">
        <v>51</v>
      </c>
      <c r="X1249" t="s">
        <v>34</v>
      </c>
      <c r="Y1249" t="s">
        <v>1101</v>
      </c>
      <c r="Z1249" t="s">
        <v>80</v>
      </c>
    </row>
    <row r="1250" spans="1:26">
      <c r="A1250" t="s">
        <v>3154</v>
      </c>
      <c r="B1250" t="s">
        <v>3154</v>
      </c>
      <c r="C1250" s="4">
        <v>45821</v>
      </c>
      <c r="D1250">
        <v>2025</v>
      </c>
      <c r="E1250">
        <v>6</v>
      </c>
      <c r="F1250" t="s">
        <v>22</v>
      </c>
      <c r="G1250" t="s">
        <v>74</v>
      </c>
      <c r="H1250" t="s">
        <v>2872</v>
      </c>
      <c r="I1250" t="s">
        <v>104</v>
      </c>
      <c r="J1250" t="s">
        <v>220</v>
      </c>
      <c r="K1250" t="s">
        <v>1916</v>
      </c>
      <c r="L1250">
        <v>5</v>
      </c>
      <c r="M1250" s="5">
        <v>313.47</v>
      </c>
      <c r="N1250" s="6">
        <v>15</v>
      </c>
      <c r="O1250" s="5">
        <v>235.1</v>
      </c>
      <c r="P1250" s="5">
        <v>199.84</v>
      </c>
      <c r="Q1250" s="5">
        <v>1332.25</v>
      </c>
      <c r="R1250" s="5">
        <v>1230.6</v>
      </c>
      <c r="S1250" s="5">
        <v>101.65</v>
      </c>
      <c r="T1250" s="7">
        <v>0.0762994933383374</v>
      </c>
      <c r="U1250" t="s">
        <v>12</v>
      </c>
      <c r="V1250" t="s">
        <v>50</v>
      </c>
      <c r="W1250" t="s">
        <v>50</v>
      </c>
      <c r="X1250" t="s">
        <v>33</v>
      </c>
      <c r="Y1250" t="s">
        <v>1672</v>
      </c>
      <c r="Z1250" t="s">
        <v>101</v>
      </c>
    </row>
    <row r="1251" spans="1:26">
      <c r="A1251" t="s">
        <v>3155</v>
      </c>
      <c r="B1251" t="s">
        <v>3155</v>
      </c>
      <c r="C1251" s="4">
        <v>46005</v>
      </c>
      <c r="D1251">
        <v>2025</v>
      </c>
      <c r="E1251">
        <v>12</v>
      </c>
      <c r="F1251" t="s">
        <v>28</v>
      </c>
      <c r="G1251" t="s">
        <v>137</v>
      </c>
      <c r="H1251" t="s">
        <v>1876</v>
      </c>
      <c r="I1251" t="s">
        <v>1196</v>
      </c>
      <c r="J1251" t="s">
        <v>44</v>
      </c>
      <c r="K1251" t="s">
        <v>518</v>
      </c>
      <c r="L1251">
        <v>5</v>
      </c>
      <c r="M1251" s="5">
        <v>147.72</v>
      </c>
      <c r="N1251" s="6">
        <v>5</v>
      </c>
      <c r="O1251" s="5">
        <v>36.93</v>
      </c>
      <c r="P1251" s="5">
        <v>105.25</v>
      </c>
      <c r="Q1251" s="5">
        <v>806.92</v>
      </c>
      <c r="R1251" s="5">
        <v>546.05</v>
      </c>
      <c r="S1251" s="5">
        <v>260.87</v>
      </c>
      <c r="T1251" s="7">
        <v>0.323291032568284</v>
      </c>
      <c r="U1251" t="s">
        <v>9</v>
      </c>
      <c r="V1251" t="s">
        <v>50</v>
      </c>
      <c r="W1251" t="s">
        <v>50</v>
      </c>
      <c r="X1251" t="s">
        <v>33</v>
      </c>
      <c r="Y1251" t="s">
        <v>2468</v>
      </c>
      <c r="Z1251" t="s">
        <v>80</v>
      </c>
    </row>
    <row r="1252" spans="1:26">
      <c r="A1252" t="s">
        <v>3156</v>
      </c>
      <c r="B1252" t="s">
        <v>3156</v>
      </c>
      <c r="C1252" s="4">
        <v>45871</v>
      </c>
      <c r="D1252">
        <v>2025</v>
      </c>
      <c r="E1252">
        <v>8</v>
      </c>
      <c r="F1252" t="s">
        <v>24</v>
      </c>
      <c r="G1252" t="s">
        <v>89</v>
      </c>
      <c r="H1252" t="s">
        <v>3157</v>
      </c>
      <c r="I1252" t="s">
        <v>163</v>
      </c>
      <c r="J1252" t="s">
        <v>751</v>
      </c>
      <c r="K1252" t="s">
        <v>752</v>
      </c>
      <c r="L1252">
        <v>3</v>
      </c>
      <c r="M1252" s="5">
        <v>253.11</v>
      </c>
      <c r="N1252" s="6">
        <v>20</v>
      </c>
      <c r="O1252" s="5">
        <v>151.87</v>
      </c>
      <c r="P1252" s="5">
        <v>91.12</v>
      </c>
      <c r="Q1252" s="5">
        <v>698.58</v>
      </c>
      <c r="R1252" s="5">
        <v>572.22</v>
      </c>
      <c r="S1252" s="5">
        <v>126.36</v>
      </c>
      <c r="T1252" s="7">
        <v>0.180881216181396</v>
      </c>
      <c r="U1252" t="s">
        <v>9</v>
      </c>
      <c r="V1252" t="s">
        <v>50</v>
      </c>
      <c r="W1252" t="s">
        <v>50</v>
      </c>
      <c r="X1252" t="s">
        <v>34</v>
      </c>
      <c r="Y1252" t="s">
        <v>3158</v>
      </c>
      <c r="Z1252" t="s">
        <v>80</v>
      </c>
    </row>
    <row r="1253" spans="1:26">
      <c r="A1253" t="s">
        <v>3159</v>
      </c>
      <c r="B1253" t="s">
        <v>3159</v>
      </c>
      <c r="C1253" s="4">
        <v>45796</v>
      </c>
      <c r="D1253">
        <v>2025</v>
      </c>
      <c r="E1253">
        <v>5</v>
      </c>
      <c r="F1253" t="s">
        <v>21</v>
      </c>
      <c r="G1253" t="s">
        <v>74</v>
      </c>
      <c r="H1253" t="s">
        <v>2713</v>
      </c>
      <c r="I1253" t="s">
        <v>196</v>
      </c>
      <c r="J1253" t="s">
        <v>1003</v>
      </c>
      <c r="K1253" t="s">
        <v>1004</v>
      </c>
      <c r="L1253">
        <v>5</v>
      </c>
      <c r="M1253" s="5">
        <v>354.68</v>
      </c>
      <c r="N1253" s="6">
        <v>0</v>
      </c>
      <c r="O1253" s="5">
        <v>0</v>
      </c>
      <c r="P1253" s="5">
        <v>266.01</v>
      </c>
      <c r="Q1253" s="5">
        <v>1773.4</v>
      </c>
      <c r="R1253" s="5">
        <v>1306.1</v>
      </c>
      <c r="S1253" s="5">
        <v>467.3</v>
      </c>
      <c r="T1253" s="7">
        <v>0.263505131386038</v>
      </c>
      <c r="U1253" t="s">
        <v>12</v>
      </c>
      <c r="V1253" t="s">
        <v>50</v>
      </c>
      <c r="W1253" t="s">
        <v>50</v>
      </c>
      <c r="X1253" t="s">
        <v>33</v>
      </c>
      <c r="Y1253" t="s">
        <v>1178</v>
      </c>
      <c r="Z1253" t="s">
        <v>101</v>
      </c>
    </row>
    <row r="1254" spans="1:26">
      <c r="A1254" t="s">
        <v>3160</v>
      </c>
      <c r="B1254" t="s">
        <v>3160</v>
      </c>
      <c r="C1254" s="4">
        <v>46004</v>
      </c>
      <c r="D1254">
        <v>2025</v>
      </c>
      <c r="E1254">
        <v>12</v>
      </c>
      <c r="F1254" t="s">
        <v>28</v>
      </c>
      <c r="G1254" t="s">
        <v>137</v>
      </c>
      <c r="H1254" t="s">
        <v>3104</v>
      </c>
      <c r="I1254" t="s">
        <v>328</v>
      </c>
      <c r="J1254" t="s">
        <v>302</v>
      </c>
      <c r="K1254" t="s">
        <v>303</v>
      </c>
      <c r="L1254">
        <v>8</v>
      </c>
      <c r="M1254" s="5">
        <v>127.5</v>
      </c>
      <c r="N1254" s="6">
        <v>5</v>
      </c>
      <c r="O1254" s="5">
        <v>51</v>
      </c>
      <c r="P1254" s="5">
        <v>145.35</v>
      </c>
      <c r="Q1254" s="5">
        <v>1114.35</v>
      </c>
      <c r="R1254" s="5">
        <v>778.8</v>
      </c>
      <c r="S1254" s="5">
        <v>335.55</v>
      </c>
      <c r="T1254" s="7">
        <v>0.301117243235967</v>
      </c>
      <c r="U1254" t="s">
        <v>14</v>
      </c>
      <c r="V1254" t="s">
        <v>50</v>
      </c>
      <c r="W1254" t="s">
        <v>50</v>
      </c>
      <c r="X1254" t="s">
        <v>33</v>
      </c>
      <c r="Y1254" t="s">
        <v>1852</v>
      </c>
      <c r="Z1254" t="s">
        <v>80</v>
      </c>
    </row>
    <row r="1255" spans="1:26">
      <c r="A1255" t="s">
        <v>3161</v>
      </c>
      <c r="B1255" t="s">
        <v>3161</v>
      </c>
      <c r="C1255" s="4">
        <v>46040</v>
      </c>
      <c r="D1255">
        <v>2026</v>
      </c>
      <c r="E1255">
        <v>1</v>
      </c>
      <c r="F1255" t="s">
        <v>30</v>
      </c>
      <c r="G1255" t="s">
        <v>82</v>
      </c>
      <c r="H1255" t="s">
        <v>3162</v>
      </c>
      <c r="I1255" t="s">
        <v>157</v>
      </c>
      <c r="J1255" t="s">
        <v>1440</v>
      </c>
      <c r="K1255" t="s">
        <v>1441</v>
      </c>
      <c r="L1255">
        <v>6</v>
      </c>
      <c r="M1255" s="5">
        <v>65.36</v>
      </c>
      <c r="N1255" s="6">
        <v>0</v>
      </c>
      <c r="O1255" s="5">
        <v>0</v>
      </c>
      <c r="P1255" s="5">
        <v>58.82</v>
      </c>
      <c r="Q1255" s="5">
        <v>450.98</v>
      </c>
      <c r="R1255" s="5">
        <v>288.9</v>
      </c>
      <c r="S1255" s="5">
        <v>162.08</v>
      </c>
      <c r="T1255" s="7">
        <v>0.35939509512617</v>
      </c>
      <c r="U1255" t="s">
        <v>9</v>
      </c>
      <c r="V1255" t="s">
        <v>50</v>
      </c>
      <c r="W1255" t="s">
        <v>50</v>
      </c>
      <c r="X1255" t="s">
        <v>35</v>
      </c>
      <c r="Y1255" t="s">
        <v>2349</v>
      </c>
      <c r="Z1255" t="s">
        <v>80</v>
      </c>
    </row>
    <row r="1256" spans="1:26">
      <c r="A1256" t="s">
        <v>3163</v>
      </c>
      <c r="B1256" t="s">
        <v>3163</v>
      </c>
      <c r="C1256" s="4">
        <v>46059</v>
      </c>
      <c r="D1256">
        <v>2026</v>
      </c>
      <c r="E1256">
        <v>2</v>
      </c>
      <c r="F1256" t="s">
        <v>31</v>
      </c>
      <c r="G1256" t="s">
        <v>82</v>
      </c>
      <c r="H1256" t="s">
        <v>256</v>
      </c>
      <c r="I1256" t="s">
        <v>116</v>
      </c>
      <c r="J1256" t="s">
        <v>837</v>
      </c>
      <c r="K1256" t="s">
        <v>1032</v>
      </c>
      <c r="L1256">
        <v>6</v>
      </c>
      <c r="M1256" s="5">
        <v>183.76</v>
      </c>
      <c r="N1256" s="6">
        <v>10</v>
      </c>
      <c r="O1256" s="5">
        <v>110.26</v>
      </c>
      <c r="P1256" s="5">
        <v>148.84</v>
      </c>
      <c r="Q1256" s="5">
        <v>992.3</v>
      </c>
      <c r="R1256" s="5">
        <v>852</v>
      </c>
      <c r="S1256" s="5">
        <v>140.3</v>
      </c>
      <c r="T1256" s="7">
        <v>0.141388692935604</v>
      </c>
      <c r="U1256" t="s">
        <v>14</v>
      </c>
      <c r="V1256" t="s">
        <v>50</v>
      </c>
      <c r="W1256" t="s">
        <v>50</v>
      </c>
      <c r="X1256" t="s">
        <v>33</v>
      </c>
      <c r="Y1256" t="s">
        <v>2108</v>
      </c>
      <c r="Z1256" t="s">
        <v>101</v>
      </c>
    </row>
    <row r="1257" spans="1:26">
      <c r="A1257" t="s">
        <v>3164</v>
      </c>
      <c r="B1257" t="s">
        <v>3164</v>
      </c>
      <c r="C1257" s="4">
        <v>45866</v>
      </c>
      <c r="D1257">
        <v>2025</v>
      </c>
      <c r="E1257">
        <v>7</v>
      </c>
      <c r="F1257" t="s">
        <v>23</v>
      </c>
      <c r="G1257" t="s">
        <v>89</v>
      </c>
      <c r="H1257" t="s">
        <v>2160</v>
      </c>
      <c r="I1257" t="s">
        <v>898</v>
      </c>
      <c r="J1257" t="s">
        <v>1150</v>
      </c>
      <c r="K1257" t="s">
        <v>1151</v>
      </c>
      <c r="L1257">
        <v>3</v>
      </c>
      <c r="M1257" s="5">
        <v>275.71</v>
      </c>
      <c r="N1257" s="6">
        <v>5</v>
      </c>
      <c r="O1257" s="5">
        <v>41.36</v>
      </c>
      <c r="P1257" s="5">
        <v>117.87</v>
      </c>
      <c r="Q1257" s="5">
        <v>785.77</v>
      </c>
      <c r="R1257" s="5">
        <v>618.9</v>
      </c>
      <c r="S1257" s="5">
        <v>166.87</v>
      </c>
      <c r="T1257" s="7">
        <v>0.212364941395065</v>
      </c>
      <c r="U1257" t="s">
        <v>9</v>
      </c>
      <c r="V1257" t="s">
        <v>50</v>
      </c>
      <c r="W1257" t="s">
        <v>50</v>
      </c>
      <c r="X1257" t="s">
        <v>33</v>
      </c>
      <c r="Y1257" t="s">
        <v>1611</v>
      </c>
      <c r="Z1257" t="s">
        <v>101</v>
      </c>
    </row>
    <row r="1258" spans="1:26">
      <c r="A1258" t="s">
        <v>3165</v>
      </c>
      <c r="B1258" t="s">
        <v>3165</v>
      </c>
      <c r="C1258" s="4">
        <v>45765</v>
      </c>
      <c r="D1258">
        <v>2025</v>
      </c>
      <c r="E1258">
        <v>4</v>
      </c>
      <c r="F1258" t="s">
        <v>20</v>
      </c>
      <c r="G1258" t="s">
        <v>74</v>
      </c>
      <c r="H1258" t="s">
        <v>2320</v>
      </c>
      <c r="I1258" t="s">
        <v>157</v>
      </c>
      <c r="J1258" t="s">
        <v>46</v>
      </c>
      <c r="K1258" t="s">
        <v>2353</v>
      </c>
      <c r="L1258">
        <v>4</v>
      </c>
      <c r="M1258" s="5">
        <v>59.92</v>
      </c>
      <c r="N1258" s="6">
        <v>0</v>
      </c>
      <c r="O1258" s="5">
        <v>0</v>
      </c>
      <c r="P1258" s="5">
        <v>35.95</v>
      </c>
      <c r="Q1258" s="5">
        <v>239.68</v>
      </c>
      <c r="R1258" s="5">
        <v>192.6</v>
      </c>
      <c r="S1258" s="5">
        <v>47.08</v>
      </c>
      <c r="T1258" s="7">
        <v>0.196428571428571</v>
      </c>
      <c r="U1258" t="s">
        <v>14</v>
      </c>
      <c r="V1258" t="s">
        <v>50</v>
      </c>
      <c r="W1258" t="s">
        <v>50</v>
      </c>
      <c r="X1258" t="s">
        <v>33</v>
      </c>
      <c r="Y1258" t="s">
        <v>2365</v>
      </c>
      <c r="Z1258" t="s">
        <v>101</v>
      </c>
    </row>
    <row r="1259" spans="1:26">
      <c r="A1259" t="s">
        <v>3166</v>
      </c>
      <c r="B1259" t="s">
        <v>3166</v>
      </c>
      <c r="C1259" s="4">
        <v>46107</v>
      </c>
      <c r="D1259">
        <v>2026</v>
      </c>
      <c r="E1259">
        <v>3</v>
      </c>
      <c r="F1259" t="s">
        <v>19</v>
      </c>
      <c r="G1259" t="s">
        <v>82</v>
      </c>
      <c r="H1259" t="s">
        <v>1735</v>
      </c>
      <c r="I1259" t="s">
        <v>328</v>
      </c>
      <c r="J1259" t="s">
        <v>2342</v>
      </c>
      <c r="K1259" t="s">
        <v>2343</v>
      </c>
      <c r="L1259">
        <v>4</v>
      </c>
      <c r="M1259" s="5">
        <v>124.84</v>
      </c>
      <c r="N1259" s="6">
        <v>15</v>
      </c>
      <c r="O1259" s="5">
        <v>74.9</v>
      </c>
      <c r="P1259" s="5">
        <v>63.67</v>
      </c>
      <c r="Q1259" s="5">
        <v>424.46</v>
      </c>
      <c r="R1259" s="5">
        <v>389.4</v>
      </c>
      <c r="S1259" s="5">
        <v>35.06</v>
      </c>
      <c r="T1259" s="7">
        <v>0.0825990670498987</v>
      </c>
      <c r="U1259" t="s">
        <v>9</v>
      </c>
      <c r="V1259" t="s">
        <v>50</v>
      </c>
      <c r="W1259" t="s">
        <v>50</v>
      </c>
      <c r="X1259" t="s">
        <v>35</v>
      </c>
      <c r="Y1259" t="s">
        <v>1773</v>
      </c>
      <c r="Z1259" t="s">
        <v>101</v>
      </c>
    </row>
    <row r="1260" spans="1:26">
      <c r="A1260" t="s">
        <v>3167</v>
      </c>
      <c r="B1260" t="s">
        <v>3167</v>
      </c>
      <c r="C1260" s="4">
        <v>46102</v>
      </c>
      <c r="D1260">
        <v>2026</v>
      </c>
      <c r="E1260">
        <v>3</v>
      </c>
      <c r="F1260" t="s">
        <v>19</v>
      </c>
      <c r="G1260" t="s">
        <v>82</v>
      </c>
      <c r="H1260" t="s">
        <v>2922</v>
      </c>
      <c r="I1260" t="s">
        <v>290</v>
      </c>
      <c r="J1260" t="s">
        <v>170</v>
      </c>
      <c r="K1260" t="s">
        <v>319</v>
      </c>
      <c r="L1260">
        <v>5</v>
      </c>
      <c r="M1260" s="5">
        <v>80.5</v>
      </c>
      <c r="N1260" s="6">
        <v>5</v>
      </c>
      <c r="O1260" s="5">
        <v>20.12</v>
      </c>
      <c r="P1260" s="5">
        <v>57.36</v>
      </c>
      <c r="Q1260" s="5">
        <v>439.74</v>
      </c>
      <c r="R1260" s="5">
        <v>311.25</v>
      </c>
      <c r="S1260" s="5">
        <v>128.49</v>
      </c>
      <c r="T1260" s="7">
        <v>0.292195388183927</v>
      </c>
      <c r="U1260" t="s">
        <v>10</v>
      </c>
      <c r="V1260" t="s">
        <v>51</v>
      </c>
      <c r="W1260" t="s">
        <v>51</v>
      </c>
      <c r="X1260" t="s">
        <v>33</v>
      </c>
      <c r="Y1260" t="s">
        <v>916</v>
      </c>
      <c r="Z1260" t="s">
        <v>80</v>
      </c>
    </row>
    <row r="1261" spans="1:26">
      <c r="A1261" t="s">
        <v>3168</v>
      </c>
      <c r="B1261" t="s">
        <v>3168</v>
      </c>
      <c r="C1261" s="4">
        <v>45861</v>
      </c>
      <c r="D1261">
        <v>2025</v>
      </c>
      <c r="E1261">
        <v>7</v>
      </c>
      <c r="F1261" t="s">
        <v>23</v>
      </c>
      <c r="G1261" t="s">
        <v>89</v>
      </c>
      <c r="H1261" t="s">
        <v>1851</v>
      </c>
      <c r="I1261" t="s">
        <v>476</v>
      </c>
      <c r="J1261" t="s">
        <v>1272</v>
      </c>
      <c r="K1261" t="s">
        <v>971</v>
      </c>
      <c r="L1261">
        <v>2</v>
      </c>
      <c r="M1261" s="5">
        <v>305.67</v>
      </c>
      <c r="N1261" s="6">
        <v>0</v>
      </c>
      <c r="O1261" s="5">
        <v>0</v>
      </c>
      <c r="P1261" s="5">
        <v>91.7</v>
      </c>
      <c r="Q1261" s="5">
        <v>611.34</v>
      </c>
      <c r="R1261" s="5">
        <v>502.84</v>
      </c>
      <c r="S1261" s="5">
        <v>108.5</v>
      </c>
      <c r="T1261" s="7">
        <v>0.177478980599994</v>
      </c>
      <c r="U1261" t="s">
        <v>11</v>
      </c>
      <c r="V1261" t="s">
        <v>50</v>
      </c>
      <c r="W1261" t="s">
        <v>50</v>
      </c>
      <c r="X1261" t="s">
        <v>33</v>
      </c>
      <c r="Y1261" t="s">
        <v>3127</v>
      </c>
      <c r="Z1261" t="s">
        <v>101</v>
      </c>
    </row>
    <row r="1262" spans="1:26">
      <c r="A1262" t="s">
        <v>3169</v>
      </c>
      <c r="B1262" t="s">
        <v>3169</v>
      </c>
      <c r="C1262" s="4">
        <v>46067</v>
      </c>
      <c r="D1262">
        <v>2026</v>
      </c>
      <c r="E1262">
        <v>2</v>
      </c>
      <c r="F1262" t="s">
        <v>31</v>
      </c>
      <c r="G1262" t="s">
        <v>82</v>
      </c>
      <c r="H1262" t="s">
        <v>749</v>
      </c>
      <c r="I1262" t="s">
        <v>235</v>
      </c>
      <c r="J1262" t="s">
        <v>948</v>
      </c>
      <c r="K1262" t="s">
        <v>949</v>
      </c>
      <c r="L1262">
        <v>1</v>
      </c>
      <c r="M1262" s="5">
        <v>217.42</v>
      </c>
      <c r="N1262" s="6">
        <v>15</v>
      </c>
      <c r="O1262" s="5">
        <v>32.61</v>
      </c>
      <c r="P1262" s="5">
        <v>27.72</v>
      </c>
      <c r="Q1262" s="5">
        <v>212.53</v>
      </c>
      <c r="R1262" s="5">
        <v>177.03</v>
      </c>
      <c r="S1262" s="5">
        <v>35.5</v>
      </c>
      <c r="T1262" s="7">
        <v>0.167035242083471</v>
      </c>
      <c r="U1262" t="s">
        <v>12</v>
      </c>
      <c r="V1262" t="s">
        <v>50</v>
      </c>
      <c r="W1262" t="s">
        <v>50</v>
      </c>
      <c r="X1262" t="s">
        <v>33</v>
      </c>
      <c r="Y1262" t="s">
        <v>3020</v>
      </c>
      <c r="Z1262" t="s">
        <v>80</v>
      </c>
    </row>
    <row r="1263" spans="1:26">
      <c r="A1263" t="s">
        <v>3170</v>
      </c>
      <c r="B1263" t="s">
        <v>3170</v>
      </c>
      <c r="C1263" s="4">
        <v>46004</v>
      </c>
      <c r="D1263">
        <v>2025</v>
      </c>
      <c r="E1263">
        <v>12</v>
      </c>
      <c r="F1263" t="s">
        <v>28</v>
      </c>
      <c r="G1263" t="s">
        <v>137</v>
      </c>
      <c r="H1263" t="s">
        <v>2367</v>
      </c>
      <c r="I1263" t="s">
        <v>207</v>
      </c>
      <c r="J1263" t="s">
        <v>882</v>
      </c>
      <c r="K1263" t="s">
        <v>1500</v>
      </c>
      <c r="L1263">
        <v>6</v>
      </c>
      <c r="M1263" s="5">
        <v>325.33</v>
      </c>
      <c r="N1263" s="6">
        <v>0</v>
      </c>
      <c r="O1263" s="5">
        <v>0</v>
      </c>
      <c r="P1263" s="5">
        <v>292.8</v>
      </c>
      <c r="Q1263" s="5">
        <v>2244.78</v>
      </c>
      <c r="R1263" s="5">
        <v>1559.58</v>
      </c>
      <c r="S1263" s="5">
        <v>685.2</v>
      </c>
      <c r="T1263" s="7">
        <v>0.305241493598482</v>
      </c>
      <c r="U1263" t="s">
        <v>12</v>
      </c>
      <c r="V1263" t="s">
        <v>50</v>
      </c>
      <c r="W1263" t="s">
        <v>50</v>
      </c>
      <c r="X1263" t="s">
        <v>33</v>
      </c>
      <c r="Y1263" t="s">
        <v>3171</v>
      </c>
      <c r="Z1263" t="s">
        <v>80</v>
      </c>
    </row>
    <row r="1264" spans="1:26">
      <c r="A1264" t="s">
        <v>3172</v>
      </c>
      <c r="B1264" t="s">
        <v>3172</v>
      </c>
      <c r="C1264" s="4">
        <v>45748</v>
      </c>
      <c r="D1264">
        <v>2025</v>
      </c>
      <c r="E1264">
        <v>4</v>
      </c>
      <c r="F1264" t="s">
        <v>20</v>
      </c>
      <c r="G1264" t="s">
        <v>74</v>
      </c>
      <c r="H1264" t="s">
        <v>3173</v>
      </c>
      <c r="I1264" t="s">
        <v>574</v>
      </c>
      <c r="J1264" t="s">
        <v>47</v>
      </c>
      <c r="K1264" t="s">
        <v>1197</v>
      </c>
      <c r="L1264">
        <v>3</v>
      </c>
      <c r="M1264" s="5">
        <v>125.15</v>
      </c>
      <c r="N1264" s="6">
        <v>0</v>
      </c>
      <c r="O1264" s="5">
        <v>0</v>
      </c>
      <c r="P1264" s="5">
        <v>56.32</v>
      </c>
      <c r="Q1264" s="5">
        <v>375.45</v>
      </c>
      <c r="R1264" s="5">
        <v>287.1</v>
      </c>
      <c r="S1264" s="5">
        <v>88.35</v>
      </c>
      <c r="T1264" s="7">
        <v>0.235317618857371</v>
      </c>
      <c r="U1264" t="s">
        <v>10</v>
      </c>
      <c r="V1264" t="s">
        <v>50</v>
      </c>
      <c r="W1264" t="s">
        <v>50</v>
      </c>
      <c r="X1264" t="s">
        <v>35</v>
      </c>
      <c r="Y1264" t="s">
        <v>2913</v>
      </c>
      <c r="Z1264" t="s">
        <v>101</v>
      </c>
    </row>
    <row r="1265" spans="1:26">
      <c r="A1265" t="s">
        <v>3174</v>
      </c>
      <c r="B1265" t="s">
        <v>3174</v>
      </c>
      <c r="C1265" s="4">
        <v>46073</v>
      </c>
      <c r="D1265">
        <v>2026</v>
      </c>
      <c r="E1265">
        <v>2</v>
      </c>
      <c r="F1265" t="s">
        <v>31</v>
      </c>
      <c r="G1265" t="s">
        <v>82</v>
      </c>
      <c r="H1265" t="s">
        <v>1591</v>
      </c>
      <c r="I1265" t="s">
        <v>312</v>
      </c>
      <c r="J1265" t="s">
        <v>2086</v>
      </c>
      <c r="K1265" t="s">
        <v>2031</v>
      </c>
      <c r="L1265">
        <v>1</v>
      </c>
      <c r="M1265" s="5">
        <v>383.51</v>
      </c>
      <c r="N1265" s="6">
        <v>20</v>
      </c>
      <c r="O1265" s="5">
        <v>76.7</v>
      </c>
      <c r="P1265" s="5">
        <v>46.02</v>
      </c>
      <c r="Q1265" s="5">
        <v>306.81</v>
      </c>
      <c r="R1265" s="5">
        <v>285.9</v>
      </c>
      <c r="S1265" s="5">
        <v>20.91</v>
      </c>
      <c r="T1265" s="7">
        <v>0.0681529285225384</v>
      </c>
      <c r="U1265" t="s">
        <v>11</v>
      </c>
      <c r="V1265" t="s">
        <v>50</v>
      </c>
      <c r="W1265" t="s">
        <v>50</v>
      </c>
      <c r="X1265" t="s">
        <v>33</v>
      </c>
      <c r="Y1265" t="s">
        <v>288</v>
      </c>
      <c r="Z1265" t="s">
        <v>101</v>
      </c>
    </row>
    <row r="1266" spans="1:26">
      <c r="A1266" t="s">
        <v>3175</v>
      </c>
      <c r="B1266" t="s">
        <v>3175</v>
      </c>
      <c r="C1266" s="4">
        <v>45934</v>
      </c>
      <c r="D1266">
        <v>2025</v>
      </c>
      <c r="E1266">
        <v>10</v>
      </c>
      <c r="F1266" t="s">
        <v>26</v>
      </c>
      <c r="G1266" t="s">
        <v>137</v>
      </c>
      <c r="H1266" t="s">
        <v>1641</v>
      </c>
      <c r="I1266" t="s">
        <v>543</v>
      </c>
      <c r="J1266" t="s">
        <v>85</v>
      </c>
      <c r="K1266" t="s">
        <v>86</v>
      </c>
      <c r="L1266">
        <v>3</v>
      </c>
      <c r="M1266" s="5">
        <v>401.06</v>
      </c>
      <c r="N1266" s="6">
        <v>5</v>
      </c>
      <c r="O1266" s="5">
        <v>60.16</v>
      </c>
      <c r="P1266" s="5">
        <v>171.45</v>
      </c>
      <c r="Q1266" s="5">
        <v>1314.47</v>
      </c>
      <c r="R1266" s="5">
        <v>1042.41</v>
      </c>
      <c r="S1266" s="5">
        <v>272.06</v>
      </c>
      <c r="T1266" s="7">
        <v>0.206973152677505</v>
      </c>
      <c r="U1266" t="s">
        <v>14</v>
      </c>
      <c r="V1266" t="s">
        <v>50</v>
      </c>
      <c r="W1266" t="s">
        <v>50</v>
      </c>
      <c r="X1266" t="s">
        <v>33</v>
      </c>
      <c r="Y1266" t="s">
        <v>1699</v>
      </c>
      <c r="Z1266" t="s">
        <v>80</v>
      </c>
    </row>
    <row r="1267" spans="1:26">
      <c r="A1267" t="s">
        <v>3176</v>
      </c>
      <c r="B1267" t="s">
        <v>3176</v>
      </c>
      <c r="C1267" s="4">
        <v>46014</v>
      </c>
      <c r="D1267">
        <v>2025</v>
      </c>
      <c r="E1267">
        <v>12</v>
      </c>
      <c r="F1267" t="s">
        <v>28</v>
      </c>
      <c r="G1267" t="s">
        <v>137</v>
      </c>
      <c r="H1267" t="s">
        <v>2367</v>
      </c>
      <c r="I1267" t="s">
        <v>598</v>
      </c>
      <c r="J1267" t="s">
        <v>170</v>
      </c>
      <c r="K1267" t="s">
        <v>643</v>
      </c>
      <c r="L1267">
        <v>4</v>
      </c>
      <c r="M1267" s="5">
        <v>522.72</v>
      </c>
      <c r="N1267" s="6">
        <v>0</v>
      </c>
      <c r="O1267" s="5">
        <v>0</v>
      </c>
      <c r="P1267" s="5">
        <v>313.63</v>
      </c>
      <c r="Q1267" s="5">
        <v>2090.88</v>
      </c>
      <c r="R1267" s="5">
        <v>1462.28</v>
      </c>
      <c r="S1267" s="5">
        <v>628.6</v>
      </c>
      <c r="T1267" s="7">
        <v>0.300638965411693</v>
      </c>
      <c r="U1267" t="s">
        <v>12</v>
      </c>
      <c r="V1267" t="s">
        <v>51</v>
      </c>
      <c r="W1267" t="s">
        <v>51</v>
      </c>
      <c r="X1267" t="s">
        <v>33</v>
      </c>
      <c r="Y1267" t="s">
        <v>2714</v>
      </c>
      <c r="Z1267" t="s">
        <v>101</v>
      </c>
    </row>
    <row r="1268" spans="1:26">
      <c r="A1268" t="s">
        <v>3177</v>
      </c>
      <c r="B1268" t="s">
        <v>3177</v>
      </c>
      <c r="C1268" s="4">
        <v>46111</v>
      </c>
      <c r="D1268">
        <v>2026</v>
      </c>
      <c r="E1268">
        <v>3</v>
      </c>
      <c r="F1268" t="s">
        <v>19</v>
      </c>
      <c r="G1268" t="s">
        <v>82</v>
      </c>
      <c r="H1268" t="s">
        <v>1478</v>
      </c>
      <c r="I1268" t="s">
        <v>2993</v>
      </c>
      <c r="J1268" t="s">
        <v>659</v>
      </c>
      <c r="K1268" t="s">
        <v>989</v>
      </c>
      <c r="L1268">
        <v>6</v>
      </c>
      <c r="M1268" s="5">
        <v>467.95</v>
      </c>
      <c r="N1268" s="6">
        <v>20</v>
      </c>
      <c r="O1268" s="5">
        <v>561.54</v>
      </c>
      <c r="P1268" s="5">
        <v>336.92</v>
      </c>
      <c r="Q1268" s="5">
        <v>2246.16</v>
      </c>
      <c r="R1268" s="5">
        <v>1885.56</v>
      </c>
      <c r="S1268" s="5">
        <v>360.6</v>
      </c>
      <c r="T1268" s="7">
        <v>0.160540656052997</v>
      </c>
      <c r="U1268" t="s">
        <v>10</v>
      </c>
      <c r="V1268" t="s">
        <v>50</v>
      </c>
      <c r="W1268" t="s">
        <v>50</v>
      </c>
      <c r="X1268" t="s">
        <v>33</v>
      </c>
      <c r="Y1268" t="s">
        <v>2520</v>
      </c>
      <c r="Z1268" t="s">
        <v>101</v>
      </c>
    </row>
    <row r="1269" spans="1:26">
      <c r="A1269" t="s">
        <v>3178</v>
      </c>
      <c r="B1269" t="s">
        <v>3178</v>
      </c>
      <c r="C1269" s="4">
        <v>45885</v>
      </c>
      <c r="D1269">
        <v>2025</v>
      </c>
      <c r="E1269">
        <v>8</v>
      </c>
      <c r="F1269" t="s">
        <v>24</v>
      </c>
      <c r="G1269" t="s">
        <v>89</v>
      </c>
      <c r="H1269" t="s">
        <v>1338</v>
      </c>
      <c r="I1269" t="s">
        <v>219</v>
      </c>
      <c r="J1269" t="s">
        <v>1127</v>
      </c>
      <c r="K1269" t="s">
        <v>1220</v>
      </c>
      <c r="L1269">
        <v>5</v>
      </c>
      <c r="M1269" s="5">
        <v>225.45</v>
      </c>
      <c r="N1269" s="6">
        <v>0</v>
      </c>
      <c r="O1269" s="5">
        <v>0</v>
      </c>
      <c r="P1269" s="5">
        <v>169.09</v>
      </c>
      <c r="Q1269" s="5">
        <v>1296.34</v>
      </c>
      <c r="R1269" s="5">
        <v>954.5</v>
      </c>
      <c r="S1269" s="5">
        <v>341.84</v>
      </c>
      <c r="T1269" s="7">
        <v>0.263696252526343</v>
      </c>
      <c r="U1269" t="s">
        <v>11</v>
      </c>
      <c r="V1269" t="s">
        <v>50</v>
      </c>
      <c r="W1269" t="s">
        <v>50</v>
      </c>
      <c r="X1269" t="s">
        <v>34</v>
      </c>
      <c r="Y1269" t="s">
        <v>2165</v>
      </c>
      <c r="Z1269" t="s">
        <v>80</v>
      </c>
    </row>
    <row r="1270" spans="1:26">
      <c r="A1270" t="s">
        <v>3179</v>
      </c>
      <c r="B1270" t="s">
        <v>3179</v>
      </c>
      <c r="C1270" s="4">
        <v>45956</v>
      </c>
      <c r="D1270">
        <v>2025</v>
      </c>
      <c r="E1270">
        <v>10</v>
      </c>
      <c r="F1270" t="s">
        <v>26</v>
      </c>
      <c r="G1270" t="s">
        <v>137</v>
      </c>
      <c r="H1270" t="s">
        <v>3104</v>
      </c>
      <c r="I1270" t="s">
        <v>338</v>
      </c>
      <c r="J1270" t="s">
        <v>45</v>
      </c>
      <c r="K1270" t="s">
        <v>1351</v>
      </c>
      <c r="L1270">
        <v>4</v>
      </c>
      <c r="M1270" s="5">
        <v>211.08</v>
      </c>
      <c r="N1270" s="6">
        <v>0</v>
      </c>
      <c r="O1270" s="5">
        <v>0</v>
      </c>
      <c r="P1270" s="5">
        <v>126.65</v>
      </c>
      <c r="Q1270" s="5">
        <v>970.97</v>
      </c>
      <c r="R1270" s="5">
        <v>622.6</v>
      </c>
      <c r="S1270" s="5">
        <v>348.37</v>
      </c>
      <c r="T1270" s="7">
        <v>0.358785544352555</v>
      </c>
      <c r="U1270" t="s">
        <v>9</v>
      </c>
      <c r="V1270" t="s">
        <v>50</v>
      </c>
      <c r="W1270" t="s">
        <v>50</v>
      </c>
      <c r="X1270" t="s">
        <v>34</v>
      </c>
      <c r="Y1270" t="s">
        <v>432</v>
      </c>
      <c r="Z1270" t="s">
        <v>80</v>
      </c>
    </row>
    <row r="1271" spans="1:26">
      <c r="A1271" t="s">
        <v>3180</v>
      </c>
      <c r="B1271" t="s">
        <v>3180</v>
      </c>
      <c r="C1271" s="4">
        <v>45863</v>
      </c>
      <c r="D1271">
        <v>2025</v>
      </c>
      <c r="E1271">
        <v>7</v>
      </c>
      <c r="F1271" t="s">
        <v>23</v>
      </c>
      <c r="G1271" t="s">
        <v>89</v>
      </c>
      <c r="H1271" t="s">
        <v>1236</v>
      </c>
      <c r="I1271" t="s">
        <v>356</v>
      </c>
      <c r="J1271" t="s">
        <v>435</v>
      </c>
      <c r="K1271" t="s">
        <v>436</v>
      </c>
      <c r="L1271">
        <v>5</v>
      </c>
      <c r="M1271" s="5">
        <v>482.65</v>
      </c>
      <c r="N1271" s="6">
        <v>0</v>
      </c>
      <c r="O1271" s="5">
        <v>0</v>
      </c>
      <c r="P1271" s="5">
        <v>361.99</v>
      </c>
      <c r="Q1271" s="5">
        <v>2413.25</v>
      </c>
      <c r="R1271" s="5">
        <v>1414.4</v>
      </c>
      <c r="S1271" s="5">
        <v>998.85</v>
      </c>
      <c r="T1271" s="7">
        <v>0.413902413757381</v>
      </c>
      <c r="U1271" t="s">
        <v>11</v>
      </c>
      <c r="V1271" t="s">
        <v>50</v>
      </c>
      <c r="W1271" t="s">
        <v>50</v>
      </c>
      <c r="X1271" t="s">
        <v>33</v>
      </c>
      <c r="Y1271" t="s">
        <v>1569</v>
      </c>
      <c r="Z1271" t="s">
        <v>101</v>
      </c>
    </row>
    <row r="1272" spans="1:26">
      <c r="A1272" t="s">
        <v>3181</v>
      </c>
      <c r="B1272" t="s">
        <v>3181</v>
      </c>
      <c r="C1272" s="4">
        <v>45801</v>
      </c>
      <c r="D1272">
        <v>2025</v>
      </c>
      <c r="E1272">
        <v>5</v>
      </c>
      <c r="F1272" t="s">
        <v>21</v>
      </c>
      <c r="G1272" t="s">
        <v>74</v>
      </c>
      <c r="H1272" t="s">
        <v>394</v>
      </c>
      <c r="I1272" t="s">
        <v>854</v>
      </c>
      <c r="J1272" t="s">
        <v>42</v>
      </c>
      <c r="K1272" t="s">
        <v>619</v>
      </c>
      <c r="L1272">
        <v>8</v>
      </c>
      <c r="M1272" s="5">
        <v>582.47</v>
      </c>
      <c r="N1272" s="6">
        <v>0</v>
      </c>
      <c r="O1272" s="5">
        <v>0</v>
      </c>
      <c r="P1272" s="5">
        <v>698.96</v>
      </c>
      <c r="Q1272" s="5">
        <v>5358.72</v>
      </c>
      <c r="R1272" s="5">
        <v>3033.52</v>
      </c>
      <c r="S1272" s="5">
        <v>2325.2</v>
      </c>
      <c r="T1272" s="7">
        <v>0.433909590349934</v>
      </c>
      <c r="U1272" t="s">
        <v>12</v>
      </c>
      <c r="V1272" t="s">
        <v>50</v>
      </c>
      <c r="W1272" t="s">
        <v>50</v>
      </c>
      <c r="X1272" t="s">
        <v>33</v>
      </c>
      <c r="Y1272" t="s">
        <v>3182</v>
      </c>
      <c r="Z1272" t="s">
        <v>80</v>
      </c>
    </row>
    <row r="1273" spans="1:26">
      <c r="A1273" t="s">
        <v>3183</v>
      </c>
      <c r="B1273" t="s">
        <v>3183</v>
      </c>
      <c r="C1273" s="4">
        <v>45765</v>
      </c>
      <c r="D1273">
        <v>2025</v>
      </c>
      <c r="E1273">
        <v>4</v>
      </c>
      <c r="F1273" t="s">
        <v>20</v>
      </c>
      <c r="G1273" t="s">
        <v>74</v>
      </c>
      <c r="H1273" t="s">
        <v>571</v>
      </c>
      <c r="I1273" t="s">
        <v>623</v>
      </c>
      <c r="J1273" t="s">
        <v>665</v>
      </c>
      <c r="K1273" t="s">
        <v>1165</v>
      </c>
      <c r="L1273">
        <v>3</v>
      </c>
      <c r="M1273" s="5">
        <v>139.21</v>
      </c>
      <c r="N1273" s="6">
        <v>0</v>
      </c>
      <c r="O1273" s="5">
        <v>0</v>
      </c>
      <c r="P1273" s="5">
        <v>62.64</v>
      </c>
      <c r="Q1273" s="5">
        <v>417.63</v>
      </c>
      <c r="R1273" s="5">
        <v>320.97</v>
      </c>
      <c r="S1273" s="5">
        <v>96.66</v>
      </c>
      <c r="T1273" s="7">
        <v>0.231448890165936</v>
      </c>
      <c r="U1273" t="s">
        <v>10</v>
      </c>
      <c r="V1273" t="s">
        <v>50</v>
      </c>
      <c r="W1273" t="s">
        <v>50</v>
      </c>
      <c r="X1273" t="s">
        <v>33</v>
      </c>
      <c r="Y1273" t="s">
        <v>1815</v>
      </c>
      <c r="Z1273" t="s">
        <v>101</v>
      </c>
    </row>
    <row r="1274" spans="1:26">
      <c r="A1274" t="s">
        <v>3184</v>
      </c>
      <c r="B1274" t="s">
        <v>3184</v>
      </c>
      <c r="C1274" s="4">
        <v>45990</v>
      </c>
      <c r="D1274">
        <v>2025</v>
      </c>
      <c r="E1274">
        <v>11</v>
      </c>
      <c r="F1274" t="s">
        <v>27</v>
      </c>
      <c r="G1274" t="s">
        <v>137</v>
      </c>
      <c r="H1274" t="s">
        <v>2922</v>
      </c>
      <c r="I1274" t="s">
        <v>583</v>
      </c>
      <c r="J1274" t="s">
        <v>202</v>
      </c>
      <c r="K1274" t="s">
        <v>203</v>
      </c>
      <c r="L1274">
        <v>4</v>
      </c>
      <c r="M1274" s="5">
        <v>251.73</v>
      </c>
      <c r="N1274" s="6">
        <v>20</v>
      </c>
      <c r="O1274" s="5">
        <v>201.38</v>
      </c>
      <c r="P1274" s="5">
        <v>120.83</v>
      </c>
      <c r="Q1274" s="5">
        <v>926.37</v>
      </c>
      <c r="R1274" s="5">
        <v>842.08</v>
      </c>
      <c r="S1274" s="5">
        <v>84.29</v>
      </c>
      <c r="T1274" s="7">
        <v>0.0909895614063495</v>
      </c>
      <c r="U1274" t="s">
        <v>14</v>
      </c>
      <c r="V1274" t="s">
        <v>50</v>
      </c>
      <c r="W1274" t="s">
        <v>50</v>
      </c>
      <c r="X1274" t="s">
        <v>33</v>
      </c>
      <c r="Y1274" t="s">
        <v>1111</v>
      </c>
      <c r="Z1274" t="s">
        <v>80</v>
      </c>
    </row>
    <row r="1275" spans="1:26">
      <c r="A1275" t="s">
        <v>3185</v>
      </c>
      <c r="B1275" t="s">
        <v>3185</v>
      </c>
      <c r="C1275" s="4">
        <v>45838</v>
      </c>
      <c r="D1275">
        <v>2025</v>
      </c>
      <c r="E1275">
        <v>6</v>
      </c>
      <c r="F1275" t="s">
        <v>22</v>
      </c>
      <c r="G1275" t="s">
        <v>74</v>
      </c>
      <c r="H1275" t="s">
        <v>2173</v>
      </c>
      <c r="I1275" t="s">
        <v>547</v>
      </c>
      <c r="J1275" t="s">
        <v>1377</v>
      </c>
      <c r="K1275" t="s">
        <v>2036</v>
      </c>
      <c r="L1275">
        <v>7</v>
      </c>
      <c r="M1275" s="5">
        <v>547.8</v>
      </c>
      <c r="N1275" s="6">
        <v>0</v>
      </c>
      <c r="O1275" s="5">
        <v>0</v>
      </c>
      <c r="P1275" s="5">
        <v>575.19</v>
      </c>
      <c r="Q1275" s="5">
        <v>3834.6</v>
      </c>
      <c r="R1275" s="5">
        <v>2728.6</v>
      </c>
      <c r="S1275" s="5">
        <v>1106</v>
      </c>
      <c r="T1275" s="7">
        <v>0.288426433004746</v>
      </c>
      <c r="U1275" t="s">
        <v>12</v>
      </c>
      <c r="V1275" t="s">
        <v>50</v>
      </c>
      <c r="W1275" t="s">
        <v>50</v>
      </c>
      <c r="X1275" t="s">
        <v>33</v>
      </c>
      <c r="Y1275" t="s">
        <v>87</v>
      </c>
      <c r="Z1275" t="s">
        <v>101</v>
      </c>
    </row>
    <row r="1276" spans="1:26">
      <c r="A1276" t="s">
        <v>3186</v>
      </c>
      <c r="B1276" t="s">
        <v>3186</v>
      </c>
      <c r="C1276" s="4">
        <v>45911</v>
      </c>
      <c r="D1276">
        <v>2025</v>
      </c>
      <c r="E1276">
        <v>9</v>
      </c>
      <c r="F1276" t="s">
        <v>25</v>
      </c>
      <c r="G1276" t="s">
        <v>89</v>
      </c>
      <c r="H1276" t="s">
        <v>3187</v>
      </c>
      <c r="I1276" t="s">
        <v>235</v>
      </c>
      <c r="J1276" t="s">
        <v>1014</v>
      </c>
      <c r="K1276" t="s">
        <v>1015</v>
      </c>
      <c r="L1276">
        <v>5</v>
      </c>
      <c r="M1276" s="5">
        <v>219.52</v>
      </c>
      <c r="N1276" s="6">
        <v>10</v>
      </c>
      <c r="O1276" s="5">
        <v>109.76</v>
      </c>
      <c r="P1276" s="5">
        <v>148.18</v>
      </c>
      <c r="Q1276" s="5">
        <v>987.84</v>
      </c>
      <c r="R1276" s="5">
        <v>885.15</v>
      </c>
      <c r="S1276" s="5">
        <v>102.69</v>
      </c>
      <c r="T1276" s="7">
        <v>0.103954081632653</v>
      </c>
      <c r="U1276" t="s">
        <v>12</v>
      </c>
      <c r="V1276" t="s">
        <v>50</v>
      </c>
      <c r="W1276" t="s">
        <v>50</v>
      </c>
      <c r="X1276" t="s">
        <v>33</v>
      </c>
      <c r="Y1276" t="s">
        <v>1077</v>
      </c>
      <c r="Z1276" t="s">
        <v>101</v>
      </c>
    </row>
    <row r="1277" spans="1:26">
      <c r="A1277" t="s">
        <v>3188</v>
      </c>
      <c r="B1277" t="s">
        <v>3188</v>
      </c>
      <c r="C1277" s="4">
        <v>45921</v>
      </c>
      <c r="D1277">
        <v>2025</v>
      </c>
      <c r="E1277">
        <v>9</v>
      </c>
      <c r="F1277" t="s">
        <v>25</v>
      </c>
      <c r="G1277" t="s">
        <v>89</v>
      </c>
      <c r="H1277" t="s">
        <v>2377</v>
      </c>
      <c r="I1277" t="s">
        <v>574</v>
      </c>
      <c r="J1277" t="s">
        <v>445</v>
      </c>
      <c r="K1277" t="s">
        <v>446</v>
      </c>
      <c r="L1277">
        <v>4</v>
      </c>
      <c r="M1277" s="5">
        <v>125.15</v>
      </c>
      <c r="N1277" s="6">
        <v>5</v>
      </c>
      <c r="O1277" s="5">
        <v>25.03</v>
      </c>
      <c r="P1277" s="5">
        <v>71.34</v>
      </c>
      <c r="Q1277" s="5">
        <v>546.91</v>
      </c>
      <c r="R1277" s="5">
        <v>382.8</v>
      </c>
      <c r="S1277" s="5">
        <v>164.11</v>
      </c>
      <c r="T1277" s="7">
        <v>0.300067652813077</v>
      </c>
      <c r="U1277" t="s">
        <v>13</v>
      </c>
      <c r="V1277" t="s">
        <v>50</v>
      </c>
      <c r="W1277" t="s">
        <v>50</v>
      </c>
      <c r="X1277" t="s">
        <v>35</v>
      </c>
      <c r="Y1277" t="s">
        <v>3189</v>
      </c>
      <c r="Z1277" t="s">
        <v>80</v>
      </c>
    </row>
    <row r="1278" spans="1:26">
      <c r="A1278" t="s">
        <v>3190</v>
      </c>
      <c r="B1278" t="s">
        <v>3190</v>
      </c>
      <c r="C1278" s="4">
        <v>45813</v>
      </c>
      <c r="D1278">
        <v>2025</v>
      </c>
      <c r="E1278">
        <v>6</v>
      </c>
      <c r="F1278" t="s">
        <v>22</v>
      </c>
      <c r="G1278" t="s">
        <v>74</v>
      </c>
      <c r="H1278" t="s">
        <v>897</v>
      </c>
      <c r="I1278" t="s">
        <v>312</v>
      </c>
      <c r="J1278" t="s">
        <v>2044</v>
      </c>
      <c r="K1278" t="s">
        <v>1891</v>
      </c>
      <c r="L1278">
        <v>8</v>
      </c>
      <c r="M1278" s="5">
        <v>420.05</v>
      </c>
      <c r="N1278" s="6">
        <v>10</v>
      </c>
      <c r="O1278" s="5">
        <v>336.04</v>
      </c>
      <c r="P1278" s="5">
        <v>453.65</v>
      </c>
      <c r="Q1278" s="5">
        <v>3024.36</v>
      </c>
      <c r="R1278" s="5">
        <v>2287.2</v>
      </c>
      <c r="S1278" s="5">
        <v>737.16</v>
      </c>
      <c r="T1278" s="7">
        <v>0.243740824505019</v>
      </c>
      <c r="U1278" t="s">
        <v>9</v>
      </c>
      <c r="V1278" t="s">
        <v>50</v>
      </c>
      <c r="W1278" t="s">
        <v>50</v>
      </c>
      <c r="X1278" t="s">
        <v>34</v>
      </c>
      <c r="Y1278" t="s">
        <v>2704</v>
      </c>
      <c r="Z1278" t="s">
        <v>101</v>
      </c>
    </row>
    <row r="1279" spans="1:26">
      <c r="A1279" t="s">
        <v>3191</v>
      </c>
      <c r="B1279" t="s">
        <v>3191</v>
      </c>
      <c r="C1279" s="4">
        <v>45955</v>
      </c>
      <c r="D1279">
        <v>2025</v>
      </c>
      <c r="E1279">
        <v>10</v>
      </c>
      <c r="F1279" t="s">
        <v>26</v>
      </c>
      <c r="G1279" t="s">
        <v>137</v>
      </c>
      <c r="H1279" t="s">
        <v>521</v>
      </c>
      <c r="I1279" t="s">
        <v>583</v>
      </c>
      <c r="J1279" t="s">
        <v>307</v>
      </c>
      <c r="K1279" t="s">
        <v>308</v>
      </c>
      <c r="L1279">
        <v>6</v>
      </c>
      <c r="M1279" s="5">
        <v>283.7</v>
      </c>
      <c r="N1279" s="6">
        <v>20</v>
      </c>
      <c r="O1279" s="5">
        <v>340.44</v>
      </c>
      <c r="P1279" s="5">
        <v>204.26</v>
      </c>
      <c r="Q1279" s="5">
        <v>1566.02</v>
      </c>
      <c r="R1279" s="5">
        <v>1263.12</v>
      </c>
      <c r="S1279" s="5">
        <v>302.9</v>
      </c>
      <c r="T1279" s="7">
        <v>0.193420262831892</v>
      </c>
      <c r="U1279" t="s">
        <v>11</v>
      </c>
      <c r="V1279" t="s">
        <v>50</v>
      </c>
      <c r="W1279" t="s">
        <v>50</v>
      </c>
      <c r="X1279" t="s">
        <v>33</v>
      </c>
      <c r="Y1279" t="s">
        <v>500</v>
      </c>
      <c r="Z1279" t="s">
        <v>80</v>
      </c>
    </row>
    <row r="1280" spans="1:26">
      <c r="A1280" t="s">
        <v>3192</v>
      </c>
      <c r="B1280" t="s">
        <v>3192</v>
      </c>
      <c r="C1280" s="4">
        <v>45922</v>
      </c>
      <c r="D1280">
        <v>2025</v>
      </c>
      <c r="E1280">
        <v>9</v>
      </c>
      <c r="F1280" t="s">
        <v>25</v>
      </c>
      <c r="G1280" t="s">
        <v>89</v>
      </c>
      <c r="H1280" t="s">
        <v>886</v>
      </c>
      <c r="I1280" t="s">
        <v>110</v>
      </c>
      <c r="J1280" t="s">
        <v>1718</v>
      </c>
      <c r="K1280" t="s">
        <v>1431</v>
      </c>
      <c r="L1280">
        <v>2</v>
      </c>
      <c r="M1280" s="5">
        <v>342.46</v>
      </c>
      <c r="N1280" s="6">
        <v>0</v>
      </c>
      <c r="O1280" s="5">
        <v>0</v>
      </c>
      <c r="P1280" s="5">
        <v>102.74</v>
      </c>
      <c r="Q1280" s="5">
        <v>684.92</v>
      </c>
      <c r="R1280" s="5">
        <v>543.56</v>
      </c>
      <c r="S1280" s="5">
        <v>141.36</v>
      </c>
      <c r="T1280" s="7">
        <v>0.206389067336331</v>
      </c>
      <c r="U1280" t="s">
        <v>12</v>
      </c>
      <c r="V1280" t="s">
        <v>50</v>
      </c>
      <c r="W1280" t="s">
        <v>50</v>
      </c>
      <c r="X1280" t="s">
        <v>34</v>
      </c>
      <c r="Y1280" t="s">
        <v>1298</v>
      </c>
      <c r="Z1280" t="s">
        <v>101</v>
      </c>
    </row>
    <row r="1281" spans="1:26">
      <c r="A1281" t="s">
        <v>3193</v>
      </c>
      <c r="B1281" t="s">
        <v>3193</v>
      </c>
      <c r="C1281" s="4">
        <v>45826</v>
      </c>
      <c r="D1281">
        <v>2025</v>
      </c>
      <c r="E1281">
        <v>6</v>
      </c>
      <c r="F1281" t="s">
        <v>22</v>
      </c>
      <c r="G1281" t="s">
        <v>74</v>
      </c>
      <c r="H1281" t="s">
        <v>3194</v>
      </c>
      <c r="I1281" t="s">
        <v>406</v>
      </c>
      <c r="J1281" t="s">
        <v>252</v>
      </c>
      <c r="K1281" t="s">
        <v>253</v>
      </c>
      <c r="L1281">
        <v>3</v>
      </c>
      <c r="M1281" s="5">
        <v>392.61</v>
      </c>
      <c r="N1281" s="6">
        <v>0</v>
      </c>
      <c r="O1281" s="5">
        <v>0</v>
      </c>
      <c r="P1281" s="5">
        <v>176.67</v>
      </c>
      <c r="Q1281" s="5">
        <v>1177.83</v>
      </c>
      <c r="R1281" s="5">
        <v>788.4</v>
      </c>
      <c r="S1281" s="5">
        <v>389.43</v>
      </c>
      <c r="T1281" s="7">
        <v>0.330633453045007</v>
      </c>
      <c r="U1281" t="s">
        <v>14</v>
      </c>
      <c r="V1281" t="s">
        <v>50</v>
      </c>
      <c r="W1281" t="s">
        <v>50</v>
      </c>
      <c r="X1281" t="s">
        <v>33</v>
      </c>
      <c r="Y1281" t="s">
        <v>1325</v>
      </c>
      <c r="Z1281" t="s">
        <v>101</v>
      </c>
    </row>
    <row r="1282" spans="1:26">
      <c r="A1282" t="s">
        <v>3195</v>
      </c>
      <c r="B1282" t="s">
        <v>3195</v>
      </c>
      <c r="C1282" s="4">
        <v>45821</v>
      </c>
      <c r="D1282">
        <v>2025</v>
      </c>
      <c r="E1282">
        <v>6</v>
      </c>
      <c r="F1282" t="s">
        <v>22</v>
      </c>
      <c r="G1282" t="s">
        <v>74</v>
      </c>
      <c r="H1282" t="s">
        <v>646</v>
      </c>
      <c r="I1282" t="s">
        <v>268</v>
      </c>
      <c r="J1282" t="s">
        <v>837</v>
      </c>
      <c r="K1282" t="s">
        <v>838</v>
      </c>
      <c r="L1282">
        <v>6</v>
      </c>
      <c r="M1282" s="5">
        <v>356.64</v>
      </c>
      <c r="N1282" s="6">
        <v>20</v>
      </c>
      <c r="O1282" s="5">
        <v>427.97</v>
      </c>
      <c r="P1282" s="5">
        <v>256.78</v>
      </c>
      <c r="Q1282" s="5">
        <v>1711.87</v>
      </c>
      <c r="R1282" s="5">
        <v>1231.62</v>
      </c>
      <c r="S1282" s="5">
        <v>480.25</v>
      </c>
      <c r="T1282" s="7">
        <v>0.280541162588281</v>
      </c>
      <c r="U1282" t="s">
        <v>9</v>
      </c>
      <c r="V1282" t="s">
        <v>50</v>
      </c>
      <c r="W1282" t="s">
        <v>50</v>
      </c>
      <c r="X1282" t="s">
        <v>33</v>
      </c>
      <c r="Y1282" t="s">
        <v>2375</v>
      </c>
      <c r="Z1282" t="s">
        <v>101</v>
      </c>
    </row>
    <row r="1283" spans="1:26">
      <c r="A1283" t="s">
        <v>3196</v>
      </c>
      <c r="B1283" t="s">
        <v>3196</v>
      </c>
      <c r="C1283" s="4">
        <v>45944</v>
      </c>
      <c r="D1283">
        <v>2025</v>
      </c>
      <c r="E1283">
        <v>10</v>
      </c>
      <c r="F1283" t="s">
        <v>26</v>
      </c>
      <c r="G1283" t="s">
        <v>137</v>
      </c>
      <c r="H1283" t="s">
        <v>1532</v>
      </c>
      <c r="I1283" t="s">
        <v>444</v>
      </c>
      <c r="J1283" t="s">
        <v>44</v>
      </c>
      <c r="K1283" t="s">
        <v>518</v>
      </c>
      <c r="L1283">
        <v>8</v>
      </c>
      <c r="M1283" s="5">
        <v>109.92</v>
      </c>
      <c r="N1283" s="6">
        <v>0</v>
      </c>
      <c r="O1283" s="5">
        <v>0</v>
      </c>
      <c r="P1283" s="5">
        <v>131.9</v>
      </c>
      <c r="Q1283" s="5">
        <v>879.36</v>
      </c>
      <c r="R1283" s="5">
        <v>688.4</v>
      </c>
      <c r="S1283" s="5">
        <v>190.96</v>
      </c>
      <c r="T1283" s="7">
        <v>0.217157933042213</v>
      </c>
      <c r="U1283" t="s">
        <v>9</v>
      </c>
      <c r="V1283" t="s">
        <v>50</v>
      </c>
      <c r="W1283" t="s">
        <v>50</v>
      </c>
      <c r="X1283" t="s">
        <v>33</v>
      </c>
      <c r="Y1283" t="s">
        <v>804</v>
      </c>
      <c r="Z1283" t="s">
        <v>101</v>
      </c>
    </row>
    <row r="1284" spans="1:26">
      <c r="A1284" t="s">
        <v>3197</v>
      </c>
      <c r="B1284" t="s">
        <v>3197</v>
      </c>
      <c r="C1284" s="4">
        <v>45997</v>
      </c>
      <c r="D1284">
        <v>2025</v>
      </c>
      <c r="E1284">
        <v>12</v>
      </c>
      <c r="F1284" t="s">
        <v>28</v>
      </c>
      <c r="G1284" t="s">
        <v>137</v>
      </c>
      <c r="H1284" t="s">
        <v>2397</v>
      </c>
      <c r="I1284" t="s">
        <v>2120</v>
      </c>
      <c r="J1284" t="s">
        <v>833</v>
      </c>
      <c r="K1284" t="s">
        <v>2003</v>
      </c>
      <c r="L1284">
        <v>5</v>
      </c>
      <c r="M1284" s="5">
        <v>392.68</v>
      </c>
      <c r="N1284" s="6">
        <v>0</v>
      </c>
      <c r="O1284" s="5">
        <v>0</v>
      </c>
      <c r="P1284" s="5">
        <v>294.51</v>
      </c>
      <c r="Q1284" s="5">
        <v>2257.91</v>
      </c>
      <c r="R1284" s="5">
        <v>1595.25</v>
      </c>
      <c r="S1284" s="5">
        <v>662.66</v>
      </c>
      <c r="T1284" s="7">
        <v>0.293483796962678</v>
      </c>
      <c r="U1284" t="s">
        <v>10</v>
      </c>
      <c r="V1284" t="s">
        <v>50</v>
      </c>
      <c r="W1284" t="s">
        <v>50</v>
      </c>
      <c r="X1284" t="s">
        <v>33</v>
      </c>
      <c r="Y1284" t="s">
        <v>3198</v>
      </c>
      <c r="Z1284" t="s">
        <v>80</v>
      </c>
    </row>
    <row r="1285" spans="1:26">
      <c r="A1285" t="s">
        <v>3199</v>
      </c>
      <c r="B1285" t="s">
        <v>3199</v>
      </c>
      <c r="C1285" s="4">
        <v>45915</v>
      </c>
      <c r="D1285">
        <v>2025</v>
      </c>
      <c r="E1285">
        <v>9</v>
      </c>
      <c r="F1285" t="s">
        <v>25</v>
      </c>
      <c r="G1285" t="s">
        <v>89</v>
      </c>
      <c r="H1285" t="s">
        <v>2464</v>
      </c>
      <c r="I1285" t="s">
        <v>323</v>
      </c>
      <c r="J1285" t="s">
        <v>676</v>
      </c>
      <c r="K1285" t="s">
        <v>1894</v>
      </c>
      <c r="L1285">
        <v>1</v>
      </c>
      <c r="M1285" s="5">
        <v>51.33</v>
      </c>
      <c r="N1285" s="6">
        <v>5</v>
      </c>
      <c r="O1285" s="5">
        <v>2.57</v>
      </c>
      <c r="P1285" s="5">
        <v>7.31</v>
      </c>
      <c r="Q1285" s="5">
        <v>48.76</v>
      </c>
      <c r="R1285" s="5">
        <v>37.48</v>
      </c>
      <c r="S1285" s="5">
        <v>11.28</v>
      </c>
      <c r="T1285" s="7">
        <v>0.231337161607875</v>
      </c>
      <c r="U1285" t="s">
        <v>11</v>
      </c>
      <c r="V1285" t="s">
        <v>50</v>
      </c>
      <c r="W1285" t="s">
        <v>50</v>
      </c>
      <c r="X1285" t="s">
        <v>33</v>
      </c>
      <c r="Y1285" t="s">
        <v>3200</v>
      </c>
      <c r="Z1285" t="s">
        <v>101</v>
      </c>
    </row>
    <row r="1286" spans="1:26">
      <c r="A1286" t="s">
        <v>3201</v>
      </c>
      <c r="B1286" t="s">
        <v>3201</v>
      </c>
      <c r="C1286" s="4">
        <v>45956</v>
      </c>
      <c r="D1286">
        <v>2025</v>
      </c>
      <c r="E1286">
        <v>10</v>
      </c>
      <c r="F1286" t="s">
        <v>26</v>
      </c>
      <c r="G1286" t="s">
        <v>137</v>
      </c>
      <c r="H1286" t="s">
        <v>2698</v>
      </c>
      <c r="I1286" t="s">
        <v>180</v>
      </c>
      <c r="J1286" t="s">
        <v>140</v>
      </c>
      <c r="K1286" t="s">
        <v>141</v>
      </c>
      <c r="L1286">
        <v>5</v>
      </c>
      <c r="M1286" s="5">
        <v>411.28</v>
      </c>
      <c r="N1286" s="6">
        <v>0</v>
      </c>
      <c r="O1286" s="5">
        <v>0</v>
      </c>
      <c r="P1286" s="5">
        <v>308.46</v>
      </c>
      <c r="Q1286" s="5">
        <v>2364.86</v>
      </c>
      <c r="R1286" s="5">
        <v>1465.25</v>
      </c>
      <c r="S1286" s="5">
        <v>899.61</v>
      </c>
      <c r="T1286" s="7">
        <v>0.380407296837868</v>
      </c>
      <c r="U1286" t="s">
        <v>10</v>
      </c>
      <c r="V1286" t="s">
        <v>50</v>
      </c>
      <c r="W1286" t="s">
        <v>50</v>
      </c>
      <c r="X1286" t="s">
        <v>33</v>
      </c>
      <c r="Y1286" t="s">
        <v>3131</v>
      </c>
      <c r="Z1286" t="s">
        <v>80</v>
      </c>
    </row>
    <row r="1287" spans="1:26">
      <c r="A1287" t="s">
        <v>3202</v>
      </c>
      <c r="B1287" t="s">
        <v>3202</v>
      </c>
      <c r="C1287" s="4">
        <v>46088</v>
      </c>
      <c r="D1287">
        <v>2026</v>
      </c>
      <c r="E1287">
        <v>3</v>
      </c>
      <c r="F1287" t="s">
        <v>19</v>
      </c>
      <c r="G1287" t="s">
        <v>82</v>
      </c>
      <c r="H1287" t="s">
        <v>622</v>
      </c>
      <c r="I1287" t="s">
        <v>547</v>
      </c>
      <c r="J1287" t="s">
        <v>1072</v>
      </c>
      <c r="K1287" t="s">
        <v>2347</v>
      </c>
      <c r="L1287">
        <v>7</v>
      </c>
      <c r="M1287" s="5">
        <v>531.25</v>
      </c>
      <c r="N1287" s="6">
        <v>15</v>
      </c>
      <c r="O1287" s="5">
        <v>557.81</v>
      </c>
      <c r="P1287" s="5">
        <v>474.14</v>
      </c>
      <c r="Q1287" s="5">
        <v>3635.08</v>
      </c>
      <c r="R1287" s="5">
        <v>2728.6</v>
      </c>
      <c r="S1287" s="5">
        <v>906.48</v>
      </c>
      <c r="T1287" s="7">
        <v>0.24937002761975</v>
      </c>
      <c r="U1287" t="s">
        <v>12</v>
      </c>
      <c r="V1287" t="s">
        <v>51</v>
      </c>
      <c r="W1287" t="s">
        <v>51</v>
      </c>
      <c r="X1287" t="s">
        <v>33</v>
      </c>
      <c r="Y1287" t="s">
        <v>2267</v>
      </c>
      <c r="Z1287" t="s">
        <v>80</v>
      </c>
    </row>
    <row r="1288" spans="1:26">
      <c r="A1288" t="s">
        <v>3203</v>
      </c>
      <c r="B1288" t="s">
        <v>3203</v>
      </c>
      <c r="C1288" s="4">
        <v>46057</v>
      </c>
      <c r="D1288">
        <v>2026</v>
      </c>
      <c r="E1288">
        <v>2</v>
      </c>
      <c r="F1288" t="s">
        <v>31</v>
      </c>
      <c r="G1288" t="s">
        <v>82</v>
      </c>
      <c r="H1288" t="s">
        <v>1140</v>
      </c>
      <c r="I1288" t="s">
        <v>1228</v>
      </c>
      <c r="J1288" t="s">
        <v>948</v>
      </c>
      <c r="K1288" t="s">
        <v>949</v>
      </c>
      <c r="L1288">
        <v>6</v>
      </c>
      <c r="M1288" s="5">
        <v>197.97</v>
      </c>
      <c r="N1288" s="6">
        <v>10</v>
      </c>
      <c r="O1288" s="5">
        <v>118.78</v>
      </c>
      <c r="P1288" s="5">
        <v>160.36</v>
      </c>
      <c r="Q1288" s="5">
        <v>1069.04</v>
      </c>
      <c r="R1288" s="5">
        <v>949.68</v>
      </c>
      <c r="S1288" s="5">
        <v>119.36</v>
      </c>
      <c r="T1288" s="7">
        <v>0.11165157524508</v>
      </c>
      <c r="U1288" t="s">
        <v>12</v>
      </c>
      <c r="V1288" t="s">
        <v>50</v>
      </c>
      <c r="W1288" t="s">
        <v>50</v>
      </c>
      <c r="X1288" t="s">
        <v>33</v>
      </c>
      <c r="Y1288" t="s">
        <v>2618</v>
      </c>
      <c r="Z1288" t="s">
        <v>101</v>
      </c>
    </row>
    <row r="1289" spans="1:26">
      <c r="A1289" t="s">
        <v>3204</v>
      </c>
      <c r="B1289" t="s">
        <v>3204</v>
      </c>
      <c r="C1289" s="4">
        <v>45976</v>
      </c>
      <c r="D1289">
        <v>2025</v>
      </c>
      <c r="E1289">
        <v>11</v>
      </c>
      <c r="F1289" t="s">
        <v>27</v>
      </c>
      <c r="G1289" t="s">
        <v>137</v>
      </c>
      <c r="H1289" t="s">
        <v>3045</v>
      </c>
      <c r="I1289" t="s">
        <v>793</v>
      </c>
      <c r="J1289" t="s">
        <v>140</v>
      </c>
      <c r="K1289" t="s">
        <v>141</v>
      </c>
      <c r="L1289">
        <v>3</v>
      </c>
      <c r="M1289" s="5">
        <v>158.04</v>
      </c>
      <c r="N1289" s="6">
        <v>20</v>
      </c>
      <c r="O1289" s="5">
        <v>94.82</v>
      </c>
      <c r="P1289" s="5">
        <v>56.9</v>
      </c>
      <c r="Q1289" s="5">
        <v>436.19</v>
      </c>
      <c r="R1289" s="5">
        <v>382.44</v>
      </c>
      <c r="S1289" s="5">
        <v>53.75</v>
      </c>
      <c r="T1289" s="7">
        <v>0.12322611705908</v>
      </c>
      <c r="U1289" t="s">
        <v>11</v>
      </c>
      <c r="V1289" t="s">
        <v>50</v>
      </c>
      <c r="W1289" t="s">
        <v>50</v>
      </c>
      <c r="X1289" t="s">
        <v>33</v>
      </c>
      <c r="Y1289" t="s">
        <v>2108</v>
      </c>
      <c r="Z1289" t="s">
        <v>80</v>
      </c>
    </row>
    <row r="1290" spans="1:26">
      <c r="A1290" t="s">
        <v>3205</v>
      </c>
      <c r="B1290" t="s">
        <v>3205</v>
      </c>
      <c r="C1290" s="4">
        <v>45878</v>
      </c>
      <c r="D1290">
        <v>2025</v>
      </c>
      <c r="E1290">
        <v>8</v>
      </c>
      <c r="F1290" t="s">
        <v>24</v>
      </c>
      <c r="G1290" t="s">
        <v>89</v>
      </c>
      <c r="H1290" t="s">
        <v>1115</v>
      </c>
      <c r="I1290" t="s">
        <v>547</v>
      </c>
      <c r="J1290" t="s">
        <v>269</v>
      </c>
      <c r="K1290" t="s">
        <v>287</v>
      </c>
      <c r="L1290">
        <v>3</v>
      </c>
      <c r="M1290" s="5">
        <v>503.36</v>
      </c>
      <c r="N1290" s="6">
        <v>10</v>
      </c>
      <c r="O1290" s="5">
        <v>151.01</v>
      </c>
      <c r="P1290" s="5">
        <v>203.86</v>
      </c>
      <c r="Q1290" s="5">
        <v>1562.93</v>
      </c>
      <c r="R1290" s="5">
        <v>1169.4</v>
      </c>
      <c r="S1290" s="5">
        <v>393.53</v>
      </c>
      <c r="T1290" s="7">
        <v>0.251789907417479</v>
      </c>
      <c r="U1290" t="s">
        <v>14</v>
      </c>
      <c r="V1290" t="s">
        <v>50</v>
      </c>
      <c r="W1290" t="s">
        <v>50</v>
      </c>
      <c r="X1290" t="s">
        <v>33</v>
      </c>
      <c r="Y1290" t="s">
        <v>3076</v>
      </c>
      <c r="Z1290" t="s">
        <v>80</v>
      </c>
    </row>
    <row r="1291" spans="1:26">
      <c r="A1291" t="s">
        <v>3206</v>
      </c>
      <c r="B1291" t="s">
        <v>3206</v>
      </c>
      <c r="C1291" s="4">
        <v>46055</v>
      </c>
      <c r="D1291">
        <v>2026</v>
      </c>
      <c r="E1291">
        <v>2</v>
      </c>
      <c r="F1291" t="s">
        <v>31</v>
      </c>
      <c r="G1291" t="s">
        <v>82</v>
      </c>
      <c r="H1291" t="s">
        <v>1587</v>
      </c>
      <c r="I1291" t="s">
        <v>476</v>
      </c>
      <c r="J1291" t="s">
        <v>2646</v>
      </c>
      <c r="K1291" t="s">
        <v>2647</v>
      </c>
      <c r="L1291">
        <v>8</v>
      </c>
      <c r="M1291" s="5">
        <v>306.43</v>
      </c>
      <c r="N1291" s="6">
        <v>0</v>
      </c>
      <c r="O1291" s="5">
        <v>0</v>
      </c>
      <c r="P1291" s="5">
        <v>367.72</v>
      </c>
      <c r="Q1291" s="5">
        <v>2451.44</v>
      </c>
      <c r="R1291" s="5">
        <v>2011.36</v>
      </c>
      <c r="S1291" s="5">
        <v>440.08</v>
      </c>
      <c r="T1291" s="7">
        <v>0.179518976601508</v>
      </c>
      <c r="U1291" t="s">
        <v>12</v>
      </c>
      <c r="V1291" t="s">
        <v>50</v>
      </c>
      <c r="W1291" t="s">
        <v>50</v>
      </c>
      <c r="X1291" t="s">
        <v>33</v>
      </c>
      <c r="Y1291" t="s">
        <v>2231</v>
      </c>
      <c r="Z1291" t="s">
        <v>101</v>
      </c>
    </row>
    <row r="1292" spans="1:26">
      <c r="A1292" t="s">
        <v>3207</v>
      </c>
      <c r="B1292" t="s">
        <v>3207</v>
      </c>
      <c r="C1292" s="4">
        <v>46018</v>
      </c>
      <c r="D1292">
        <v>2025</v>
      </c>
      <c r="E1292">
        <v>12</v>
      </c>
      <c r="F1292" t="s">
        <v>28</v>
      </c>
      <c r="G1292" t="s">
        <v>137</v>
      </c>
      <c r="H1292" t="s">
        <v>83</v>
      </c>
      <c r="I1292" t="s">
        <v>174</v>
      </c>
      <c r="J1292" t="s">
        <v>1657</v>
      </c>
      <c r="K1292" t="s">
        <v>1658</v>
      </c>
      <c r="L1292">
        <v>1</v>
      </c>
      <c r="M1292" s="5">
        <v>397.22</v>
      </c>
      <c r="N1292" s="6">
        <v>5</v>
      </c>
      <c r="O1292" s="5">
        <v>19.86</v>
      </c>
      <c r="P1292" s="5">
        <v>56.6</v>
      </c>
      <c r="Q1292" s="5">
        <v>433.96</v>
      </c>
      <c r="R1292" s="5">
        <v>319.37</v>
      </c>
      <c r="S1292" s="5">
        <v>114.59</v>
      </c>
      <c r="T1292" s="7">
        <v>0.264056595077887</v>
      </c>
      <c r="U1292" t="s">
        <v>11</v>
      </c>
      <c r="V1292" t="s">
        <v>50</v>
      </c>
      <c r="W1292" t="s">
        <v>50</v>
      </c>
      <c r="X1292" t="s">
        <v>35</v>
      </c>
      <c r="Y1292" t="s">
        <v>3101</v>
      </c>
      <c r="Z1292" t="s">
        <v>80</v>
      </c>
    </row>
    <row r="1293" spans="1:26">
      <c r="A1293" t="s">
        <v>3208</v>
      </c>
      <c r="B1293" t="s">
        <v>3208</v>
      </c>
      <c r="C1293" s="4">
        <v>45875</v>
      </c>
      <c r="D1293">
        <v>2025</v>
      </c>
      <c r="E1293">
        <v>8</v>
      </c>
      <c r="F1293" t="s">
        <v>24</v>
      </c>
      <c r="G1293" t="s">
        <v>89</v>
      </c>
      <c r="H1293" t="s">
        <v>2407</v>
      </c>
      <c r="I1293" t="s">
        <v>190</v>
      </c>
      <c r="J1293" t="s">
        <v>1440</v>
      </c>
      <c r="K1293" t="s">
        <v>1441</v>
      </c>
      <c r="L1293">
        <v>1</v>
      </c>
      <c r="M1293" s="5">
        <v>437.49</v>
      </c>
      <c r="N1293" s="6">
        <v>15</v>
      </c>
      <c r="O1293" s="5">
        <v>65.62</v>
      </c>
      <c r="P1293" s="5">
        <v>55.78</v>
      </c>
      <c r="Q1293" s="5">
        <v>371.87</v>
      </c>
      <c r="R1293" s="5">
        <v>265.44</v>
      </c>
      <c r="S1293" s="5">
        <v>106.43</v>
      </c>
      <c r="T1293" s="7">
        <v>0.2862021674241</v>
      </c>
      <c r="U1293" t="s">
        <v>12</v>
      </c>
      <c r="V1293" t="s">
        <v>51</v>
      </c>
      <c r="W1293" t="s">
        <v>51</v>
      </c>
      <c r="X1293" t="s">
        <v>33</v>
      </c>
      <c r="Y1293" t="s">
        <v>3209</v>
      </c>
      <c r="Z1293" t="s">
        <v>101</v>
      </c>
    </row>
    <row r="1294" spans="1:26">
      <c r="A1294" t="s">
        <v>3210</v>
      </c>
      <c r="B1294" t="s">
        <v>3210</v>
      </c>
      <c r="C1294" s="4">
        <v>45752</v>
      </c>
      <c r="D1294">
        <v>2025</v>
      </c>
      <c r="E1294">
        <v>4</v>
      </c>
      <c r="F1294" t="s">
        <v>20</v>
      </c>
      <c r="G1294" t="s">
        <v>74</v>
      </c>
      <c r="H1294" t="s">
        <v>912</v>
      </c>
      <c r="I1294" t="s">
        <v>1526</v>
      </c>
      <c r="J1294" t="s">
        <v>46</v>
      </c>
      <c r="K1294" t="s">
        <v>554</v>
      </c>
      <c r="L1294">
        <v>5</v>
      </c>
      <c r="M1294" s="5">
        <v>114.59</v>
      </c>
      <c r="N1294" s="6">
        <v>5</v>
      </c>
      <c r="O1294" s="5">
        <v>28.65</v>
      </c>
      <c r="P1294" s="5">
        <v>81.65</v>
      </c>
      <c r="Q1294" s="5">
        <v>625.95</v>
      </c>
      <c r="R1294" s="5">
        <v>443.6</v>
      </c>
      <c r="S1294" s="5">
        <v>182.35</v>
      </c>
      <c r="T1294" s="7">
        <v>0.291317197859254</v>
      </c>
      <c r="U1294" t="s">
        <v>14</v>
      </c>
      <c r="V1294" t="s">
        <v>50</v>
      </c>
      <c r="W1294" t="s">
        <v>50</v>
      </c>
      <c r="X1294" t="s">
        <v>33</v>
      </c>
      <c r="Y1294" t="s">
        <v>788</v>
      </c>
      <c r="Z1294" t="s">
        <v>80</v>
      </c>
    </row>
    <row r="1295" spans="1:26">
      <c r="A1295" t="s">
        <v>3211</v>
      </c>
      <c r="B1295" t="s">
        <v>3211</v>
      </c>
      <c r="C1295" s="4">
        <v>45946</v>
      </c>
      <c r="D1295">
        <v>2025</v>
      </c>
      <c r="E1295">
        <v>10</v>
      </c>
      <c r="F1295" t="s">
        <v>26</v>
      </c>
      <c r="G1295" t="s">
        <v>137</v>
      </c>
      <c r="H1295" t="s">
        <v>1121</v>
      </c>
      <c r="I1295" t="s">
        <v>2587</v>
      </c>
      <c r="J1295" t="s">
        <v>286</v>
      </c>
      <c r="K1295" t="s">
        <v>159</v>
      </c>
      <c r="L1295">
        <v>3</v>
      </c>
      <c r="M1295" s="5">
        <v>72.93</v>
      </c>
      <c r="N1295" s="6">
        <v>0</v>
      </c>
      <c r="O1295" s="5">
        <v>0</v>
      </c>
      <c r="P1295" s="5">
        <v>32.82</v>
      </c>
      <c r="Q1295" s="5">
        <v>218.79</v>
      </c>
      <c r="R1295" s="5">
        <v>162.75</v>
      </c>
      <c r="S1295" s="5">
        <v>56.04</v>
      </c>
      <c r="T1295" s="7">
        <v>0.256136020841903</v>
      </c>
      <c r="U1295" t="s">
        <v>14</v>
      </c>
      <c r="V1295" t="s">
        <v>50</v>
      </c>
      <c r="W1295" t="s">
        <v>50</v>
      </c>
      <c r="X1295" t="s">
        <v>33</v>
      </c>
      <c r="Y1295" t="s">
        <v>3212</v>
      </c>
      <c r="Z1295" t="s">
        <v>101</v>
      </c>
    </row>
    <row r="1296" spans="1:26">
      <c r="A1296" t="s">
        <v>3213</v>
      </c>
      <c r="B1296" t="s">
        <v>3213</v>
      </c>
      <c r="C1296" s="4">
        <v>46020</v>
      </c>
      <c r="D1296">
        <v>2025</v>
      </c>
      <c r="E1296">
        <v>12</v>
      </c>
      <c r="F1296" t="s">
        <v>28</v>
      </c>
      <c r="G1296" t="s">
        <v>137</v>
      </c>
      <c r="H1296" t="s">
        <v>2141</v>
      </c>
      <c r="I1296" t="s">
        <v>312</v>
      </c>
      <c r="J1296" t="s">
        <v>1928</v>
      </c>
      <c r="K1296" t="s">
        <v>2636</v>
      </c>
      <c r="L1296">
        <v>4</v>
      </c>
      <c r="M1296" s="5">
        <v>383.51</v>
      </c>
      <c r="N1296" s="6">
        <v>0</v>
      </c>
      <c r="O1296" s="5">
        <v>0</v>
      </c>
      <c r="P1296" s="5">
        <v>230.11</v>
      </c>
      <c r="Q1296" s="5">
        <v>1534.04</v>
      </c>
      <c r="R1296" s="5">
        <v>1143.6</v>
      </c>
      <c r="S1296" s="5">
        <v>390.44</v>
      </c>
      <c r="T1296" s="7">
        <v>0.254517483246851</v>
      </c>
      <c r="U1296" t="s">
        <v>9</v>
      </c>
      <c r="V1296" t="s">
        <v>50</v>
      </c>
      <c r="W1296" t="s">
        <v>50</v>
      </c>
      <c r="X1296" t="s">
        <v>33</v>
      </c>
      <c r="Y1296" t="s">
        <v>2071</v>
      </c>
      <c r="Z1296" t="s">
        <v>101</v>
      </c>
    </row>
    <row r="1297" spans="1:26">
      <c r="A1297" t="s">
        <v>3214</v>
      </c>
      <c r="B1297" t="s">
        <v>3214</v>
      </c>
      <c r="C1297" s="4">
        <v>46004</v>
      </c>
      <c r="D1297">
        <v>2025</v>
      </c>
      <c r="E1297">
        <v>12</v>
      </c>
      <c r="F1297" t="s">
        <v>28</v>
      </c>
      <c r="G1297" t="s">
        <v>137</v>
      </c>
      <c r="H1297" t="s">
        <v>2270</v>
      </c>
      <c r="I1297" t="s">
        <v>2706</v>
      </c>
      <c r="J1297" t="s">
        <v>1855</v>
      </c>
      <c r="K1297" t="s">
        <v>78</v>
      </c>
      <c r="L1297">
        <v>8</v>
      </c>
      <c r="M1297" s="5">
        <v>553.24</v>
      </c>
      <c r="N1297" s="6">
        <v>10</v>
      </c>
      <c r="O1297" s="5">
        <v>442.59</v>
      </c>
      <c r="P1297" s="5">
        <v>597.5</v>
      </c>
      <c r="Q1297" s="5">
        <v>4580.83</v>
      </c>
      <c r="R1297" s="5">
        <v>3183.36</v>
      </c>
      <c r="S1297" s="5">
        <v>1397.47</v>
      </c>
      <c r="T1297" s="7">
        <v>0.305069168687771</v>
      </c>
      <c r="U1297" t="s">
        <v>12</v>
      </c>
      <c r="V1297" t="s">
        <v>50</v>
      </c>
      <c r="W1297" t="s">
        <v>50</v>
      </c>
      <c r="X1297" t="s">
        <v>33</v>
      </c>
      <c r="Y1297" t="s">
        <v>107</v>
      </c>
      <c r="Z1297" t="s">
        <v>80</v>
      </c>
    </row>
    <row r="1298" spans="1:26">
      <c r="A1298" t="s">
        <v>3215</v>
      </c>
      <c r="B1298" t="s">
        <v>3215</v>
      </c>
      <c r="C1298" s="4">
        <v>45948</v>
      </c>
      <c r="D1298">
        <v>2025</v>
      </c>
      <c r="E1298">
        <v>10</v>
      </c>
      <c r="F1298" t="s">
        <v>26</v>
      </c>
      <c r="G1298" t="s">
        <v>137</v>
      </c>
      <c r="H1298" t="s">
        <v>764</v>
      </c>
      <c r="I1298" t="s">
        <v>1196</v>
      </c>
      <c r="J1298" t="s">
        <v>296</v>
      </c>
      <c r="K1298" t="s">
        <v>297</v>
      </c>
      <c r="L1298">
        <v>8</v>
      </c>
      <c r="M1298" s="5">
        <v>166.69</v>
      </c>
      <c r="N1298" s="6">
        <v>15</v>
      </c>
      <c r="O1298" s="5">
        <v>200.03</v>
      </c>
      <c r="P1298" s="5">
        <v>170.02</v>
      </c>
      <c r="Q1298" s="5">
        <v>1303.51</v>
      </c>
      <c r="R1298" s="5">
        <v>873.68</v>
      </c>
      <c r="S1298" s="5">
        <v>429.83</v>
      </c>
      <c r="T1298" s="7">
        <v>0.32974814155626</v>
      </c>
      <c r="U1298" t="s">
        <v>11</v>
      </c>
      <c r="V1298" t="s">
        <v>50</v>
      </c>
      <c r="W1298" t="s">
        <v>50</v>
      </c>
      <c r="X1298" t="s">
        <v>34</v>
      </c>
      <c r="Y1298" t="s">
        <v>2916</v>
      </c>
      <c r="Z1298" t="s">
        <v>80</v>
      </c>
    </row>
    <row r="1299" spans="1:26">
      <c r="A1299" t="s">
        <v>3216</v>
      </c>
      <c r="B1299" t="s">
        <v>3216</v>
      </c>
      <c r="C1299" s="4">
        <v>46018</v>
      </c>
      <c r="D1299">
        <v>2025</v>
      </c>
      <c r="E1299">
        <v>12</v>
      </c>
      <c r="F1299" t="s">
        <v>28</v>
      </c>
      <c r="G1299" t="s">
        <v>137</v>
      </c>
      <c r="H1299" t="s">
        <v>2695</v>
      </c>
      <c r="I1299" t="s">
        <v>765</v>
      </c>
      <c r="J1299" t="s">
        <v>837</v>
      </c>
      <c r="K1299" t="s">
        <v>1032</v>
      </c>
      <c r="L1299">
        <v>3</v>
      </c>
      <c r="M1299" s="5">
        <v>376.11</v>
      </c>
      <c r="N1299" s="6">
        <v>10</v>
      </c>
      <c r="O1299" s="5">
        <v>112.83</v>
      </c>
      <c r="P1299" s="5">
        <v>152.32</v>
      </c>
      <c r="Q1299" s="5">
        <v>1167.82</v>
      </c>
      <c r="R1299" s="5">
        <v>904.71</v>
      </c>
      <c r="S1299" s="5">
        <v>263.11</v>
      </c>
      <c r="T1299" s="7">
        <v>0.225300131869637</v>
      </c>
      <c r="U1299" t="s">
        <v>11</v>
      </c>
      <c r="V1299" t="s">
        <v>50</v>
      </c>
      <c r="W1299" t="s">
        <v>50</v>
      </c>
      <c r="X1299" t="s">
        <v>33</v>
      </c>
      <c r="Y1299" t="s">
        <v>2393</v>
      </c>
      <c r="Z1299" t="s">
        <v>80</v>
      </c>
    </row>
    <row r="1300" spans="1:26">
      <c r="A1300" t="s">
        <v>3217</v>
      </c>
      <c r="B1300" t="s">
        <v>3217</v>
      </c>
      <c r="C1300" s="4">
        <v>45777</v>
      </c>
      <c r="D1300">
        <v>2025</v>
      </c>
      <c r="E1300">
        <v>4</v>
      </c>
      <c r="F1300" t="s">
        <v>20</v>
      </c>
      <c r="G1300" t="s">
        <v>74</v>
      </c>
      <c r="H1300" t="s">
        <v>3218</v>
      </c>
      <c r="I1300" t="s">
        <v>583</v>
      </c>
      <c r="J1300" t="s">
        <v>1381</v>
      </c>
      <c r="K1300" t="s">
        <v>1382</v>
      </c>
      <c r="L1300">
        <v>3</v>
      </c>
      <c r="M1300" s="5">
        <v>251.73</v>
      </c>
      <c r="N1300" s="6">
        <v>0</v>
      </c>
      <c r="O1300" s="5">
        <v>0</v>
      </c>
      <c r="P1300" s="5">
        <v>113.28</v>
      </c>
      <c r="Q1300" s="5">
        <v>755.19</v>
      </c>
      <c r="R1300" s="5">
        <v>631.56</v>
      </c>
      <c r="S1300" s="5">
        <v>123.63</v>
      </c>
      <c r="T1300" s="7">
        <v>0.163707146545902</v>
      </c>
      <c r="U1300" t="s">
        <v>10</v>
      </c>
      <c r="V1300" t="s">
        <v>50</v>
      </c>
      <c r="W1300" t="s">
        <v>50</v>
      </c>
      <c r="X1300" t="s">
        <v>33</v>
      </c>
      <c r="Y1300" t="s">
        <v>1454</v>
      </c>
      <c r="Z1300" t="s">
        <v>101</v>
      </c>
    </row>
    <row r="1301" spans="1:26">
      <c r="A1301" t="s">
        <v>3219</v>
      </c>
      <c r="B1301" t="s">
        <v>3219</v>
      </c>
      <c r="C1301" s="4">
        <v>45941</v>
      </c>
      <c r="D1301">
        <v>2025</v>
      </c>
      <c r="E1301">
        <v>10</v>
      </c>
      <c r="F1301" t="s">
        <v>26</v>
      </c>
      <c r="G1301" t="s">
        <v>137</v>
      </c>
      <c r="H1301" t="s">
        <v>1768</v>
      </c>
      <c r="I1301" t="s">
        <v>1686</v>
      </c>
      <c r="J1301" t="s">
        <v>105</v>
      </c>
      <c r="K1301" t="s">
        <v>978</v>
      </c>
      <c r="L1301">
        <v>7</v>
      </c>
      <c r="M1301" s="5">
        <v>233.3</v>
      </c>
      <c r="N1301" s="6">
        <v>0</v>
      </c>
      <c r="O1301" s="5">
        <v>0</v>
      </c>
      <c r="P1301" s="5">
        <v>244.96</v>
      </c>
      <c r="Q1301" s="5">
        <v>1878.07</v>
      </c>
      <c r="R1301" s="5">
        <v>1126.86</v>
      </c>
      <c r="S1301" s="5">
        <v>751.21</v>
      </c>
      <c r="T1301" s="7">
        <v>0.399990415692706</v>
      </c>
      <c r="U1301" t="s">
        <v>14</v>
      </c>
      <c r="V1301" t="s">
        <v>50</v>
      </c>
      <c r="W1301" t="s">
        <v>50</v>
      </c>
      <c r="X1301" t="s">
        <v>33</v>
      </c>
      <c r="Y1301" t="s">
        <v>2135</v>
      </c>
      <c r="Z1301" t="s">
        <v>80</v>
      </c>
    </row>
    <row r="1302" spans="1:26">
      <c r="A1302" t="s">
        <v>3220</v>
      </c>
      <c r="B1302" t="s">
        <v>3220</v>
      </c>
      <c r="C1302" s="4">
        <v>45943</v>
      </c>
      <c r="D1302">
        <v>2025</v>
      </c>
      <c r="E1302">
        <v>10</v>
      </c>
      <c r="F1302" t="s">
        <v>26</v>
      </c>
      <c r="G1302" t="s">
        <v>137</v>
      </c>
      <c r="H1302" t="s">
        <v>508</v>
      </c>
      <c r="I1302" t="s">
        <v>2606</v>
      </c>
      <c r="J1302" t="s">
        <v>39</v>
      </c>
      <c r="K1302" t="s">
        <v>203</v>
      </c>
      <c r="L1302">
        <v>8</v>
      </c>
      <c r="M1302" s="5">
        <v>499.34</v>
      </c>
      <c r="N1302" s="6">
        <v>0</v>
      </c>
      <c r="O1302" s="5">
        <v>0</v>
      </c>
      <c r="P1302" s="5">
        <v>599.21</v>
      </c>
      <c r="Q1302" s="5">
        <v>3994.72</v>
      </c>
      <c r="R1302" s="5">
        <v>2995.84</v>
      </c>
      <c r="S1302" s="5">
        <v>998.88</v>
      </c>
      <c r="T1302" s="7">
        <v>0.250050066087235</v>
      </c>
      <c r="U1302" t="s">
        <v>13</v>
      </c>
      <c r="V1302" t="s">
        <v>50</v>
      </c>
      <c r="W1302" t="s">
        <v>50</v>
      </c>
      <c r="X1302" t="s">
        <v>33</v>
      </c>
      <c r="Y1302" t="s">
        <v>2298</v>
      </c>
      <c r="Z1302" t="s">
        <v>101</v>
      </c>
    </row>
    <row r="1303" spans="1:26">
      <c r="A1303" t="s">
        <v>3221</v>
      </c>
      <c r="B1303" t="s">
        <v>3221</v>
      </c>
      <c r="C1303" s="4">
        <v>46096</v>
      </c>
      <c r="D1303">
        <v>2026</v>
      </c>
      <c r="E1303">
        <v>3</v>
      </c>
      <c r="F1303" t="s">
        <v>19</v>
      </c>
      <c r="G1303" t="s">
        <v>82</v>
      </c>
      <c r="H1303" t="s">
        <v>1018</v>
      </c>
      <c r="I1303" t="s">
        <v>708</v>
      </c>
      <c r="J1303" t="s">
        <v>345</v>
      </c>
      <c r="K1303" t="s">
        <v>1753</v>
      </c>
      <c r="L1303">
        <v>4</v>
      </c>
      <c r="M1303" s="5">
        <v>423.73</v>
      </c>
      <c r="N1303" s="6">
        <v>5</v>
      </c>
      <c r="O1303" s="5">
        <v>84.75</v>
      </c>
      <c r="P1303" s="5">
        <v>241.53</v>
      </c>
      <c r="Q1303" s="5">
        <v>1851.7</v>
      </c>
      <c r="R1303" s="5">
        <v>1279.64</v>
      </c>
      <c r="S1303" s="5">
        <v>572.06</v>
      </c>
      <c r="T1303" s="7">
        <v>0.308937732894097</v>
      </c>
      <c r="U1303" t="s">
        <v>10</v>
      </c>
      <c r="V1303" t="s">
        <v>50</v>
      </c>
      <c r="W1303" t="s">
        <v>50</v>
      </c>
      <c r="X1303" t="s">
        <v>33</v>
      </c>
      <c r="Y1303" t="s">
        <v>1433</v>
      </c>
      <c r="Z1303" t="s">
        <v>80</v>
      </c>
    </row>
    <row r="1304" spans="1:26">
      <c r="A1304" t="s">
        <v>3222</v>
      </c>
      <c r="B1304" t="s">
        <v>3222</v>
      </c>
      <c r="C1304" s="4">
        <v>45755</v>
      </c>
      <c r="D1304">
        <v>2025</v>
      </c>
      <c r="E1304">
        <v>4</v>
      </c>
      <c r="F1304" t="s">
        <v>20</v>
      </c>
      <c r="G1304" t="s">
        <v>74</v>
      </c>
      <c r="H1304" t="s">
        <v>760</v>
      </c>
      <c r="I1304" t="s">
        <v>110</v>
      </c>
      <c r="J1304" t="s">
        <v>133</v>
      </c>
      <c r="K1304" t="s">
        <v>134</v>
      </c>
      <c r="L1304">
        <v>1</v>
      </c>
      <c r="M1304" s="5">
        <v>342.46</v>
      </c>
      <c r="N1304" s="6">
        <v>0</v>
      </c>
      <c r="O1304" s="5">
        <v>0</v>
      </c>
      <c r="P1304" s="5">
        <v>51.37</v>
      </c>
      <c r="Q1304" s="5">
        <v>342.46</v>
      </c>
      <c r="R1304" s="5">
        <v>271.78</v>
      </c>
      <c r="S1304" s="5">
        <v>70.68</v>
      </c>
      <c r="T1304" s="7">
        <v>0.206389067336331</v>
      </c>
      <c r="U1304" t="s">
        <v>13</v>
      </c>
      <c r="V1304" t="s">
        <v>50</v>
      </c>
      <c r="W1304" t="s">
        <v>50</v>
      </c>
      <c r="X1304" t="s">
        <v>33</v>
      </c>
      <c r="Y1304" t="s">
        <v>2333</v>
      </c>
      <c r="Z1304" t="s">
        <v>101</v>
      </c>
    </row>
    <row r="1305" spans="1:26">
      <c r="A1305" t="s">
        <v>3223</v>
      </c>
      <c r="B1305" t="s">
        <v>3223</v>
      </c>
      <c r="C1305" s="4">
        <v>45757</v>
      </c>
      <c r="D1305">
        <v>2025</v>
      </c>
      <c r="E1305">
        <v>4</v>
      </c>
      <c r="F1305" t="s">
        <v>20</v>
      </c>
      <c r="G1305" t="s">
        <v>74</v>
      </c>
      <c r="H1305" t="s">
        <v>1398</v>
      </c>
      <c r="I1305" t="s">
        <v>350</v>
      </c>
      <c r="J1305" t="s">
        <v>471</v>
      </c>
      <c r="K1305" t="s">
        <v>472</v>
      </c>
      <c r="L1305">
        <v>1</v>
      </c>
      <c r="M1305" s="5">
        <v>343.56</v>
      </c>
      <c r="N1305" s="6">
        <v>15</v>
      </c>
      <c r="O1305" s="5">
        <v>51.53</v>
      </c>
      <c r="P1305" s="5">
        <v>43.8</v>
      </c>
      <c r="Q1305" s="5">
        <v>292.03</v>
      </c>
      <c r="R1305" s="5">
        <v>216.32</v>
      </c>
      <c r="S1305" s="5">
        <v>75.71</v>
      </c>
      <c r="T1305" s="7">
        <v>0.259254186213745</v>
      </c>
      <c r="U1305" t="s">
        <v>10</v>
      </c>
      <c r="V1305" t="s">
        <v>50</v>
      </c>
      <c r="W1305" t="s">
        <v>50</v>
      </c>
      <c r="X1305" t="s">
        <v>33</v>
      </c>
      <c r="Y1305" t="s">
        <v>3224</v>
      </c>
      <c r="Z1305" t="s">
        <v>101</v>
      </c>
    </row>
    <row r="1306" spans="1:26">
      <c r="A1306" t="s">
        <v>3225</v>
      </c>
      <c r="B1306" t="s">
        <v>3225</v>
      </c>
      <c r="C1306" s="4">
        <v>45868</v>
      </c>
      <c r="D1306">
        <v>2025</v>
      </c>
      <c r="E1306">
        <v>7</v>
      </c>
      <c r="F1306" t="s">
        <v>23</v>
      </c>
      <c r="G1306" t="s">
        <v>89</v>
      </c>
      <c r="H1306" t="s">
        <v>1980</v>
      </c>
      <c r="I1306" t="s">
        <v>2804</v>
      </c>
      <c r="J1306" t="s">
        <v>220</v>
      </c>
      <c r="K1306" t="s">
        <v>2985</v>
      </c>
      <c r="L1306">
        <v>5</v>
      </c>
      <c r="M1306" s="5">
        <v>409.77</v>
      </c>
      <c r="N1306" s="6">
        <v>15</v>
      </c>
      <c r="O1306" s="5">
        <v>307.33</v>
      </c>
      <c r="P1306" s="5">
        <v>261.23</v>
      </c>
      <c r="Q1306" s="5">
        <v>1741.52</v>
      </c>
      <c r="R1306" s="5">
        <v>1414.95</v>
      </c>
      <c r="S1306" s="5">
        <v>326.57</v>
      </c>
      <c r="T1306" s="7">
        <v>0.187520097386191</v>
      </c>
      <c r="U1306" t="s">
        <v>14</v>
      </c>
      <c r="V1306" t="s">
        <v>50</v>
      </c>
      <c r="W1306" t="s">
        <v>50</v>
      </c>
      <c r="X1306" t="s">
        <v>35</v>
      </c>
      <c r="Y1306" t="s">
        <v>2963</v>
      </c>
      <c r="Z1306" t="s">
        <v>101</v>
      </c>
    </row>
    <row r="1307" spans="1:26">
      <c r="A1307" t="s">
        <v>3226</v>
      </c>
      <c r="B1307" t="s">
        <v>3226</v>
      </c>
      <c r="C1307" s="4">
        <v>45830</v>
      </c>
      <c r="D1307">
        <v>2025</v>
      </c>
      <c r="E1307">
        <v>6</v>
      </c>
      <c r="F1307" t="s">
        <v>22</v>
      </c>
      <c r="G1307" t="s">
        <v>74</v>
      </c>
      <c r="H1307" t="s">
        <v>982</v>
      </c>
      <c r="I1307" t="s">
        <v>434</v>
      </c>
      <c r="J1307" t="s">
        <v>1657</v>
      </c>
      <c r="K1307" t="s">
        <v>1658</v>
      </c>
      <c r="L1307">
        <v>3</v>
      </c>
      <c r="M1307" s="5">
        <v>83.13</v>
      </c>
      <c r="N1307" s="6">
        <v>10</v>
      </c>
      <c r="O1307" s="5">
        <v>24.94</v>
      </c>
      <c r="P1307" s="5">
        <v>33.67</v>
      </c>
      <c r="Q1307" s="5">
        <v>258.12</v>
      </c>
      <c r="R1307" s="5">
        <v>207.27</v>
      </c>
      <c r="S1307" s="5">
        <v>50.85</v>
      </c>
      <c r="T1307" s="7">
        <v>0.197001394700139</v>
      </c>
      <c r="U1307" t="s">
        <v>9</v>
      </c>
      <c r="V1307" t="s">
        <v>50</v>
      </c>
      <c r="W1307" t="s">
        <v>50</v>
      </c>
      <c r="X1307" t="s">
        <v>35</v>
      </c>
      <c r="Y1307" t="s">
        <v>3227</v>
      </c>
      <c r="Z1307" t="s">
        <v>80</v>
      </c>
    </row>
    <row r="1308" spans="1:26">
      <c r="A1308" t="s">
        <v>3228</v>
      </c>
      <c r="B1308" t="s">
        <v>3228</v>
      </c>
      <c r="C1308" s="4">
        <v>45856</v>
      </c>
      <c r="D1308">
        <v>2025</v>
      </c>
      <c r="E1308">
        <v>7</v>
      </c>
      <c r="F1308" t="s">
        <v>23</v>
      </c>
      <c r="G1308" t="s">
        <v>89</v>
      </c>
      <c r="H1308" t="s">
        <v>1279</v>
      </c>
      <c r="I1308" t="s">
        <v>722</v>
      </c>
      <c r="J1308" t="s">
        <v>43</v>
      </c>
      <c r="K1308" t="s">
        <v>934</v>
      </c>
      <c r="L1308">
        <v>8</v>
      </c>
      <c r="M1308" s="5">
        <v>166.99</v>
      </c>
      <c r="N1308" s="6">
        <v>0</v>
      </c>
      <c r="O1308" s="5">
        <v>0</v>
      </c>
      <c r="P1308" s="5">
        <v>200.39</v>
      </c>
      <c r="Q1308" s="5">
        <v>1335.92</v>
      </c>
      <c r="R1308" s="5">
        <v>1103.6</v>
      </c>
      <c r="S1308" s="5">
        <v>232.32</v>
      </c>
      <c r="T1308" s="7">
        <v>0.173902628899934</v>
      </c>
      <c r="U1308" t="s">
        <v>14</v>
      </c>
      <c r="V1308" t="s">
        <v>50</v>
      </c>
      <c r="W1308" t="s">
        <v>50</v>
      </c>
      <c r="X1308" t="s">
        <v>33</v>
      </c>
      <c r="Y1308" t="s">
        <v>3229</v>
      </c>
      <c r="Z1308" t="s">
        <v>101</v>
      </c>
    </row>
    <row r="1309" spans="1:26">
      <c r="A1309" t="s">
        <v>3230</v>
      </c>
      <c r="B1309" t="s">
        <v>3230</v>
      </c>
      <c r="C1309" s="4">
        <v>45970</v>
      </c>
      <c r="D1309">
        <v>2025</v>
      </c>
      <c r="E1309">
        <v>11</v>
      </c>
      <c r="F1309" t="s">
        <v>27</v>
      </c>
      <c r="G1309" t="s">
        <v>137</v>
      </c>
      <c r="H1309" t="s">
        <v>1525</v>
      </c>
      <c r="I1309" t="s">
        <v>126</v>
      </c>
      <c r="J1309" t="s">
        <v>948</v>
      </c>
      <c r="K1309" t="s">
        <v>949</v>
      </c>
      <c r="L1309">
        <v>4</v>
      </c>
      <c r="M1309" s="5">
        <v>131.03</v>
      </c>
      <c r="N1309" s="6">
        <v>0</v>
      </c>
      <c r="O1309" s="5">
        <v>0</v>
      </c>
      <c r="P1309" s="5">
        <v>78.62</v>
      </c>
      <c r="Q1309" s="5">
        <v>602.74</v>
      </c>
      <c r="R1309" s="5">
        <v>469.08</v>
      </c>
      <c r="S1309" s="5">
        <v>133.66</v>
      </c>
      <c r="T1309" s="7">
        <v>0.221753990111823</v>
      </c>
      <c r="U1309" t="s">
        <v>12</v>
      </c>
      <c r="V1309" t="s">
        <v>50</v>
      </c>
      <c r="W1309" t="s">
        <v>50</v>
      </c>
      <c r="X1309" t="s">
        <v>33</v>
      </c>
      <c r="Y1309" t="s">
        <v>1592</v>
      </c>
      <c r="Z1309" t="s">
        <v>80</v>
      </c>
    </row>
    <row r="1310" spans="1:26">
      <c r="A1310" t="s">
        <v>3231</v>
      </c>
      <c r="B1310" t="s">
        <v>3231</v>
      </c>
      <c r="C1310" s="4">
        <v>45942</v>
      </c>
      <c r="D1310">
        <v>2025</v>
      </c>
      <c r="E1310">
        <v>10</v>
      </c>
      <c r="F1310" t="s">
        <v>26</v>
      </c>
      <c r="G1310" t="s">
        <v>137</v>
      </c>
      <c r="H1310" t="s">
        <v>2813</v>
      </c>
      <c r="I1310" t="s">
        <v>97</v>
      </c>
      <c r="J1310" t="s">
        <v>538</v>
      </c>
      <c r="K1310" t="s">
        <v>539</v>
      </c>
      <c r="L1310">
        <v>3</v>
      </c>
      <c r="M1310" s="5">
        <v>398.25</v>
      </c>
      <c r="N1310" s="6">
        <v>0</v>
      </c>
      <c r="O1310" s="5">
        <v>0</v>
      </c>
      <c r="P1310" s="5">
        <v>179.21</v>
      </c>
      <c r="Q1310" s="5">
        <v>1373.96</v>
      </c>
      <c r="R1310" s="5">
        <v>709.62</v>
      </c>
      <c r="S1310" s="5">
        <v>664.34</v>
      </c>
      <c r="T1310" s="7">
        <v>0.483522082156686</v>
      </c>
      <c r="U1310" t="s">
        <v>14</v>
      </c>
      <c r="V1310" t="s">
        <v>50</v>
      </c>
      <c r="W1310" t="s">
        <v>50</v>
      </c>
      <c r="X1310" t="s">
        <v>33</v>
      </c>
      <c r="Y1310" t="s">
        <v>606</v>
      </c>
      <c r="Z1310" t="s">
        <v>80</v>
      </c>
    </row>
    <row r="1311" spans="1:26">
      <c r="A1311" t="s">
        <v>3232</v>
      </c>
      <c r="B1311" t="s">
        <v>3232</v>
      </c>
      <c r="C1311" s="4">
        <v>45887</v>
      </c>
      <c r="D1311">
        <v>2025</v>
      </c>
      <c r="E1311">
        <v>8</v>
      </c>
      <c r="F1311" t="s">
        <v>24</v>
      </c>
      <c r="G1311" t="s">
        <v>89</v>
      </c>
      <c r="H1311" t="s">
        <v>1041</v>
      </c>
      <c r="I1311" t="s">
        <v>459</v>
      </c>
      <c r="J1311" t="s">
        <v>170</v>
      </c>
      <c r="K1311" t="s">
        <v>579</v>
      </c>
      <c r="L1311">
        <v>4</v>
      </c>
      <c r="M1311" s="5">
        <v>96.72</v>
      </c>
      <c r="N1311" s="6">
        <v>5</v>
      </c>
      <c r="O1311" s="5">
        <v>19.34</v>
      </c>
      <c r="P1311" s="5">
        <v>55.13</v>
      </c>
      <c r="Q1311" s="5">
        <v>367.54</v>
      </c>
      <c r="R1311" s="5">
        <v>319.28</v>
      </c>
      <c r="S1311" s="5">
        <v>48.26</v>
      </c>
      <c r="T1311" s="7">
        <v>0.131305436143005</v>
      </c>
      <c r="U1311" t="s">
        <v>10</v>
      </c>
      <c r="V1311" t="s">
        <v>50</v>
      </c>
      <c r="W1311" t="s">
        <v>50</v>
      </c>
      <c r="X1311" t="s">
        <v>33</v>
      </c>
      <c r="Y1311" t="s">
        <v>2408</v>
      </c>
      <c r="Z1311" t="s">
        <v>101</v>
      </c>
    </row>
    <row r="1312" spans="1:26">
      <c r="A1312" t="s">
        <v>3233</v>
      </c>
      <c r="B1312" t="s">
        <v>3233</v>
      </c>
      <c r="C1312" s="4">
        <v>46093</v>
      </c>
      <c r="D1312">
        <v>2026</v>
      </c>
      <c r="E1312">
        <v>3</v>
      </c>
      <c r="F1312" t="s">
        <v>19</v>
      </c>
      <c r="G1312" t="s">
        <v>82</v>
      </c>
      <c r="H1312" t="s">
        <v>1157</v>
      </c>
      <c r="I1312" t="s">
        <v>139</v>
      </c>
      <c r="J1312" t="s">
        <v>1127</v>
      </c>
      <c r="K1312" t="s">
        <v>1128</v>
      </c>
      <c r="L1312">
        <v>8</v>
      </c>
      <c r="M1312" s="5">
        <v>42.85</v>
      </c>
      <c r="N1312" s="6">
        <v>20</v>
      </c>
      <c r="O1312" s="5">
        <v>68.56</v>
      </c>
      <c r="P1312" s="5">
        <v>41.14</v>
      </c>
      <c r="Q1312" s="5">
        <v>274.24</v>
      </c>
      <c r="R1312" s="5">
        <v>259.2</v>
      </c>
      <c r="S1312" s="5">
        <v>15.04</v>
      </c>
      <c r="T1312" s="7">
        <v>0.0548424737456243</v>
      </c>
      <c r="U1312" t="s">
        <v>14</v>
      </c>
      <c r="V1312" t="s">
        <v>50</v>
      </c>
      <c r="W1312" t="s">
        <v>50</v>
      </c>
      <c r="X1312" t="s">
        <v>33</v>
      </c>
      <c r="Y1312" t="s">
        <v>1243</v>
      </c>
      <c r="Z1312" t="s">
        <v>101</v>
      </c>
    </row>
    <row r="1313" spans="1:26">
      <c r="A1313" t="s">
        <v>3234</v>
      </c>
      <c r="B1313" t="s">
        <v>3234</v>
      </c>
      <c r="C1313" s="4">
        <v>45855</v>
      </c>
      <c r="D1313">
        <v>2025</v>
      </c>
      <c r="E1313">
        <v>7</v>
      </c>
      <c r="F1313" t="s">
        <v>23</v>
      </c>
      <c r="G1313" t="s">
        <v>89</v>
      </c>
      <c r="H1313" t="s">
        <v>2778</v>
      </c>
      <c r="I1313" t="s">
        <v>110</v>
      </c>
      <c r="J1313" t="s">
        <v>465</v>
      </c>
      <c r="K1313" t="s">
        <v>829</v>
      </c>
      <c r="L1313">
        <v>4</v>
      </c>
      <c r="M1313" s="5">
        <v>342.46</v>
      </c>
      <c r="N1313" s="6">
        <v>5</v>
      </c>
      <c r="O1313" s="5">
        <v>68.49</v>
      </c>
      <c r="P1313" s="5">
        <v>195.2</v>
      </c>
      <c r="Q1313" s="5">
        <v>1301.35</v>
      </c>
      <c r="R1313" s="5">
        <v>1087.12</v>
      </c>
      <c r="S1313" s="5">
        <v>214.23</v>
      </c>
      <c r="T1313" s="7">
        <v>0.164621354746993</v>
      </c>
      <c r="U1313" t="s">
        <v>10</v>
      </c>
      <c r="V1313" t="s">
        <v>51</v>
      </c>
      <c r="W1313" t="s">
        <v>51</v>
      </c>
      <c r="X1313" t="s">
        <v>33</v>
      </c>
      <c r="Y1313" t="s">
        <v>1173</v>
      </c>
      <c r="Z1313" t="s">
        <v>101</v>
      </c>
    </row>
    <row r="1314" spans="1:26">
      <c r="A1314" t="s">
        <v>3235</v>
      </c>
      <c r="B1314" t="s">
        <v>3235</v>
      </c>
      <c r="C1314" s="4">
        <v>46030</v>
      </c>
      <c r="D1314">
        <v>2026</v>
      </c>
      <c r="E1314">
        <v>1</v>
      </c>
      <c r="F1314" t="s">
        <v>30</v>
      </c>
      <c r="G1314" t="s">
        <v>82</v>
      </c>
      <c r="H1314" t="s">
        <v>3107</v>
      </c>
      <c r="I1314" t="s">
        <v>444</v>
      </c>
      <c r="J1314" t="s">
        <v>1361</v>
      </c>
      <c r="K1314" t="s">
        <v>2905</v>
      </c>
      <c r="L1314">
        <v>3</v>
      </c>
      <c r="M1314" s="5">
        <v>99.93</v>
      </c>
      <c r="N1314" s="6">
        <v>0</v>
      </c>
      <c r="O1314" s="5">
        <v>0</v>
      </c>
      <c r="P1314" s="5">
        <v>44.97</v>
      </c>
      <c r="Q1314" s="5">
        <v>299.79</v>
      </c>
      <c r="R1314" s="5">
        <v>258.15</v>
      </c>
      <c r="S1314" s="5">
        <v>41.64</v>
      </c>
      <c r="T1314" s="7">
        <v>0.138897228059642</v>
      </c>
      <c r="U1314" t="s">
        <v>13</v>
      </c>
      <c r="V1314" t="s">
        <v>50</v>
      </c>
      <c r="W1314" t="s">
        <v>50</v>
      </c>
      <c r="X1314" t="s">
        <v>34</v>
      </c>
      <c r="Y1314" t="s">
        <v>1995</v>
      </c>
      <c r="Z1314" t="s">
        <v>101</v>
      </c>
    </row>
    <row r="1315" spans="1:26">
      <c r="A1315" t="s">
        <v>3236</v>
      </c>
      <c r="B1315" t="s">
        <v>3236</v>
      </c>
      <c r="C1315" s="4">
        <v>45868</v>
      </c>
      <c r="D1315">
        <v>2025</v>
      </c>
      <c r="E1315">
        <v>7</v>
      </c>
      <c r="F1315" t="s">
        <v>23</v>
      </c>
      <c r="G1315" t="s">
        <v>89</v>
      </c>
      <c r="H1315" t="s">
        <v>1851</v>
      </c>
      <c r="I1315" t="s">
        <v>374</v>
      </c>
      <c r="J1315" t="s">
        <v>1361</v>
      </c>
      <c r="K1315" t="s">
        <v>1622</v>
      </c>
      <c r="L1315">
        <v>4</v>
      </c>
      <c r="M1315" s="5">
        <v>400.33</v>
      </c>
      <c r="N1315" s="6">
        <v>5</v>
      </c>
      <c r="O1315" s="5">
        <v>80.07</v>
      </c>
      <c r="P1315" s="5">
        <v>228.19</v>
      </c>
      <c r="Q1315" s="5">
        <v>1521.25</v>
      </c>
      <c r="R1315" s="5">
        <v>1363.6</v>
      </c>
      <c r="S1315" s="5">
        <v>157.65</v>
      </c>
      <c r="T1315" s="7">
        <v>0.103631881676253</v>
      </c>
      <c r="U1315" t="s">
        <v>10</v>
      </c>
      <c r="V1315" t="s">
        <v>50</v>
      </c>
      <c r="W1315" t="s">
        <v>50</v>
      </c>
      <c r="X1315" t="s">
        <v>33</v>
      </c>
      <c r="Y1315" t="s">
        <v>2007</v>
      </c>
      <c r="Z1315" t="s">
        <v>101</v>
      </c>
    </row>
    <row r="1316" spans="1:26">
      <c r="A1316" t="s">
        <v>3237</v>
      </c>
      <c r="B1316" t="s">
        <v>3237</v>
      </c>
      <c r="C1316" s="4">
        <v>45757</v>
      </c>
      <c r="D1316">
        <v>2025</v>
      </c>
      <c r="E1316">
        <v>4</v>
      </c>
      <c r="F1316" t="s">
        <v>20</v>
      </c>
      <c r="G1316" t="s">
        <v>74</v>
      </c>
      <c r="H1316" t="s">
        <v>3238</v>
      </c>
      <c r="I1316" t="s">
        <v>750</v>
      </c>
      <c r="J1316" t="s">
        <v>445</v>
      </c>
      <c r="K1316" t="s">
        <v>446</v>
      </c>
      <c r="L1316">
        <v>3</v>
      </c>
      <c r="M1316" s="5">
        <v>520.96</v>
      </c>
      <c r="N1316" s="6">
        <v>15</v>
      </c>
      <c r="O1316" s="5">
        <v>234.43</v>
      </c>
      <c r="P1316" s="5">
        <v>199.27</v>
      </c>
      <c r="Q1316" s="5">
        <v>1328.45</v>
      </c>
      <c r="R1316" s="5">
        <v>1031.67</v>
      </c>
      <c r="S1316" s="5">
        <v>296.78</v>
      </c>
      <c r="T1316" s="7">
        <v>0.223403214272272</v>
      </c>
      <c r="U1316" t="s">
        <v>10</v>
      </c>
      <c r="V1316" t="s">
        <v>50</v>
      </c>
      <c r="W1316" t="s">
        <v>50</v>
      </c>
      <c r="X1316" t="s">
        <v>33</v>
      </c>
      <c r="Y1316" t="s">
        <v>2456</v>
      </c>
      <c r="Z1316" t="s">
        <v>101</v>
      </c>
    </row>
    <row r="1317" spans="1:26">
      <c r="A1317" t="s">
        <v>3239</v>
      </c>
      <c r="B1317" t="s">
        <v>3239</v>
      </c>
      <c r="C1317" s="4">
        <v>45856</v>
      </c>
      <c r="D1317">
        <v>2025</v>
      </c>
      <c r="E1317">
        <v>7</v>
      </c>
      <c r="F1317" t="s">
        <v>23</v>
      </c>
      <c r="G1317" t="s">
        <v>89</v>
      </c>
      <c r="H1317" t="s">
        <v>2360</v>
      </c>
      <c r="I1317" t="s">
        <v>476</v>
      </c>
      <c r="J1317" t="s">
        <v>396</v>
      </c>
      <c r="K1317" t="s">
        <v>397</v>
      </c>
      <c r="L1317">
        <v>2</v>
      </c>
      <c r="M1317" s="5">
        <v>305.67</v>
      </c>
      <c r="N1317" s="6">
        <v>5</v>
      </c>
      <c r="O1317" s="5">
        <v>30.57</v>
      </c>
      <c r="P1317" s="5">
        <v>87.12</v>
      </c>
      <c r="Q1317" s="5">
        <v>580.77</v>
      </c>
      <c r="R1317" s="5">
        <v>502.84</v>
      </c>
      <c r="S1317" s="5">
        <v>77.93</v>
      </c>
      <c r="T1317" s="7">
        <v>0.134183928233208</v>
      </c>
      <c r="U1317" t="s">
        <v>11</v>
      </c>
      <c r="V1317" t="s">
        <v>50</v>
      </c>
      <c r="W1317" t="s">
        <v>50</v>
      </c>
      <c r="X1317" t="s">
        <v>33</v>
      </c>
      <c r="Y1317" t="s">
        <v>1129</v>
      </c>
      <c r="Z1317" t="s">
        <v>101</v>
      </c>
    </row>
    <row r="1318" spans="1:26">
      <c r="A1318" t="s">
        <v>3240</v>
      </c>
      <c r="B1318" t="s">
        <v>3240</v>
      </c>
      <c r="C1318" s="4">
        <v>45831</v>
      </c>
      <c r="D1318">
        <v>2025</v>
      </c>
      <c r="E1318">
        <v>6</v>
      </c>
      <c r="F1318" t="s">
        <v>22</v>
      </c>
      <c r="G1318" t="s">
        <v>74</v>
      </c>
      <c r="H1318" t="s">
        <v>707</v>
      </c>
      <c r="I1318" t="s">
        <v>362</v>
      </c>
      <c r="J1318" t="s">
        <v>46</v>
      </c>
      <c r="K1318" t="s">
        <v>575</v>
      </c>
      <c r="L1318">
        <v>1</v>
      </c>
      <c r="M1318" s="5">
        <v>329.69</v>
      </c>
      <c r="N1318" s="6">
        <v>15</v>
      </c>
      <c r="O1318" s="5">
        <v>49.45</v>
      </c>
      <c r="P1318" s="5">
        <v>42.04</v>
      </c>
      <c r="Q1318" s="5">
        <v>280.24</v>
      </c>
      <c r="R1318" s="5">
        <v>247.25</v>
      </c>
      <c r="S1318" s="5">
        <v>32.99</v>
      </c>
      <c r="T1318" s="7">
        <v>0.117720525264059</v>
      </c>
      <c r="U1318" t="s">
        <v>11</v>
      </c>
      <c r="V1318" t="s">
        <v>50</v>
      </c>
      <c r="W1318" t="s">
        <v>50</v>
      </c>
      <c r="X1318" t="s">
        <v>33</v>
      </c>
      <c r="Y1318" t="s">
        <v>1309</v>
      </c>
      <c r="Z1318" t="s">
        <v>101</v>
      </c>
    </row>
    <row r="1319" spans="1:26">
      <c r="A1319" t="s">
        <v>3241</v>
      </c>
      <c r="B1319" t="s">
        <v>3241</v>
      </c>
      <c r="C1319" s="4">
        <v>45944</v>
      </c>
      <c r="D1319">
        <v>2025</v>
      </c>
      <c r="E1319">
        <v>10</v>
      </c>
      <c r="F1319" t="s">
        <v>26</v>
      </c>
      <c r="G1319" t="s">
        <v>137</v>
      </c>
      <c r="H1319" t="s">
        <v>1978</v>
      </c>
      <c r="I1319" t="s">
        <v>1704</v>
      </c>
      <c r="J1319" t="s">
        <v>105</v>
      </c>
      <c r="K1319" t="s">
        <v>1658</v>
      </c>
      <c r="L1319">
        <v>3</v>
      </c>
      <c r="M1319" s="5">
        <v>242.22</v>
      </c>
      <c r="N1319" s="6">
        <v>0</v>
      </c>
      <c r="O1319" s="5">
        <v>0</v>
      </c>
      <c r="P1319" s="5">
        <v>109</v>
      </c>
      <c r="Q1319" s="5">
        <v>726.66</v>
      </c>
      <c r="R1319" s="5">
        <v>558.12</v>
      </c>
      <c r="S1319" s="5">
        <v>168.54</v>
      </c>
      <c r="T1319" s="7">
        <v>0.231937907687226</v>
      </c>
      <c r="U1319" t="s">
        <v>9</v>
      </c>
      <c r="V1319" t="s">
        <v>50</v>
      </c>
      <c r="W1319" t="s">
        <v>50</v>
      </c>
      <c r="X1319" t="s">
        <v>33</v>
      </c>
      <c r="Y1319" t="s">
        <v>2375</v>
      </c>
      <c r="Z1319" t="s">
        <v>101</v>
      </c>
    </row>
    <row r="1320" spans="1:26">
      <c r="A1320" t="s">
        <v>3242</v>
      </c>
      <c r="B1320" t="s">
        <v>3242</v>
      </c>
      <c r="C1320" s="4">
        <v>45860</v>
      </c>
      <c r="D1320">
        <v>2025</v>
      </c>
      <c r="E1320">
        <v>7</v>
      </c>
      <c r="F1320" t="s">
        <v>23</v>
      </c>
      <c r="G1320" t="s">
        <v>89</v>
      </c>
      <c r="H1320" t="s">
        <v>410</v>
      </c>
      <c r="I1320" t="s">
        <v>1233</v>
      </c>
      <c r="J1320" t="s">
        <v>286</v>
      </c>
      <c r="K1320" t="s">
        <v>176</v>
      </c>
      <c r="L1320">
        <v>5</v>
      </c>
      <c r="M1320" s="5">
        <v>109.95</v>
      </c>
      <c r="N1320" s="6">
        <v>0</v>
      </c>
      <c r="O1320" s="5">
        <v>0</v>
      </c>
      <c r="P1320" s="5">
        <v>82.46</v>
      </c>
      <c r="Q1320" s="5">
        <v>549.75</v>
      </c>
      <c r="R1320" s="5">
        <v>464.8</v>
      </c>
      <c r="S1320" s="5">
        <v>84.95</v>
      </c>
      <c r="T1320" s="7">
        <v>0.154524783992724</v>
      </c>
      <c r="U1320" t="s">
        <v>14</v>
      </c>
      <c r="V1320" t="s">
        <v>50</v>
      </c>
      <c r="W1320" t="s">
        <v>50</v>
      </c>
      <c r="X1320" t="s">
        <v>34</v>
      </c>
      <c r="Y1320" t="s">
        <v>1246</v>
      </c>
      <c r="Z1320" t="s">
        <v>101</v>
      </c>
    </row>
    <row r="1321" spans="1:26">
      <c r="A1321" t="s">
        <v>3243</v>
      </c>
      <c r="B1321" t="s">
        <v>3243</v>
      </c>
      <c r="C1321" s="4">
        <v>46060</v>
      </c>
      <c r="D1321">
        <v>2026</v>
      </c>
      <c r="E1321">
        <v>2</v>
      </c>
      <c r="F1321" t="s">
        <v>31</v>
      </c>
      <c r="G1321" t="s">
        <v>82</v>
      </c>
      <c r="H1321" t="s">
        <v>1421</v>
      </c>
      <c r="I1321" t="s">
        <v>356</v>
      </c>
      <c r="J1321" t="s">
        <v>1361</v>
      </c>
      <c r="K1321" t="s">
        <v>1622</v>
      </c>
      <c r="L1321">
        <v>4</v>
      </c>
      <c r="M1321" s="5">
        <v>490.61</v>
      </c>
      <c r="N1321" s="6">
        <v>20</v>
      </c>
      <c r="O1321" s="5">
        <v>392.49</v>
      </c>
      <c r="P1321" s="5">
        <v>235.49</v>
      </c>
      <c r="Q1321" s="5">
        <v>1805.44</v>
      </c>
      <c r="R1321" s="5">
        <v>1131.52</v>
      </c>
      <c r="S1321" s="5">
        <v>673.92</v>
      </c>
      <c r="T1321" s="7">
        <v>0.373271889400922</v>
      </c>
      <c r="U1321" t="s">
        <v>13</v>
      </c>
      <c r="V1321" t="s">
        <v>50</v>
      </c>
      <c r="W1321" t="s">
        <v>50</v>
      </c>
      <c r="X1321" t="s">
        <v>33</v>
      </c>
      <c r="Y1321" t="s">
        <v>79</v>
      </c>
      <c r="Z1321" t="s">
        <v>80</v>
      </c>
    </row>
    <row r="1322" spans="1:26">
      <c r="A1322" t="s">
        <v>3244</v>
      </c>
      <c r="B1322" t="s">
        <v>3244</v>
      </c>
      <c r="C1322" s="4">
        <v>45875</v>
      </c>
      <c r="D1322">
        <v>2025</v>
      </c>
      <c r="E1322">
        <v>8</v>
      </c>
      <c r="F1322" t="s">
        <v>24</v>
      </c>
      <c r="G1322" t="s">
        <v>89</v>
      </c>
      <c r="H1322" t="s">
        <v>946</v>
      </c>
      <c r="I1322" t="s">
        <v>750</v>
      </c>
      <c r="J1322" t="s">
        <v>532</v>
      </c>
      <c r="K1322" t="s">
        <v>533</v>
      </c>
      <c r="L1322">
        <v>1</v>
      </c>
      <c r="M1322" s="5">
        <v>474.19</v>
      </c>
      <c r="N1322" s="6">
        <v>20</v>
      </c>
      <c r="O1322" s="5">
        <v>94.84</v>
      </c>
      <c r="P1322" s="5">
        <v>56.9</v>
      </c>
      <c r="Q1322" s="5">
        <v>379.35</v>
      </c>
      <c r="R1322" s="5">
        <v>343.89</v>
      </c>
      <c r="S1322" s="5">
        <v>35.46</v>
      </c>
      <c r="T1322" s="7">
        <v>0.0934756820877817</v>
      </c>
      <c r="U1322" t="s">
        <v>11</v>
      </c>
      <c r="V1322" t="s">
        <v>50</v>
      </c>
      <c r="W1322" t="s">
        <v>50</v>
      </c>
      <c r="X1322" t="s">
        <v>33</v>
      </c>
      <c r="Y1322" t="s">
        <v>3245</v>
      </c>
      <c r="Z1322" t="s">
        <v>101</v>
      </c>
    </row>
    <row r="1323" spans="1:26">
      <c r="A1323" t="s">
        <v>3246</v>
      </c>
      <c r="B1323" t="s">
        <v>3246</v>
      </c>
      <c r="C1323" s="4">
        <v>46074</v>
      </c>
      <c r="D1323">
        <v>2026</v>
      </c>
      <c r="E1323">
        <v>2</v>
      </c>
      <c r="F1323" t="s">
        <v>31</v>
      </c>
      <c r="G1323" t="s">
        <v>82</v>
      </c>
      <c r="H1323" t="s">
        <v>2708</v>
      </c>
      <c r="I1323" t="s">
        <v>450</v>
      </c>
      <c r="J1323" t="s">
        <v>47</v>
      </c>
      <c r="K1323" t="s">
        <v>1197</v>
      </c>
      <c r="L1323">
        <v>5</v>
      </c>
      <c r="M1323" s="5">
        <v>463.38</v>
      </c>
      <c r="N1323" s="6">
        <v>10</v>
      </c>
      <c r="O1323" s="5">
        <v>231.69</v>
      </c>
      <c r="P1323" s="5">
        <v>312.78</v>
      </c>
      <c r="Q1323" s="5">
        <v>2397.99</v>
      </c>
      <c r="R1323" s="5">
        <v>1270.25</v>
      </c>
      <c r="S1323" s="5">
        <v>1127.74</v>
      </c>
      <c r="T1323" s="7">
        <v>0.470285530798711</v>
      </c>
      <c r="U1323" t="s">
        <v>14</v>
      </c>
      <c r="V1323" t="s">
        <v>50</v>
      </c>
      <c r="W1323" t="s">
        <v>50</v>
      </c>
      <c r="X1323" t="s">
        <v>35</v>
      </c>
      <c r="Y1323" t="s">
        <v>908</v>
      </c>
      <c r="Z1323" t="s">
        <v>80</v>
      </c>
    </row>
    <row r="1324" spans="1:26">
      <c r="A1324" t="s">
        <v>3247</v>
      </c>
      <c r="B1324" t="s">
        <v>3247</v>
      </c>
      <c r="C1324" s="4">
        <v>45778</v>
      </c>
      <c r="D1324">
        <v>2025</v>
      </c>
      <c r="E1324">
        <v>5</v>
      </c>
      <c r="F1324" t="s">
        <v>21</v>
      </c>
      <c r="G1324" t="s">
        <v>74</v>
      </c>
      <c r="H1324" t="s">
        <v>3248</v>
      </c>
      <c r="I1324" t="s">
        <v>350</v>
      </c>
      <c r="J1324" t="s">
        <v>152</v>
      </c>
      <c r="K1324" t="s">
        <v>153</v>
      </c>
      <c r="L1324">
        <v>2</v>
      </c>
      <c r="M1324" s="5">
        <v>343.56</v>
      </c>
      <c r="N1324" s="6">
        <v>0</v>
      </c>
      <c r="O1324" s="5">
        <v>0</v>
      </c>
      <c r="P1324" s="5">
        <v>103.07</v>
      </c>
      <c r="Q1324" s="5">
        <v>687.12</v>
      </c>
      <c r="R1324" s="5">
        <v>432.64</v>
      </c>
      <c r="S1324" s="5">
        <v>254.48</v>
      </c>
      <c r="T1324" s="7">
        <v>0.370357433927116</v>
      </c>
      <c r="U1324" t="s">
        <v>10</v>
      </c>
      <c r="V1324" t="s">
        <v>50</v>
      </c>
      <c r="W1324" t="s">
        <v>50</v>
      </c>
      <c r="X1324" t="s">
        <v>33</v>
      </c>
      <c r="Y1324" t="s">
        <v>3138</v>
      </c>
      <c r="Z1324" t="s">
        <v>101</v>
      </c>
    </row>
    <row r="1325" spans="1:26">
      <c r="A1325" t="s">
        <v>3249</v>
      </c>
      <c r="B1325" t="s">
        <v>3249</v>
      </c>
      <c r="C1325" s="4">
        <v>45759</v>
      </c>
      <c r="D1325">
        <v>2025</v>
      </c>
      <c r="E1325">
        <v>4</v>
      </c>
      <c r="F1325" t="s">
        <v>20</v>
      </c>
      <c r="G1325" t="s">
        <v>74</v>
      </c>
      <c r="H1325" t="s">
        <v>201</v>
      </c>
      <c r="I1325" t="s">
        <v>1704</v>
      </c>
      <c r="J1325" t="s">
        <v>1657</v>
      </c>
      <c r="K1325" t="s">
        <v>1658</v>
      </c>
      <c r="L1325">
        <v>3</v>
      </c>
      <c r="M1325" s="5">
        <v>248.4</v>
      </c>
      <c r="N1325" s="6">
        <v>0</v>
      </c>
      <c r="O1325" s="5">
        <v>0</v>
      </c>
      <c r="P1325" s="5">
        <v>111.78</v>
      </c>
      <c r="Q1325" s="5">
        <v>856.98</v>
      </c>
      <c r="R1325" s="5">
        <v>558.12</v>
      </c>
      <c r="S1325" s="5">
        <v>298.86</v>
      </c>
      <c r="T1325" s="7">
        <v>0.348736259889379</v>
      </c>
      <c r="U1325" t="s">
        <v>12</v>
      </c>
      <c r="V1325" t="s">
        <v>50</v>
      </c>
      <c r="W1325" t="s">
        <v>50</v>
      </c>
      <c r="X1325" t="s">
        <v>35</v>
      </c>
      <c r="Y1325" t="s">
        <v>242</v>
      </c>
      <c r="Z1325" t="s">
        <v>80</v>
      </c>
    </row>
    <row r="1326" spans="1:26">
      <c r="A1326" t="s">
        <v>3250</v>
      </c>
      <c r="B1326" t="s">
        <v>3250</v>
      </c>
      <c r="C1326" s="4">
        <v>45909</v>
      </c>
      <c r="D1326">
        <v>2025</v>
      </c>
      <c r="E1326">
        <v>9</v>
      </c>
      <c r="F1326" t="s">
        <v>25</v>
      </c>
      <c r="G1326" t="s">
        <v>89</v>
      </c>
      <c r="H1326" t="s">
        <v>1398</v>
      </c>
      <c r="I1326" t="s">
        <v>647</v>
      </c>
      <c r="J1326" t="s">
        <v>858</v>
      </c>
      <c r="K1326" t="s">
        <v>1625</v>
      </c>
      <c r="L1326">
        <v>4</v>
      </c>
      <c r="M1326" s="5">
        <v>75.68</v>
      </c>
      <c r="N1326" s="6">
        <v>15</v>
      </c>
      <c r="O1326" s="5">
        <v>45.41</v>
      </c>
      <c r="P1326" s="5">
        <v>38.6</v>
      </c>
      <c r="Q1326" s="5">
        <v>257.31</v>
      </c>
      <c r="R1326" s="5">
        <v>248.56</v>
      </c>
      <c r="S1326" s="5">
        <v>8.75</v>
      </c>
      <c r="T1326" s="7">
        <v>0.0340056740896195</v>
      </c>
      <c r="U1326" t="s">
        <v>11</v>
      </c>
      <c r="V1326" t="s">
        <v>50</v>
      </c>
      <c r="W1326" t="s">
        <v>50</v>
      </c>
      <c r="X1326" t="s">
        <v>33</v>
      </c>
      <c r="Y1326" t="s">
        <v>1530</v>
      </c>
      <c r="Z1326" t="s">
        <v>101</v>
      </c>
    </row>
    <row r="1327" spans="1:26">
      <c r="A1327" t="s">
        <v>3251</v>
      </c>
      <c r="B1327" t="s">
        <v>3251</v>
      </c>
      <c r="C1327" s="4">
        <v>45816</v>
      </c>
      <c r="D1327">
        <v>2025</v>
      </c>
      <c r="E1327">
        <v>6</v>
      </c>
      <c r="F1327" t="s">
        <v>22</v>
      </c>
      <c r="G1327" t="s">
        <v>74</v>
      </c>
      <c r="H1327" t="s">
        <v>622</v>
      </c>
      <c r="I1327" t="s">
        <v>793</v>
      </c>
      <c r="J1327" t="s">
        <v>2342</v>
      </c>
      <c r="K1327" t="s">
        <v>3252</v>
      </c>
      <c r="L1327">
        <v>7</v>
      </c>
      <c r="M1327" s="5">
        <v>158.4</v>
      </c>
      <c r="N1327" s="6">
        <v>5</v>
      </c>
      <c r="O1327" s="5">
        <v>55.44</v>
      </c>
      <c r="P1327" s="5">
        <v>158</v>
      </c>
      <c r="Q1327" s="5">
        <v>1211.36</v>
      </c>
      <c r="R1327" s="5">
        <v>892.36</v>
      </c>
      <c r="S1327" s="5">
        <v>319</v>
      </c>
      <c r="T1327" s="7">
        <v>0.263340377757232</v>
      </c>
      <c r="U1327" t="s">
        <v>10</v>
      </c>
      <c r="V1327" t="s">
        <v>50</v>
      </c>
      <c r="W1327" t="s">
        <v>50</v>
      </c>
      <c r="X1327" t="s">
        <v>35</v>
      </c>
      <c r="Y1327" t="s">
        <v>3253</v>
      </c>
      <c r="Z1327" t="s">
        <v>80</v>
      </c>
    </row>
    <row r="1328" spans="1:26">
      <c r="A1328" t="s">
        <v>3254</v>
      </c>
      <c r="B1328" t="s">
        <v>3254</v>
      </c>
      <c r="C1328" s="4">
        <v>45997</v>
      </c>
      <c r="D1328">
        <v>2025</v>
      </c>
      <c r="E1328">
        <v>12</v>
      </c>
      <c r="F1328" t="s">
        <v>28</v>
      </c>
      <c r="G1328" t="s">
        <v>137</v>
      </c>
      <c r="H1328" t="s">
        <v>1568</v>
      </c>
      <c r="I1328" t="s">
        <v>262</v>
      </c>
      <c r="J1328" t="s">
        <v>850</v>
      </c>
      <c r="K1328" t="s">
        <v>441</v>
      </c>
      <c r="L1328">
        <v>4</v>
      </c>
      <c r="M1328" s="5">
        <v>148.03</v>
      </c>
      <c r="N1328" s="6">
        <v>0</v>
      </c>
      <c r="O1328" s="5">
        <v>0</v>
      </c>
      <c r="P1328" s="5">
        <v>88.82</v>
      </c>
      <c r="Q1328" s="5">
        <v>680.94</v>
      </c>
      <c r="R1328" s="5">
        <v>451.2</v>
      </c>
      <c r="S1328" s="5">
        <v>229.74</v>
      </c>
      <c r="T1328" s="7">
        <v>0.337386553881399</v>
      </c>
      <c r="U1328" t="s">
        <v>12</v>
      </c>
      <c r="V1328" t="s">
        <v>50</v>
      </c>
      <c r="W1328" t="s">
        <v>50</v>
      </c>
      <c r="X1328" t="s">
        <v>33</v>
      </c>
      <c r="Y1328" t="s">
        <v>650</v>
      </c>
      <c r="Z1328" t="s">
        <v>80</v>
      </c>
    </row>
    <row r="1329" spans="1:26">
      <c r="A1329" t="s">
        <v>3255</v>
      </c>
      <c r="B1329" t="s">
        <v>3255</v>
      </c>
      <c r="C1329" s="4">
        <v>45806</v>
      </c>
      <c r="D1329">
        <v>2025</v>
      </c>
      <c r="E1329">
        <v>5</v>
      </c>
      <c r="F1329" t="s">
        <v>21</v>
      </c>
      <c r="G1329" t="s">
        <v>74</v>
      </c>
      <c r="H1329" t="s">
        <v>394</v>
      </c>
      <c r="I1329" t="s">
        <v>312</v>
      </c>
      <c r="J1329" t="s">
        <v>1014</v>
      </c>
      <c r="K1329" t="s">
        <v>1015</v>
      </c>
      <c r="L1329">
        <v>6</v>
      </c>
      <c r="M1329" s="5">
        <v>413.59</v>
      </c>
      <c r="N1329" s="6">
        <v>15</v>
      </c>
      <c r="O1329" s="5">
        <v>372.23</v>
      </c>
      <c r="P1329" s="5">
        <v>316.4</v>
      </c>
      <c r="Q1329" s="5">
        <v>2109.31</v>
      </c>
      <c r="R1329" s="5">
        <v>1715.4</v>
      </c>
      <c r="S1329" s="5">
        <v>393.91</v>
      </c>
      <c r="T1329" s="7">
        <v>0.186748273131972</v>
      </c>
      <c r="U1329" t="s">
        <v>14</v>
      </c>
      <c r="V1329" t="s">
        <v>50</v>
      </c>
      <c r="W1329" t="s">
        <v>50</v>
      </c>
      <c r="X1329" t="s">
        <v>33</v>
      </c>
      <c r="Y1329" t="s">
        <v>242</v>
      </c>
      <c r="Z1329" t="s">
        <v>101</v>
      </c>
    </row>
    <row r="1330" spans="1:26">
      <c r="A1330" t="s">
        <v>3256</v>
      </c>
      <c r="B1330" t="s">
        <v>3256</v>
      </c>
      <c r="C1330" s="4">
        <v>46089</v>
      </c>
      <c r="D1330">
        <v>2026</v>
      </c>
      <c r="E1330">
        <v>3</v>
      </c>
      <c r="F1330" t="s">
        <v>19</v>
      </c>
      <c r="G1330" t="s">
        <v>82</v>
      </c>
      <c r="H1330" t="s">
        <v>3257</v>
      </c>
      <c r="I1330" t="s">
        <v>290</v>
      </c>
      <c r="J1330" t="s">
        <v>318</v>
      </c>
      <c r="K1330" t="s">
        <v>3153</v>
      </c>
      <c r="L1330">
        <v>4</v>
      </c>
      <c r="M1330" s="5">
        <v>80.5</v>
      </c>
      <c r="N1330" s="6">
        <v>10</v>
      </c>
      <c r="O1330" s="5">
        <v>32.2</v>
      </c>
      <c r="P1330" s="5">
        <v>43.47</v>
      </c>
      <c r="Q1330" s="5">
        <v>333.27</v>
      </c>
      <c r="R1330" s="5">
        <v>249</v>
      </c>
      <c r="S1330" s="5">
        <v>84.27</v>
      </c>
      <c r="T1330" s="7">
        <v>0.252858043028175</v>
      </c>
      <c r="U1330" t="s">
        <v>9</v>
      </c>
      <c r="V1330" t="s">
        <v>50</v>
      </c>
      <c r="W1330" t="s">
        <v>50</v>
      </c>
      <c r="X1330" t="s">
        <v>33</v>
      </c>
      <c r="Y1330" t="s">
        <v>1631</v>
      </c>
      <c r="Z1330" t="s">
        <v>80</v>
      </c>
    </row>
    <row r="1331" spans="1:26">
      <c r="A1331" t="s">
        <v>3258</v>
      </c>
      <c r="B1331" t="s">
        <v>3258</v>
      </c>
      <c r="C1331" s="4">
        <v>45780</v>
      </c>
      <c r="D1331">
        <v>2025</v>
      </c>
      <c r="E1331">
        <v>5</v>
      </c>
      <c r="F1331" t="s">
        <v>21</v>
      </c>
      <c r="G1331" t="s">
        <v>74</v>
      </c>
      <c r="H1331" t="s">
        <v>2244</v>
      </c>
      <c r="I1331" t="s">
        <v>328</v>
      </c>
      <c r="J1331" t="s">
        <v>1409</v>
      </c>
      <c r="K1331" t="s">
        <v>2665</v>
      </c>
      <c r="L1331">
        <v>3</v>
      </c>
      <c r="M1331" s="5">
        <v>124.84</v>
      </c>
      <c r="N1331" s="6">
        <v>15</v>
      </c>
      <c r="O1331" s="5">
        <v>56.18</v>
      </c>
      <c r="P1331" s="5">
        <v>47.75</v>
      </c>
      <c r="Q1331" s="5">
        <v>366.09</v>
      </c>
      <c r="R1331" s="5">
        <v>292.05</v>
      </c>
      <c r="S1331" s="5">
        <v>74.04</v>
      </c>
      <c r="T1331" s="7">
        <v>0.20224534950422</v>
      </c>
      <c r="U1331" t="s">
        <v>14</v>
      </c>
      <c r="V1331" t="s">
        <v>50</v>
      </c>
      <c r="W1331" t="s">
        <v>50</v>
      </c>
      <c r="X1331" t="s">
        <v>33</v>
      </c>
      <c r="Y1331" t="s">
        <v>2441</v>
      </c>
      <c r="Z1331" t="s">
        <v>80</v>
      </c>
    </row>
    <row r="1332" spans="1:26">
      <c r="A1332" t="s">
        <v>3259</v>
      </c>
      <c r="B1332" t="s">
        <v>3259</v>
      </c>
      <c r="C1332" s="4">
        <v>45948</v>
      </c>
      <c r="D1332">
        <v>2025</v>
      </c>
      <c r="E1332">
        <v>10</v>
      </c>
      <c r="F1332" t="s">
        <v>26</v>
      </c>
      <c r="G1332" t="s">
        <v>137</v>
      </c>
      <c r="H1332" t="s">
        <v>764</v>
      </c>
      <c r="I1332" t="s">
        <v>104</v>
      </c>
      <c r="J1332" t="s">
        <v>445</v>
      </c>
      <c r="K1332" t="s">
        <v>446</v>
      </c>
      <c r="L1332">
        <v>5</v>
      </c>
      <c r="M1332" s="5">
        <v>354.44</v>
      </c>
      <c r="N1332" s="6">
        <v>0</v>
      </c>
      <c r="O1332" s="5">
        <v>0</v>
      </c>
      <c r="P1332" s="5">
        <v>265.83</v>
      </c>
      <c r="Q1332" s="5">
        <v>2038.03</v>
      </c>
      <c r="R1332" s="5">
        <v>1230.6</v>
      </c>
      <c r="S1332" s="5">
        <v>807.43</v>
      </c>
      <c r="T1332" s="7">
        <v>0.396181606747693</v>
      </c>
      <c r="U1332" t="s">
        <v>14</v>
      </c>
      <c r="V1332" t="s">
        <v>50</v>
      </c>
      <c r="W1332" t="s">
        <v>50</v>
      </c>
      <c r="X1332" t="s">
        <v>35</v>
      </c>
      <c r="Y1332" t="s">
        <v>3253</v>
      </c>
      <c r="Z1332" t="s">
        <v>80</v>
      </c>
    </row>
    <row r="1333" spans="1:26">
      <c r="A1333" t="s">
        <v>3260</v>
      </c>
      <c r="B1333" t="s">
        <v>3260</v>
      </c>
      <c r="C1333" s="4">
        <v>45764</v>
      </c>
      <c r="D1333">
        <v>2025</v>
      </c>
      <c r="E1333">
        <v>4</v>
      </c>
      <c r="F1333" t="s">
        <v>20</v>
      </c>
      <c r="G1333" t="s">
        <v>74</v>
      </c>
      <c r="H1333" t="s">
        <v>3261</v>
      </c>
      <c r="I1333" t="s">
        <v>653</v>
      </c>
      <c r="J1333" t="s">
        <v>850</v>
      </c>
      <c r="K1333" t="s">
        <v>915</v>
      </c>
      <c r="L1333">
        <v>1</v>
      </c>
      <c r="M1333" s="5">
        <v>339.13</v>
      </c>
      <c r="N1333" s="6">
        <v>20</v>
      </c>
      <c r="O1333" s="5">
        <v>67.83</v>
      </c>
      <c r="P1333" s="5">
        <v>40.7</v>
      </c>
      <c r="Q1333" s="5">
        <v>271.3</v>
      </c>
      <c r="R1333" s="5">
        <v>250.68</v>
      </c>
      <c r="S1333" s="5">
        <v>20.62</v>
      </c>
      <c r="T1333" s="7">
        <v>0.0760044231478069</v>
      </c>
      <c r="U1333" t="s">
        <v>12</v>
      </c>
      <c r="V1333" t="s">
        <v>50</v>
      </c>
      <c r="W1333" t="s">
        <v>50</v>
      </c>
      <c r="X1333" t="s">
        <v>33</v>
      </c>
      <c r="Y1333" t="s">
        <v>1021</v>
      </c>
      <c r="Z1333" t="s">
        <v>101</v>
      </c>
    </row>
    <row r="1334" spans="1:26">
      <c r="A1334" t="s">
        <v>3262</v>
      </c>
      <c r="B1334" t="s">
        <v>3262</v>
      </c>
      <c r="C1334" s="4">
        <v>46042</v>
      </c>
      <c r="D1334">
        <v>2026</v>
      </c>
      <c r="E1334">
        <v>1</v>
      </c>
      <c r="F1334" t="s">
        <v>30</v>
      </c>
      <c r="G1334" t="s">
        <v>82</v>
      </c>
      <c r="H1334" t="s">
        <v>422</v>
      </c>
      <c r="I1334" t="s">
        <v>750</v>
      </c>
      <c r="J1334" t="s">
        <v>1107</v>
      </c>
      <c r="K1334" t="s">
        <v>2176</v>
      </c>
      <c r="L1334">
        <v>5</v>
      </c>
      <c r="M1334" s="5">
        <v>474.19</v>
      </c>
      <c r="N1334" s="6">
        <v>5</v>
      </c>
      <c r="O1334" s="5">
        <v>118.55</v>
      </c>
      <c r="P1334" s="5">
        <v>337.86</v>
      </c>
      <c r="Q1334" s="5">
        <v>2252.4</v>
      </c>
      <c r="R1334" s="5">
        <v>1719.45</v>
      </c>
      <c r="S1334" s="5">
        <v>532.95</v>
      </c>
      <c r="T1334" s="7">
        <v>0.236614278103356</v>
      </c>
      <c r="U1334" t="s">
        <v>11</v>
      </c>
      <c r="V1334" t="s">
        <v>50</v>
      </c>
      <c r="W1334" t="s">
        <v>50</v>
      </c>
      <c r="X1334" t="s">
        <v>35</v>
      </c>
      <c r="Y1334" t="s">
        <v>3263</v>
      </c>
      <c r="Z1334" t="s">
        <v>101</v>
      </c>
    </row>
    <row r="1335" spans="1:26">
      <c r="A1335" t="s">
        <v>3264</v>
      </c>
      <c r="B1335" t="s">
        <v>3264</v>
      </c>
      <c r="C1335" s="4">
        <v>46068</v>
      </c>
      <c r="D1335">
        <v>2026</v>
      </c>
      <c r="E1335">
        <v>2</v>
      </c>
      <c r="F1335" t="s">
        <v>31</v>
      </c>
      <c r="G1335" t="s">
        <v>82</v>
      </c>
      <c r="H1335" t="s">
        <v>727</v>
      </c>
      <c r="I1335" t="s">
        <v>1132</v>
      </c>
      <c r="J1335" t="s">
        <v>291</v>
      </c>
      <c r="K1335" t="s">
        <v>270</v>
      </c>
      <c r="L1335">
        <v>8</v>
      </c>
      <c r="M1335" s="5">
        <v>327.84</v>
      </c>
      <c r="N1335" s="6">
        <v>0</v>
      </c>
      <c r="O1335" s="5">
        <v>0</v>
      </c>
      <c r="P1335" s="5">
        <v>393.41</v>
      </c>
      <c r="Q1335" s="5">
        <v>3016.13</v>
      </c>
      <c r="R1335" s="5">
        <v>1802.24</v>
      </c>
      <c r="S1335" s="5">
        <v>1213.89</v>
      </c>
      <c r="T1335" s="7">
        <v>0.402466074075057</v>
      </c>
      <c r="U1335" t="s">
        <v>14</v>
      </c>
      <c r="V1335" t="s">
        <v>50</v>
      </c>
      <c r="W1335" t="s">
        <v>50</v>
      </c>
      <c r="X1335" t="s">
        <v>33</v>
      </c>
      <c r="Y1335" t="s">
        <v>1113</v>
      </c>
      <c r="Z1335" t="s">
        <v>80</v>
      </c>
    </row>
    <row r="1336" spans="1:26">
      <c r="A1336" t="s">
        <v>3265</v>
      </c>
      <c r="B1336" t="s">
        <v>3265</v>
      </c>
      <c r="C1336" s="4">
        <v>45949</v>
      </c>
      <c r="D1336">
        <v>2025</v>
      </c>
      <c r="E1336">
        <v>10</v>
      </c>
      <c r="F1336" t="s">
        <v>26</v>
      </c>
      <c r="G1336" t="s">
        <v>137</v>
      </c>
      <c r="H1336" t="s">
        <v>3266</v>
      </c>
      <c r="I1336" t="s">
        <v>84</v>
      </c>
      <c r="J1336" t="s">
        <v>1327</v>
      </c>
      <c r="K1336" t="s">
        <v>632</v>
      </c>
      <c r="L1336">
        <v>3</v>
      </c>
      <c r="M1336" s="5">
        <v>448.94</v>
      </c>
      <c r="N1336" s="6">
        <v>5</v>
      </c>
      <c r="O1336" s="5">
        <v>67.34</v>
      </c>
      <c r="P1336" s="5">
        <v>191.92</v>
      </c>
      <c r="Q1336" s="5">
        <v>1471.4</v>
      </c>
      <c r="R1336" s="5">
        <v>1140.24</v>
      </c>
      <c r="S1336" s="5">
        <v>-184.45</v>
      </c>
      <c r="T1336" s="7">
        <v>-0.125356803044719</v>
      </c>
      <c r="U1336" t="s">
        <v>9</v>
      </c>
      <c r="V1336" t="s">
        <v>50</v>
      </c>
      <c r="W1336" t="s">
        <v>50</v>
      </c>
      <c r="X1336" t="s">
        <v>33</v>
      </c>
      <c r="Y1336" t="s">
        <v>148</v>
      </c>
      <c r="Z1336" t="s">
        <v>80</v>
      </c>
    </row>
    <row r="1337" spans="1:26">
      <c r="A1337" t="s">
        <v>3267</v>
      </c>
      <c r="B1337" t="s">
        <v>3267</v>
      </c>
      <c r="C1337" s="4">
        <v>45759</v>
      </c>
      <c r="D1337">
        <v>2025</v>
      </c>
      <c r="E1337">
        <v>4</v>
      </c>
      <c r="F1337" t="s">
        <v>20</v>
      </c>
      <c r="G1337" t="s">
        <v>74</v>
      </c>
      <c r="H1337" t="s">
        <v>1535</v>
      </c>
      <c r="I1337" t="s">
        <v>547</v>
      </c>
      <c r="J1337" t="s">
        <v>610</v>
      </c>
      <c r="K1337" t="s">
        <v>682</v>
      </c>
      <c r="L1337">
        <v>3</v>
      </c>
      <c r="M1337" s="5">
        <v>503.36</v>
      </c>
      <c r="N1337" s="6">
        <v>5</v>
      </c>
      <c r="O1337" s="5">
        <v>75.5</v>
      </c>
      <c r="P1337" s="5">
        <v>215.19</v>
      </c>
      <c r="Q1337" s="5">
        <v>1649.77</v>
      </c>
      <c r="R1337" s="5">
        <v>1169.4</v>
      </c>
      <c r="S1337" s="5">
        <v>480.37</v>
      </c>
      <c r="T1337" s="7">
        <v>0.29117392121326</v>
      </c>
      <c r="U1337" t="s">
        <v>10</v>
      </c>
      <c r="V1337" t="s">
        <v>50</v>
      </c>
      <c r="W1337" t="s">
        <v>50</v>
      </c>
      <c r="X1337" t="s">
        <v>33</v>
      </c>
      <c r="Y1337" t="s">
        <v>830</v>
      </c>
      <c r="Z1337" t="s">
        <v>80</v>
      </c>
    </row>
    <row r="1338" spans="1:26">
      <c r="A1338" t="s">
        <v>3268</v>
      </c>
      <c r="B1338" t="s">
        <v>3268</v>
      </c>
      <c r="C1338" s="4">
        <v>45845</v>
      </c>
      <c r="D1338">
        <v>2025</v>
      </c>
      <c r="E1338">
        <v>7</v>
      </c>
      <c r="F1338" t="s">
        <v>23</v>
      </c>
      <c r="G1338" t="s">
        <v>89</v>
      </c>
      <c r="H1338" t="s">
        <v>3269</v>
      </c>
      <c r="I1338" t="s">
        <v>774</v>
      </c>
      <c r="J1338" t="s">
        <v>1485</v>
      </c>
      <c r="K1338" t="s">
        <v>3122</v>
      </c>
      <c r="L1338">
        <v>3</v>
      </c>
      <c r="M1338" s="5">
        <v>661.91</v>
      </c>
      <c r="N1338" s="6">
        <v>15</v>
      </c>
      <c r="O1338" s="5">
        <v>297.86</v>
      </c>
      <c r="P1338" s="5">
        <v>253.18</v>
      </c>
      <c r="Q1338" s="5">
        <v>1687.87</v>
      </c>
      <c r="R1338" s="5">
        <v>1196.16</v>
      </c>
      <c r="S1338" s="5">
        <v>491.71</v>
      </c>
      <c r="T1338" s="7">
        <v>0.29131982913376</v>
      </c>
      <c r="U1338" t="s">
        <v>13</v>
      </c>
      <c r="V1338" t="s">
        <v>50</v>
      </c>
      <c r="W1338" t="s">
        <v>50</v>
      </c>
      <c r="X1338" t="s">
        <v>33</v>
      </c>
      <c r="Y1338" t="s">
        <v>2074</v>
      </c>
      <c r="Z1338" t="s">
        <v>101</v>
      </c>
    </row>
    <row r="1339" spans="1:26">
      <c r="A1339" t="s">
        <v>3270</v>
      </c>
      <c r="B1339" t="s">
        <v>3270</v>
      </c>
      <c r="C1339" s="4">
        <v>45924</v>
      </c>
      <c r="D1339">
        <v>2025</v>
      </c>
      <c r="E1339">
        <v>9</v>
      </c>
      <c r="F1339" t="s">
        <v>25</v>
      </c>
      <c r="G1339" t="s">
        <v>89</v>
      </c>
      <c r="H1339" t="s">
        <v>2476</v>
      </c>
      <c r="I1339" t="s">
        <v>844</v>
      </c>
      <c r="J1339" t="s">
        <v>1657</v>
      </c>
      <c r="K1339" t="s">
        <v>1658</v>
      </c>
      <c r="L1339">
        <v>4</v>
      </c>
      <c r="M1339" s="5">
        <v>298.68</v>
      </c>
      <c r="N1339" s="6">
        <v>5</v>
      </c>
      <c r="O1339" s="5">
        <v>59.74</v>
      </c>
      <c r="P1339" s="5">
        <v>170.25</v>
      </c>
      <c r="Q1339" s="5">
        <v>1134.98</v>
      </c>
      <c r="R1339" s="5">
        <v>1002.76</v>
      </c>
      <c r="S1339" s="5">
        <v>132.22</v>
      </c>
      <c r="T1339" s="7">
        <v>0.116495444853654</v>
      </c>
      <c r="U1339" t="s">
        <v>9</v>
      </c>
      <c r="V1339" t="s">
        <v>50</v>
      </c>
      <c r="W1339" t="s">
        <v>50</v>
      </c>
      <c r="X1339" t="s">
        <v>33</v>
      </c>
      <c r="Y1339" t="s">
        <v>3271</v>
      </c>
      <c r="Z1339" t="s">
        <v>101</v>
      </c>
    </row>
    <row r="1340" spans="1:26">
      <c r="A1340" t="s">
        <v>3272</v>
      </c>
      <c r="B1340" t="s">
        <v>3272</v>
      </c>
      <c r="C1340" s="4">
        <v>45828</v>
      </c>
      <c r="D1340">
        <v>2025</v>
      </c>
      <c r="E1340">
        <v>6</v>
      </c>
      <c r="F1340" t="s">
        <v>22</v>
      </c>
      <c r="G1340" t="s">
        <v>74</v>
      </c>
      <c r="H1340" t="s">
        <v>2141</v>
      </c>
      <c r="I1340" t="s">
        <v>417</v>
      </c>
      <c r="J1340" t="s">
        <v>246</v>
      </c>
      <c r="K1340" t="s">
        <v>247</v>
      </c>
      <c r="L1340">
        <v>5</v>
      </c>
      <c r="M1340" s="5">
        <v>380.12</v>
      </c>
      <c r="N1340" s="6">
        <v>15</v>
      </c>
      <c r="O1340" s="5">
        <v>285.09</v>
      </c>
      <c r="P1340" s="5">
        <v>242.33</v>
      </c>
      <c r="Q1340" s="5">
        <v>1615.51</v>
      </c>
      <c r="R1340" s="5">
        <v>1549.9</v>
      </c>
      <c r="S1340" s="5">
        <v>65.61</v>
      </c>
      <c r="T1340" s="7">
        <v>0.0406125619773322</v>
      </c>
      <c r="U1340" t="s">
        <v>13</v>
      </c>
      <c r="V1340" t="s">
        <v>50</v>
      </c>
      <c r="W1340" t="s">
        <v>50</v>
      </c>
      <c r="X1340" t="s">
        <v>34</v>
      </c>
      <c r="Y1340" t="s">
        <v>1481</v>
      </c>
      <c r="Z1340" t="s">
        <v>101</v>
      </c>
    </row>
    <row r="1341" spans="1:26">
      <c r="A1341" t="s">
        <v>3273</v>
      </c>
      <c r="B1341" t="s">
        <v>3273</v>
      </c>
      <c r="C1341" s="4">
        <v>46009</v>
      </c>
      <c r="D1341">
        <v>2025</v>
      </c>
      <c r="E1341">
        <v>12</v>
      </c>
      <c r="F1341" t="s">
        <v>28</v>
      </c>
      <c r="G1341" t="s">
        <v>137</v>
      </c>
      <c r="H1341" t="s">
        <v>1503</v>
      </c>
      <c r="I1341" t="s">
        <v>110</v>
      </c>
      <c r="J1341" t="s">
        <v>751</v>
      </c>
      <c r="K1341" t="s">
        <v>752</v>
      </c>
      <c r="L1341">
        <v>4</v>
      </c>
      <c r="M1341" s="5">
        <v>342.46</v>
      </c>
      <c r="N1341" s="6">
        <v>10</v>
      </c>
      <c r="O1341" s="5">
        <v>136.98</v>
      </c>
      <c r="P1341" s="5">
        <v>184.93</v>
      </c>
      <c r="Q1341" s="5">
        <v>1232.86</v>
      </c>
      <c r="R1341" s="5">
        <v>1087.12</v>
      </c>
      <c r="S1341" s="5">
        <v>145.74</v>
      </c>
      <c r="T1341" s="7">
        <v>0.118212935775352</v>
      </c>
      <c r="U1341" t="s">
        <v>12</v>
      </c>
      <c r="V1341" t="s">
        <v>50</v>
      </c>
      <c r="W1341" t="s">
        <v>50</v>
      </c>
      <c r="X1341" t="s">
        <v>34</v>
      </c>
      <c r="Y1341" t="s">
        <v>2288</v>
      </c>
      <c r="Z1341" t="s">
        <v>101</v>
      </c>
    </row>
    <row r="1342" spans="1:26">
      <c r="A1342" t="s">
        <v>3274</v>
      </c>
      <c r="B1342" t="s">
        <v>3274</v>
      </c>
      <c r="C1342" s="4">
        <v>45948</v>
      </c>
      <c r="D1342">
        <v>2025</v>
      </c>
      <c r="E1342">
        <v>10</v>
      </c>
      <c r="F1342" t="s">
        <v>26</v>
      </c>
      <c r="G1342" t="s">
        <v>137</v>
      </c>
      <c r="H1342" t="s">
        <v>1294</v>
      </c>
      <c r="I1342" t="s">
        <v>362</v>
      </c>
      <c r="J1342" t="s">
        <v>44</v>
      </c>
      <c r="K1342" t="s">
        <v>287</v>
      </c>
      <c r="L1342">
        <v>4</v>
      </c>
      <c r="M1342" s="5">
        <v>353.75</v>
      </c>
      <c r="N1342" s="6">
        <v>10</v>
      </c>
      <c r="O1342" s="5">
        <v>141.5</v>
      </c>
      <c r="P1342" s="5">
        <v>191.02</v>
      </c>
      <c r="Q1342" s="5">
        <v>1464.52</v>
      </c>
      <c r="R1342" s="5">
        <v>989</v>
      </c>
      <c r="S1342" s="5">
        <v>475.52</v>
      </c>
      <c r="T1342" s="7">
        <v>0.324693414907273</v>
      </c>
      <c r="U1342" t="s">
        <v>14</v>
      </c>
      <c r="V1342" t="s">
        <v>50</v>
      </c>
      <c r="W1342" t="s">
        <v>50</v>
      </c>
      <c r="X1342" t="s">
        <v>35</v>
      </c>
      <c r="Y1342" t="s">
        <v>3275</v>
      </c>
      <c r="Z1342" t="s">
        <v>80</v>
      </c>
    </row>
    <row r="1343" spans="1:26">
      <c r="A1343" t="s">
        <v>3276</v>
      </c>
      <c r="B1343" t="s">
        <v>3276</v>
      </c>
      <c r="C1343" s="4">
        <v>45893</v>
      </c>
      <c r="D1343">
        <v>2025</v>
      </c>
      <c r="E1343">
        <v>8</v>
      </c>
      <c r="F1343" t="s">
        <v>24</v>
      </c>
      <c r="G1343" t="s">
        <v>89</v>
      </c>
      <c r="H1343" t="s">
        <v>2864</v>
      </c>
      <c r="I1343" t="s">
        <v>765</v>
      </c>
      <c r="J1343" t="s">
        <v>882</v>
      </c>
      <c r="K1343" t="s">
        <v>1500</v>
      </c>
      <c r="L1343">
        <v>2</v>
      </c>
      <c r="M1343" s="5">
        <v>376.11</v>
      </c>
      <c r="N1343" s="6">
        <v>20</v>
      </c>
      <c r="O1343" s="5">
        <v>150.44</v>
      </c>
      <c r="P1343" s="5">
        <v>90.27</v>
      </c>
      <c r="Q1343" s="5">
        <v>692.05</v>
      </c>
      <c r="R1343" s="5">
        <v>603.14</v>
      </c>
      <c r="S1343" s="5">
        <v>88.91</v>
      </c>
      <c r="T1343" s="7">
        <v>0.128473376201141</v>
      </c>
      <c r="U1343" t="s">
        <v>14</v>
      </c>
      <c r="V1343" t="s">
        <v>50</v>
      </c>
      <c r="W1343" t="s">
        <v>50</v>
      </c>
      <c r="X1343" t="s">
        <v>33</v>
      </c>
      <c r="Y1343" t="s">
        <v>3277</v>
      </c>
      <c r="Z1343" t="s">
        <v>80</v>
      </c>
    </row>
    <row r="1344" spans="1:26">
      <c r="A1344" t="s">
        <v>3278</v>
      </c>
      <c r="B1344" t="s">
        <v>3278</v>
      </c>
      <c r="C1344" s="4">
        <v>45913</v>
      </c>
      <c r="D1344">
        <v>2025</v>
      </c>
      <c r="E1344">
        <v>9</v>
      </c>
      <c r="F1344" t="s">
        <v>25</v>
      </c>
      <c r="G1344" t="s">
        <v>89</v>
      </c>
      <c r="H1344" t="s">
        <v>1364</v>
      </c>
      <c r="I1344" t="s">
        <v>84</v>
      </c>
      <c r="J1344" t="s">
        <v>1657</v>
      </c>
      <c r="K1344" t="s">
        <v>1658</v>
      </c>
      <c r="L1344">
        <v>2</v>
      </c>
      <c r="M1344" s="5">
        <v>448.94</v>
      </c>
      <c r="N1344" s="6">
        <v>10</v>
      </c>
      <c r="O1344" s="5">
        <v>89.79</v>
      </c>
      <c r="P1344" s="5">
        <v>121.21</v>
      </c>
      <c r="Q1344" s="5">
        <v>929.3</v>
      </c>
      <c r="R1344" s="5">
        <v>760.16</v>
      </c>
      <c r="S1344" s="5">
        <v>169.14</v>
      </c>
      <c r="T1344" s="7">
        <v>0.18200796298289</v>
      </c>
      <c r="U1344" t="s">
        <v>9</v>
      </c>
      <c r="V1344" t="s">
        <v>50</v>
      </c>
      <c r="W1344" t="s">
        <v>50</v>
      </c>
      <c r="X1344" t="s">
        <v>33</v>
      </c>
      <c r="Y1344" t="s">
        <v>376</v>
      </c>
      <c r="Z1344" t="s">
        <v>80</v>
      </c>
    </row>
    <row r="1345" spans="1:26">
      <c r="A1345" t="s">
        <v>3279</v>
      </c>
      <c r="B1345" t="s">
        <v>3279</v>
      </c>
      <c r="C1345" s="4">
        <v>45901</v>
      </c>
      <c r="D1345">
        <v>2025</v>
      </c>
      <c r="E1345">
        <v>9</v>
      </c>
      <c r="F1345" t="s">
        <v>25</v>
      </c>
      <c r="G1345" t="s">
        <v>89</v>
      </c>
      <c r="H1345" t="s">
        <v>3280</v>
      </c>
      <c r="I1345" t="s">
        <v>937</v>
      </c>
      <c r="J1345" t="s">
        <v>202</v>
      </c>
      <c r="K1345" t="s">
        <v>231</v>
      </c>
      <c r="L1345">
        <v>4</v>
      </c>
      <c r="M1345" s="5">
        <v>438.7</v>
      </c>
      <c r="N1345" s="6">
        <v>15</v>
      </c>
      <c r="O1345" s="5">
        <v>263.22</v>
      </c>
      <c r="P1345" s="5">
        <v>223.74</v>
      </c>
      <c r="Q1345" s="5">
        <v>1491.58</v>
      </c>
      <c r="R1345" s="5">
        <v>1480.72</v>
      </c>
      <c r="S1345" s="5">
        <v>10.86</v>
      </c>
      <c r="T1345" s="7">
        <v>0.00728086994998592</v>
      </c>
      <c r="U1345" t="s">
        <v>9</v>
      </c>
      <c r="V1345" t="s">
        <v>50</v>
      </c>
      <c r="W1345" t="s">
        <v>50</v>
      </c>
      <c r="X1345" t="s">
        <v>33</v>
      </c>
      <c r="Y1345" t="s">
        <v>3281</v>
      </c>
      <c r="Z1345" t="s">
        <v>101</v>
      </c>
    </row>
    <row r="1346" spans="1:26">
      <c r="A1346" t="s">
        <v>3282</v>
      </c>
      <c r="B1346" t="s">
        <v>3282</v>
      </c>
      <c r="C1346" s="4">
        <v>46110</v>
      </c>
      <c r="D1346">
        <v>2026</v>
      </c>
      <c r="E1346">
        <v>3</v>
      </c>
      <c r="F1346" t="s">
        <v>19</v>
      </c>
      <c r="G1346" t="s">
        <v>82</v>
      </c>
      <c r="H1346" t="s">
        <v>83</v>
      </c>
      <c r="I1346" t="s">
        <v>836</v>
      </c>
      <c r="J1346" t="s">
        <v>445</v>
      </c>
      <c r="K1346" t="s">
        <v>1262</v>
      </c>
      <c r="L1346">
        <v>3</v>
      </c>
      <c r="M1346" s="5">
        <v>171.25</v>
      </c>
      <c r="N1346" s="6">
        <v>10</v>
      </c>
      <c r="O1346" s="5">
        <v>51.38</v>
      </c>
      <c r="P1346" s="5">
        <v>69.36</v>
      </c>
      <c r="Q1346" s="5">
        <v>531.73</v>
      </c>
      <c r="R1346" s="5">
        <v>372.99</v>
      </c>
      <c r="S1346" s="5">
        <v>158.74</v>
      </c>
      <c r="T1346" s="7">
        <v>0.298534970755835</v>
      </c>
      <c r="U1346" t="s">
        <v>12</v>
      </c>
      <c r="V1346" t="s">
        <v>50</v>
      </c>
      <c r="W1346" t="s">
        <v>50</v>
      </c>
      <c r="X1346" t="s">
        <v>33</v>
      </c>
      <c r="Y1346" t="s">
        <v>2868</v>
      </c>
      <c r="Z1346" t="s">
        <v>80</v>
      </c>
    </row>
    <row r="1347" spans="1:26">
      <c r="A1347" t="s">
        <v>3283</v>
      </c>
      <c r="B1347" t="s">
        <v>3283</v>
      </c>
      <c r="C1347" s="4">
        <v>45864</v>
      </c>
      <c r="D1347">
        <v>2025</v>
      </c>
      <c r="E1347">
        <v>7</v>
      </c>
      <c r="F1347" t="s">
        <v>23</v>
      </c>
      <c r="G1347" t="s">
        <v>89</v>
      </c>
      <c r="H1347" t="s">
        <v>488</v>
      </c>
      <c r="I1347" t="s">
        <v>2804</v>
      </c>
      <c r="J1347" t="s">
        <v>1422</v>
      </c>
      <c r="K1347" t="s">
        <v>1423</v>
      </c>
      <c r="L1347">
        <v>5</v>
      </c>
      <c r="M1347" s="5">
        <v>421.67</v>
      </c>
      <c r="N1347" s="6">
        <v>0</v>
      </c>
      <c r="O1347" s="5">
        <v>0</v>
      </c>
      <c r="P1347" s="5">
        <v>316.25</v>
      </c>
      <c r="Q1347" s="5">
        <v>2424.6</v>
      </c>
      <c r="R1347" s="5">
        <v>1414.95</v>
      </c>
      <c r="S1347" s="5">
        <v>1009.65</v>
      </c>
      <c r="T1347" s="7">
        <v>0.416419203167533</v>
      </c>
      <c r="U1347" t="s">
        <v>12</v>
      </c>
      <c r="V1347" t="s">
        <v>50</v>
      </c>
      <c r="W1347" t="s">
        <v>50</v>
      </c>
      <c r="X1347" t="s">
        <v>33</v>
      </c>
      <c r="Y1347" t="s">
        <v>3284</v>
      </c>
      <c r="Z1347" t="s">
        <v>80</v>
      </c>
    </row>
    <row r="1348" spans="1:26">
      <c r="A1348" t="s">
        <v>3285</v>
      </c>
      <c r="B1348" t="s">
        <v>3285</v>
      </c>
      <c r="C1348" s="4">
        <v>45773</v>
      </c>
      <c r="D1348">
        <v>2025</v>
      </c>
      <c r="E1348">
        <v>4</v>
      </c>
      <c r="F1348" t="s">
        <v>20</v>
      </c>
      <c r="G1348" t="s">
        <v>74</v>
      </c>
      <c r="H1348" t="s">
        <v>552</v>
      </c>
      <c r="I1348" t="s">
        <v>493</v>
      </c>
      <c r="J1348" t="s">
        <v>170</v>
      </c>
      <c r="K1348" t="s">
        <v>808</v>
      </c>
      <c r="L1348">
        <v>8</v>
      </c>
      <c r="M1348" s="5">
        <v>446.35</v>
      </c>
      <c r="N1348" s="6">
        <v>20</v>
      </c>
      <c r="O1348" s="5">
        <v>714.16</v>
      </c>
      <c r="P1348" s="5">
        <v>428.5</v>
      </c>
      <c r="Q1348" s="5">
        <v>3285.14</v>
      </c>
      <c r="R1348" s="5">
        <v>2561.52</v>
      </c>
      <c r="S1348" s="5">
        <v>723.62</v>
      </c>
      <c r="T1348" s="7">
        <v>0.220270673395959</v>
      </c>
      <c r="U1348" t="s">
        <v>14</v>
      </c>
      <c r="V1348" t="s">
        <v>50</v>
      </c>
      <c r="W1348" t="s">
        <v>50</v>
      </c>
      <c r="X1348" t="s">
        <v>35</v>
      </c>
      <c r="Y1348" t="s">
        <v>3286</v>
      </c>
      <c r="Z1348" t="s">
        <v>80</v>
      </c>
    </row>
    <row r="1349" spans="1:26">
      <c r="A1349" t="s">
        <v>3287</v>
      </c>
      <c r="B1349" t="s">
        <v>3287</v>
      </c>
      <c r="C1349" s="4">
        <v>46065</v>
      </c>
      <c r="D1349">
        <v>2026</v>
      </c>
      <c r="E1349">
        <v>2</v>
      </c>
      <c r="F1349" t="s">
        <v>31</v>
      </c>
      <c r="G1349" t="s">
        <v>82</v>
      </c>
      <c r="H1349" t="s">
        <v>1833</v>
      </c>
      <c r="I1349" t="s">
        <v>574</v>
      </c>
      <c r="J1349" t="s">
        <v>1100</v>
      </c>
      <c r="K1349" t="s">
        <v>352</v>
      </c>
      <c r="L1349">
        <v>4</v>
      </c>
      <c r="M1349" s="5">
        <v>125.15</v>
      </c>
      <c r="N1349" s="6">
        <v>20</v>
      </c>
      <c r="O1349" s="5">
        <v>100.12</v>
      </c>
      <c r="P1349" s="5">
        <v>60.07</v>
      </c>
      <c r="Q1349" s="5">
        <v>400.48</v>
      </c>
      <c r="R1349" s="5">
        <v>382.8</v>
      </c>
      <c r="S1349" s="5">
        <v>17.68</v>
      </c>
      <c r="T1349" s="7">
        <v>0.0441470235717139</v>
      </c>
      <c r="U1349" t="s">
        <v>10</v>
      </c>
      <c r="V1349" t="s">
        <v>50</v>
      </c>
      <c r="W1349" t="s">
        <v>50</v>
      </c>
      <c r="X1349" t="s">
        <v>35</v>
      </c>
      <c r="Y1349" t="s">
        <v>3286</v>
      </c>
      <c r="Z1349" t="s">
        <v>101</v>
      </c>
    </row>
    <row r="1350" spans="1:26">
      <c r="A1350" t="s">
        <v>3288</v>
      </c>
      <c r="B1350" t="s">
        <v>3288</v>
      </c>
      <c r="C1350" s="4">
        <v>45780</v>
      </c>
      <c r="D1350">
        <v>2025</v>
      </c>
      <c r="E1350">
        <v>5</v>
      </c>
      <c r="F1350" t="s">
        <v>21</v>
      </c>
      <c r="G1350" t="s">
        <v>74</v>
      </c>
      <c r="H1350" t="s">
        <v>2241</v>
      </c>
      <c r="I1350" t="s">
        <v>262</v>
      </c>
      <c r="J1350" t="s">
        <v>44</v>
      </c>
      <c r="K1350" t="s">
        <v>1286</v>
      </c>
      <c r="L1350">
        <v>7</v>
      </c>
      <c r="M1350" s="5">
        <v>166.6</v>
      </c>
      <c r="N1350" s="6">
        <v>0</v>
      </c>
      <c r="O1350" s="5">
        <v>0</v>
      </c>
      <c r="P1350" s="5">
        <v>174.93</v>
      </c>
      <c r="Q1350" s="5">
        <v>1341.13</v>
      </c>
      <c r="R1350" s="5">
        <v>789.6</v>
      </c>
      <c r="S1350" s="5">
        <v>551.53</v>
      </c>
      <c r="T1350" s="7">
        <v>0.411242757972754</v>
      </c>
      <c r="U1350" t="s">
        <v>12</v>
      </c>
      <c r="V1350" t="s">
        <v>50</v>
      </c>
      <c r="W1350" t="s">
        <v>50</v>
      </c>
      <c r="X1350" t="s">
        <v>35</v>
      </c>
      <c r="Y1350" t="s">
        <v>1719</v>
      </c>
      <c r="Z1350" t="s">
        <v>80</v>
      </c>
    </row>
    <row r="1351" spans="1:26">
      <c r="A1351" t="s">
        <v>3289</v>
      </c>
      <c r="B1351" t="s">
        <v>3289</v>
      </c>
      <c r="C1351" s="4">
        <v>45892</v>
      </c>
      <c r="D1351">
        <v>2025</v>
      </c>
      <c r="E1351">
        <v>8</v>
      </c>
      <c r="F1351" t="s">
        <v>24</v>
      </c>
      <c r="G1351" t="s">
        <v>89</v>
      </c>
      <c r="H1351" t="s">
        <v>1136</v>
      </c>
      <c r="I1351" t="s">
        <v>2426</v>
      </c>
      <c r="J1351" t="s">
        <v>1272</v>
      </c>
      <c r="K1351" t="s">
        <v>971</v>
      </c>
      <c r="L1351">
        <v>1</v>
      </c>
      <c r="M1351" s="5">
        <v>150.04</v>
      </c>
      <c r="N1351" s="6">
        <v>0</v>
      </c>
      <c r="O1351" s="5">
        <v>0</v>
      </c>
      <c r="P1351" s="5">
        <v>22.51</v>
      </c>
      <c r="Q1351" s="5">
        <v>172.55</v>
      </c>
      <c r="R1351" s="5">
        <v>127.98</v>
      </c>
      <c r="S1351" s="5">
        <v>44.57</v>
      </c>
      <c r="T1351" s="7">
        <v>0.258301941466242</v>
      </c>
      <c r="U1351" t="s">
        <v>10</v>
      </c>
      <c r="V1351" t="s">
        <v>50</v>
      </c>
      <c r="W1351" t="s">
        <v>50</v>
      </c>
      <c r="X1351" t="s">
        <v>33</v>
      </c>
      <c r="Y1351" t="s">
        <v>931</v>
      </c>
      <c r="Z1351" t="s">
        <v>80</v>
      </c>
    </row>
    <row r="1352" spans="1:26">
      <c r="A1352" t="s">
        <v>3290</v>
      </c>
      <c r="B1352" t="s">
        <v>3290</v>
      </c>
      <c r="C1352" s="4">
        <v>45873</v>
      </c>
      <c r="D1352">
        <v>2025</v>
      </c>
      <c r="E1352">
        <v>8</v>
      </c>
      <c r="F1352" t="s">
        <v>24</v>
      </c>
      <c r="G1352" t="s">
        <v>89</v>
      </c>
      <c r="H1352" t="s">
        <v>2399</v>
      </c>
      <c r="I1352" t="s">
        <v>459</v>
      </c>
      <c r="J1352" t="s">
        <v>1855</v>
      </c>
      <c r="K1352" t="s">
        <v>1431</v>
      </c>
      <c r="L1352">
        <v>8</v>
      </c>
      <c r="M1352" s="5">
        <v>99.54</v>
      </c>
      <c r="N1352" s="6">
        <v>0</v>
      </c>
      <c r="O1352" s="5">
        <v>0</v>
      </c>
      <c r="P1352" s="5">
        <v>119.45</v>
      </c>
      <c r="Q1352" s="5">
        <v>796.32</v>
      </c>
      <c r="R1352" s="5">
        <v>638.56</v>
      </c>
      <c r="S1352" s="5">
        <v>157.76</v>
      </c>
      <c r="T1352" s="7">
        <v>0.198111312035363</v>
      </c>
      <c r="U1352" t="s">
        <v>10</v>
      </c>
      <c r="V1352" t="s">
        <v>50</v>
      </c>
      <c r="W1352" t="s">
        <v>50</v>
      </c>
      <c r="X1352" t="s">
        <v>33</v>
      </c>
      <c r="Y1352" t="s">
        <v>2034</v>
      </c>
      <c r="Z1352" t="s">
        <v>101</v>
      </c>
    </row>
    <row r="1353" spans="1:26">
      <c r="A1353" t="s">
        <v>3291</v>
      </c>
      <c r="B1353" t="s">
        <v>3291</v>
      </c>
      <c r="C1353" s="4">
        <v>45787</v>
      </c>
      <c r="D1353">
        <v>2025</v>
      </c>
      <c r="E1353">
        <v>5</v>
      </c>
      <c r="F1353" t="s">
        <v>21</v>
      </c>
      <c r="G1353" t="s">
        <v>74</v>
      </c>
      <c r="H1353" t="s">
        <v>3292</v>
      </c>
      <c r="I1353" t="s">
        <v>126</v>
      </c>
      <c r="J1353" t="s">
        <v>257</v>
      </c>
      <c r="K1353" t="s">
        <v>258</v>
      </c>
      <c r="L1353">
        <v>1</v>
      </c>
      <c r="M1353" s="5">
        <v>131.03</v>
      </c>
      <c r="N1353" s="6">
        <v>0</v>
      </c>
      <c r="O1353" s="5">
        <v>0</v>
      </c>
      <c r="P1353" s="5">
        <v>19.65</v>
      </c>
      <c r="Q1353" s="5">
        <v>150.68</v>
      </c>
      <c r="R1353" s="5">
        <v>117.27</v>
      </c>
      <c r="S1353" s="5">
        <v>33.41</v>
      </c>
      <c r="T1353" s="7">
        <v>0.221728165649058</v>
      </c>
      <c r="U1353" t="s">
        <v>13</v>
      </c>
      <c r="V1353" t="s">
        <v>50</v>
      </c>
      <c r="W1353" t="s">
        <v>50</v>
      </c>
      <c r="X1353" t="s">
        <v>33</v>
      </c>
      <c r="Y1353" t="s">
        <v>1341</v>
      </c>
      <c r="Z1353" t="s">
        <v>80</v>
      </c>
    </row>
    <row r="1354" spans="1:26">
      <c r="A1354" t="s">
        <v>3293</v>
      </c>
      <c r="B1354" t="s">
        <v>3293</v>
      </c>
      <c r="C1354" s="4">
        <v>45984</v>
      </c>
      <c r="D1354">
        <v>2025</v>
      </c>
      <c r="E1354">
        <v>11</v>
      </c>
      <c r="F1354" t="s">
        <v>27</v>
      </c>
      <c r="G1354" t="s">
        <v>137</v>
      </c>
      <c r="H1354" t="s">
        <v>2276</v>
      </c>
      <c r="I1354" t="s">
        <v>350</v>
      </c>
      <c r="J1354" t="s">
        <v>318</v>
      </c>
      <c r="K1354" t="s">
        <v>319</v>
      </c>
      <c r="L1354">
        <v>4</v>
      </c>
      <c r="M1354" s="5">
        <v>343.56</v>
      </c>
      <c r="N1354" s="6">
        <v>20</v>
      </c>
      <c r="O1354" s="5">
        <v>274.85</v>
      </c>
      <c r="P1354" s="5">
        <v>164.91</v>
      </c>
      <c r="Q1354" s="5">
        <v>1264.3</v>
      </c>
      <c r="R1354" s="5">
        <v>865.28</v>
      </c>
      <c r="S1354" s="5">
        <v>399.02</v>
      </c>
      <c r="T1354" s="7">
        <v>0.315605473384482</v>
      </c>
      <c r="U1354" t="s">
        <v>10</v>
      </c>
      <c r="V1354" t="s">
        <v>50</v>
      </c>
      <c r="W1354" t="s">
        <v>50</v>
      </c>
      <c r="X1354" t="s">
        <v>34</v>
      </c>
      <c r="Y1354" t="s">
        <v>3294</v>
      </c>
      <c r="Z1354" t="s">
        <v>80</v>
      </c>
    </row>
    <row r="1355" spans="1:26">
      <c r="A1355" t="s">
        <v>3295</v>
      </c>
      <c r="B1355" t="s">
        <v>3295</v>
      </c>
      <c r="C1355" s="4">
        <v>45935</v>
      </c>
      <c r="D1355">
        <v>2025</v>
      </c>
      <c r="E1355">
        <v>10</v>
      </c>
      <c r="F1355" t="s">
        <v>26</v>
      </c>
      <c r="G1355" t="s">
        <v>137</v>
      </c>
      <c r="H1355" t="s">
        <v>1732</v>
      </c>
      <c r="I1355" t="s">
        <v>116</v>
      </c>
      <c r="J1355" t="s">
        <v>1938</v>
      </c>
      <c r="K1355" t="s">
        <v>3296</v>
      </c>
      <c r="L1355">
        <v>2</v>
      </c>
      <c r="M1355" s="5">
        <v>172.63</v>
      </c>
      <c r="N1355" s="6">
        <v>0</v>
      </c>
      <c r="O1355" s="5">
        <v>0</v>
      </c>
      <c r="P1355" s="5">
        <v>51.79</v>
      </c>
      <c r="Q1355" s="5">
        <v>397.05</v>
      </c>
      <c r="R1355" s="5">
        <v>284</v>
      </c>
      <c r="S1355" s="5">
        <v>113.05</v>
      </c>
      <c r="T1355" s="7">
        <v>0.284724845737313</v>
      </c>
      <c r="U1355" t="s">
        <v>11</v>
      </c>
      <c r="V1355" t="s">
        <v>50</v>
      </c>
      <c r="W1355" t="s">
        <v>50</v>
      </c>
      <c r="X1355" t="s">
        <v>35</v>
      </c>
      <c r="Y1355" t="s">
        <v>2408</v>
      </c>
      <c r="Z1355" t="s">
        <v>80</v>
      </c>
    </row>
    <row r="1356" spans="1:26">
      <c r="A1356" t="s">
        <v>3297</v>
      </c>
      <c r="B1356" t="s">
        <v>3297</v>
      </c>
      <c r="C1356" s="4">
        <v>45798</v>
      </c>
      <c r="D1356">
        <v>2025</v>
      </c>
      <c r="E1356">
        <v>5</v>
      </c>
      <c r="F1356" t="s">
        <v>21</v>
      </c>
      <c r="G1356" t="s">
        <v>74</v>
      </c>
      <c r="H1356" t="s">
        <v>1838</v>
      </c>
      <c r="I1356" t="s">
        <v>623</v>
      </c>
      <c r="J1356" t="s">
        <v>1468</v>
      </c>
      <c r="K1356" t="s">
        <v>1469</v>
      </c>
      <c r="L1356">
        <v>5</v>
      </c>
      <c r="M1356" s="5">
        <v>156.58</v>
      </c>
      <c r="N1356" s="6">
        <v>20</v>
      </c>
      <c r="O1356" s="5">
        <v>156.58</v>
      </c>
      <c r="P1356" s="5">
        <v>93.95</v>
      </c>
      <c r="Q1356" s="5">
        <v>626.32</v>
      </c>
      <c r="R1356" s="5">
        <v>534.95</v>
      </c>
      <c r="S1356" s="5">
        <v>91.37</v>
      </c>
      <c r="T1356" s="7">
        <v>0.145883893217525</v>
      </c>
      <c r="U1356" t="s">
        <v>13</v>
      </c>
      <c r="V1356" t="s">
        <v>50</v>
      </c>
      <c r="W1356" t="s">
        <v>50</v>
      </c>
      <c r="X1356" t="s">
        <v>34</v>
      </c>
      <c r="Y1356" t="s">
        <v>2304</v>
      </c>
      <c r="Z1356" t="s">
        <v>101</v>
      </c>
    </row>
    <row r="1357" spans="1:26">
      <c r="A1357" t="s">
        <v>3298</v>
      </c>
      <c r="B1357" t="s">
        <v>3298</v>
      </c>
      <c r="C1357" s="4">
        <v>46004</v>
      </c>
      <c r="D1357">
        <v>2025</v>
      </c>
      <c r="E1357">
        <v>12</v>
      </c>
      <c r="F1357" t="s">
        <v>28</v>
      </c>
      <c r="G1357" t="s">
        <v>137</v>
      </c>
      <c r="H1357" t="s">
        <v>973</v>
      </c>
      <c r="I1357" t="s">
        <v>157</v>
      </c>
      <c r="J1357" t="s">
        <v>654</v>
      </c>
      <c r="K1357" t="s">
        <v>1304</v>
      </c>
      <c r="L1357">
        <v>4</v>
      </c>
      <c r="M1357" s="5">
        <v>65.06</v>
      </c>
      <c r="N1357" s="6">
        <v>0</v>
      </c>
      <c r="O1357" s="5">
        <v>0</v>
      </c>
      <c r="P1357" s="5">
        <v>39.04</v>
      </c>
      <c r="Q1357" s="5">
        <v>299.28</v>
      </c>
      <c r="R1357" s="5">
        <v>192.6</v>
      </c>
      <c r="S1357" s="5">
        <v>-261.85</v>
      </c>
      <c r="T1357" s="7">
        <v>-0.87493317294841</v>
      </c>
      <c r="U1357" t="s">
        <v>11</v>
      </c>
      <c r="V1357" t="s">
        <v>50</v>
      </c>
      <c r="W1357" t="s">
        <v>50</v>
      </c>
      <c r="X1357" t="s">
        <v>35</v>
      </c>
      <c r="Y1357" t="s">
        <v>2378</v>
      </c>
      <c r="Z1357" t="s">
        <v>80</v>
      </c>
    </row>
    <row r="1358" spans="1:26">
      <c r="A1358" t="s">
        <v>3299</v>
      </c>
      <c r="B1358" t="s">
        <v>3299</v>
      </c>
      <c r="C1358" s="4">
        <v>45963</v>
      </c>
      <c r="D1358">
        <v>2025</v>
      </c>
      <c r="E1358">
        <v>11</v>
      </c>
      <c r="F1358" t="s">
        <v>27</v>
      </c>
      <c r="G1358" t="s">
        <v>137</v>
      </c>
      <c r="H1358" t="s">
        <v>1823</v>
      </c>
      <c r="I1358" t="s">
        <v>2426</v>
      </c>
      <c r="J1358" t="s">
        <v>2646</v>
      </c>
      <c r="K1358" t="s">
        <v>2647</v>
      </c>
      <c r="L1358">
        <v>2</v>
      </c>
      <c r="M1358" s="5">
        <v>150.04</v>
      </c>
      <c r="N1358" s="6">
        <v>0</v>
      </c>
      <c r="O1358" s="5">
        <v>0</v>
      </c>
      <c r="P1358" s="5">
        <v>45.01</v>
      </c>
      <c r="Q1358" s="5">
        <v>345.09</v>
      </c>
      <c r="R1358" s="5">
        <v>255.96</v>
      </c>
      <c r="S1358" s="5">
        <v>89.13</v>
      </c>
      <c r="T1358" s="7">
        <v>0.258280448578632</v>
      </c>
      <c r="U1358" t="s">
        <v>13</v>
      </c>
      <c r="V1358" t="s">
        <v>50</v>
      </c>
      <c r="W1358" t="s">
        <v>50</v>
      </c>
      <c r="X1358" t="s">
        <v>33</v>
      </c>
      <c r="Y1358" t="s">
        <v>1582</v>
      </c>
      <c r="Z1358" t="s">
        <v>80</v>
      </c>
    </row>
    <row r="1359" spans="1:26">
      <c r="A1359" t="s">
        <v>3300</v>
      </c>
      <c r="B1359" t="s">
        <v>3300</v>
      </c>
      <c r="C1359" s="4">
        <v>46045</v>
      </c>
      <c r="D1359">
        <v>2026</v>
      </c>
      <c r="E1359">
        <v>1</v>
      </c>
      <c r="F1359" t="s">
        <v>30</v>
      </c>
      <c r="G1359" t="s">
        <v>82</v>
      </c>
      <c r="H1359" t="s">
        <v>2813</v>
      </c>
      <c r="I1359" t="s">
        <v>898</v>
      </c>
      <c r="J1359" t="s">
        <v>2646</v>
      </c>
      <c r="K1359" t="s">
        <v>2647</v>
      </c>
      <c r="L1359">
        <v>3</v>
      </c>
      <c r="M1359" s="5">
        <v>275.71</v>
      </c>
      <c r="N1359" s="6">
        <v>20</v>
      </c>
      <c r="O1359" s="5">
        <v>165.43</v>
      </c>
      <c r="P1359" s="5">
        <v>99.25</v>
      </c>
      <c r="Q1359" s="5">
        <v>661.7</v>
      </c>
      <c r="R1359" s="5">
        <v>618.9</v>
      </c>
      <c r="S1359" s="5">
        <v>42.8</v>
      </c>
      <c r="T1359" s="7">
        <v>0.064681880006045</v>
      </c>
      <c r="U1359" t="s">
        <v>12</v>
      </c>
      <c r="V1359" t="s">
        <v>50</v>
      </c>
      <c r="W1359" t="s">
        <v>50</v>
      </c>
      <c r="X1359" t="s">
        <v>33</v>
      </c>
      <c r="Y1359" t="s">
        <v>1155</v>
      </c>
      <c r="Z1359" t="s">
        <v>101</v>
      </c>
    </row>
    <row r="1360" spans="1:26">
      <c r="A1360" t="s">
        <v>3301</v>
      </c>
      <c r="B1360" t="s">
        <v>3301</v>
      </c>
      <c r="C1360" s="4">
        <v>46069</v>
      </c>
      <c r="D1360">
        <v>2026</v>
      </c>
      <c r="E1360">
        <v>2</v>
      </c>
      <c r="F1360" t="s">
        <v>31</v>
      </c>
      <c r="G1360" t="s">
        <v>82</v>
      </c>
      <c r="H1360" t="s">
        <v>2695</v>
      </c>
      <c r="I1360" t="s">
        <v>493</v>
      </c>
      <c r="J1360" t="s">
        <v>877</v>
      </c>
      <c r="K1360" t="s">
        <v>878</v>
      </c>
      <c r="L1360">
        <v>2</v>
      </c>
      <c r="M1360" s="5">
        <v>395.66</v>
      </c>
      <c r="N1360" s="6">
        <v>0</v>
      </c>
      <c r="O1360" s="5">
        <v>0</v>
      </c>
      <c r="P1360" s="5">
        <v>118.7</v>
      </c>
      <c r="Q1360" s="5">
        <v>791.32</v>
      </c>
      <c r="R1360" s="5">
        <v>640.38</v>
      </c>
      <c r="S1360" s="5">
        <v>150.94</v>
      </c>
      <c r="T1360" s="7">
        <v>0.190744578678664</v>
      </c>
      <c r="U1360" t="s">
        <v>14</v>
      </c>
      <c r="V1360" t="s">
        <v>50</v>
      </c>
      <c r="W1360" t="s">
        <v>50</v>
      </c>
      <c r="X1360" t="s">
        <v>34</v>
      </c>
      <c r="Y1360" t="s">
        <v>3097</v>
      </c>
      <c r="Z1360" t="s">
        <v>101</v>
      </c>
    </row>
    <row r="1361" spans="1:26">
      <c r="A1361" t="s">
        <v>3302</v>
      </c>
      <c r="B1361" t="s">
        <v>3302</v>
      </c>
      <c r="C1361" s="4">
        <v>45920</v>
      </c>
      <c r="D1361">
        <v>2025</v>
      </c>
      <c r="E1361">
        <v>9</v>
      </c>
      <c r="F1361" t="s">
        <v>25</v>
      </c>
      <c r="G1361" t="s">
        <v>89</v>
      </c>
      <c r="H1361" t="s">
        <v>394</v>
      </c>
      <c r="I1361" t="s">
        <v>225</v>
      </c>
      <c r="J1361" t="s">
        <v>858</v>
      </c>
      <c r="K1361" t="s">
        <v>1625</v>
      </c>
      <c r="L1361">
        <v>6</v>
      </c>
      <c r="M1361" s="5">
        <v>365.89</v>
      </c>
      <c r="N1361" s="6">
        <v>5</v>
      </c>
      <c r="O1361" s="5">
        <v>109.77</v>
      </c>
      <c r="P1361" s="5">
        <v>312.84</v>
      </c>
      <c r="Q1361" s="5">
        <v>2398.41</v>
      </c>
      <c r="R1361" s="5">
        <v>1820.46</v>
      </c>
      <c r="S1361" s="5">
        <v>577.95</v>
      </c>
      <c r="T1361" s="7">
        <v>0.24097214404543</v>
      </c>
      <c r="U1361" t="s">
        <v>13</v>
      </c>
      <c r="V1361" t="s">
        <v>51</v>
      </c>
      <c r="W1361" t="s">
        <v>51</v>
      </c>
      <c r="X1361" t="s">
        <v>33</v>
      </c>
      <c r="Y1361" t="s">
        <v>1383</v>
      </c>
      <c r="Z1361" t="s">
        <v>80</v>
      </c>
    </row>
    <row r="1362" spans="1:26">
      <c r="A1362" t="s">
        <v>3303</v>
      </c>
      <c r="B1362" t="s">
        <v>3303</v>
      </c>
      <c r="C1362" s="4">
        <v>45879</v>
      </c>
      <c r="D1362">
        <v>2025</v>
      </c>
      <c r="E1362">
        <v>8</v>
      </c>
      <c r="F1362" t="s">
        <v>24</v>
      </c>
      <c r="G1362" t="s">
        <v>89</v>
      </c>
      <c r="H1362" t="s">
        <v>2554</v>
      </c>
      <c r="I1362" t="s">
        <v>362</v>
      </c>
      <c r="J1362" t="s">
        <v>42</v>
      </c>
      <c r="K1362" t="s">
        <v>1191</v>
      </c>
      <c r="L1362">
        <v>2</v>
      </c>
      <c r="M1362" s="5">
        <v>329.69</v>
      </c>
      <c r="N1362" s="6">
        <v>15</v>
      </c>
      <c r="O1362" s="5">
        <v>98.91</v>
      </c>
      <c r="P1362" s="5">
        <v>84.07</v>
      </c>
      <c r="Q1362" s="5">
        <v>644.54</v>
      </c>
      <c r="R1362" s="5">
        <v>494.5</v>
      </c>
      <c r="S1362" s="5">
        <v>150.04</v>
      </c>
      <c r="T1362" s="7">
        <v>0.232786173084681</v>
      </c>
      <c r="U1362" t="s">
        <v>10</v>
      </c>
      <c r="V1362" t="s">
        <v>50</v>
      </c>
      <c r="W1362" t="s">
        <v>50</v>
      </c>
      <c r="X1362" t="s">
        <v>35</v>
      </c>
      <c r="Y1362" t="s">
        <v>2004</v>
      </c>
      <c r="Z1362" t="s">
        <v>80</v>
      </c>
    </row>
    <row r="1363" spans="1:26">
      <c r="A1363" t="s">
        <v>3304</v>
      </c>
      <c r="B1363" t="s">
        <v>3304</v>
      </c>
      <c r="C1363" s="4">
        <v>45791</v>
      </c>
      <c r="D1363">
        <v>2025</v>
      </c>
      <c r="E1363">
        <v>5</v>
      </c>
      <c r="F1363" t="s">
        <v>21</v>
      </c>
      <c r="G1363" t="s">
        <v>74</v>
      </c>
      <c r="H1363" t="s">
        <v>1506</v>
      </c>
      <c r="I1363" t="s">
        <v>312</v>
      </c>
      <c r="J1363" t="s">
        <v>820</v>
      </c>
      <c r="K1363" t="s">
        <v>821</v>
      </c>
      <c r="L1363">
        <v>4</v>
      </c>
      <c r="M1363" s="5">
        <v>394.14</v>
      </c>
      <c r="N1363" s="6">
        <v>0</v>
      </c>
      <c r="O1363" s="5">
        <v>0</v>
      </c>
      <c r="P1363" s="5">
        <v>236.48</v>
      </c>
      <c r="Q1363" s="5">
        <v>1576.56</v>
      </c>
      <c r="R1363" s="5">
        <v>1143.6</v>
      </c>
      <c r="S1363" s="5">
        <v>432.96</v>
      </c>
      <c r="T1363" s="7">
        <v>0.27462323032425</v>
      </c>
      <c r="U1363" t="s">
        <v>13</v>
      </c>
      <c r="V1363" t="s">
        <v>50</v>
      </c>
      <c r="W1363" t="s">
        <v>50</v>
      </c>
      <c r="X1363" t="s">
        <v>34</v>
      </c>
      <c r="Y1363" t="s">
        <v>2522</v>
      </c>
      <c r="Z1363" t="s">
        <v>101</v>
      </c>
    </row>
    <row r="1364" spans="1:26">
      <c r="A1364" t="s">
        <v>3305</v>
      </c>
      <c r="B1364" t="s">
        <v>3305</v>
      </c>
      <c r="C1364" s="4">
        <v>45879</v>
      </c>
      <c r="D1364">
        <v>2025</v>
      </c>
      <c r="E1364">
        <v>8</v>
      </c>
      <c r="F1364" t="s">
        <v>24</v>
      </c>
      <c r="G1364" t="s">
        <v>89</v>
      </c>
      <c r="H1364" t="s">
        <v>1415</v>
      </c>
      <c r="I1364" t="s">
        <v>928</v>
      </c>
      <c r="J1364" t="s">
        <v>41</v>
      </c>
      <c r="K1364" t="s">
        <v>588</v>
      </c>
      <c r="L1364">
        <v>3</v>
      </c>
      <c r="M1364" s="5">
        <v>232.92</v>
      </c>
      <c r="N1364" s="6">
        <v>0</v>
      </c>
      <c r="O1364" s="5">
        <v>0</v>
      </c>
      <c r="P1364" s="5">
        <v>104.81</v>
      </c>
      <c r="Q1364" s="5">
        <v>803.57</v>
      </c>
      <c r="R1364" s="5">
        <v>577.23</v>
      </c>
      <c r="S1364" s="5">
        <v>226.34</v>
      </c>
      <c r="T1364" s="7">
        <v>0.281668056298767</v>
      </c>
      <c r="U1364" t="s">
        <v>14</v>
      </c>
      <c r="V1364" t="s">
        <v>50</v>
      </c>
      <c r="W1364" t="s">
        <v>50</v>
      </c>
      <c r="X1364" t="s">
        <v>33</v>
      </c>
      <c r="Y1364" t="s">
        <v>1284</v>
      </c>
      <c r="Z1364" t="s">
        <v>80</v>
      </c>
    </row>
    <row r="1365" spans="1:26">
      <c r="A1365" t="s">
        <v>3306</v>
      </c>
      <c r="B1365" t="s">
        <v>3306</v>
      </c>
      <c r="C1365" s="4">
        <v>45992</v>
      </c>
      <c r="D1365">
        <v>2025</v>
      </c>
      <c r="E1365">
        <v>12</v>
      </c>
      <c r="F1365" t="s">
        <v>28</v>
      </c>
      <c r="G1365" t="s">
        <v>137</v>
      </c>
      <c r="H1365" t="s">
        <v>3307</v>
      </c>
      <c r="I1365" t="s">
        <v>543</v>
      </c>
      <c r="J1365" t="s">
        <v>850</v>
      </c>
      <c r="K1365" t="s">
        <v>2636</v>
      </c>
      <c r="L1365">
        <v>3</v>
      </c>
      <c r="M1365" s="5">
        <v>401.06</v>
      </c>
      <c r="N1365" s="6">
        <v>5</v>
      </c>
      <c r="O1365" s="5">
        <v>60.16</v>
      </c>
      <c r="P1365" s="5">
        <v>171.45</v>
      </c>
      <c r="Q1365" s="5">
        <v>1143.02</v>
      </c>
      <c r="R1365" s="5">
        <v>1042.41</v>
      </c>
      <c r="S1365" s="5">
        <v>100.61</v>
      </c>
      <c r="T1365" s="7">
        <v>0.0880212069780056</v>
      </c>
      <c r="U1365" t="s">
        <v>13</v>
      </c>
      <c r="V1365" t="s">
        <v>50</v>
      </c>
      <c r="W1365" t="s">
        <v>50</v>
      </c>
      <c r="X1365" t="s">
        <v>35</v>
      </c>
      <c r="Y1365" t="s">
        <v>3308</v>
      </c>
      <c r="Z1365" t="s">
        <v>101</v>
      </c>
    </row>
    <row r="1366" spans="1:26">
      <c r="A1366" t="s">
        <v>3309</v>
      </c>
      <c r="B1366" t="s">
        <v>3309</v>
      </c>
      <c r="C1366" s="4">
        <v>45975</v>
      </c>
      <c r="D1366">
        <v>2025</v>
      </c>
      <c r="E1366">
        <v>11</v>
      </c>
      <c r="F1366" t="s">
        <v>27</v>
      </c>
      <c r="G1366" t="s">
        <v>137</v>
      </c>
      <c r="H1366" t="s">
        <v>2241</v>
      </c>
      <c r="I1366" t="s">
        <v>290</v>
      </c>
      <c r="J1366" t="s">
        <v>1377</v>
      </c>
      <c r="K1366" t="s">
        <v>1348</v>
      </c>
      <c r="L1366">
        <v>3</v>
      </c>
      <c r="M1366" s="5">
        <v>87.9</v>
      </c>
      <c r="N1366" s="6">
        <v>10</v>
      </c>
      <c r="O1366" s="5">
        <v>26.37</v>
      </c>
      <c r="P1366" s="5">
        <v>35.6</v>
      </c>
      <c r="Q1366" s="5">
        <v>237.33</v>
      </c>
      <c r="R1366" s="5">
        <v>186.75</v>
      </c>
      <c r="S1366" s="5">
        <v>50.58</v>
      </c>
      <c r="T1366" s="7">
        <v>0.213120970800152</v>
      </c>
      <c r="U1366" t="s">
        <v>11</v>
      </c>
      <c r="V1366" t="s">
        <v>50</v>
      </c>
      <c r="W1366" t="s">
        <v>50</v>
      </c>
      <c r="X1366" t="s">
        <v>33</v>
      </c>
      <c r="Y1366" t="s">
        <v>1138</v>
      </c>
      <c r="Z1366" t="s">
        <v>101</v>
      </c>
    </row>
    <row r="1367" spans="1:26">
      <c r="A1367" t="s">
        <v>3310</v>
      </c>
      <c r="B1367" t="s">
        <v>3310</v>
      </c>
      <c r="C1367" s="4">
        <v>46083</v>
      </c>
      <c r="D1367">
        <v>2026</v>
      </c>
      <c r="E1367">
        <v>3</v>
      </c>
      <c r="F1367" t="s">
        <v>19</v>
      </c>
      <c r="G1367" t="s">
        <v>82</v>
      </c>
      <c r="H1367" t="s">
        <v>1963</v>
      </c>
      <c r="I1367" t="s">
        <v>514</v>
      </c>
      <c r="J1367" t="s">
        <v>906</v>
      </c>
      <c r="K1367" t="s">
        <v>3311</v>
      </c>
      <c r="L1367">
        <v>8</v>
      </c>
      <c r="M1367" s="5">
        <v>601.62</v>
      </c>
      <c r="N1367" s="6">
        <v>20</v>
      </c>
      <c r="O1367" s="5">
        <v>962.59</v>
      </c>
      <c r="P1367" s="5">
        <v>577.56</v>
      </c>
      <c r="Q1367" s="5">
        <v>3850.37</v>
      </c>
      <c r="R1367" s="5">
        <v>2749.2</v>
      </c>
      <c r="S1367" s="5">
        <v>1101.17</v>
      </c>
      <c r="T1367" s="7">
        <v>0.285990696997951</v>
      </c>
      <c r="U1367" t="s">
        <v>11</v>
      </c>
      <c r="V1367" t="s">
        <v>50</v>
      </c>
      <c r="W1367" t="s">
        <v>50</v>
      </c>
      <c r="X1367" t="s">
        <v>33</v>
      </c>
      <c r="Y1367" t="s">
        <v>1090</v>
      </c>
      <c r="Z1367" t="s">
        <v>101</v>
      </c>
    </row>
    <row r="1368" spans="1:26">
      <c r="A1368" t="s">
        <v>3312</v>
      </c>
      <c r="B1368" t="s">
        <v>3186</v>
      </c>
      <c r="C1368" s="4">
        <v>45799</v>
      </c>
      <c r="D1368">
        <v>2025</v>
      </c>
      <c r="E1368">
        <v>5</v>
      </c>
      <c r="F1368" t="s">
        <v>21</v>
      </c>
      <c r="G1368" t="s">
        <v>74</v>
      </c>
      <c r="H1368" t="s">
        <v>1574</v>
      </c>
      <c r="I1368" t="s">
        <v>268</v>
      </c>
      <c r="J1368" t="s">
        <v>45</v>
      </c>
      <c r="K1368" t="s">
        <v>1351</v>
      </c>
      <c r="L1368">
        <v>3</v>
      </c>
      <c r="M1368" s="5">
        <v>334.1</v>
      </c>
      <c r="N1368" s="6">
        <v>0</v>
      </c>
      <c r="O1368" s="5">
        <v>0</v>
      </c>
      <c r="P1368" s="5">
        <v>150.34</v>
      </c>
      <c r="Q1368" s="5">
        <v>1002.3</v>
      </c>
      <c r="R1368" s="5">
        <v>615.81</v>
      </c>
      <c r="S1368" s="5">
        <v>386.49</v>
      </c>
      <c r="T1368" s="7">
        <v>0.385603112840467</v>
      </c>
      <c r="U1368" t="s">
        <v>11</v>
      </c>
      <c r="V1368" t="s">
        <v>50</v>
      </c>
      <c r="W1368" t="s">
        <v>50</v>
      </c>
      <c r="X1368" t="s">
        <v>33</v>
      </c>
      <c r="Y1368" t="s">
        <v>941</v>
      </c>
      <c r="Z1368" t="s">
        <v>101</v>
      </c>
    </row>
    <row r="1369" spans="1:26">
      <c r="A1369" t="s">
        <v>3313</v>
      </c>
      <c r="B1369" t="s">
        <v>3313</v>
      </c>
      <c r="C1369" s="4">
        <v>45871</v>
      </c>
      <c r="D1369">
        <v>2025</v>
      </c>
      <c r="E1369">
        <v>8</v>
      </c>
      <c r="F1369" t="s">
        <v>24</v>
      </c>
      <c r="G1369" t="s">
        <v>89</v>
      </c>
      <c r="H1369" t="s">
        <v>3314</v>
      </c>
      <c r="I1369" t="s">
        <v>1694</v>
      </c>
      <c r="J1369" t="s">
        <v>1219</v>
      </c>
      <c r="K1369" t="s">
        <v>971</v>
      </c>
      <c r="L1369">
        <v>2</v>
      </c>
      <c r="M1369" s="5">
        <v>233.47</v>
      </c>
      <c r="N1369" s="6">
        <v>0</v>
      </c>
      <c r="O1369" s="5">
        <v>0</v>
      </c>
      <c r="P1369" s="5">
        <v>70.04</v>
      </c>
      <c r="Q1369" s="5">
        <v>536.98</v>
      </c>
      <c r="R1369" s="5">
        <v>377.96</v>
      </c>
      <c r="S1369" s="5">
        <v>159.02</v>
      </c>
      <c r="T1369" s="7">
        <v>0.296137658758241</v>
      </c>
      <c r="U1369" t="s">
        <v>13</v>
      </c>
      <c r="V1369" t="s">
        <v>50</v>
      </c>
      <c r="W1369" t="s">
        <v>50</v>
      </c>
      <c r="X1369" t="s">
        <v>33</v>
      </c>
      <c r="Y1369" t="s">
        <v>956</v>
      </c>
      <c r="Z1369" t="s">
        <v>80</v>
      </c>
    </row>
    <row r="1370" spans="1:26">
      <c r="A1370" t="s">
        <v>3315</v>
      </c>
      <c r="B1370" t="s">
        <v>3315</v>
      </c>
      <c r="C1370" s="4">
        <v>45888</v>
      </c>
      <c r="D1370">
        <v>2025</v>
      </c>
      <c r="E1370">
        <v>8</v>
      </c>
      <c r="F1370" t="s">
        <v>24</v>
      </c>
      <c r="G1370" t="s">
        <v>89</v>
      </c>
      <c r="H1370" t="s">
        <v>1980</v>
      </c>
      <c r="I1370" t="s">
        <v>476</v>
      </c>
      <c r="J1370" t="s">
        <v>1150</v>
      </c>
      <c r="K1370" t="s">
        <v>2062</v>
      </c>
      <c r="L1370">
        <v>4</v>
      </c>
      <c r="M1370" s="5">
        <v>330.3</v>
      </c>
      <c r="N1370" s="6">
        <v>0</v>
      </c>
      <c r="O1370" s="5">
        <v>0</v>
      </c>
      <c r="P1370" s="5">
        <v>198.18</v>
      </c>
      <c r="Q1370" s="5">
        <v>1321.2</v>
      </c>
      <c r="R1370" s="5">
        <v>1005.68</v>
      </c>
      <c r="S1370" s="5">
        <v>315.52</v>
      </c>
      <c r="T1370" s="7">
        <v>0.238813200121102</v>
      </c>
      <c r="U1370" t="s">
        <v>12</v>
      </c>
      <c r="V1370" t="s">
        <v>50</v>
      </c>
      <c r="W1370" t="s">
        <v>50</v>
      </c>
      <c r="X1370" t="s">
        <v>35</v>
      </c>
      <c r="Y1370" t="s">
        <v>3316</v>
      </c>
      <c r="Z1370" t="s">
        <v>101</v>
      </c>
    </row>
    <row r="1371" spans="1:26">
      <c r="A1371" t="s">
        <v>3317</v>
      </c>
      <c r="B1371" t="s">
        <v>3317</v>
      </c>
      <c r="C1371" s="4">
        <v>45920</v>
      </c>
      <c r="D1371">
        <v>2025</v>
      </c>
      <c r="E1371">
        <v>9</v>
      </c>
      <c r="F1371" t="s">
        <v>25</v>
      </c>
      <c r="G1371" t="s">
        <v>89</v>
      </c>
      <c r="H1371" t="s">
        <v>3318</v>
      </c>
      <c r="I1371" t="s">
        <v>245</v>
      </c>
      <c r="J1371" t="s">
        <v>850</v>
      </c>
      <c r="K1371" t="s">
        <v>275</v>
      </c>
      <c r="L1371">
        <v>1</v>
      </c>
      <c r="M1371" s="5">
        <v>121.9</v>
      </c>
      <c r="N1371" s="6">
        <v>20</v>
      </c>
      <c r="O1371" s="5">
        <v>24.38</v>
      </c>
      <c r="P1371" s="5">
        <v>14.63</v>
      </c>
      <c r="Q1371" s="5">
        <v>112.15</v>
      </c>
      <c r="R1371" s="5">
        <v>108.92</v>
      </c>
      <c r="S1371" s="5">
        <v>3.23</v>
      </c>
      <c r="T1371" s="7">
        <v>0.0288007133303611</v>
      </c>
      <c r="U1371" t="s">
        <v>12</v>
      </c>
      <c r="V1371" t="s">
        <v>50</v>
      </c>
      <c r="W1371" t="s">
        <v>50</v>
      </c>
      <c r="X1371" t="s">
        <v>35</v>
      </c>
      <c r="Y1371" t="s">
        <v>1773</v>
      </c>
      <c r="Z1371" t="s">
        <v>80</v>
      </c>
    </row>
    <row r="1372" spans="1:26">
      <c r="A1372" t="s">
        <v>3319</v>
      </c>
      <c r="B1372" t="s">
        <v>3319</v>
      </c>
      <c r="C1372" s="4">
        <v>46005</v>
      </c>
      <c r="D1372">
        <v>2025</v>
      </c>
      <c r="E1372">
        <v>12</v>
      </c>
      <c r="F1372" t="s">
        <v>28</v>
      </c>
      <c r="G1372" t="s">
        <v>137</v>
      </c>
      <c r="H1372" t="s">
        <v>1587</v>
      </c>
      <c r="I1372" t="s">
        <v>2587</v>
      </c>
      <c r="J1372" t="s">
        <v>1272</v>
      </c>
      <c r="K1372" t="s">
        <v>971</v>
      </c>
      <c r="L1372">
        <v>8</v>
      </c>
      <c r="M1372" s="5">
        <v>74.87</v>
      </c>
      <c r="N1372" s="6">
        <v>15</v>
      </c>
      <c r="O1372" s="5">
        <v>89.84</v>
      </c>
      <c r="P1372" s="5">
        <v>76.37</v>
      </c>
      <c r="Q1372" s="5">
        <v>585.49</v>
      </c>
      <c r="R1372" s="5">
        <v>434</v>
      </c>
      <c r="S1372" s="5">
        <v>151.49</v>
      </c>
      <c r="T1372" s="7">
        <v>0.258740542110028</v>
      </c>
      <c r="U1372" t="s">
        <v>10</v>
      </c>
      <c r="V1372" t="s">
        <v>50</v>
      </c>
      <c r="W1372" t="s">
        <v>50</v>
      </c>
      <c r="X1372" t="s">
        <v>33</v>
      </c>
      <c r="Y1372" t="s">
        <v>2161</v>
      </c>
      <c r="Z1372" t="s">
        <v>80</v>
      </c>
    </row>
    <row r="1373" spans="1:26">
      <c r="A1373" t="s">
        <v>3320</v>
      </c>
      <c r="B1373" t="s">
        <v>3320</v>
      </c>
      <c r="C1373" s="4">
        <v>45908</v>
      </c>
      <c r="D1373">
        <v>2025</v>
      </c>
      <c r="E1373">
        <v>9</v>
      </c>
      <c r="F1373" t="s">
        <v>25</v>
      </c>
      <c r="G1373" t="s">
        <v>89</v>
      </c>
      <c r="H1373" t="s">
        <v>3307</v>
      </c>
      <c r="I1373" t="s">
        <v>1367</v>
      </c>
      <c r="J1373" t="s">
        <v>482</v>
      </c>
      <c r="K1373" t="s">
        <v>903</v>
      </c>
      <c r="L1373">
        <v>4</v>
      </c>
      <c r="M1373" s="5">
        <v>55.81</v>
      </c>
      <c r="N1373" s="6">
        <v>5</v>
      </c>
      <c r="O1373" s="5">
        <v>11.16</v>
      </c>
      <c r="P1373" s="5">
        <v>31.81</v>
      </c>
      <c r="Q1373" s="5">
        <v>212.08</v>
      </c>
      <c r="R1373" s="5">
        <v>179.84</v>
      </c>
      <c r="S1373" s="5">
        <v>32.24</v>
      </c>
      <c r="T1373" s="7">
        <v>0.152018106374953</v>
      </c>
      <c r="U1373" t="s">
        <v>12</v>
      </c>
      <c r="V1373" t="s">
        <v>50</v>
      </c>
      <c r="W1373" t="s">
        <v>50</v>
      </c>
      <c r="X1373" t="s">
        <v>33</v>
      </c>
      <c r="Y1373" t="s">
        <v>3245</v>
      </c>
      <c r="Z1373" t="s">
        <v>101</v>
      </c>
    </row>
    <row r="1374" spans="1:26">
      <c r="A1374" t="s">
        <v>3321</v>
      </c>
      <c r="B1374" t="s">
        <v>3321</v>
      </c>
      <c r="C1374" s="4">
        <v>45954</v>
      </c>
      <c r="D1374">
        <v>2025</v>
      </c>
      <c r="E1374">
        <v>10</v>
      </c>
      <c r="F1374" t="s">
        <v>26</v>
      </c>
      <c r="G1374" t="s">
        <v>137</v>
      </c>
      <c r="H1374" t="s">
        <v>361</v>
      </c>
      <c r="I1374" t="s">
        <v>279</v>
      </c>
      <c r="J1374" t="s">
        <v>1405</v>
      </c>
      <c r="K1374" t="s">
        <v>2102</v>
      </c>
      <c r="L1374">
        <v>6</v>
      </c>
      <c r="M1374" s="5">
        <v>478.08</v>
      </c>
      <c r="N1374" s="6">
        <v>0</v>
      </c>
      <c r="O1374" s="5">
        <v>0</v>
      </c>
      <c r="P1374" s="5">
        <v>430.27</v>
      </c>
      <c r="Q1374" s="5">
        <v>2868.48</v>
      </c>
      <c r="R1374" s="5">
        <v>1853.64</v>
      </c>
      <c r="S1374" s="5">
        <v>1014.84</v>
      </c>
      <c r="T1374" s="7">
        <v>0.35379016064257</v>
      </c>
      <c r="U1374" t="s">
        <v>12</v>
      </c>
      <c r="V1374" t="s">
        <v>50</v>
      </c>
      <c r="W1374" t="s">
        <v>50</v>
      </c>
      <c r="X1374" t="s">
        <v>33</v>
      </c>
      <c r="Y1374" t="s">
        <v>3322</v>
      </c>
      <c r="Z1374" t="s">
        <v>101</v>
      </c>
    </row>
    <row r="1375" spans="1:26">
      <c r="A1375" t="s">
        <v>3323</v>
      </c>
      <c r="B1375" t="s">
        <v>3323</v>
      </c>
      <c r="C1375" s="4">
        <v>45967</v>
      </c>
      <c r="D1375">
        <v>2025</v>
      </c>
      <c r="E1375">
        <v>11</v>
      </c>
      <c r="F1375" t="s">
        <v>27</v>
      </c>
      <c r="G1375" t="s">
        <v>137</v>
      </c>
      <c r="H1375" t="s">
        <v>109</v>
      </c>
      <c r="I1375" t="s">
        <v>116</v>
      </c>
      <c r="J1375" t="s">
        <v>626</v>
      </c>
      <c r="K1375" t="s">
        <v>627</v>
      </c>
      <c r="L1375">
        <v>7</v>
      </c>
      <c r="M1375" s="5">
        <v>189.04</v>
      </c>
      <c r="N1375" s="6">
        <v>10</v>
      </c>
      <c r="O1375" s="5">
        <v>132.33</v>
      </c>
      <c r="P1375" s="5">
        <v>178.64</v>
      </c>
      <c r="Q1375" s="5">
        <v>1190.95</v>
      </c>
      <c r="R1375" s="5">
        <v>994</v>
      </c>
      <c r="S1375" s="5">
        <v>196.95</v>
      </c>
      <c r="T1375" s="7">
        <v>0.165372181871615</v>
      </c>
      <c r="U1375" t="s">
        <v>12</v>
      </c>
      <c r="V1375" t="s">
        <v>50</v>
      </c>
      <c r="W1375" t="s">
        <v>50</v>
      </c>
      <c r="X1375" t="s">
        <v>33</v>
      </c>
      <c r="Y1375" t="s">
        <v>2148</v>
      </c>
      <c r="Z1375" t="s">
        <v>101</v>
      </c>
    </row>
    <row r="1376" spans="1:26">
      <c r="A1376" t="s">
        <v>3324</v>
      </c>
      <c r="B1376" t="s">
        <v>3324</v>
      </c>
      <c r="C1376" s="4">
        <v>46048</v>
      </c>
      <c r="D1376">
        <v>2026</v>
      </c>
      <c r="E1376">
        <v>1</v>
      </c>
      <c r="F1376" t="s">
        <v>30</v>
      </c>
      <c r="G1376" t="s">
        <v>82</v>
      </c>
      <c r="H1376" t="s">
        <v>3325</v>
      </c>
      <c r="I1376" t="s">
        <v>1153</v>
      </c>
      <c r="J1376" t="s">
        <v>717</v>
      </c>
      <c r="K1376" t="s">
        <v>643</v>
      </c>
      <c r="L1376">
        <v>4</v>
      </c>
      <c r="M1376" s="5">
        <v>360.52</v>
      </c>
      <c r="N1376" s="6">
        <v>0</v>
      </c>
      <c r="O1376" s="5">
        <v>0</v>
      </c>
      <c r="P1376" s="5">
        <v>216.31</v>
      </c>
      <c r="Q1376" s="5">
        <v>1442.08</v>
      </c>
      <c r="R1376" s="5">
        <v>1297.92</v>
      </c>
      <c r="S1376" s="5">
        <v>144.16</v>
      </c>
      <c r="T1376" s="7">
        <v>0.0999667147453678</v>
      </c>
      <c r="U1376" t="s">
        <v>11</v>
      </c>
      <c r="V1376" t="s">
        <v>50</v>
      </c>
      <c r="W1376" t="s">
        <v>50</v>
      </c>
      <c r="X1376" t="s">
        <v>33</v>
      </c>
      <c r="Y1376" t="s">
        <v>1403</v>
      </c>
      <c r="Z1376" t="s">
        <v>101</v>
      </c>
    </row>
    <row r="1377" spans="1:26">
      <c r="A1377" t="s">
        <v>3326</v>
      </c>
      <c r="B1377" t="s">
        <v>3326</v>
      </c>
      <c r="C1377" s="4">
        <v>45901</v>
      </c>
      <c r="D1377">
        <v>2025</v>
      </c>
      <c r="E1377">
        <v>9</v>
      </c>
      <c r="F1377" t="s">
        <v>25</v>
      </c>
      <c r="G1377" t="s">
        <v>89</v>
      </c>
      <c r="H1377" t="s">
        <v>1279</v>
      </c>
      <c r="I1377" t="s">
        <v>765</v>
      </c>
      <c r="J1377" t="s">
        <v>2646</v>
      </c>
      <c r="K1377" t="s">
        <v>2647</v>
      </c>
      <c r="L1377">
        <v>4</v>
      </c>
      <c r="M1377" s="5">
        <v>407.17</v>
      </c>
      <c r="N1377" s="6">
        <v>5</v>
      </c>
      <c r="O1377" s="5">
        <v>81.43</v>
      </c>
      <c r="P1377" s="5">
        <v>232.09</v>
      </c>
      <c r="Q1377" s="5">
        <v>1547.25</v>
      </c>
      <c r="R1377" s="5">
        <v>1206.28</v>
      </c>
      <c r="S1377" s="5">
        <v>340.97</v>
      </c>
      <c r="T1377" s="7">
        <v>0.220371627080304</v>
      </c>
      <c r="U1377" t="s">
        <v>10</v>
      </c>
      <c r="V1377" t="s">
        <v>50</v>
      </c>
      <c r="W1377" t="s">
        <v>50</v>
      </c>
      <c r="X1377" t="s">
        <v>34</v>
      </c>
      <c r="Y1377" t="s">
        <v>1530</v>
      </c>
      <c r="Z1377" t="s">
        <v>101</v>
      </c>
    </row>
    <row r="1378" spans="1:26">
      <c r="A1378" t="s">
        <v>3327</v>
      </c>
      <c r="B1378" t="s">
        <v>3327</v>
      </c>
      <c r="C1378" s="4">
        <v>46067</v>
      </c>
      <c r="D1378">
        <v>2026</v>
      </c>
      <c r="E1378">
        <v>2</v>
      </c>
      <c r="F1378" t="s">
        <v>31</v>
      </c>
      <c r="G1378" t="s">
        <v>82</v>
      </c>
      <c r="H1378" t="s">
        <v>1398</v>
      </c>
      <c r="I1378" t="s">
        <v>454</v>
      </c>
      <c r="J1378" t="s">
        <v>1150</v>
      </c>
      <c r="K1378" t="s">
        <v>2062</v>
      </c>
      <c r="L1378">
        <v>4</v>
      </c>
      <c r="M1378" s="5">
        <v>299.73</v>
      </c>
      <c r="N1378" s="6">
        <v>10</v>
      </c>
      <c r="O1378" s="5">
        <v>119.89</v>
      </c>
      <c r="P1378" s="5">
        <v>161.85</v>
      </c>
      <c r="Q1378" s="5">
        <v>1240.88</v>
      </c>
      <c r="R1378" s="5">
        <v>738.96</v>
      </c>
      <c r="S1378" s="5">
        <v>501.92</v>
      </c>
      <c r="T1378" s="7">
        <v>0.404487138160016</v>
      </c>
      <c r="U1378" t="s">
        <v>12</v>
      </c>
      <c r="V1378" t="s">
        <v>50</v>
      </c>
      <c r="W1378" t="s">
        <v>50</v>
      </c>
      <c r="X1378" t="s">
        <v>33</v>
      </c>
      <c r="Y1378" t="s">
        <v>1142</v>
      </c>
      <c r="Z1378" t="s">
        <v>80</v>
      </c>
    </row>
    <row r="1379" spans="1:26">
      <c r="A1379" t="s">
        <v>3328</v>
      </c>
      <c r="B1379" t="s">
        <v>3328</v>
      </c>
      <c r="C1379" s="4">
        <v>45775</v>
      </c>
      <c r="D1379">
        <v>2025</v>
      </c>
      <c r="E1379">
        <v>4</v>
      </c>
      <c r="F1379" t="s">
        <v>20</v>
      </c>
      <c r="G1379" t="s">
        <v>74</v>
      </c>
      <c r="H1379" t="s">
        <v>2270</v>
      </c>
      <c r="I1379" t="s">
        <v>476</v>
      </c>
      <c r="J1379" t="s">
        <v>593</v>
      </c>
      <c r="K1379" t="s">
        <v>1480</v>
      </c>
      <c r="L1379">
        <v>6</v>
      </c>
      <c r="M1379" s="5">
        <v>332.46</v>
      </c>
      <c r="N1379" s="6">
        <v>0</v>
      </c>
      <c r="O1379" s="5">
        <v>0</v>
      </c>
      <c r="P1379" s="5">
        <v>299.21</v>
      </c>
      <c r="Q1379" s="5">
        <v>1994.76</v>
      </c>
      <c r="R1379" s="5">
        <v>1508.52</v>
      </c>
      <c r="S1379" s="5">
        <v>486.24</v>
      </c>
      <c r="T1379" s="7">
        <v>0.243758647656861</v>
      </c>
      <c r="U1379" t="s">
        <v>11</v>
      </c>
      <c r="V1379" t="s">
        <v>50</v>
      </c>
      <c r="W1379" t="s">
        <v>50</v>
      </c>
      <c r="X1379" t="s">
        <v>34</v>
      </c>
      <c r="Y1379" t="s">
        <v>2274</v>
      </c>
      <c r="Z1379" t="s">
        <v>101</v>
      </c>
    </row>
    <row r="1380" spans="1:26">
      <c r="A1380" t="s">
        <v>3329</v>
      </c>
      <c r="B1380" t="s">
        <v>3329</v>
      </c>
      <c r="C1380" s="4">
        <v>45956</v>
      </c>
      <c r="D1380">
        <v>2025</v>
      </c>
      <c r="E1380">
        <v>10</v>
      </c>
      <c r="F1380" t="s">
        <v>26</v>
      </c>
      <c r="G1380" t="s">
        <v>137</v>
      </c>
      <c r="H1380" t="s">
        <v>2104</v>
      </c>
      <c r="I1380" t="s">
        <v>514</v>
      </c>
      <c r="J1380" t="s">
        <v>85</v>
      </c>
      <c r="K1380" t="s">
        <v>86</v>
      </c>
      <c r="L1380">
        <v>4</v>
      </c>
      <c r="M1380" s="5">
        <v>589.75</v>
      </c>
      <c r="N1380" s="6">
        <v>0</v>
      </c>
      <c r="O1380" s="5">
        <v>0</v>
      </c>
      <c r="P1380" s="5">
        <v>353.85</v>
      </c>
      <c r="Q1380" s="5">
        <v>2712.85</v>
      </c>
      <c r="R1380" s="5">
        <v>1374.6</v>
      </c>
      <c r="S1380" s="5">
        <v>1338.25</v>
      </c>
      <c r="T1380" s="7">
        <v>0.493300403634554</v>
      </c>
      <c r="U1380" t="s">
        <v>11</v>
      </c>
      <c r="V1380" t="s">
        <v>50</v>
      </c>
      <c r="W1380" t="s">
        <v>50</v>
      </c>
      <c r="X1380" t="s">
        <v>35</v>
      </c>
      <c r="Y1380" t="s">
        <v>1776</v>
      </c>
      <c r="Z1380" t="s">
        <v>80</v>
      </c>
    </row>
    <row r="1381" spans="1:26">
      <c r="A1381" t="s">
        <v>3330</v>
      </c>
      <c r="B1381" t="s">
        <v>3330</v>
      </c>
      <c r="C1381" s="4">
        <v>45795</v>
      </c>
      <c r="D1381">
        <v>2025</v>
      </c>
      <c r="E1381">
        <v>5</v>
      </c>
      <c r="F1381" t="s">
        <v>21</v>
      </c>
      <c r="G1381" t="s">
        <v>74</v>
      </c>
      <c r="H1381" t="s">
        <v>912</v>
      </c>
      <c r="I1381" t="s">
        <v>937</v>
      </c>
      <c r="J1381" t="s">
        <v>333</v>
      </c>
      <c r="K1381" t="s">
        <v>2105</v>
      </c>
      <c r="L1381">
        <v>8</v>
      </c>
      <c r="M1381" s="5">
        <v>471.94</v>
      </c>
      <c r="N1381" s="6">
        <v>0</v>
      </c>
      <c r="O1381" s="5">
        <v>0</v>
      </c>
      <c r="P1381" s="5">
        <v>566.33</v>
      </c>
      <c r="Q1381" s="5">
        <v>4341.85</v>
      </c>
      <c r="R1381" s="5">
        <v>2961.44</v>
      </c>
      <c r="S1381" s="5">
        <v>1380.41</v>
      </c>
      <c r="T1381" s="7">
        <v>0.317931296567131</v>
      </c>
      <c r="U1381" t="s">
        <v>14</v>
      </c>
      <c r="V1381" t="s">
        <v>50</v>
      </c>
      <c r="W1381" t="s">
        <v>50</v>
      </c>
      <c r="X1381" t="s">
        <v>33</v>
      </c>
      <c r="Y1381" t="s">
        <v>1712</v>
      </c>
      <c r="Z1381" t="s">
        <v>80</v>
      </c>
    </row>
    <row r="1382" spans="1:26">
      <c r="A1382" t="s">
        <v>3331</v>
      </c>
      <c r="B1382" t="s">
        <v>3331</v>
      </c>
      <c r="C1382" s="4">
        <v>45912</v>
      </c>
      <c r="D1382">
        <v>2025</v>
      </c>
      <c r="E1382">
        <v>9</v>
      </c>
      <c r="F1382" t="s">
        <v>25</v>
      </c>
      <c r="G1382" t="s">
        <v>89</v>
      </c>
      <c r="H1382" t="s">
        <v>2145</v>
      </c>
      <c r="I1382" t="s">
        <v>947</v>
      </c>
      <c r="J1382" t="s">
        <v>412</v>
      </c>
      <c r="K1382" t="s">
        <v>1967</v>
      </c>
      <c r="L1382">
        <v>8</v>
      </c>
      <c r="M1382" s="5">
        <v>532.91</v>
      </c>
      <c r="N1382" s="6">
        <v>10</v>
      </c>
      <c r="O1382" s="5">
        <v>426.33</v>
      </c>
      <c r="P1382" s="5">
        <v>575.54</v>
      </c>
      <c r="Q1382" s="5">
        <v>3836.95</v>
      </c>
      <c r="R1382" s="5">
        <v>3181.52</v>
      </c>
      <c r="S1382" s="5">
        <v>655.43</v>
      </c>
      <c r="T1382" s="7">
        <v>0.170820573632703</v>
      </c>
      <c r="U1382" t="s">
        <v>12</v>
      </c>
      <c r="V1382" t="s">
        <v>50</v>
      </c>
      <c r="W1382" t="s">
        <v>50</v>
      </c>
      <c r="X1382" t="s">
        <v>35</v>
      </c>
      <c r="Y1382" t="s">
        <v>2063</v>
      </c>
      <c r="Z1382" t="s">
        <v>101</v>
      </c>
    </row>
    <row r="1383" spans="1:26">
      <c r="A1383" t="s">
        <v>3332</v>
      </c>
      <c r="B1383" t="s">
        <v>3332</v>
      </c>
      <c r="C1383" s="4">
        <v>46005</v>
      </c>
      <c r="D1383">
        <v>2025</v>
      </c>
      <c r="E1383">
        <v>12</v>
      </c>
      <c r="F1383" t="s">
        <v>28</v>
      </c>
      <c r="G1383" t="s">
        <v>137</v>
      </c>
      <c r="H1383" t="s">
        <v>1988</v>
      </c>
      <c r="I1383" t="s">
        <v>2706</v>
      </c>
      <c r="J1383" t="s">
        <v>105</v>
      </c>
      <c r="K1383" t="s">
        <v>1491</v>
      </c>
      <c r="L1383">
        <v>2</v>
      </c>
      <c r="M1383" s="5">
        <v>519.78</v>
      </c>
      <c r="N1383" s="6">
        <v>5</v>
      </c>
      <c r="O1383" s="5">
        <v>51.98</v>
      </c>
      <c r="P1383" s="5">
        <v>148.14</v>
      </c>
      <c r="Q1383" s="5">
        <v>1135.72</v>
      </c>
      <c r="R1383" s="5">
        <v>795.84</v>
      </c>
      <c r="S1383" s="5">
        <v>339.88</v>
      </c>
      <c r="T1383" s="7">
        <v>0.299263903074702</v>
      </c>
      <c r="U1383" t="s">
        <v>11</v>
      </c>
      <c r="V1383" t="s">
        <v>50</v>
      </c>
      <c r="W1383" t="s">
        <v>50</v>
      </c>
      <c r="X1383" t="s">
        <v>33</v>
      </c>
      <c r="Y1383" t="s">
        <v>1585</v>
      </c>
      <c r="Z1383" t="s">
        <v>80</v>
      </c>
    </row>
    <row r="1384" spans="1:26">
      <c r="A1384" t="s">
        <v>3333</v>
      </c>
      <c r="B1384" t="s">
        <v>3333</v>
      </c>
      <c r="C1384" s="4">
        <v>46056</v>
      </c>
      <c r="D1384">
        <v>2026</v>
      </c>
      <c r="E1384">
        <v>2</v>
      </c>
      <c r="F1384" t="s">
        <v>31</v>
      </c>
      <c r="G1384" t="s">
        <v>82</v>
      </c>
      <c r="H1384" t="s">
        <v>2104</v>
      </c>
      <c r="I1384" t="s">
        <v>1196</v>
      </c>
      <c r="J1384" t="s">
        <v>269</v>
      </c>
      <c r="K1384" t="s">
        <v>1508</v>
      </c>
      <c r="L1384">
        <v>5</v>
      </c>
      <c r="M1384" s="5">
        <v>147.72</v>
      </c>
      <c r="N1384" s="6">
        <v>10</v>
      </c>
      <c r="O1384" s="5">
        <v>73.86</v>
      </c>
      <c r="P1384" s="5">
        <v>99.71</v>
      </c>
      <c r="Q1384" s="5">
        <v>664.74</v>
      </c>
      <c r="R1384" s="5">
        <v>546.05</v>
      </c>
      <c r="S1384" s="5">
        <v>118.69</v>
      </c>
      <c r="T1384" s="7">
        <v>0.178551012425911</v>
      </c>
      <c r="U1384" t="s">
        <v>10</v>
      </c>
      <c r="V1384" t="s">
        <v>50</v>
      </c>
      <c r="W1384" t="s">
        <v>50</v>
      </c>
      <c r="X1384" t="s">
        <v>35</v>
      </c>
      <c r="Y1384" t="s">
        <v>1333</v>
      </c>
      <c r="Z1384" t="s">
        <v>101</v>
      </c>
    </row>
    <row r="1385" spans="1:26">
      <c r="A1385" t="s">
        <v>3334</v>
      </c>
      <c r="B1385" t="s">
        <v>3334</v>
      </c>
      <c r="C1385" s="4">
        <v>45948</v>
      </c>
      <c r="D1385">
        <v>2025</v>
      </c>
      <c r="E1385">
        <v>10</v>
      </c>
      <c r="F1385" t="s">
        <v>26</v>
      </c>
      <c r="G1385" t="s">
        <v>137</v>
      </c>
      <c r="H1385" t="s">
        <v>3092</v>
      </c>
      <c r="I1385" t="s">
        <v>157</v>
      </c>
      <c r="J1385" t="s">
        <v>1507</v>
      </c>
      <c r="K1385" t="s">
        <v>1664</v>
      </c>
      <c r="L1385">
        <v>3</v>
      </c>
      <c r="M1385" s="5">
        <v>59.92</v>
      </c>
      <c r="N1385" s="6">
        <v>20</v>
      </c>
      <c r="O1385" s="5">
        <v>35.95</v>
      </c>
      <c r="P1385" s="5">
        <v>21.57</v>
      </c>
      <c r="Q1385" s="5">
        <v>165.38</v>
      </c>
      <c r="R1385" s="5">
        <v>144.45</v>
      </c>
      <c r="S1385" s="5">
        <v>20.93</v>
      </c>
      <c r="T1385" s="7">
        <v>0.126557020195912</v>
      </c>
      <c r="U1385" t="s">
        <v>14</v>
      </c>
      <c r="V1385" t="s">
        <v>50</v>
      </c>
      <c r="W1385" t="s">
        <v>50</v>
      </c>
      <c r="X1385" t="s">
        <v>33</v>
      </c>
      <c r="Y1385" t="s">
        <v>2007</v>
      </c>
      <c r="Z1385" t="s">
        <v>80</v>
      </c>
    </row>
    <row r="1386" spans="1:26">
      <c r="A1386" t="s">
        <v>3335</v>
      </c>
      <c r="B1386" t="s">
        <v>3335</v>
      </c>
      <c r="C1386" s="4">
        <v>45798</v>
      </c>
      <c r="D1386">
        <v>2025</v>
      </c>
      <c r="E1386">
        <v>5</v>
      </c>
      <c r="F1386" t="s">
        <v>21</v>
      </c>
      <c r="G1386" t="s">
        <v>74</v>
      </c>
      <c r="H1386" t="s">
        <v>1026</v>
      </c>
      <c r="I1386" t="s">
        <v>547</v>
      </c>
      <c r="J1386" t="s">
        <v>626</v>
      </c>
      <c r="K1386" t="s">
        <v>2353</v>
      </c>
      <c r="L1386">
        <v>4</v>
      </c>
      <c r="M1386" s="5">
        <v>542.42</v>
      </c>
      <c r="N1386" s="6">
        <v>0</v>
      </c>
      <c r="O1386" s="5">
        <v>0</v>
      </c>
      <c r="P1386" s="5">
        <v>325.45</v>
      </c>
      <c r="Q1386" s="5">
        <v>2169.68</v>
      </c>
      <c r="R1386" s="5">
        <v>1559.2</v>
      </c>
      <c r="S1386" s="5">
        <v>610.48</v>
      </c>
      <c r="T1386" s="7">
        <v>0.28136868109583</v>
      </c>
      <c r="U1386" t="s">
        <v>12</v>
      </c>
      <c r="V1386" t="s">
        <v>50</v>
      </c>
      <c r="W1386" t="s">
        <v>50</v>
      </c>
      <c r="X1386" t="s">
        <v>35</v>
      </c>
      <c r="Y1386" t="s">
        <v>2382</v>
      </c>
      <c r="Z1386" t="s">
        <v>101</v>
      </c>
    </row>
    <row r="1387" spans="1:26">
      <c r="A1387" t="s">
        <v>3336</v>
      </c>
      <c r="B1387" t="s">
        <v>3336</v>
      </c>
      <c r="C1387" s="4">
        <v>45969</v>
      </c>
      <c r="D1387">
        <v>2025</v>
      </c>
      <c r="E1387">
        <v>11</v>
      </c>
      <c r="F1387" t="s">
        <v>27</v>
      </c>
      <c r="G1387" t="s">
        <v>137</v>
      </c>
      <c r="H1387" t="s">
        <v>918</v>
      </c>
      <c r="I1387" t="s">
        <v>1686</v>
      </c>
      <c r="J1387" t="s">
        <v>813</v>
      </c>
      <c r="K1387" t="s">
        <v>1255</v>
      </c>
      <c r="L1387">
        <v>3</v>
      </c>
      <c r="M1387" s="5">
        <v>257.28</v>
      </c>
      <c r="N1387" s="6">
        <v>0</v>
      </c>
      <c r="O1387" s="5">
        <v>0</v>
      </c>
      <c r="P1387" s="5">
        <v>115.78</v>
      </c>
      <c r="Q1387" s="5">
        <v>887.62</v>
      </c>
      <c r="R1387" s="5">
        <v>482.94</v>
      </c>
      <c r="S1387" s="5">
        <v>404.68</v>
      </c>
      <c r="T1387" s="7">
        <v>0.455915819832811</v>
      </c>
      <c r="U1387" t="s">
        <v>9</v>
      </c>
      <c r="V1387" t="s">
        <v>50</v>
      </c>
      <c r="W1387" t="s">
        <v>50</v>
      </c>
      <c r="X1387" t="s">
        <v>35</v>
      </c>
      <c r="Y1387" t="s">
        <v>580</v>
      </c>
      <c r="Z1387" t="s">
        <v>80</v>
      </c>
    </row>
    <row r="1388" spans="1:26">
      <c r="A1388" t="s">
        <v>3337</v>
      </c>
      <c r="B1388" t="s">
        <v>3337</v>
      </c>
      <c r="C1388" s="4">
        <v>45834</v>
      </c>
      <c r="D1388">
        <v>2025</v>
      </c>
      <c r="E1388">
        <v>6</v>
      </c>
      <c r="F1388" t="s">
        <v>22</v>
      </c>
      <c r="G1388" t="s">
        <v>74</v>
      </c>
      <c r="H1388" t="s">
        <v>1955</v>
      </c>
      <c r="I1388" t="s">
        <v>2120</v>
      </c>
      <c r="J1388" t="s">
        <v>1928</v>
      </c>
      <c r="K1388" t="s">
        <v>2636</v>
      </c>
      <c r="L1388">
        <v>4</v>
      </c>
      <c r="M1388" s="5">
        <v>392.77</v>
      </c>
      <c r="N1388" s="6">
        <v>0</v>
      </c>
      <c r="O1388" s="5">
        <v>0</v>
      </c>
      <c r="P1388" s="5">
        <v>235.66</v>
      </c>
      <c r="Q1388" s="5">
        <v>1571.08</v>
      </c>
      <c r="R1388" s="5">
        <v>1276.2</v>
      </c>
      <c r="S1388" s="5">
        <v>294.88</v>
      </c>
      <c r="T1388" s="7">
        <v>0.187692542709474</v>
      </c>
      <c r="U1388" t="s">
        <v>14</v>
      </c>
      <c r="V1388" t="s">
        <v>50</v>
      </c>
      <c r="W1388" t="s">
        <v>50</v>
      </c>
      <c r="X1388" t="s">
        <v>35</v>
      </c>
      <c r="Y1388" t="s">
        <v>616</v>
      </c>
      <c r="Z1388" t="s">
        <v>101</v>
      </c>
    </row>
    <row r="1389" spans="1:26">
      <c r="A1389" t="s">
        <v>3338</v>
      </c>
      <c r="B1389" t="s">
        <v>3338</v>
      </c>
      <c r="C1389" s="4">
        <v>46016</v>
      </c>
      <c r="D1389">
        <v>2025</v>
      </c>
      <c r="E1389">
        <v>12</v>
      </c>
      <c r="F1389" t="s">
        <v>28</v>
      </c>
      <c r="G1389" t="s">
        <v>137</v>
      </c>
      <c r="H1389" t="s">
        <v>897</v>
      </c>
      <c r="I1389" t="s">
        <v>1694</v>
      </c>
      <c r="J1389" t="s">
        <v>445</v>
      </c>
      <c r="K1389" t="s">
        <v>1262</v>
      </c>
      <c r="L1389">
        <v>4</v>
      </c>
      <c r="M1389" s="5">
        <v>247.03</v>
      </c>
      <c r="N1389" s="6">
        <v>5</v>
      </c>
      <c r="O1389" s="5">
        <v>49.41</v>
      </c>
      <c r="P1389" s="5">
        <v>140.81</v>
      </c>
      <c r="Q1389" s="5">
        <v>938.71</v>
      </c>
      <c r="R1389" s="5">
        <v>755.92</v>
      </c>
      <c r="S1389" s="5">
        <v>182.79</v>
      </c>
      <c r="T1389" s="7">
        <v>0.194724675352345</v>
      </c>
      <c r="U1389" t="s">
        <v>10</v>
      </c>
      <c r="V1389" t="s">
        <v>51</v>
      </c>
      <c r="W1389" t="s">
        <v>51</v>
      </c>
      <c r="X1389" t="s">
        <v>33</v>
      </c>
      <c r="Y1389" t="s">
        <v>1463</v>
      </c>
      <c r="Z1389" t="s">
        <v>101</v>
      </c>
    </row>
    <row r="1390" spans="1:26">
      <c r="A1390" t="s">
        <v>3339</v>
      </c>
      <c r="B1390" t="s">
        <v>3339</v>
      </c>
      <c r="C1390" s="4">
        <v>45943</v>
      </c>
      <c r="D1390">
        <v>2025</v>
      </c>
      <c r="E1390">
        <v>10</v>
      </c>
      <c r="F1390" t="s">
        <v>26</v>
      </c>
      <c r="G1390" t="s">
        <v>137</v>
      </c>
      <c r="H1390" t="s">
        <v>367</v>
      </c>
      <c r="I1390" t="s">
        <v>750</v>
      </c>
      <c r="J1390" t="s">
        <v>140</v>
      </c>
      <c r="K1390" t="s">
        <v>141</v>
      </c>
      <c r="L1390">
        <v>7</v>
      </c>
      <c r="M1390" s="5">
        <v>501.04</v>
      </c>
      <c r="N1390" s="6">
        <v>15</v>
      </c>
      <c r="O1390" s="5">
        <v>526.09</v>
      </c>
      <c r="P1390" s="5">
        <v>447.18</v>
      </c>
      <c r="Q1390" s="5">
        <v>2981.19</v>
      </c>
      <c r="R1390" s="5">
        <v>2407.23</v>
      </c>
      <c r="S1390" s="5">
        <v>573.96</v>
      </c>
      <c r="T1390" s="7">
        <v>0.192527145200407</v>
      </c>
      <c r="U1390" t="s">
        <v>14</v>
      </c>
      <c r="V1390" t="s">
        <v>50</v>
      </c>
      <c r="W1390" t="s">
        <v>50</v>
      </c>
      <c r="X1390" t="s">
        <v>33</v>
      </c>
      <c r="Y1390" t="s">
        <v>1852</v>
      </c>
      <c r="Z1390" t="s">
        <v>101</v>
      </c>
    </row>
    <row r="1391" spans="1:26">
      <c r="A1391" t="s">
        <v>3340</v>
      </c>
      <c r="B1391" t="s">
        <v>3340</v>
      </c>
      <c r="C1391" s="4">
        <v>46006</v>
      </c>
      <c r="D1391">
        <v>2025</v>
      </c>
      <c r="E1391">
        <v>12</v>
      </c>
      <c r="F1391" t="s">
        <v>28</v>
      </c>
      <c r="G1391" t="s">
        <v>137</v>
      </c>
      <c r="H1391" t="s">
        <v>1930</v>
      </c>
      <c r="I1391" t="s">
        <v>169</v>
      </c>
      <c r="J1391" t="s">
        <v>482</v>
      </c>
      <c r="K1391" t="s">
        <v>868</v>
      </c>
      <c r="L1391">
        <v>1</v>
      </c>
      <c r="M1391" s="5">
        <v>141.11</v>
      </c>
      <c r="N1391" s="6">
        <v>5</v>
      </c>
      <c r="O1391" s="5">
        <v>7.06</v>
      </c>
      <c r="P1391" s="5">
        <v>20.11</v>
      </c>
      <c r="Q1391" s="5">
        <v>134.05</v>
      </c>
      <c r="R1391" s="5">
        <v>115.91</v>
      </c>
      <c r="S1391" s="5">
        <v>18.14</v>
      </c>
      <c r="T1391" s="7">
        <v>0.135322640805669</v>
      </c>
      <c r="U1391" t="s">
        <v>14</v>
      </c>
      <c r="V1391" t="s">
        <v>50</v>
      </c>
      <c r="W1391" t="s">
        <v>50</v>
      </c>
      <c r="X1391" t="s">
        <v>34</v>
      </c>
      <c r="Y1391" t="s">
        <v>1820</v>
      </c>
      <c r="Z1391" t="s">
        <v>101</v>
      </c>
    </row>
    <row r="1392" spans="1:26">
      <c r="A1392" t="s">
        <v>3341</v>
      </c>
      <c r="B1392" t="s">
        <v>3341</v>
      </c>
      <c r="C1392" s="4">
        <v>45939</v>
      </c>
      <c r="D1392">
        <v>2025</v>
      </c>
      <c r="E1392">
        <v>10</v>
      </c>
      <c r="F1392" t="s">
        <v>26</v>
      </c>
      <c r="G1392" t="s">
        <v>137</v>
      </c>
      <c r="H1392" t="s">
        <v>2480</v>
      </c>
      <c r="I1392" t="s">
        <v>368</v>
      </c>
      <c r="J1392" t="s">
        <v>659</v>
      </c>
      <c r="K1392" t="s">
        <v>660</v>
      </c>
      <c r="L1392">
        <v>4</v>
      </c>
      <c r="M1392" s="5">
        <v>67.37</v>
      </c>
      <c r="N1392" s="6">
        <v>5</v>
      </c>
      <c r="O1392" s="5">
        <v>13.47</v>
      </c>
      <c r="P1392" s="5">
        <v>38.4</v>
      </c>
      <c r="Q1392" s="5">
        <v>256.01</v>
      </c>
      <c r="R1392" s="5">
        <v>201.72</v>
      </c>
      <c r="S1392" s="5">
        <v>54.29</v>
      </c>
      <c r="T1392" s="7">
        <v>0.212062028826999</v>
      </c>
      <c r="U1392" t="s">
        <v>13</v>
      </c>
      <c r="V1392" t="s">
        <v>50</v>
      </c>
      <c r="W1392" t="s">
        <v>50</v>
      </c>
      <c r="X1392" t="s">
        <v>33</v>
      </c>
      <c r="Y1392" t="s">
        <v>1914</v>
      </c>
      <c r="Z1392" t="s">
        <v>101</v>
      </c>
    </row>
    <row r="1393" spans="1:26">
      <c r="A1393" t="s">
        <v>3342</v>
      </c>
      <c r="B1393" t="s">
        <v>3342</v>
      </c>
      <c r="C1393" s="4">
        <v>45984</v>
      </c>
      <c r="D1393">
        <v>2025</v>
      </c>
      <c r="E1393">
        <v>11</v>
      </c>
      <c r="F1393" t="s">
        <v>27</v>
      </c>
      <c r="G1393" t="s">
        <v>137</v>
      </c>
      <c r="H1393" t="s">
        <v>1993</v>
      </c>
      <c r="I1393" t="s">
        <v>295</v>
      </c>
      <c r="J1393" t="s">
        <v>837</v>
      </c>
      <c r="K1393" t="s">
        <v>1032</v>
      </c>
      <c r="L1393">
        <v>1</v>
      </c>
      <c r="M1393" s="5">
        <v>317.72</v>
      </c>
      <c r="N1393" s="6">
        <v>10</v>
      </c>
      <c r="O1393" s="5">
        <v>31.77</v>
      </c>
      <c r="P1393" s="5">
        <v>42.89</v>
      </c>
      <c r="Q1393" s="5">
        <v>328.84</v>
      </c>
      <c r="R1393" s="5">
        <v>271.53</v>
      </c>
      <c r="S1393" s="5">
        <v>57.31</v>
      </c>
      <c r="T1393" s="7">
        <v>0.174279284758545</v>
      </c>
      <c r="U1393" t="s">
        <v>12</v>
      </c>
      <c r="V1393" t="s">
        <v>50</v>
      </c>
      <c r="W1393" t="s">
        <v>50</v>
      </c>
      <c r="X1393" t="s">
        <v>33</v>
      </c>
      <c r="Y1393" t="s">
        <v>237</v>
      </c>
      <c r="Z1393" t="s">
        <v>80</v>
      </c>
    </row>
    <row r="1394" spans="1:26">
      <c r="A1394" t="s">
        <v>3343</v>
      </c>
      <c r="B1394" t="s">
        <v>3343</v>
      </c>
      <c r="C1394" s="4">
        <v>46011</v>
      </c>
      <c r="D1394">
        <v>2025</v>
      </c>
      <c r="E1394">
        <v>12</v>
      </c>
      <c r="F1394" t="s">
        <v>28</v>
      </c>
      <c r="G1394" t="s">
        <v>137</v>
      </c>
      <c r="H1394" t="s">
        <v>3344</v>
      </c>
      <c r="I1394" t="s">
        <v>553</v>
      </c>
      <c r="J1394" t="s">
        <v>47</v>
      </c>
      <c r="K1394" t="s">
        <v>1197</v>
      </c>
      <c r="L1394">
        <v>3</v>
      </c>
      <c r="M1394" s="5">
        <v>291.93</v>
      </c>
      <c r="N1394" s="6">
        <v>15</v>
      </c>
      <c r="O1394" s="5">
        <v>131.37</v>
      </c>
      <c r="P1394" s="5">
        <v>111.66</v>
      </c>
      <c r="Q1394" s="5"/>
      <c r="R1394" s="5">
        <v>761.1</v>
      </c>
      <c r="S1394" s="5">
        <v>94.98</v>
      </c>
      <c r="T1394" s="7"/>
      <c r="U1394" t="s">
        <v>11</v>
      </c>
      <c r="V1394" t="s">
        <v>50</v>
      </c>
      <c r="W1394" t="s">
        <v>50</v>
      </c>
      <c r="X1394" t="s">
        <v>34</v>
      </c>
      <c r="Y1394" t="s">
        <v>2520</v>
      </c>
      <c r="Z1394" t="s">
        <v>80</v>
      </c>
    </row>
    <row r="1395" spans="1:26">
      <c r="A1395" t="s">
        <v>3345</v>
      </c>
      <c r="B1395" t="s">
        <v>3345</v>
      </c>
      <c r="C1395" s="4">
        <v>46077</v>
      </c>
      <c r="D1395">
        <v>2026</v>
      </c>
      <c r="E1395">
        <v>2</v>
      </c>
      <c r="F1395" t="s">
        <v>31</v>
      </c>
      <c r="G1395" t="s">
        <v>82</v>
      </c>
      <c r="H1395" t="s">
        <v>1294</v>
      </c>
      <c r="I1395" t="s">
        <v>1196</v>
      </c>
      <c r="J1395" t="s">
        <v>152</v>
      </c>
      <c r="K1395" t="s">
        <v>153</v>
      </c>
      <c r="L1395">
        <v>5</v>
      </c>
      <c r="M1395" s="5">
        <v>167.18</v>
      </c>
      <c r="N1395" s="6">
        <v>20</v>
      </c>
      <c r="O1395" s="5">
        <v>167.18</v>
      </c>
      <c r="P1395" s="5">
        <v>100.31</v>
      </c>
      <c r="Q1395" s="5">
        <v>668.72</v>
      </c>
      <c r="R1395" s="5">
        <v>546.05</v>
      </c>
      <c r="S1395" s="5">
        <v>122.67</v>
      </c>
      <c r="T1395" s="7">
        <v>0.183440004785261</v>
      </c>
      <c r="U1395" t="s">
        <v>9</v>
      </c>
      <c r="V1395" t="s">
        <v>50</v>
      </c>
      <c r="W1395" t="s">
        <v>50</v>
      </c>
      <c r="X1395" t="s">
        <v>35</v>
      </c>
      <c r="Y1395" t="s">
        <v>1231</v>
      </c>
      <c r="Z1395" t="s">
        <v>101</v>
      </c>
    </row>
    <row r="1396" spans="1:26">
      <c r="A1396" t="s">
        <v>3346</v>
      </c>
      <c r="B1396" t="s">
        <v>3346</v>
      </c>
      <c r="C1396" s="4">
        <v>45958</v>
      </c>
      <c r="D1396">
        <v>2025</v>
      </c>
      <c r="E1396">
        <v>10</v>
      </c>
      <c r="F1396" t="s">
        <v>26</v>
      </c>
      <c r="G1396" t="s">
        <v>137</v>
      </c>
      <c r="H1396" t="s">
        <v>3347</v>
      </c>
      <c r="I1396" t="s">
        <v>169</v>
      </c>
      <c r="J1396" t="s">
        <v>877</v>
      </c>
      <c r="K1396" t="s">
        <v>747</v>
      </c>
      <c r="L1396">
        <v>3</v>
      </c>
      <c r="M1396" s="5">
        <v>141.11</v>
      </c>
      <c r="N1396" s="6">
        <v>0</v>
      </c>
      <c r="O1396" s="5">
        <v>0</v>
      </c>
      <c r="P1396" s="5">
        <v>63.5</v>
      </c>
      <c r="Q1396" s="5">
        <v>423.33</v>
      </c>
      <c r="R1396" s="5">
        <v>347.73</v>
      </c>
      <c r="S1396" s="5">
        <v>75.6</v>
      </c>
      <c r="T1396" s="7">
        <v>0.178584083339239</v>
      </c>
      <c r="U1396" t="s">
        <v>11</v>
      </c>
      <c r="V1396" t="s">
        <v>50</v>
      </c>
      <c r="W1396" t="s">
        <v>50</v>
      </c>
      <c r="X1396" t="s">
        <v>33</v>
      </c>
      <c r="Y1396" t="s">
        <v>3348</v>
      </c>
      <c r="Z1396" t="s">
        <v>101</v>
      </c>
    </row>
    <row r="1397" spans="1:26">
      <c r="A1397" t="s">
        <v>3349</v>
      </c>
      <c r="B1397" t="s">
        <v>3349</v>
      </c>
      <c r="C1397" s="4">
        <v>45902</v>
      </c>
      <c r="D1397">
        <v>2025</v>
      </c>
      <c r="E1397">
        <v>9</v>
      </c>
      <c r="F1397" t="s">
        <v>25</v>
      </c>
      <c r="G1397" t="s">
        <v>89</v>
      </c>
      <c r="H1397" t="s">
        <v>2953</v>
      </c>
      <c r="I1397" t="s">
        <v>947</v>
      </c>
      <c r="J1397" t="s">
        <v>296</v>
      </c>
      <c r="K1397" t="s">
        <v>297</v>
      </c>
      <c r="L1397">
        <v>1</v>
      </c>
      <c r="M1397" s="5">
        <v>464.41</v>
      </c>
      <c r="N1397" s="6">
        <v>20</v>
      </c>
      <c r="O1397" s="5">
        <v>92.88</v>
      </c>
      <c r="P1397" s="5">
        <v>55.73</v>
      </c>
      <c r="Q1397" s="5">
        <v>371.53</v>
      </c>
      <c r="R1397" s="5">
        <v>397.69</v>
      </c>
      <c r="S1397" s="5">
        <v>-26.16</v>
      </c>
      <c r="T1397" s="7">
        <v>-0.0704115414636772</v>
      </c>
      <c r="U1397" t="s">
        <v>9</v>
      </c>
      <c r="V1397" t="s">
        <v>50</v>
      </c>
      <c r="W1397" t="s">
        <v>50</v>
      </c>
      <c r="X1397" t="s">
        <v>33</v>
      </c>
      <c r="Y1397" t="s">
        <v>3009</v>
      </c>
      <c r="Z1397" t="s">
        <v>101</v>
      </c>
    </row>
    <row r="1398" spans="1:26">
      <c r="A1398" t="s">
        <v>3350</v>
      </c>
      <c r="B1398" t="s">
        <v>3350</v>
      </c>
      <c r="C1398" s="4">
        <v>45985</v>
      </c>
      <c r="D1398">
        <v>2025</v>
      </c>
      <c r="E1398">
        <v>11</v>
      </c>
      <c r="F1398" t="s">
        <v>27</v>
      </c>
      <c r="G1398" t="s">
        <v>137</v>
      </c>
      <c r="H1398" t="s">
        <v>764</v>
      </c>
      <c r="I1398" t="s">
        <v>844</v>
      </c>
      <c r="J1398" t="s">
        <v>42</v>
      </c>
      <c r="K1398" t="s">
        <v>1191</v>
      </c>
      <c r="L1398">
        <v>4</v>
      </c>
      <c r="M1398" s="5">
        <v>332.05</v>
      </c>
      <c r="N1398" s="6">
        <v>15</v>
      </c>
      <c r="O1398" s="5">
        <v>199.23</v>
      </c>
      <c r="P1398" s="5">
        <v>169.35</v>
      </c>
      <c r="Q1398" s="5">
        <v>1128.97</v>
      </c>
      <c r="R1398" s="5">
        <v>1002.76</v>
      </c>
      <c r="S1398" s="5">
        <v>126.21</v>
      </c>
      <c r="T1398" s="7">
        <v>0.111792164539359</v>
      </c>
      <c r="U1398" t="s">
        <v>11</v>
      </c>
      <c r="V1398" t="s">
        <v>50</v>
      </c>
      <c r="W1398" t="s">
        <v>50</v>
      </c>
      <c r="X1398" t="s">
        <v>33</v>
      </c>
      <c r="Y1398" t="s">
        <v>1626</v>
      </c>
      <c r="Z1398" t="s">
        <v>101</v>
      </c>
    </row>
    <row r="1399" spans="1:26">
      <c r="A1399" t="s">
        <v>3351</v>
      </c>
      <c r="B1399" t="s">
        <v>3351</v>
      </c>
      <c r="C1399" s="4">
        <v>45999</v>
      </c>
      <c r="D1399">
        <v>2025</v>
      </c>
      <c r="E1399">
        <v>12</v>
      </c>
      <c r="F1399" t="s">
        <v>28</v>
      </c>
      <c r="G1399" t="s">
        <v>137</v>
      </c>
      <c r="H1399" t="s">
        <v>239</v>
      </c>
      <c r="I1399" t="s">
        <v>344</v>
      </c>
      <c r="J1399" t="s">
        <v>1208</v>
      </c>
      <c r="K1399" t="s">
        <v>934</v>
      </c>
      <c r="L1399">
        <v>2</v>
      </c>
      <c r="M1399" s="5">
        <v>507.5</v>
      </c>
      <c r="N1399" s="6">
        <v>0</v>
      </c>
      <c r="O1399" s="5">
        <v>0</v>
      </c>
      <c r="P1399" s="5">
        <v>152.25</v>
      </c>
      <c r="Q1399" s="5">
        <v>1015</v>
      </c>
      <c r="R1399" s="5">
        <v>726.58</v>
      </c>
      <c r="S1399" s="5">
        <v>288.42</v>
      </c>
      <c r="T1399" s="7">
        <v>0.28415763546798</v>
      </c>
      <c r="U1399" t="s">
        <v>14</v>
      </c>
      <c r="V1399" t="s">
        <v>50</v>
      </c>
      <c r="W1399" t="s">
        <v>50</v>
      </c>
      <c r="X1399" t="s">
        <v>33</v>
      </c>
      <c r="Y1399" t="s">
        <v>3352</v>
      </c>
      <c r="Z1399" t="s">
        <v>101</v>
      </c>
    </row>
    <row r="1400" spans="1:26">
      <c r="A1400" t="s">
        <v>3353</v>
      </c>
      <c r="B1400" t="s">
        <v>3353</v>
      </c>
      <c r="C1400" s="4">
        <v>45756</v>
      </c>
      <c r="D1400">
        <v>2025</v>
      </c>
      <c r="E1400">
        <v>4</v>
      </c>
      <c r="F1400" t="s">
        <v>20</v>
      </c>
      <c r="G1400" t="s">
        <v>74</v>
      </c>
      <c r="H1400" t="s">
        <v>675</v>
      </c>
      <c r="I1400" t="s">
        <v>174</v>
      </c>
      <c r="J1400" t="s">
        <v>665</v>
      </c>
      <c r="K1400" t="s">
        <v>666</v>
      </c>
      <c r="L1400">
        <v>5</v>
      </c>
      <c r="M1400" s="5">
        <v>397.22</v>
      </c>
      <c r="N1400" s="6">
        <v>15</v>
      </c>
      <c r="O1400" s="5">
        <v>297.92</v>
      </c>
      <c r="P1400" s="5">
        <v>253.23</v>
      </c>
      <c r="Q1400" s="5">
        <v>1688.18</v>
      </c>
      <c r="R1400" s="5">
        <v>1596.85</v>
      </c>
      <c r="S1400" s="5">
        <v>91.33</v>
      </c>
      <c r="T1400" s="7">
        <v>0.054099681313604</v>
      </c>
      <c r="U1400" t="s">
        <v>9</v>
      </c>
      <c r="V1400" t="s">
        <v>50</v>
      </c>
      <c r="W1400" t="s">
        <v>50</v>
      </c>
      <c r="X1400" t="s">
        <v>35</v>
      </c>
      <c r="Y1400" t="s">
        <v>2724</v>
      </c>
      <c r="Z1400" t="s">
        <v>101</v>
      </c>
    </row>
    <row r="1401" spans="1:26">
      <c r="A1401" t="s">
        <v>3354</v>
      </c>
      <c r="B1401" t="s">
        <v>3354</v>
      </c>
      <c r="C1401" s="4">
        <v>46025</v>
      </c>
      <c r="D1401">
        <v>2026</v>
      </c>
      <c r="E1401">
        <v>1</v>
      </c>
      <c r="F1401" t="s">
        <v>30</v>
      </c>
      <c r="G1401" t="s">
        <v>82</v>
      </c>
      <c r="H1401" t="s">
        <v>531</v>
      </c>
      <c r="I1401" t="s">
        <v>609</v>
      </c>
      <c r="J1401" t="s">
        <v>351</v>
      </c>
      <c r="K1401" t="s">
        <v>1073</v>
      </c>
      <c r="L1401">
        <v>3</v>
      </c>
      <c r="M1401" s="5">
        <v>358.16</v>
      </c>
      <c r="N1401" s="6">
        <v>20</v>
      </c>
      <c r="O1401" s="5">
        <v>214.9</v>
      </c>
      <c r="P1401" s="5">
        <v>128.94</v>
      </c>
      <c r="Q1401" s="5">
        <v>988.52</v>
      </c>
      <c r="R1401" s="5">
        <v>766.47</v>
      </c>
      <c r="S1401" s="5">
        <v>222.05</v>
      </c>
      <c r="T1401" s="7">
        <v>0.224628737911221</v>
      </c>
      <c r="U1401" t="s">
        <v>12</v>
      </c>
      <c r="V1401" t="s">
        <v>50</v>
      </c>
      <c r="W1401" t="s">
        <v>50</v>
      </c>
      <c r="X1401" t="s">
        <v>33</v>
      </c>
      <c r="Y1401" t="s">
        <v>569</v>
      </c>
      <c r="Z1401" t="s">
        <v>80</v>
      </c>
    </row>
    <row r="1402" spans="1:26">
      <c r="A1402" t="s">
        <v>3355</v>
      </c>
      <c r="B1402" t="s">
        <v>3355</v>
      </c>
      <c r="C1402" s="4">
        <v>45830</v>
      </c>
      <c r="D1402">
        <v>2025</v>
      </c>
      <c r="E1402">
        <v>6</v>
      </c>
      <c r="F1402" t="s">
        <v>22</v>
      </c>
      <c r="G1402" t="s">
        <v>74</v>
      </c>
      <c r="H1402" t="s">
        <v>1227</v>
      </c>
      <c r="I1402" t="s">
        <v>1714</v>
      </c>
      <c r="J1402" t="s">
        <v>477</v>
      </c>
      <c r="K1402" t="s">
        <v>1180</v>
      </c>
      <c r="L1402">
        <v>5</v>
      </c>
      <c r="M1402" s="5">
        <v>368.06</v>
      </c>
      <c r="N1402" s="6">
        <v>15</v>
      </c>
      <c r="O1402" s="5">
        <v>276.05</v>
      </c>
      <c r="P1402" s="5">
        <v>234.64</v>
      </c>
      <c r="Q1402" s="5">
        <v>1798.89</v>
      </c>
      <c r="R1402" s="5">
        <v>1330.5</v>
      </c>
      <c r="S1402" s="5">
        <v>468.39</v>
      </c>
      <c r="T1402" s="7">
        <v>0.260377232626787</v>
      </c>
      <c r="U1402" t="s">
        <v>13</v>
      </c>
      <c r="V1402" t="s">
        <v>50</v>
      </c>
      <c r="W1402" t="s">
        <v>50</v>
      </c>
      <c r="X1402" t="s">
        <v>33</v>
      </c>
      <c r="Y1402" t="s">
        <v>3356</v>
      </c>
      <c r="Z1402" t="s">
        <v>80</v>
      </c>
    </row>
    <row r="1403" spans="1:26">
      <c r="A1403" t="s">
        <v>3357</v>
      </c>
      <c r="B1403" t="s">
        <v>3357</v>
      </c>
      <c r="C1403" s="4">
        <v>46047</v>
      </c>
      <c r="D1403">
        <v>2026</v>
      </c>
      <c r="E1403">
        <v>1</v>
      </c>
      <c r="F1403" t="s">
        <v>30</v>
      </c>
      <c r="G1403" t="s">
        <v>82</v>
      </c>
      <c r="H1403" t="s">
        <v>3358</v>
      </c>
      <c r="I1403" t="s">
        <v>411</v>
      </c>
      <c r="J1403" t="s">
        <v>1122</v>
      </c>
      <c r="K1403" t="s">
        <v>1123</v>
      </c>
      <c r="L1403">
        <v>4</v>
      </c>
      <c r="M1403" s="5">
        <v>459.58</v>
      </c>
      <c r="N1403" s="6">
        <v>10</v>
      </c>
      <c r="O1403" s="5">
        <v>183.83</v>
      </c>
      <c r="P1403" s="5">
        <v>248.17</v>
      </c>
      <c r="Q1403" s="5">
        <v>1902.66</v>
      </c>
      <c r="R1403" s="5">
        <v>1547.56</v>
      </c>
      <c r="S1403" s="5">
        <v>355.1</v>
      </c>
      <c r="T1403" s="7">
        <v>0.186633450012088</v>
      </c>
      <c r="U1403" t="s">
        <v>13</v>
      </c>
      <c r="V1403" t="s">
        <v>50</v>
      </c>
      <c r="W1403" t="s">
        <v>50</v>
      </c>
      <c r="X1403" t="s">
        <v>33</v>
      </c>
      <c r="Y1403" t="s">
        <v>335</v>
      </c>
      <c r="Z1403" t="s">
        <v>80</v>
      </c>
    </row>
    <row r="1404" spans="1:26">
      <c r="A1404" t="s">
        <v>3359</v>
      </c>
      <c r="B1404" t="s">
        <v>3359</v>
      </c>
      <c r="C1404" s="4">
        <v>46009</v>
      </c>
      <c r="D1404">
        <v>2025</v>
      </c>
      <c r="E1404">
        <v>12</v>
      </c>
      <c r="F1404" t="s">
        <v>28</v>
      </c>
      <c r="G1404" t="s">
        <v>137</v>
      </c>
      <c r="H1404" t="s">
        <v>591</v>
      </c>
      <c r="I1404" t="s">
        <v>1686</v>
      </c>
      <c r="J1404" t="s">
        <v>681</v>
      </c>
      <c r="K1404" t="s">
        <v>1237</v>
      </c>
      <c r="L1404">
        <v>8</v>
      </c>
      <c r="M1404" s="5">
        <v>253.59</v>
      </c>
      <c r="N1404" s="6">
        <v>15</v>
      </c>
      <c r="O1404" s="5">
        <v>304.31</v>
      </c>
      <c r="P1404" s="5">
        <v>258.66</v>
      </c>
      <c r="Q1404" s="5">
        <v>1724.41</v>
      </c>
      <c r="R1404" s="5">
        <v>1287.84</v>
      </c>
      <c r="S1404" s="5">
        <v>436.57</v>
      </c>
      <c r="T1404" s="7">
        <v>0.253170649671482</v>
      </c>
      <c r="U1404" t="s">
        <v>11</v>
      </c>
      <c r="V1404" t="s">
        <v>50</v>
      </c>
      <c r="W1404" t="s">
        <v>50</v>
      </c>
      <c r="X1404" t="s">
        <v>33</v>
      </c>
      <c r="Y1404" t="s">
        <v>3360</v>
      </c>
      <c r="Z1404" t="s">
        <v>101</v>
      </c>
    </row>
    <row r="1405" spans="1:26">
      <c r="A1405" t="s">
        <v>3361</v>
      </c>
      <c r="B1405" t="s">
        <v>3361</v>
      </c>
      <c r="C1405" s="4">
        <v>45786</v>
      </c>
      <c r="D1405">
        <v>2025</v>
      </c>
      <c r="E1405">
        <v>5</v>
      </c>
      <c r="F1405" t="s">
        <v>21</v>
      </c>
      <c r="G1405" t="s">
        <v>74</v>
      </c>
      <c r="H1405" t="s">
        <v>3362</v>
      </c>
      <c r="I1405" t="s">
        <v>411</v>
      </c>
      <c r="J1405" t="s">
        <v>92</v>
      </c>
      <c r="K1405" t="s">
        <v>1004</v>
      </c>
      <c r="L1405">
        <v>2</v>
      </c>
      <c r="M1405" s="5">
        <v>459.58</v>
      </c>
      <c r="N1405" s="6">
        <v>15</v>
      </c>
      <c r="O1405" s="5">
        <v>137.87</v>
      </c>
      <c r="P1405" s="5">
        <v>117.19</v>
      </c>
      <c r="Q1405" s="5">
        <v>781.29</v>
      </c>
      <c r="R1405" s="5">
        <v>773.78</v>
      </c>
      <c r="S1405" s="5">
        <v>7.51</v>
      </c>
      <c r="T1405" s="7">
        <v>0.00961230784983809</v>
      </c>
      <c r="U1405" t="s">
        <v>10</v>
      </c>
      <c r="V1405" t="s">
        <v>51</v>
      </c>
      <c r="W1405" t="s">
        <v>51</v>
      </c>
      <c r="X1405" t="s">
        <v>33</v>
      </c>
      <c r="Y1405" t="s">
        <v>1492</v>
      </c>
      <c r="Z1405" t="s">
        <v>101</v>
      </c>
    </row>
    <row r="1406" spans="1:26">
      <c r="A1406" t="s">
        <v>3363</v>
      </c>
      <c r="B1406" t="s">
        <v>3363</v>
      </c>
      <c r="C1406" s="4">
        <v>45970</v>
      </c>
      <c r="D1406">
        <v>2025</v>
      </c>
      <c r="E1406">
        <v>11</v>
      </c>
      <c r="F1406" t="s">
        <v>27</v>
      </c>
      <c r="G1406" t="s">
        <v>137</v>
      </c>
      <c r="H1406" t="s">
        <v>2842</v>
      </c>
      <c r="I1406" t="s">
        <v>362</v>
      </c>
      <c r="J1406" t="s">
        <v>175</v>
      </c>
      <c r="K1406" t="s">
        <v>690</v>
      </c>
      <c r="L1406">
        <v>4</v>
      </c>
      <c r="M1406" s="5">
        <v>329.69</v>
      </c>
      <c r="N1406" s="6">
        <v>15</v>
      </c>
      <c r="O1406" s="5">
        <v>197.81</v>
      </c>
      <c r="P1406" s="5">
        <v>168.14</v>
      </c>
      <c r="Q1406" s="5">
        <v>1289.09</v>
      </c>
      <c r="R1406" s="5">
        <v>989</v>
      </c>
      <c r="S1406" s="5">
        <v>300.09</v>
      </c>
      <c r="T1406" s="7">
        <v>0.232792124677098</v>
      </c>
      <c r="U1406" t="s">
        <v>10</v>
      </c>
      <c r="V1406" t="s">
        <v>50</v>
      </c>
      <c r="W1406" t="s">
        <v>50</v>
      </c>
      <c r="X1406" t="s">
        <v>33</v>
      </c>
      <c r="Y1406" t="s">
        <v>1000</v>
      </c>
      <c r="Z1406" t="s">
        <v>80</v>
      </c>
    </row>
    <row r="1407" spans="1:26">
      <c r="A1407" t="s">
        <v>3364</v>
      </c>
      <c r="B1407" t="s">
        <v>3364</v>
      </c>
      <c r="C1407" s="4">
        <v>45826</v>
      </c>
      <c r="D1407">
        <v>2025</v>
      </c>
      <c r="E1407">
        <v>6</v>
      </c>
      <c r="F1407" t="s">
        <v>22</v>
      </c>
      <c r="G1407" t="s">
        <v>74</v>
      </c>
      <c r="H1407" t="s">
        <v>2727</v>
      </c>
      <c r="I1407" t="s">
        <v>190</v>
      </c>
      <c r="J1407" t="s">
        <v>318</v>
      </c>
      <c r="K1407" t="s">
        <v>319</v>
      </c>
      <c r="L1407">
        <v>1</v>
      </c>
      <c r="M1407" s="5">
        <v>437.49</v>
      </c>
      <c r="N1407" s="6">
        <v>0</v>
      </c>
      <c r="O1407" s="5">
        <v>0</v>
      </c>
      <c r="P1407" s="5">
        <v>65.62</v>
      </c>
      <c r="Q1407" s="5">
        <v>437.49</v>
      </c>
      <c r="R1407" s="5">
        <v>265.44</v>
      </c>
      <c r="S1407" s="5">
        <v>172.05</v>
      </c>
      <c r="T1407" s="7">
        <v>0.393266131797298</v>
      </c>
      <c r="U1407" t="s">
        <v>13</v>
      </c>
      <c r="V1407" t="s">
        <v>50</v>
      </c>
      <c r="W1407" t="s">
        <v>50</v>
      </c>
      <c r="X1407" t="s">
        <v>35</v>
      </c>
      <c r="Y1407" t="s">
        <v>3365</v>
      </c>
      <c r="Z1407" t="s">
        <v>101</v>
      </c>
    </row>
    <row r="1408" spans="1:26">
      <c r="A1408" t="s">
        <v>3366</v>
      </c>
      <c r="B1408" t="s">
        <v>3366</v>
      </c>
      <c r="C1408" s="4">
        <v>46096</v>
      </c>
      <c r="D1408">
        <v>2026</v>
      </c>
      <c r="E1408">
        <v>3</v>
      </c>
      <c r="F1408" t="s">
        <v>19</v>
      </c>
      <c r="G1408" t="s">
        <v>82</v>
      </c>
      <c r="H1408" t="s">
        <v>1792</v>
      </c>
      <c r="I1408" t="s">
        <v>623</v>
      </c>
      <c r="J1408" t="s">
        <v>1003</v>
      </c>
      <c r="K1408" t="s">
        <v>1004</v>
      </c>
      <c r="L1408">
        <v>3</v>
      </c>
      <c r="M1408" s="5">
        <v>139.21</v>
      </c>
      <c r="N1408" s="6">
        <v>20</v>
      </c>
      <c r="O1408" s="5">
        <v>83.53</v>
      </c>
      <c r="P1408" s="5">
        <v>50.12</v>
      </c>
      <c r="Q1408" s="5">
        <v>384.21</v>
      </c>
      <c r="R1408" s="5">
        <v>320.97</v>
      </c>
      <c r="S1408" s="5">
        <v>63.24</v>
      </c>
      <c r="T1408" s="7">
        <v>0.164597485749981</v>
      </c>
      <c r="U1408" t="s">
        <v>11</v>
      </c>
      <c r="V1408" t="s">
        <v>50</v>
      </c>
      <c r="W1408" t="s">
        <v>50</v>
      </c>
      <c r="X1408" t="s">
        <v>33</v>
      </c>
      <c r="Y1408" t="s">
        <v>3360</v>
      </c>
      <c r="Z1408" t="s">
        <v>80</v>
      </c>
    </row>
    <row r="1409" spans="1:26">
      <c r="A1409" t="s">
        <v>3367</v>
      </c>
      <c r="B1409" t="s">
        <v>3367</v>
      </c>
      <c r="C1409" s="4">
        <v>45899</v>
      </c>
      <c r="D1409">
        <v>2025</v>
      </c>
      <c r="E1409">
        <v>8</v>
      </c>
      <c r="F1409" t="s">
        <v>24</v>
      </c>
      <c r="G1409" t="s">
        <v>89</v>
      </c>
      <c r="H1409" t="s">
        <v>1110</v>
      </c>
      <c r="I1409" t="s">
        <v>1153</v>
      </c>
      <c r="J1409" t="s">
        <v>665</v>
      </c>
      <c r="K1409" t="s">
        <v>287</v>
      </c>
      <c r="L1409">
        <v>8</v>
      </c>
      <c r="M1409" s="5">
        <v>372.74</v>
      </c>
      <c r="N1409" s="6">
        <v>10</v>
      </c>
      <c r="O1409" s="5">
        <v>298.19</v>
      </c>
      <c r="P1409" s="5">
        <v>402.56</v>
      </c>
      <c r="Q1409" s="5">
        <v>3086.29</v>
      </c>
      <c r="R1409" s="5">
        <v>2595.84</v>
      </c>
      <c r="S1409" s="5">
        <v>490.45</v>
      </c>
      <c r="T1409" s="7">
        <v>0.158912480680688</v>
      </c>
      <c r="U1409" t="s">
        <v>13</v>
      </c>
      <c r="V1409" t="s">
        <v>50</v>
      </c>
      <c r="W1409" t="s">
        <v>50</v>
      </c>
      <c r="X1409" t="s">
        <v>35</v>
      </c>
      <c r="Y1409" t="s">
        <v>2766</v>
      </c>
      <c r="Z1409" t="s">
        <v>80</v>
      </c>
    </row>
    <row r="1410" spans="1:26">
      <c r="A1410" t="s">
        <v>3368</v>
      </c>
      <c r="B1410" t="s">
        <v>3368</v>
      </c>
      <c r="C1410" s="4">
        <v>46097</v>
      </c>
      <c r="D1410">
        <v>2026</v>
      </c>
      <c r="E1410">
        <v>3</v>
      </c>
      <c r="F1410" t="s">
        <v>19</v>
      </c>
      <c r="G1410" t="s">
        <v>82</v>
      </c>
      <c r="H1410" t="s">
        <v>3369</v>
      </c>
      <c r="I1410" t="s">
        <v>434</v>
      </c>
      <c r="J1410" t="s">
        <v>47</v>
      </c>
      <c r="K1410" t="s">
        <v>1197</v>
      </c>
      <c r="L1410">
        <v>2</v>
      </c>
      <c r="M1410" s="5">
        <v>83.13</v>
      </c>
      <c r="N1410" s="6">
        <v>0</v>
      </c>
      <c r="O1410" s="5">
        <v>0</v>
      </c>
      <c r="P1410" s="5">
        <v>24.94</v>
      </c>
      <c r="Q1410" s="5">
        <v>166.26</v>
      </c>
      <c r="R1410" s="5">
        <v>138.18</v>
      </c>
      <c r="S1410" s="5">
        <v>28.08</v>
      </c>
      <c r="T1410" s="7">
        <v>0.168892096715987</v>
      </c>
      <c r="U1410" t="s">
        <v>10</v>
      </c>
      <c r="V1410" t="s">
        <v>50</v>
      </c>
      <c r="W1410" t="s">
        <v>50</v>
      </c>
      <c r="X1410" t="s">
        <v>33</v>
      </c>
      <c r="Y1410" t="s">
        <v>1815</v>
      </c>
      <c r="Z1410" t="s">
        <v>101</v>
      </c>
    </row>
    <row r="1411" spans="1:26">
      <c r="A1411" t="s">
        <v>3370</v>
      </c>
      <c r="B1411" t="s">
        <v>3370</v>
      </c>
      <c r="C1411" s="4">
        <v>45909</v>
      </c>
      <c r="D1411">
        <v>2025</v>
      </c>
      <c r="E1411">
        <v>9</v>
      </c>
      <c r="F1411" t="s">
        <v>25</v>
      </c>
      <c r="G1411" t="s">
        <v>89</v>
      </c>
      <c r="H1411" t="s">
        <v>2713</v>
      </c>
      <c r="I1411" t="s">
        <v>574</v>
      </c>
      <c r="J1411" t="s">
        <v>246</v>
      </c>
      <c r="K1411" t="s">
        <v>247</v>
      </c>
      <c r="L1411">
        <v>6</v>
      </c>
      <c r="M1411" s="5">
        <v>139.65</v>
      </c>
      <c r="N1411" s="6">
        <v>10</v>
      </c>
      <c r="O1411" s="5">
        <v>83.79</v>
      </c>
      <c r="P1411" s="5">
        <v>113.12</v>
      </c>
      <c r="Q1411" s="5">
        <v>754.11</v>
      </c>
      <c r="R1411" s="5">
        <v>574.2</v>
      </c>
      <c r="S1411" s="5">
        <v>179.91</v>
      </c>
      <c r="T1411" s="7">
        <v>0.238572622031269</v>
      </c>
      <c r="U1411" t="s">
        <v>9</v>
      </c>
      <c r="V1411" t="s">
        <v>50</v>
      </c>
      <c r="W1411" t="s">
        <v>50</v>
      </c>
      <c r="X1411" t="s">
        <v>34</v>
      </c>
      <c r="Y1411" t="s">
        <v>1620</v>
      </c>
      <c r="Z1411" t="s">
        <v>101</v>
      </c>
    </row>
    <row r="1412" spans="1:26">
      <c r="A1412" t="s">
        <v>3371</v>
      </c>
      <c r="B1412" t="s">
        <v>3371</v>
      </c>
      <c r="C1412" s="4">
        <v>45854</v>
      </c>
      <c r="D1412">
        <v>2025</v>
      </c>
      <c r="E1412">
        <v>7</v>
      </c>
      <c r="F1412" t="s">
        <v>23</v>
      </c>
      <c r="G1412" t="s">
        <v>89</v>
      </c>
      <c r="H1412" t="s">
        <v>582</v>
      </c>
      <c r="I1412" t="s">
        <v>807</v>
      </c>
      <c r="J1412" t="s">
        <v>548</v>
      </c>
      <c r="K1412" t="s">
        <v>1671</v>
      </c>
      <c r="L1412">
        <v>5</v>
      </c>
      <c r="M1412" s="5">
        <v>357.79</v>
      </c>
      <c r="N1412" s="6">
        <v>10</v>
      </c>
      <c r="O1412" s="5">
        <v>178.9</v>
      </c>
      <c r="P1412" s="5">
        <v>241.51</v>
      </c>
      <c r="Q1412" s="5">
        <v>1610.05</v>
      </c>
      <c r="R1412" s="5">
        <v>1319.25</v>
      </c>
      <c r="S1412" s="5">
        <v>290.8</v>
      </c>
      <c r="T1412" s="7">
        <v>0.180615508835129</v>
      </c>
      <c r="U1412" t="s">
        <v>12</v>
      </c>
      <c r="V1412" t="s">
        <v>50</v>
      </c>
      <c r="W1412" t="s">
        <v>50</v>
      </c>
      <c r="X1412" t="s">
        <v>33</v>
      </c>
      <c r="Y1412" t="s">
        <v>3372</v>
      </c>
      <c r="Z1412" t="s">
        <v>101</v>
      </c>
    </row>
    <row r="1413" spans="1:26">
      <c r="A1413" t="s">
        <v>3373</v>
      </c>
      <c r="B1413" t="s">
        <v>3373</v>
      </c>
      <c r="C1413" s="4">
        <v>46002</v>
      </c>
      <c r="D1413">
        <v>2025</v>
      </c>
      <c r="E1413">
        <v>12</v>
      </c>
      <c r="F1413" t="s">
        <v>28</v>
      </c>
      <c r="G1413" t="s">
        <v>137</v>
      </c>
      <c r="H1413" t="s">
        <v>2040</v>
      </c>
      <c r="I1413" t="s">
        <v>97</v>
      </c>
      <c r="J1413" t="s">
        <v>558</v>
      </c>
      <c r="K1413" t="s">
        <v>2985</v>
      </c>
      <c r="L1413">
        <v>5</v>
      </c>
      <c r="M1413" s="5">
        <v>398.25</v>
      </c>
      <c r="N1413" s="6">
        <v>20</v>
      </c>
      <c r="O1413" s="5">
        <v>398.25</v>
      </c>
      <c r="P1413" s="5">
        <v>238.95</v>
      </c>
      <c r="Q1413" s="5">
        <v>1593</v>
      </c>
      <c r="R1413" s="5">
        <v>1182.7</v>
      </c>
      <c r="S1413" s="5">
        <v>410.3</v>
      </c>
      <c r="T1413" s="7">
        <v>0.257564344005022</v>
      </c>
      <c r="U1413" t="s">
        <v>9</v>
      </c>
      <c r="V1413" t="s">
        <v>50</v>
      </c>
      <c r="W1413" t="s">
        <v>50</v>
      </c>
      <c r="X1413" t="s">
        <v>33</v>
      </c>
      <c r="Y1413" t="s">
        <v>3263</v>
      </c>
      <c r="Z1413" t="s">
        <v>101</v>
      </c>
    </row>
    <row r="1414" spans="1:26">
      <c r="A1414" t="s">
        <v>3374</v>
      </c>
      <c r="B1414" t="s">
        <v>3374</v>
      </c>
      <c r="C1414" s="4">
        <v>45827</v>
      </c>
      <c r="D1414">
        <v>2025</v>
      </c>
      <c r="E1414">
        <v>6</v>
      </c>
      <c r="F1414" t="s">
        <v>22</v>
      </c>
      <c r="G1414" t="s">
        <v>74</v>
      </c>
      <c r="H1414" t="s">
        <v>331</v>
      </c>
      <c r="I1414" t="s">
        <v>225</v>
      </c>
      <c r="J1414" t="s">
        <v>92</v>
      </c>
      <c r="K1414" t="s">
        <v>1230</v>
      </c>
      <c r="L1414">
        <v>8</v>
      </c>
      <c r="M1414" s="5">
        <v>396.47</v>
      </c>
      <c r="N1414" s="6">
        <v>15</v>
      </c>
      <c r="O1414" s="5">
        <v>475.76</v>
      </c>
      <c r="P1414" s="5">
        <v>404.4</v>
      </c>
      <c r="Q1414" s="5">
        <v>2696</v>
      </c>
      <c r="R1414" s="5">
        <v>2427.28</v>
      </c>
      <c r="S1414" s="5">
        <v>268.72</v>
      </c>
      <c r="T1414" s="7">
        <v>0.099673590504451</v>
      </c>
      <c r="U1414" t="s">
        <v>9</v>
      </c>
      <c r="V1414" t="s">
        <v>50</v>
      </c>
      <c r="W1414" t="s">
        <v>50</v>
      </c>
      <c r="X1414" t="s">
        <v>34</v>
      </c>
      <c r="Y1414" t="s">
        <v>2304</v>
      </c>
      <c r="Z1414" t="s">
        <v>101</v>
      </c>
    </row>
    <row r="1415" spans="1:26">
      <c r="A1415" t="s">
        <v>3375</v>
      </c>
      <c r="B1415" t="s">
        <v>3375</v>
      </c>
      <c r="C1415" s="4">
        <v>45861</v>
      </c>
      <c r="D1415">
        <v>2025</v>
      </c>
      <c r="E1415">
        <v>7</v>
      </c>
      <c r="F1415" t="s">
        <v>23</v>
      </c>
      <c r="G1415" t="s">
        <v>89</v>
      </c>
      <c r="H1415" t="s">
        <v>2256</v>
      </c>
      <c r="I1415" t="s">
        <v>765</v>
      </c>
      <c r="J1415" t="s">
        <v>471</v>
      </c>
      <c r="K1415" t="s">
        <v>766</v>
      </c>
      <c r="L1415">
        <v>2</v>
      </c>
      <c r="M1415" s="5">
        <v>376.11</v>
      </c>
      <c r="N1415" s="6">
        <v>0</v>
      </c>
      <c r="O1415" s="5">
        <v>0</v>
      </c>
      <c r="P1415" s="5">
        <v>112.83</v>
      </c>
      <c r="Q1415" s="5">
        <v>752.22</v>
      </c>
      <c r="R1415" s="5">
        <v>603.14</v>
      </c>
      <c r="S1415" s="5">
        <v>149.08</v>
      </c>
      <c r="T1415" s="7">
        <v>0.198186700699264</v>
      </c>
      <c r="U1415" t="s">
        <v>10</v>
      </c>
      <c r="V1415" t="s">
        <v>50</v>
      </c>
      <c r="W1415" t="s">
        <v>50</v>
      </c>
      <c r="X1415" t="s">
        <v>33</v>
      </c>
      <c r="Y1415" t="s">
        <v>869</v>
      </c>
      <c r="Z1415" t="s">
        <v>101</v>
      </c>
    </row>
    <row r="1416" spans="1:26">
      <c r="A1416" t="s">
        <v>3376</v>
      </c>
      <c r="B1416" t="s">
        <v>3376</v>
      </c>
      <c r="C1416" s="4">
        <v>45804</v>
      </c>
      <c r="D1416">
        <v>2025</v>
      </c>
      <c r="E1416">
        <v>5</v>
      </c>
      <c r="F1416" t="s">
        <v>21</v>
      </c>
      <c r="G1416" t="s">
        <v>74</v>
      </c>
      <c r="H1416" t="s">
        <v>1115</v>
      </c>
      <c r="I1416" t="s">
        <v>854</v>
      </c>
      <c r="J1416" t="s">
        <v>742</v>
      </c>
      <c r="K1416" t="s">
        <v>1517</v>
      </c>
      <c r="L1416">
        <v>1</v>
      </c>
      <c r="M1416" s="5">
        <v>530.16</v>
      </c>
      <c r="N1416" s="6">
        <v>0</v>
      </c>
      <c r="O1416" s="5">
        <v>0</v>
      </c>
      <c r="P1416" s="5">
        <v>79.52</v>
      </c>
      <c r="Q1416" s="5">
        <v>530.16</v>
      </c>
      <c r="R1416" s="5">
        <v>379.19</v>
      </c>
      <c r="S1416" s="5">
        <v>150.97</v>
      </c>
      <c r="T1416" s="7">
        <v>0.284763090387807</v>
      </c>
      <c r="U1416" t="s">
        <v>9</v>
      </c>
      <c r="V1416" t="s">
        <v>50</v>
      </c>
      <c r="W1416" t="s">
        <v>50</v>
      </c>
      <c r="X1416" t="s">
        <v>33</v>
      </c>
      <c r="Y1416" t="s">
        <v>2132</v>
      </c>
      <c r="Z1416" t="s">
        <v>101</v>
      </c>
    </row>
    <row r="1417" spans="1:26">
      <c r="A1417" t="s">
        <v>3377</v>
      </c>
      <c r="B1417" t="s">
        <v>3377</v>
      </c>
      <c r="C1417" s="4">
        <v>46012</v>
      </c>
      <c r="D1417">
        <v>2025</v>
      </c>
      <c r="E1417">
        <v>12</v>
      </c>
      <c r="F1417" t="s">
        <v>28</v>
      </c>
      <c r="G1417" t="s">
        <v>137</v>
      </c>
      <c r="H1417" t="s">
        <v>1041</v>
      </c>
      <c r="I1417" t="s">
        <v>623</v>
      </c>
      <c r="J1417" t="s">
        <v>1855</v>
      </c>
      <c r="K1417" t="s">
        <v>1328</v>
      </c>
      <c r="L1417">
        <v>3</v>
      </c>
      <c r="M1417" s="5">
        <v>139.21</v>
      </c>
      <c r="N1417" s="6">
        <v>0</v>
      </c>
      <c r="O1417" s="5">
        <v>0</v>
      </c>
      <c r="P1417" s="5">
        <v>62.64</v>
      </c>
      <c r="Q1417" s="5">
        <v>480.27</v>
      </c>
      <c r="R1417" s="5">
        <v>320.97</v>
      </c>
      <c r="S1417" s="5">
        <v>159.3</v>
      </c>
      <c r="T1417" s="7">
        <v>0.331688425260791</v>
      </c>
      <c r="U1417" t="s">
        <v>10</v>
      </c>
      <c r="V1417" t="s">
        <v>50</v>
      </c>
      <c r="W1417" t="s">
        <v>50</v>
      </c>
      <c r="X1417" t="s">
        <v>34</v>
      </c>
      <c r="Y1417" t="s">
        <v>1048</v>
      </c>
      <c r="Z1417" t="s">
        <v>80</v>
      </c>
    </row>
    <row r="1418" spans="1:26">
      <c r="A1418" t="s">
        <v>3378</v>
      </c>
      <c r="B1418" t="s">
        <v>3378</v>
      </c>
      <c r="C1418" s="4">
        <v>45931</v>
      </c>
      <c r="D1418">
        <v>2025</v>
      </c>
      <c r="E1418">
        <v>10</v>
      </c>
      <c r="F1418" t="s">
        <v>26</v>
      </c>
      <c r="G1418" t="s">
        <v>137</v>
      </c>
      <c r="H1418" t="s">
        <v>2576</v>
      </c>
      <c r="I1418" t="s">
        <v>145</v>
      </c>
      <c r="J1418" t="s">
        <v>681</v>
      </c>
      <c r="K1418" t="s">
        <v>1402</v>
      </c>
      <c r="L1418">
        <v>7</v>
      </c>
      <c r="M1418" s="5">
        <v>529.68</v>
      </c>
      <c r="N1418" s="6">
        <v>15</v>
      </c>
      <c r="O1418" s="5">
        <v>556.16</v>
      </c>
      <c r="P1418" s="5">
        <v>472.74</v>
      </c>
      <c r="Q1418" s="5">
        <v>3151.6</v>
      </c>
      <c r="R1418" s="5">
        <v>2771.09</v>
      </c>
      <c r="S1418" s="5">
        <v>380.51</v>
      </c>
      <c r="T1418" s="7">
        <v>0.120735499428861</v>
      </c>
      <c r="U1418" t="s">
        <v>9</v>
      </c>
      <c r="V1418" t="s">
        <v>50</v>
      </c>
      <c r="W1418" t="s">
        <v>50</v>
      </c>
      <c r="X1418" t="s">
        <v>33</v>
      </c>
      <c r="Y1418" t="s">
        <v>3379</v>
      </c>
      <c r="Z1418" t="s">
        <v>101</v>
      </c>
    </row>
    <row r="1419" spans="1:26">
      <c r="A1419" t="s">
        <v>3380</v>
      </c>
      <c r="B1419" t="s">
        <v>3380</v>
      </c>
      <c r="C1419" s="4">
        <v>45972</v>
      </c>
      <c r="D1419">
        <v>2025</v>
      </c>
      <c r="E1419">
        <v>11</v>
      </c>
      <c r="F1419" t="s">
        <v>27</v>
      </c>
      <c r="G1419" t="s">
        <v>137</v>
      </c>
      <c r="H1419" t="s">
        <v>1983</v>
      </c>
      <c r="I1419" t="s">
        <v>328</v>
      </c>
      <c r="J1419" t="s">
        <v>1450</v>
      </c>
      <c r="K1419" t="s">
        <v>1864</v>
      </c>
      <c r="L1419">
        <v>8</v>
      </c>
      <c r="M1419" s="5">
        <v>140.56</v>
      </c>
      <c r="N1419" s="6">
        <v>5</v>
      </c>
      <c r="O1419" s="5">
        <v>56.22</v>
      </c>
      <c r="P1419" s="5">
        <v>160.24</v>
      </c>
      <c r="Q1419" s="5">
        <v>1068.26</v>
      </c>
      <c r="R1419" s="5">
        <v>778.8</v>
      </c>
      <c r="S1419" s="5">
        <v>289.46</v>
      </c>
      <c r="T1419" s="7">
        <v>0.270963997528691</v>
      </c>
      <c r="U1419" t="s">
        <v>10</v>
      </c>
      <c r="V1419" t="s">
        <v>50</v>
      </c>
      <c r="W1419" t="s">
        <v>50</v>
      </c>
      <c r="X1419" t="s">
        <v>33</v>
      </c>
      <c r="Y1419" t="s">
        <v>2932</v>
      </c>
      <c r="Z1419" t="s">
        <v>101</v>
      </c>
    </row>
    <row r="1420" spans="1:26">
      <c r="A1420" t="s">
        <v>3381</v>
      </c>
      <c r="B1420" t="s">
        <v>3381</v>
      </c>
      <c r="C1420" s="4">
        <v>45813</v>
      </c>
      <c r="D1420">
        <v>2025</v>
      </c>
      <c r="E1420">
        <v>6</v>
      </c>
      <c r="F1420" t="s">
        <v>22</v>
      </c>
      <c r="G1420" t="s">
        <v>74</v>
      </c>
      <c r="H1420" t="s">
        <v>2002</v>
      </c>
      <c r="I1420" t="s">
        <v>476</v>
      </c>
      <c r="J1420" t="s">
        <v>291</v>
      </c>
      <c r="K1420" t="s">
        <v>1204</v>
      </c>
      <c r="L1420">
        <v>7</v>
      </c>
      <c r="M1420" s="5">
        <v>345</v>
      </c>
      <c r="N1420" s="6">
        <v>10</v>
      </c>
      <c r="O1420" s="5">
        <v>241.5</v>
      </c>
      <c r="P1420" s="5">
        <v>326.02</v>
      </c>
      <c r="Q1420" s="5">
        <v>2173.5</v>
      </c>
      <c r="R1420" s="5">
        <v>1759.94</v>
      </c>
      <c r="S1420" s="5">
        <v>413.56</v>
      </c>
      <c r="T1420" s="7">
        <v>0.190273752012882</v>
      </c>
      <c r="U1420" t="s">
        <v>11</v>
      </c>
      <c r="V1420" t="s">
        <v>50</v>
      </c>
      <c r="W1420" t="s">
        <v>50</v>
      </c>
      <c r="X1420" t="s">
        <v>33</v>
      </c>
      <c r="Y1420" t="s">
        <v>2191</v>
      </c>
      <c r="Z1420" t="s">
        <v>101</v>
      </c>
    </row>
    <row r="1421" spans="1:26">
      <c r="A1421" t="s">
        <v>3382</v>
      </c>
      <c r="B1421" t="s">
        <v>3382</v>
      </c>
      <c r="C1421" s="4">
        <v>45838</v>
      </c>
      <c r="D1421">
        <v>2025</v>
      </c>
      <c r="E1421">
        <v>6</v>
      </c>
      <c r="F1421" t="s">
        <v>22</v>
      </c>
      <c r="G1421" t="s">
        <v>74</v>
      </c>
      <c r="H1421" t="s">
        <v>3383</v>
      </c>
      <c r="I1421" t="s">
        <v>547</v>
      </c>
      <c r="J1421" t="s">
        <v>127</v>
      </c>
      <c r="K1421" t="s">
        <v>128</v>
      </c>
      <c r="L1421">
        <v>4</v>
      </c>
      <c r="M1421" s="5">
        <v>503.36</v>
      </c>
      <c r="N1421" s="6">
        <v>15</v>
      </c>
      <c r="O1421" s="5">
        <v>302.02</v>
      </c>
      <c r="P1421" s="5">
        <v>256.71</v>
      </c>
      <c r="Q1421" s="5">
        <v>1711.42</v>
      </c>
      <c r="R1421" s="5">
        <v>1559.2</v>
      </c>
      <c r="S1421" s="5">
        <v>152.22</v>
      </c>
      <c r="T1421" s="7">
        <v>0.0889436841920744</v>
      </c>
      <c r="U1421" t="s">
        <v>13</v>
      </c>
      <c r="V1421" t="s">
        <v>50</v>
      </c>
      <c r="W1421" t="s">
        <v>50</v>
      </c>
      <c r="X1421" t="s">
        <v>33</v>
      </c>
      <c r="Y1421" t="s">
        <v>3384</v>
      </c>
      <c r="Z1421" t="s">
        <v>101</v>
      </c>
    </row>
    <row r="1422" spans="1:26">
      <c r="A1422" t="s">
        <v>3385</v>
      </c>
      <c r="B1422" t="s">
        <v>3385</v>
      </c>
      <c r="C1422" s="4">
        <v>45893</v>
      </c>
      <c r="D1422">
        <v>2025</v>
      </c>
      <c r="E1422">
        <v>8</v>
      </c>
      <c r="F1422" t="s">
        <v>24</v>
      </c>
      <c r="G1422" t="s">
        <v>89</v>
      </c>
      <c r="H1422" t="s">
        <v>1258</v>
      </c>
      <c r="I1422" t="s">
        <v>1511</v>
      </c>
      <c r="J1422" t="s">
        <v>642</v>
      </c>
      <c r="K1422" t="s">
        <v>873</v>
      </c>
      <c r="L1422">
        <v>1</v>
      </c>
      <c r="M1422" s="5">
        <v>183.39</v>
      </c>
      <c r="N1422" s="6">
        <v>5</v>
      </c>
      <c r="O1422" s="5">
        <v>9.17</v>
      </c>
      <c r="P1422" s="5">
        <v>26.13</v>
      </c>
      <c r="Q1422" s="5">
        <v>200.35</v>
      </c>
      <c r="R1422" s="5">
        <v>158.43</v>
      </c>
      <c r="S1422" s="5">
        <v>41.92</v>
      </c>
      <c r="T1422" s="7">
        <v>0.209233840778637</v>
      </c>
      <c r="U1422" t="s">
        <v>12</v>
      </c>
      <c r="V1422" t="s">
        <v>50</v>
      </c>
      <c r="W1422" t="s">
        <v>50</v>
      </c>
      <c r="X1422" t="s">
        <v>35</v>
      </c>
      <c r="Y1422" t="s">
        <v>1960</v>
      </c>
      <c r="Z1422" t="s">
        <v>80</v>
      </c>
    </row>
    <row r="1423" spans="1:26">
      <c r="A1423" t="s">
        <v>3386</v>
      </c>
      <c r="B1423" t="s">
        <v>3386</v>
      </c>
      <c r="C1423" s="4">
        <v>45997</v>
      </c>
      <c r="D1423">
        <v>2025</v>
      </c>
      <c r="E1423">
        <v>12</v>
      </c>
      <c r="F1423" t="s">
        <v>28</v>
      </c>
      <c r="G1423" t="s">
        <v>137</v>
      </c>
      <c r="H1423" t="s">
        <v>3261</v>
      </c>
      <c r="I1423" t="s">
        <v>476</v>
      </c>
      <c r="J1423" t="s">
        <v>197</v>
      </c>
      <c r="K1423" t="s">
        <v>407</v>
      </c>
      <c r="L1423">
        <v>4</v>
      </c>
      <c r="M1423" s="5">
        <v>305.67</v>
      </c>
      <c r="N1423" s="6">
        <v>20</v>
      </c>
      <c r="O1423" s="5">
        <v>244.54</v>
      </c>
      <c r="P1423" s="5">
        <v>146.72</v>
      </c>
      <c r="Q1423" s="5">
        <v>1124.86</v>
      </c>
      <c r="R1423" s="5">
        <v>1005.68</v>
      </c>
      <c r="S1423" s="5">
        <v>119.18</v>
      </c>
      <c r="T1423" s="7">
        <v>0.10595096278648</v>
      </c>
      <c r="U1423" t="s">
        <v>12</v>
      </c>
      <c r="V1423" t="s">
        <v>50</v>
      </c>
      <c r="W1423" t="s">
        <v>50</v>
      </c>
      <c r="X1423" t="s">
        <v>33</v>
      </c>
      <c r="Y1423" t="s">
        <v>1668</v>
      </c>
      <c r="Z1423" t="s">
        <v>80</v>
      </c>
    </row>
    <row r="1424" spans="1:26">
      <c r="A1424" t="s">
        <v>3387</v>
      </c>
      <c r="B1424" t="s">
        <v>3387</v>
      </c>
      <c r="C1424" s="4">
        <v>45816</v>
      </c>
      <c r="D1424">
        <v>2025</v>
      </c>
      <c r="E1424">
        <v>6</v>
      </c>
      <c r="F1424" t="s">
        <v>22</v>
      </c>
      <c r="G1424" t="s">
        <v>74</v>
      </c>
      <c r="H1424" t="s">
        <v>871</v>
      </c>
      <c r="I1424" t="s">
        <v>1264</v>
      </c>
      <c r="J1424" t="s">
        <v>401</v>
      </c>
      <c r="K1424" t="s">
        <v>402</v>
      </c>
      <c r="L1424">
        <v>2</v>
      </c>
      <c r="M1424" s="5">
        <v>182.3</v>
      </c>
      <c r="N1424" s="6">
        <v>15</v>
      </c>
      <c r="O1424" s="5">
        <v>54.69</v>
      </c>
      <c r="P1424" s="5">
        <v>46.49</v>
      </c>
      <c r="Q1424" s="5">
        <v>356.4</v>
      </c>
      <c r="R1424" s="5">
        <v>215.2</v>
      </c>
      <c r="S1424" s="5">
        <v>141.2</v>
      </c>
      <c r="T1424" s="7">
        <v>0.396184062850729</v>
      </c>
      <c r="U1424" t="s">
        <v>14</v>
      </c>
      <c r="V1424" t="s">
        <v>50</v>
      </c>
      <c r="W1424" t="s">
        <v>50</v>
      </c>
      <c r="X1424" t="s">
        <v>34</v>
      </c>
      <c r="Y1424" t="s">
        <v>1615</v>
      </c>
      <c r="Z1424" t="s">
        <v>80</v>
      </c>
    </row>
    <row r="1425" spans="1:26">
      <c r="A1425" t="s">
        <v>3388</v>
      </c>
      <c r="B1425" t="s">
        <v>3388</v>
      </c>
      <c r="C1425" s="4">
        <v>46055</v>
      </c>
      <c r="D1425">
        <v>2026</v>
      </c>
      <c r="E1425">
        <v>2</v>
      </c>
      <c r="F1425" t="s">
        <v>31</v>
      </c>
      <c r="G1425" t="s">
        <v>82</v>
      </c>
      <c r="H1425" t="s">
        <v>2536</v>
      </c>
      <c r="I1425" t="s">
        <v>503</v>
      </c>
      <c r="J1425" t="s">
        <v>509</v>
      </c>
      <c r="K1425" t="s">
        <v>209</v>
      </c>
      <c r="L1425">
        <v>2</v>
      </c>
      <c r="M1425" s="5">
        <v>71.29</v>
      </c>
      <c r="N1425" s="6">
        <v>0</v>
      </c>
      <c r="O1425" s="5">
        <v>0</v>
      </c>
      <c r="P1425" s="5">
        <v>21.39</v>
      </c>
      <c r="Q1425" s="5">
        <v>142.58</v>
      </c>
      <c r="R1425" s="5">
        <v>118.74</v>
      </c>
      <c r="S1425" s="5">
        <v>23.84</v>
      </c>
      <c r="T1425" s="7">
        <v>0.167204376490391</v>
      </c>
      <c r="U1425" t="s">
        <v>9</v>
      </c>
      <c r="V1425" t="s">
        <v>50</v>
      </c>
      <c r="W1425" t="s">
        <v>50</v>
      </c>
      <c r="X1425" t="s">
        <v>33</v>
      </c>
      <c r="Y1425" t="s">
        <v>2441</v>
      </c>
      <c r="Z1425" t="s">
        <v>101</v>
      </c>
    </row>
    <row r="1426" spans="1:26">
      <c r="A1426" t="s">
        <v>3389</v>
      </c>
      <c r="B1426" t="s">
        <v>3389</v>
      </c>
      <c r="C1426" s="4">
        <v>45847</v>
      </c>
      <c r="D1426">
        <v>2025</v>
      </c>
      <c r="E1426">
        <v>7</v>
      </c>
      <c r="F1426" t="s">
        <v>23</v>
      </c>
      <c r="G1426" t="s">
        <v>89</v>
      </c>
      <c r="H1426" t="s">
        <v>2360</v>
      </c>
      <c r="I1426" t="s">
        <v>986</v>
      </c>
      <c r="J1426" t="s">
        <v>899</v>
      </c>
      <c r="K1426" t="s">
        <v>171</v>
      </c>
      <c r="L1426">
        <v>5</v>
      </c>
      <c r="M1426" s="5">
        <v>333.54</v>
      </c>
      <c r="N1426" s="6">
        <v>5</v>
      </c>
      <c r="O1426" s="5">
        <v>83.39</v>
      </c>
      <c r="P1426" s="5">
        <v>237.65</v>
      </c>
      <c r="Q1426" s="5">
        <v>1584.31</v>
      </c>
      <c r="R1426" s="5">
        <v>1192.15</v>
      </c>
      <c r="S1426" s="5">
        <v>392.16</v>
      </c>
      <c r="T1426" s="7">
        <v>0.247527314730072</v>
      </c>
      <c r="U1426" t="s">
        <v>9</v>
      </c>
      <c r="V1426" t="s">
        <v>50</v>
      </c>
      <c r="W1426" t="s">
        <v>50</v>
      </c>
      <c r="X1426" t="s">
        <v>33</v>
      </c>
      <c r="Y1426" t="s">
        <v>1995</v>
      </c>
      <c r="Z1426" t="s">
        <v>101</v>
      </c>
    </row>
    <row r="1427" spans="1:26">
      <c r="A1427" t="s">
        <v>3390</v>
      </c>
      <c r="B1427" t="s">
        <v>3390</v>
      </c>
      <c r="C1427" s="4">
        <v>45770</v>
      </c>
      <c r="D1427">
        <v>2025</v>
      </c>
      <c r="E1427">
        <v>4</v>
      </c>
      <c r="F1427" t="s">
        <v>20</v>
      </c>
      <c r="G1427" t="s">
        <v>74</v>
      </c>
      <c r="H1427" t="s">
        <v>428</v>
      </c>
      <c r="I1427" t="s">
        <v>1196</v>
      </c>
      <c r="J1427" t="s">
        <v>47</v>
      </c>
      <c r="K1427" t="s">
        <v>1197</v>
      </c>
      <c r="L1427">
        <v>8</v>
      </c>
      <c r="M1427" s="5">
        <v>168.72</v>
      </c>
      <c r="N1427" s="6">
        <v>5</v>
      </c>
      <c r="O1427" s="5">
        <v>67.49</v>
      </c>
      <c r="P1427" s="5">
        <v>192.34</v>
      </c>
      <c r="Q1427" s="5">
        <v>1282.27</v>
      </c>
      <c r="R1427" s="5">
        <v>873.68</v>
      </c>
      <c r="S1427" s="5">
        <v>408.59</v>
      </c>
      <c r="T1427" s="7">
        <v>0.318645839019863</v>
      </c>
      <c r="U1427" t="s">
        <v>9</v>
      </c>
      <c r="V1427" t="s">
        <v>50</v>
      </c>
      <c r="W1427" t="s">
        <v>50</v>
      </c>
      <c r="X1427" t="s">
        <v>33</v>
      </c>
      <c r="Y1427" t="s">
        <v>3391</v>
      </c>
      <c r="Z1427" t="s">
        <v>101</v>
      </c>
    </row>
    <row r="1428" spans="1:26">
      <c r="A1428" t="s">
        <v>3392</v>
      </c>
      <c r="B1428" t="s">
        <v>3392</v>
      </c>
      <c r="C1428" s="4">
        <v>46048</v>
      </c>
      <c r="D1428">
        <v>2026</v>
      </c>
      <c r="E1428">
        <v>1</v>
      </c>
      <c r="F1428" t="s">
        <v>30</v>
      </c>
      <c r="G1428" t="s">
        <v>82</v>
      </c>
      <c r="H1428" t="s">
        <v>671</v>
      </c>
      <c r="I1428" t="s">
        <v>750</v>
      </c>
      <c r="J1428" t="s">
        <v>41</v>
      </c>
      <c r="K1428" t="s">
        <v>588</v>
      </c>
      <c r="L1428">
        <v>5</v>
      </c>
      <c r="M1428" s="5">
        <v>537.24</v>
      </c>
      <c r="N1428" s="6">
        <v>0</v>
      </c>
      <c r="O1428" s="5">
        <v>0</v>
      </c>
      <c r="P1428" s="5">
        <v>402.93</v>
      </c>
      <c r="Q1428" s="5">
        <v>2686.2</v>
      </c>
      <c r="R1428" s="5">
        <v>1719.45</v>
      </c>
      <c r="S1428" s="5">
        <v>966.75</v>
      </c>
      <c r="T1428" s="7">
        <v>0.359895018985928</v>
      </c>
      <c r="U1428" t="s">
        <v>13</v>
      </c>
      <c r="V1428" t="s">
        <v>50</v>
      </c>
      <c r="W1428" t="s">
        <v>50</v>
      </c>
      <c r="X1428" t="s">
        <v>33</v>
      </c>
      <c r="Y1428" t="s">
        <v>1932</v>
      </c>
      <c r="Z1428" t="s">
        <v>101</v>
      </c>
    </row>
    <row r="1429" spans="1:26">
      <c r="A1429" t="s">
        <v>3393</v>
      </c>
      <c r="B1429" t="s">
        <v>3393</v>
      </c>
      <c r="C1429" s="4">
        <v>45829</v>
      </c>
      <c r="D1429">
        <v>2025</v>
      </c>
      <c r="E1429">
        <v>6</v>
      </c>
      <c r="F1429" t="s">
        <v>22</v>
      </c>
      <c r="G1429" t="s">
        <v>74</v>
      </c>
      <c r="H1429" t="s">
        <v>1506</v>
      </c>
      <c r="I1429" t="s">
        <v>104</v>
      </c>
      <c r="J1429" t="s">
        <v>1381</v>
      </c>
      <c r="K1429" t="s">
        <v>1382</v>
      </c>
      <c r="L1429">
        <v>7</v>
      </c>
      <c r="M1429" s="5">
        <v>359.18</v>
      </c>
      <c r="N1429" s="6">
        <v>10</v>
      </c>
      <c r="O1429" s="5">
        <v>251.43</v>
      </c>
      <c r="P1429" s="5">
        <v>339.42</v>
      </c>
      <c r="Q1429" s="5">
        <v>2602.25</v>
      </c>
      <c r="R1429" s="5">
        <v>1722.84</v>
      </c>
      <c r="S1429" s="5">
        <v>879.41</v>
      </c>
      <c r="T1429" s="7">
        <v>0.337942165433759</v>
      </c>
      <c r="U1429" t="s">
        <v>12</v>
      </c>
      <c r="V1429" t="s">
        <v>50</v>
      </c>
      <c r="W1429" t="s">
        <v>50</v>
      </c>
      <c r="X1429" t="s">
        <v>33</v>
      </c>
      <c r="Y1429" t="s">
        <v>560</v>
      </c>
      <c r="Z1429" t="s">
        <v>80</v>
      </c>
    </row>
    <row r="1430" spans="1:26">
      <c r="A1430" t="s">
        <v>3394</v>
      </c>
      <c r="B1430" t="s">
        <v>3394</v>
      </c>
      <c r="C1430" s="4">
        <v>45982</v>
      </c>
      <c r="D1430">
        <v>2025</v>
      </c>
      <c r="E1430">
        <v>11</v>
      </c>
      <c r="F1430" t="s">
        <v>27</v>
      </c>
      <c r="G1430" t="s">
        <v>137</v>
      </c>
      <c r="H1430" t="s">
        <v>1701</v>
      </c>
      <c r="I1430" t="s">
        <v>898</v>
      </c>
      <c r="J1430" t="s">
        <v>460</v>
      </c>
      <c r="K1430" t="s">
        <v>1952</v>
      </c>
      <c r="L1430">
        <v>4</v>
      </c>
      <c r="M1430" s="5">
        <v>275.71</v>
      </c>
      <c r="N1430" s="6">
        <v>20</v>
      </c>
      <c r="O1430" s="5">
        <v>220.57</v>
      </c>
      <c r="P1430" s="5">
        <v>132.34</v>
      </c>
      <c r="Q1430" s="5">
        <v>882.27</v>
      </c>
      <c r="R1430" s="5">
        <v>825.2</v>
      </c>
      <c r="S1430" s="5">
        <v>57.07</v>
      </c>
      <c r="T1430" s="7">
        <v>0.064685413762227</v>
      </c>
      <c r="U1430" t="s">
        <v>10</v>
      </c>
      <c r="V1430" t="s">
        <v>50</v>
      </c>
      <c r="W1430" t="s">
        <v>50</v>
      </c>
      <c r="X1430" t="s">
        <v>33</v>
      </c>
      <c r="Y1430" t="s">
        <v>3395</v>
      </c>
      <c r="Z1430" t="s">
        <v>101</v>
      </c>
    </row>
    <row r="1431" spans="1:26">
      <c r="A1431" t="s">
        <v>3396</v>
      </c>
      <c r="B1431" t="s">
        <v>3396</v>
      </c>
      <c r="C1431" s="4">
        <v>46003</v>
      </c>
      <c r="D1431">
        <v>2025</v>
      </c>
      <c r="E1431">
        <v>12</v>
      </c>
      <c r="F1431" t="s">
        <v>28</v>
      </c>
      <c r="G1431" t="s">
        <v>137</v>
      </c>
      <c r="H1431" t="s">
        <v>294</v>
      </c>
      <c r="I1431" t="s">
        <v>328</v>
      </c>
      <c r="J1431" t="s">
        <v>47</v>
      </c>
      <c r="K1431" t="s">
        <v>1197</v>
      </c>
      <c r="L1431">
        <v>7</v>
      </c>
      <c r="M1431" s="5">
        <v>136.51</v>
      </c>
      <c r="N1431" s="6">
        <v>0</v>
      </c>
      <c r="O1431" s="5">
        <v>0</v>
      </c>
      <c r="P1431" s="5">
        <v>143.34</v>
      </c>
      <c r="Q1431" s="5">
        <v>955.57</v>
      </c>
      <c r="R1431" s="5">
        <v>681.45</v>
      </c>
      <c r="S1431" s="5">
        <v>274.12</v>
      </c>
      <c r="T1431" s="7">
        <v>0.286865431103948</v>
      </c>
      <c r="U1431" t="s">
        <v>9</v>
      </c>
      <c r="V1431" t="s">
        <v>50</v>
      </c>
      <c r="W1431" t="s">
        <v>50</v>
      </c>
      <c r="X1431" t="s">
        <v>33</v>
      </c>
      <c r="Y1431" t="s">
        <v>1142</v>
      </c>
      <c r="Z1431" t="s">
        <v>101</v>
      </c>
    </row>
    <row r="1432" spans="1:26">
      <c r="A1432" t="s">
        <v>3397</v>
      </c>
      <c r="B1432" t="s">
        <v>3397</v>
      </c>
      <c r="C1432" s="4">
        <v>45773</v>
      </c>
      <c r="D1432">
        <v>2025</v>
      </c>
      <c r="E1432">
        <v>4</v>
      </c>
      <c r="F1432" t="s">
        <v>20</v>
      </c>
      <c r="G1432" t="s">
        <v>74</v>
      </c>
      <c r="H1432" t="s">
        <v>1207</v>
      </c>
      <c r="I1432" t="s">
        <v>285</v>
      </c>
      <c r="J1432" t="s">
        <v>175</v>
      </c>
      <c r="K1432" t="s">
        <v>455</v>
      </c>
      <c r="L1432">
        <v>8</v>
      </c>
      <c r="M1432" s="5">
        <v>611.84</v>
      </c>
      <c r="N1432" s="6">
        <v>10</v>
      </c>
      <c r="O1432" s="5">
        <v>489.47</v>
      </c>
      <c r="P1432" s="5">
        <v>660.79</v>
      </c>
      <c r="Q1432" s="5">
        <v>5066.04</v>
      </c>
      <c r="R1432" s="5">
        <v>2691.2</v>
      </c>
      <c r="S1432" s="5">
        <v>2374.84</v>
      </c>
      <c r="T1432" s="7">
        <v>0.468776401291739</v>
      </c>
      <c r="U1432" t="s">
        <v>13</v>
      </c>
      <c r="V1432" t="s">
        <v>51</v>
      </c>
      <c r="W1432" t="s">
        <v>51</v>
      </c>
      <c r="X1432" t="s">
        <v>33</v>
      </c>
      <c r="Y1432" t="s">
        <v>2699</v>
      </c>
      <c r="Z1432" t="s">
        <v>80</v>
      </c>
    </row>
    <row r="1433" spans="1:26">
      <c r="A1433" t="s">
        <v>3398</v>
      </c>
      <c r="B1433" t="s">
        <v>3398</v>
      </c>
      <c r="C1433" s="4">
        <v>45833</v>
      </c>
      <c r="D1433">
        <v>2025</v>
      </c>
      <c r="E1433">
        <v>6</v>
      </c>
      <c r="F1433" t="s">
        <v>22</v>
      </c>
      <c r="G1433" t="s">
        <v>74</v>
      </c>
      <c r="H1433" t="s">
        <v>1478</v>
      </c>
      <c r="I1433" t="s">
        <v>750</v>
      </c>
      <c r="J1433" t="s">
        <v>363</v>
      </c>
      <c r="K1433" t="s">
        <v>221</v>
      </c>
      <c r="L1433">
        <v>3</v>
      </c>
      <c r="M1433" s="5">
        <v>489.43</v>
      </c>
      <c r="N1433" s="6">
        <v>0</v>
      </c>
      <c r="O1433" s="5">
        <v>0</v>
      </c>
      <c r="P1433" s="5">
        <v>220.24</v>
      </c>
      <c r="Q1433" s="5">
        <v>1468.29</v>
      </c>
      <c r="R1433" s="5">
        <v>1031.67</v>
      </c>
      <c r="S1433" s="5">
        <v>436.62</v>
      </c>
      <c r="T1433" s="7">
        <v>0.29736632409129</v>
      </c>
      <c r="U1433" t="s">
        <v>10</v>
      </c>
      <c r="V1433" t="s">
        <v>50</v>
      </c>
      <c r="W1433" t="s">
        <v>50</v>
      </c>
      <c r="X1433" t="s">
        <v>35</v>
      </c>
      <c r="Y1433" t="s">
        <v>560</v>
      </c>
      <c r="Z1433" t="s">
        <v>101</v>
      </c>
    </row>
    <row r="1434" spans="1:26">
      <c r="A1434" t="s">
        <v>3399</v>
      </c>
      <c r="B1434" t="s">
        <v>3399</v>
      </c>
      <c r="C1434" s="4">
        <v>45984</v>
      </c>
      <c r="D1434">
        <v>2025</v>
      </c>
      <c r="E1434">
        <v>11</v>
      </c>
      <c r="F1434" t="s">
        <v>27</v>
      </c>
      <c r="G1434" t="s">
        <v>137</v>
      </c>
      <c r="H1434" t="s">
        <v>2092</v>
      </c>
      <c r="I1434" t="s">
        <v>84</v>
      </c>
      <c r="J1434" t="s">
        <v>208</v>
      </c>
      <c r="K1434" t="s">
        <v>1775</v>
      </c>
      <c r="L1434">
        <v>3</v>
      </c>
      <c r="M1434" s="5">
        <v>448.94</v>
      </c>
      <c r="N1434" s="6">
        <v>0</v>
      </c>
      <c r="O1434" s="5">
        <v>0</v>
      </c>
      <c r="P1434" s="5">
        <v>202.02</v>
      </c>
      <c r="Q1434" s="5">
        <v>1548.84</v>
      </c>
      <c r="R1434" s="5">
        <v>1140.24</v>
      </c>
      <c r="S1434" s="5">
        <v>408.6</v>
      </c>
      <c r="T1434" s="7">
        <v>0.263810335476873</v>
      </c>
      <c r="U1434" t="s">
        <v>9</v>
      </c>
      <c r="V1434" t="s">
        <v>50</v>
      </c>
      <c r="W1434" t="s">
        <v>50</v>
      </c>
      <c r="X1434" t="s">
        <v>35</v>
      </c>
      <c r="Y1434" t="s">
        <v>1501</v>
      </c>
      <c r="Z1434" t="s">
        <v>80</v>
      </c>
    </row>
    <row r="1435" spans="1:26">
      <c r="A1435" t="s">
        <v>3400</v>
      </c>
      <c r="B1435" t="s">
        <v>3400</v>
      </c>
      <c r="C1435" s="4">
        <v>45940</v>
      </c>
      <c r="D1435">
        <v>2025</v>
      </c>
      <c r="E1435">
        <v>10</v>
      </c>
      <c r="F1435" t="s">
        <v>26</v>
      </c>
      <c r="G1435" t="s">
        <v>137</v>
      </c>
      <c r="H1435" t="s">
        <v>3401</v>
      </c>
      <c r="I1435" t="s">
        <v>285</v>
      </c>
      <c r="J1435" t="s">
        <v>85</v>
      </c>
      <c r="K1435" t="s">
        <v>86</v>
      </c>
      <c r="L1435">
        <v>2</v>
      </c>
      <c r="M1435" s="5">
        <v>541.35</v>
      </c>
      <c r="N1435" s="6">
        <v>10</v>
      </c>
      <c r="O1435" s="5">
        <v>108.27</v>
      </c>
      <c r="P1435" s="5">
        <v>146.16</v>
      </c>
      <c r="Q1435" s="5">
        <v>974.43</v>
      </c>
      <c r="R1435" s="5">
        <v>672.8</v>
      </c>
      <c r="S1435" s="5">
        <v>301.63</v>
      </c>
      <c r="T1435" s="7">
        <v>0.30954506737272</v>
      </c>
      <c r="U1435" t="s">
        <v>11</v>
      </c>
      <c r="V1435" t="s">
        <v>50</v>
      </c>
      <c r="W1435" t="s">
        <v>50</v>
      </c>
      <c r="X1435" t="s">
        <v>34</v>
      </c>
      <c r="Y1435" t="s">
        <v>2672</v>
      </c>
      <c r="Z1435" t="s">
        <v>101</v>
      </c>
    </row>
    <row r="1436" spans="1:26">
      <c r="A1436" t="s">
        <v>3402</v>
      </c>
      <c r="B1436" t="s">
        <v>3402</v>
      </c>
      <c r="C1436" s="4">
        <v>45983</v>
      </c>
      <c r="D1436">
        <v>2025</v>
      </c>
      <c r="E1436">
        <v>11</v>
      </c>
      <c r="F1436" t="s">
        <v>27</v>
      </c>
      <c r="G1436" t="s">
        <v>137</v>
      </c>
      <c r="H1436" t="s">
        <v>195</v>
      </c>
      <c r="I1436" t="s">
        <v>1051</v>
      </c>
      <c r="J1436" t="s">
        <v>742</v>
      </c>
      <c r="K1436" t="s">
        <v>1517</v>
      </c>
      <c r="L1436">
        <v>4</v>
      </c>
      <c r="M1436" s="5">
        <v>261.55</v>
      </c>
      <c r="N1436" s="6">
        <v>5</v>
      </c>
      <c r="O1436" s="5">
        <v>52.31</v>
      </c>
      <c r="P1436" s="5">
        <v>149.08</v>
      </c>
      <c r="Q1436" s="5">
        <v>1142.97</v>
      </c>
      <c r="R1436" s="5">
        <v>860.12</v>
      </c>
      <c r="S1436" s="5">
        <v>282.85</v>
      </c>
      <c r="T1436" s="7">
        <v>0.2474693124054</v>
      </c>
      <c r="U1436" t="s">
        <v>9</v>
      </c>
      <c r="V1436" t="s">
        <v>50</v>
      </c>
      <c r="W1436" t="s">
        <v>50</v>
      </c>
      <c r="X1436" t="s">
        <v>33</v>
      </c>
      <c r="Y1436" t="s">
        <v>3294</v>
      </c>
      <c r="Z1436" t="s">
        <v>80</v>
      </c>
    </row>
    <row r="1437" spans="1:26">
      <c r="A1437" t="s">
        <v>3403</v>
      </c>
      <c r="B1437" t="s">
        <v>3403</v>
      </c>
      <c r="C1437" s="4">
        <v>46049</v>
      </c>
      <c r="D1437">
        <v>2026</v>
      </c>
      <c r="E1437">
        <v>1</v>
      </c>
      <c r="F1437" t="s">
        <v>30</v>
      </c>
      <c r="G1437" t="s">
        <v>82</v>
      </c>
      <c r="H1437" t="s">
        <v>1574</v>
      </c>
      <c r="I1437" t="s">
        <v>986</v>
      </c>
      <c r="J1437" t="s">
        <v>1072</v>
      </c>
      <c r="K1437" t="s">
        <v>1073</v>
      </c>
      <c r="L1437">
        <v>6</v>
      </c>
      <c r="M1437" s="5">
        <v>368</v>
      </c>
      <c r="N1437" s="6">
        <v>0</v>
      </c>
      <c r="O1437" s="5">
        <v>0</v>
      </c>
      <c r="P1437" s="5">
        <v>331.2</v>
      </c>
      <c r="Q1437" s="5">
        <v>2208</v>
      </c>
      <c r="R1437" s="5">
        <v>1430.58</v>
      </c>
      <c r="S1437" s="5">
        <v>777.42</v>
      </c>
      <c r="T1437" s="7">
        <v>0.352092391304348</v>
      </c>
      <c r="U1437" t="s">
        <v>12</v>
      </c>
      <c r="V1437" t="s">
        <v>50</v>
      </c>
      <c r="W1437" t="s">
        <v>50</v>
      </c>
      <c r="X1437" t="s">
        <v>33</v>
      </c>
      <c r="Y1437" t="s">
        <v>1315</v>
      </c>
      <c r="Z1437" t="s">
        <v>101</v>
      </c>
    </row>
    <row r="1438" spans="1:26">
      <c r="A1438" t="s">
        <v>3404</v>
      </c>
      <c r="B1438" t="s">
        <v>3404</v>
      </c>
      <c r="C1438" s="4">
        <v>45886</v>
      </c>
      <c r="D1438">
        <v>2025</v>
      </c>
      <c r="E1438">
        <v>8</v>
      </c>
      <c r="F1438" t="s">
        <v>24</v>
      </c>
      <c r="G1438" t="s">
        <v>89</v>
      </c>
      <c r="H1438" t="s">
        <v>355</v>
      </c>
      <c r="I1438" t="s">
        <v>126</v>
      </c>
      <c r="J1438" t="s">
        <v>1440</v>
      </c>
      <c r="K1438" t="s">
        <v>1441</v>
      </c>
      <c r="L1438">
        <v>4</v>
      </c>
      <c r="M1438" s="5">
        <v>145.12</v>
      </c>
      <c r="N1438" s="6">
        <v>0</v>
      </c>
      <c r="O1438" s="5">
        <v>0</v>
      </c>
      <c r="P1438" s="5">
        <v>87.07</v>
      </c>
      <c r="Q1438" s="5">
        <v>667.55</v>
      </c>
      <c r="R1438" s="5">
        <v>469.08</v>
      </c>
      <c r="S1438" s="5">
        <v>198.47</v>
      </c>
      <c r="T1438" s="7">
        <v>0.297311062841735</v>
      </c>
      <c r="U1438" t="s">
        <v>9</v>
      </c>
      <c r="V1438" t="s">
        <v>50</v>
      </c>
      <c r="W1438" t="s">
        <v>50</v>
      </c>
      <c r="X1438" t="s">
        <v>33</v>
      </c>
      <c r="Y1438" t="s">
        <v>1374</v>
      </c>
      <c r="Z1438" t="s">
        <v>80</v>
      </c>
    </row>
    <row r="1439" spans="1:26">
      <c r="A1439" t="s">
        <v>3405</v>
      </c>
      <c r="B1439" t="s">
        <v>3405</v>
      </c>
      <c r="C1439" s="4">
        <v>46040</v>
      </c>
      <c r="D1439">
        <v>2026</v>
      </c>
      <c r="E1439">
        <v>1</v>
      </c>
      <c r="F1439" t="s">
        <v>30</v>
      </c>
      <c r="G1439" t="s">
        <v>82</v>
      </c>
      <c r="H1439" t="s">
        <v>1007</v>
      </c>
      <c r="I1439" t="s">
        <v>157</v>
      </c>
      <c r="J1439" t="s">
        <v>509</v>
      </c>
      <c r="K1439" t="s">
        <v>510</v>
      </c>
      <c r="L1439">
        <v>8</v>
      </c>
      <c r="M1439" s="5">
        <v>62.6</v>
      </c>
      <c r="N1439" s="6">
        <v>20</v>
      </c>
      <c r="O1439" s="5">
        <v>100.16</v>
      </c>
      <c r="P1439" s="5">
        <v>60.1</v>
      </c>
      <c r="Q1439" s="5">
        <v>460.74</v>
      </c>
      <c r="R1439" s="5">
        <v>385.2</v>
      </c>
      <c r="S1439" s="5">
        <v>75.54</v>
      </c>
      <c r="T1439" s="7">
        <v>0.163953639796849</v>
      </c>
      <c r="U1439" t="s">
        <v>13</v>
      </c>
      <c r="V1439" t="s">
        <v>50</v>
      </c>
      <c r="W1439" t="s">
        <v>50</v>
      </c>
      <c r="X1439" t="s">
        <v>33</v>
      </c>
      <c r="Y1439" t="s">
        <v>495</v>
      </c>
      <c r="Z1439" t="s">
        <v>80</v>
      </c>
    </row>
    <row r="1440" spans="1:26">
      <c r="A1440" t="s">
        <v>3406</v>
      </c>
      <c r="B1440" t="s">
        <v>3406</v>
      </c>
      <c r="C1440" s="4">
        <v>46000</v>
      </c>
      <c r="D1440">
        <v>2025</v>
      </c>
      <c r="E1440">
        <v>12</v>
      </c>
      <c r="F1440" t="s">
        <v>28</v>
      </c>
      <c r="G1440" t="s">
        <v>137</v>
      </c>
      <c r="H1440" t="s">
        <v>1303</v>
      </c>
      <c r="I1440" t="s">
        <v>139</v>
      </c>
      <c r="J1440" t="s">
        <v>833</v>
      </c>
      <c r="K1440" t="s">
        <v>1283</v>
      </c>
      <c r="L1440">
        <v>5</v>
      </c>
      <c r="M1440" s="5">
        <v>38.66</v>
      </c>
      <c r="N1440" s="6">
        <v>0</v>
      </c>
      <c r="O1440" s="5">
        <v>0</v>
      </c>
      <c r="P1440" s="5">
        <v>28.99</v>
      </c>
      <c r="Q1440" s="5">
        <v>193.3</v>
      </c>
      <c r="R1440" s="5">
        <v>162</v>
      </c>
      <c r="S1440" s="5">
        <v>31.3</v>
      </c>
      <c r="T1440" s="7">
        <v>0.161924469736161</v>
      </c>
      <c r="U1440" t="s">
        <v>13</v>
      </c>
      <c r="V1440" t="s">
        <v>50</v>
      </c>
      <c r="W1440" t="s">
        <v>50</v>
      </c>
      <c r="X1440" t="s">
        <v>35</v>
      </c>
      <c r="Y1440" t="s">
        <v>944</v>
      </c>
      <c r="Z1440" t="s">
        <v>101</v>
      </c>
    </row>
    <row r="1441" spans="1:26">
      <c r="A1441" t="s">
        <v>3407</v>
      </c>
      <c r="B1441" t="s">
        <v>3407</v>
      </c>
      <c r="C1441" s="4">
        <v>45816</v>
      </c>
      <c r="D1441">
        <v>2025</v>
      </c>
      <c r="E1441">
        <v>6</v>
      </c>
      <c r="F1441" t="s">
        <v>22</v>
      </c>
      <c r="G1441" t="s">
        <v>74</v>
      </c>
      <c r="H1441" t="s">
        <v>1955</v>
      </c>
      <c r="I1441" t="s">
        <v>1196</v>
      </c>
      <c r="J1441" t="s">
        <v>390</v>
      </c>
      <c r="K1441" t="s">
        <v>391</v>
      </c>
      <c r="L1441">
        <v>5</v>
      </c>
      <c r="M1441" s="5">
        <v>161.82</v>
      </c>
      <c r="N1441" s="6">
        <v>0</v>
      </c>
      <c r="O1441" s="5">
        <v>0</v>
      </c>
      <c r="P1441" s="5">
        <v>121.36</v>
      </c>
      <c r="Q1441" s="5">
        <v>930.46</v>
      </c>
      <c r="R1441" s="5">
        <v>546.05</v>
      </c>
      <c r="S1441" s="5">
        <v>384.41</v>
      </c>
      <c r="T1441" s="7">
        <v>0.413139737334222</v>
      </c>
      <c r="U1441" t="s">
        <v>13</v>
      </c>
      <c r="V1441" t="s">
        <v>50</v>
      </c>
      <c r="W1441" t="s">
        <v>50</v>
      </c>
      <c r="X1441" t="s">
        <v>33</v>
      </c>
      <c r="Y1441" t="s">
        <v>2655</v>
      </c>
      <c r="Z1441" t="s">
        <v>80</v>
      </c>
    </row>
    <row r="1442" spans="1:26">
      <c r="A1442" t="s">
        <v>3408</v>
      </c>
      <c r="B1442" t="s">
        <v>3408</v>
      </c>
      <c r="C1442" s="4">
        <v>46090</v>
      </c>
      <c r="D1442">
        <v>2026</v>
      </c>
      <c r="E1442">
        <v>3</v>
      </c>
      <c r="F1442" t="s">
        <v>19</v>
      </c>
      <c r="G1442" t="s">
        <v>82</v>
      </c>
      <c r="H1442" t="s">
        <v>1294</v>
      </c>
      <c r="I1442" t="s">
        <v>406</v>
      </c>
      <c r="J1442" t="s">
        <v>47</v>
      </c>
      <c r="K1442" t="s">
        <v>1197</v>
      </c>
      <c r="L1442">
        <v>6</v>
      </c>
      <c r="M1442" s="5">
        <v>404.17</v>
      </c>
      <c r="N1442" s="6">
        <v>0</v>
      </c>
      <c r="O1442" s="5">
        <v>0</v>
      </c>
      <c r="P1442" s="5">
        <v>363.75</v>
      </c>
      <c r="Q1442" s="5">
        <v>2425.02</v>
      </c>
      <c r="R1442" s="5">
        <v>1576.8</v>
      </c>
      <c r="S1442" s="5">
        <v>848.22</v>
      </c>
      <c r="T1442" s="7">
        <v>0.349778558527352</v>
      </c>
      <c r="U1442" t="s">
        <v>14</v>
      </c>
      <c r="V1442" t="s">
        <v>50</v>
      </c>
      <c r="W1442" t="s">
        <v>50</v>
      </c>
      <c r="X1442" t="s">
        <v>33</v>
      </c>
      <c r="Y1442" t="s">
        <v>2770</v>
      </c>
      <c r="Z1442" t="s">
        <v>101</v>
      </c>
    </row>
    <row r="1443" spans="1:26">
      <c r="A1443" t="s">
        <v>3409</v>
      </c>
      <c r="B1443" t="s">
        <v>3409</v>
      </c>
      <c r="C1443" s="4">
        <v>45986</v>
      </c>
      <c r="D1443">
        <v>2025</v>
      </c>
      <c r="E1443">
        <v>11</v>
      </c>
      <c r="F1443" t="s">
        <v>27</v>
      </c>
      <c r="G1443" t="s">
        <v>137</v>
      </c>
      <c r="H1443" t="s">
        <v>849</v>
      </c>
      <c r="I1443" t="s">
        <v>553</v>
      </c>
      <c r="J1443" t="s">
        <v>1104</v>
      </c>
      <c r="K1443" t="s">
        <v>1105</v>
      </c>
      <c r="L1443">
        <v>5</v>
      </c>
      <c r="M1443" s="5">
        <v>291.93</v>
      </c>
      <c r="N1443" s="6">
        <v>5</v>
      </c>
      <c r="O1443" s="5">
        <v>72.98</v>
      </c>
      <c r="P1443" s="5">
        <v>208</v>
      </c>
      <c r="Q1443" s="5">
        <v>1386.67</v>
      </c>
      <c r="R1443" s="5">
        <v>1268.5</v>
      </c>
      <c r="S1443" s="5">
        <v>118.17</v>
      </c>
      <c r="T1443" s="7">
        <v>0.085218545147728</v>
      </c>
      <c r="U1443" t="s">
        <v>13</v>
      </c>
      <c r="V1443" t="s">
        <v>50</v>
      </c>
      <c r="W1443" t="s">
        <v>50</v>
      </c>
      <c r="X1443" t="s">
        <v>33</v>
      </c>
      <c r="Y1443" t="s">
        <v>1451</v>
      </c>
      <c r="Z1443" t="s">
        <v>101</v>
      </c>
    </row>
    <row r="1444" spans="1:26">
      <c r="A1444" t="s">
        <v>3410</v>
      </c>
      <c r="B1444" t="s">
        <v>3410</v>
      </c>
      <c r="C1444" s="4">
        <v>46016</v>
      </c>
      <c r="D1444">
        <v>2025</v>
      </c>
      <c r="E1444">
        <v>12</v>
      </c>
      <c r="F1444" t="s">
        <v>28</v>
      </c>
      <c r="G1444" t="s">
        <v>137</v>
      </c>
      <c r="H1444" t="s">
        <v>591</v>
      </c>
      <c r="I1444" t="s">
        <v>1575</v>
      </c>
      <c r="J1444" t="s">
        <v>396</v>
      </c>
      <c r="K1444" t="s">
        <v>1297</v>
      </c>
      <c r="L1444">
        <v>5</v>
      </c>
      <c r="M1444" s="5">
        <v>75.23</v>
      </c>
      <c r="N1444" s="6">
        <v>10</v>
      </c>
      <c r="O1444" s="5">
        <v>37.62</v>
      </c>
      <c r="P1444" s="5">
        <v>50.78</v>
      </c>
      <c r="Q1444" s="5">
        <v>338.53</v>
      </c>
      <c r="R1444" s="5">
        <v>249.95</v>
      </c>
      <c r="S1444" s="5">
        <v>88.58</v>
      </c>
      <c r="T1444" s="7">
        <v>0.261660709538298</v>
      </c>
      <c r="U1444" t="s">
        <v>13</v>
      </c>
      <c r="V1444" t="s">
        <v>50</v>
      </c>
      <c r="W1444" t="s">
        <v>50</v>
      </c>
      <c r="X1444" t="s">
        <v>33</v>
      </c>
      <c r="Y1444" t="s">
        <v>1292</v>
      </c>
      <c r="Z1444" t="s">
        <v>101</v>
      </c>
    </row>
    <row r="1445" spans="1:26">
      <c r="A1445" t="s">
        <v>3411</v>
      </c>
      <c r="B1445" t="s">
        <v>3411</v>
      </c>
      <c r="C1445" s="4">
        <v>45912</v>
      </c>
      <c r="D1445">
        <v>2025</v>
      </c>
      <c r="E1445">
        <v>9</v>
      </c>
      <c r="F1445" t="s">
        <v>25</v>
      </c>
      <c r="G1445" t="s">
        <v>89</v>
      </c>
      <c r="H1445" t="s">
        <v>1600</v>
      </c>
      <c r="I1445" t="s">
        <v>196</v>
      </c>
      <c r="J1445" t="s">
        <v>713</v>
      </c>
      <c r="K1445" t="s">
        <v>704</v>
      </c>
      <c r="L1445">
        <v>4</v>
      </c>
      <c r="M1445" s="5">
        <v>335.78</v>
      </c>
      <c r="N1445" s="6">
        <v>0</v>
      </c>
      <c r="O1445" s="5">
        <v>0</v>
      </c>
      <c r="P1445" s="5">
        <v>201.47</v>
      </c>
      <c r="Q1445" s="5">
        <v>1343.12</v>
      </c>
      <c r="R1445" s="5">
        <v>1044.88</v>
      </c>
      <c r="S1445" s="5">
        <v>298.24</v>
      </c>
      <c r="T1445" s="7">
        <v>0.222050151885163</v>
      </c>
      <c r="U1445" t="s">
        <v>13</v>
      </c>
      <c r="V1445" t="s">
        <v>50</v>
      </c>
      <c r="W1445" t="s">
        <v>50</v>
      </c>
      <c r="X1445" t="s">
        <v>35</v>
      </c>
      <c r="Y1445" t="s">
        <v>1205</v>
      </c>
      <c r="Z1445" t="s">
        <v>101</v>
      </c>
    </row>
    <row r="1446" spans="1:26">
      <c r="A1446" t="s">
        <v>3412</v>
      </c>
      <c r="B1446" t="s">
        <v>3412</v>
      </c>
      <c r="C1446" s="4">
        <v>45875</v>
      </c>
      <c r="D1446">
        <v>2025</v>
      </c>
      <c r="E1446">
        <v>8</v>
      </c>
      <c r="F1446" t="s">
        <v>24</v>
      </c>
      <c r="G1446" t="s">
        <v>89</v>
      </c>
      <c r="H1446" t="s">
        <v>897</v>
      </c>
      <c r="I1446" t="s">
        <v>503</v>
      </c>
      <c r="J1446" t="s">
        <v>158</v>
      </c>
      <c r="K1446" t="s">
        <v>724</v>
      </c>
      <c r="L1446">
        <v>4</v>
      </c>
      <c r="M1446" s="5">
        <v>72.64</v>
      </c>
      <c r="N1446" s="6">
        <v>0</v>
      </c>
      <c r="O1446" s="5">
        <v>0</v>
      </c>
      <c r="P1446" s="5">
        <v>43.58</v>
      </c>
      <c r="Q1446" s="5">
        <v>290.56</v>
      </c>
      <c r="R1446" s="5">
        <v>237.48</v>
      </c>
      <c r="S1446" s="5">
        <v>53.08</v>
      </c>
      <c r="T1446" s="7">
        <v>0.182681718061674</v>
      </c>
      <c r="U1446" t="s">
        <v>12</v>
      </c>
      <c r="V1446" t="s">
        <v>50</v>
      </c>
      <c r="W1446" t="s">
        <v>50</v>
      </c>
      <c r="X1446" t="s">
        <v>33</v>
      </c>
      <c r="Y1446" t="s">
        <v>193</v>
      </c>
      <c r="Z1446" t="s">
        <v>101</v>
      </c>
    </row>
    <row r="1447" spans="1:26">
      <c r="A1447" t="s">
        <v>3413</v>
      </c>
      <c r="B1447" t="s">
        <v>3413</v>
      </c>
      <c r="C1447" s="4">
        <v>46005</v>
      </c>
      <c r="D1447">
        <v>2025</v>
      </c>
      <c r="E1447">
        <v>12</v>
      </c>
      <c r="F1447" t="s">
        <v>28</v>
      </c>
      <c r="G1447" t="s">
        <v>137</v>
      </c>
      <c r="H1447" t="s">
        <v>741</v>
      </c>
      <c r="I1447" t="s">
        <v>1367</v>
      </c>
      <c r="J1447" t="s">
        <v>92</v>
      </c>
      <c r="K1447" t="s">
        <v>588</v>
      </c>
      <c r="L1447">
        <v>7</v>
      </c>
      <c r="M1447" s="5">
        <v>56.22</v>
      </c>
      <c r="N1447" s="6">
        <v>15</v>
      </c>
      <c r="O1447" s="5">
        <v>59.03</v>
      </c>
      <c r="P1447" s="5">
        <v>50.18</v>
      </c>
      <c r="Q1447" s="5">
        <v>384.69</v>
      </c>
      <c r="R1447" s="5">
        <v>314.72</v>
      </c>
      <c r="S1447" s="5">
        <v>69.97</v>
      </c>
      <c r="T1447" s="7">
        <v>0.181886713977488</v>
      </c>
      <c r="U1447" t="s">
        <v>14</v>
      </c>
      <c r="V1447" t="s">
        <v>50</v>
      </c>
      <c r="W1447" t="s">
        <v>50</v>
      </c>
      <c r="X1447" t="s">
        <v>33</v>
      </c>
      <c r="Y1447" t="s">
        <v>79</v>
      </c>
      <c r="Z1447" t="s">
        <v>80</v>
      </c>
    </row>
    <row r="1448" spans="1:26">
      <c r="A1448" t="s">
        <v>3414</v>
      </c>
      <c r="B1448" t="s">
        <v>3414</v>
      </c>
      <c r="C1448" s="4">
        <v>45907</v>
      </c>
      <c r="D1448">
        <v>2025</v>
      </c>
      <c r="E1448">
        <v>9</v>
      </c>
      <c r="F1448" t="s">
        <v>25</v>
      </c>
      <c r="G1448" t="s">
        <v>89</v>
      </c>
      <c r="H1448" t="s">
        <v>3261</v>
      </c>
      <c r="I1448" t="s">
        <v>312</v>
      </c>
      <c r="J1448" t="s">
        <v>894</v>
      </c>
      <c r="K1448" t="s">
        <v>1038</v>
      </c>
      <c r="L1448">
        <v>3</v>
      </c>
      <c r="M1448" s="5">
        <v>383.51</v>
      </c>
      <c r="N1448" s="6">
        <v>10</v>
      </c>
      <c r="O1448" s="5">
        <v>115.05</v>
      </c>
      <c r="P1448" s="5">
        <v>155.32</v>
      </c>
      <c r="Q1448" s="5">
        <v>1190.8</v>
      </c>
      <c r="R1448" s="5">
        <v>857.7</v>
      </c>
      <c r="S1448" s="5">
        <v>333.1</v>
      </c>
      <c r="T1448" s="7">
        <v>0.27972791400739</v>
      </c>
      <c r="U1448" t="s">
        <v>9</v>
      </c>
      <c r="V1448" t="s">
        <v>50</v>
      </c>
      <c r="W1448" t="s">
        <v>50</v>
      </c>
      <c r="X1448" t="s">
        <v>35</v>
      </c>
      <c r="Y1448" t="s">
        <v>3415</v>
      </c>
      <c r="Z1448" t="s">
        <v>80</v>
      </c>
    </row>
    <row r="1449" spans="1:26">
      <c r="A1449" t="s">
        <v>3416</v>
      </c>
      <c r="B1449" t="s">
        <v>3416</v>
      </c>
      <c r="C1449" s="4">
        <v>46004</v>
      </c>
      <c r="D1449">
        <v>2025</v>
      </c>
      <c r="E1449">
        <v>12</v>
      </c>
      <c r="F1449" t="s">
        <v>28</v>
      </c>
      <c r="G1449" t="s">
        <v>137</v>
      </c>
      <c r="H1449" t="s">
        <v>2287</v>
      </c>
      <c r="I1449" t="s">
        <v>219</v>
      </c>
      <c r="J1449" t="s">
        <v>850</v>
      </c>
      <c r="K1449" t="s">
        <v>264</v>
      </c>
      <c r="L1449">
        <v>4</v>
      </c>
      <c r="M1449" s="5">
        <v>225.45</v>
      </c>
      <c r="N1449" s="6">
        <v>0</v>
      </c>
      <c r="O1449" s="5">
        <v>0</v>
      </c>
      <c r="P1449" s="5">
        <v>135.27</v>
      </c>
      <c r="Q1449" s="5">
        <v>1037.07</v>
      </c>
      <c r="R1449" s="5">
        <v>763.6</v>
      </c>
      <c r="S1449" s="5">
        <v>273.47</v>
      </c>
      <c r="T1449" s="7">
        <v>0.263694832557108</v>
      </c>
      <c r="U1449" t="s">
        <v>11</v>
      </c>
      <c r="V1449" t="s">
        <v>50</v>
      </c>
      <c r="W1449" t="s">
        <v>50</v>
      </c>
      <c r="X1449" t="s">
        <v>33</v>
      </c>
      <c r="Y1449" t="s">
        <v>1317</v>
      </c>
      <c r="Z1449" t="s">
        <v>80</v>
      </c>
    </row>
    <row r="1450" spans="1:26">
      <c r="A1450" t="s">
        <v>3417</v>
      </c>
      <c r="B1450" t="s">
        <v>3417</v>
      </c>
      <c r="C1450" s="4">
        <v>45797</v>
      </c>
      <c r="D1450">
        <v>2025</v>
      </c>
      <c r="E1450">
        <v>5</v>
      </c>
      <c r="F1450" t="s">
        <v>21</v>
      </c>
      <c r="G1450" t="s">
        <v>74</v>
      </c>
      <c r="H1450" t="s">
        <v>1002</v>
      </c>
      <c r="I1450" t="s">
        <v>547</v>
      </c>
      <c r="J1450" t="s">
        <v>681</v>
      </c>
      <c r="K1450" t="s">
        <v>1093</v>
      </c>
      <c r="L1450">
        <v>4</v>
      </c>
      <c r="M1450" s="5">
        <v>503.36</v>
      </c>
      <c r="N1450" s="6">
        <v>20</v>
      </c>
      <c r="O1450" s="5">
        <v>402.69</v>
      </c>
      <c r="P1450" s="5">
        <v>241.61</v>
      </c>
      <c r="Q1450" s="5">
        <v>1610.75</v>
      </c>
      <c r="R1450" s="5">
        <v>1559.2</v>
      </c>
      <c r="S1450" s="5">
        <v>51.55</v>
      </c>
      <c r="T1450" s="7">
        <v>0.0320037249728387</v>
      </c>
      <c r="U1450" t="s">
        <v>11</v>
      </c>
      <c r="V1450" t="s">
        <v>50</v>
      </c>
      <c r="W1450" t="s">
        <v>50</v>
      </c>
      <c r="X1450" t="s">
        <v>35</v>
      </c>
      <c r="Y1450" t="s">
        <v>2805</v>
      </c>
      <c r="Z1450" t="s">
        <v>101</v>
      </c>
    </row>
    <row r="1451" spans="1:26">
      <c r="A1451" t="s">
        <v>3418</v>
      </c>
      <c r="B1451" t="s">
        <v>3418</v>
      </c>
      <c r="C1451" s="4">
        <v>45991</v>
      </c>
      <c r="D1451">
        <v>2025</v>
      </c>
      <c r="E1451">
        <v>11</v>
      </c>
      <c r="F1451" t="s">
        <v>27</v>
      </c>
      <c r="G1451" t="s">
        <v>137</v>
      </c>
      <c r="H1451" t="s">
        <v>1574</v>
      </c>
      <c r="I1451" t="s">
        <v>583</v>
      </c>
      <c r="J1451" t="s">
        <v>257</v>
      </c>
      <c r="K1451" t="s">
        <v>258</v>
      </c>
      <c r="L1451">
        <v>8</v>
      </c>
      <c r="M1451" s="5">
        <v>283.92</v>
      </c>
      <c r="N1451" s="6">
        <v>0</v>
      </c>
      <c r="O1451" s="5">
        <v>0</v>
      </c>
      <c r="P1451" s="5">
        <v>340.7</v>
      </c>
      <c r="Q1451" s="5"/>
      <c r="R1451" s="5">
        <v>1684.16</v>
      </c>
      <c r="S1451" s="5">
        <v>927.9</v>
      </c>
      <c r="T1451" s="7"/>
      <c r="U1451" t="s">
        <v>12</v>
      </c>
      <c r="V1451" t="s">
        <v>50</v>
      </c>
      <c r="W1451" t="s">
        <v>50</v>
      </c>
      <c r="X1451" t="s">
        <v>33</v>
      </c>
      <c r="Y1451" t="s">
        <v>3419</v>
      </c>
      <c r="Z1451" t="s">
        <v>80</v>
      </c>
    </row>
    <row r="1452" spans="1:26">
      <c r="A1452" t="s">
        <v>3420</v>
      </c>
      <c r="B1452" t="s">
        <v>3420</v>
      </c>
      <c r="C1452" s="4">
        <v>45895</v>
      </c>
      <c r="D1452">
        <v>2025</v>
      </c>
      <c r="E1452">
        <v>8</v>
      </c>
      <c r="F1452" t="s">
        <v>24</v>
      </c>
      <c r="G1452" t="s">
        <v>89</v>
      </c>
      <c r="H1452" t="s">
        <v>1258</v>
      </c>
      <c r="I1452" t="s">
        <v>1367</v>
      </c>
      <c r="J1452" t="s">
        <v>1490</v>
      </c>
      <c r="K1452" t="s">
        <v>1491</v>
      </c>
      <c r="L1452">
        <v>1</v>
      </c>
      <c r="M1452" s="5">
        <v>55.81</v>
      </c>
      <c r="N1452" s="6">
        <v>0</v>
      </c>
      <c r="O1452" s="5">
        <v>0</v>
      </c>
      <c r="P1452" s="5">
        <v>8.37</v>
      </c>
      <c r="Q1452" s="5">
        <v>55.81</v>
      </c>
      <c r="R1452" s="5">
        <v>44.96</v>
      </c>
      <c r="S1452" s="5">
        <v>10.85</v>
      </c>
      <c r="T1452" s="7">
        <v>0.194409604013618</v>
      </c>
      <c r="U1452" t="s">
        <v>9</v>
      </c>
      <c r="V1452" t="s">
        <v>50</v>
      </c>
      <c r="W1452" t="s">
        <v>50</v>
      </c>
      <c r="X1452" t="s">
        <v>34</v>
      </c>
      <c r="Y1452" t="s">
        <v>790</v>
      </c>
      <c r="Z1452" t="s">
        <v>101</v>
      </c>
    </row>
    <row r="1453" spans="1:26">
      <c r="A1453" t="s">
        <v>3421</v>
      </c>
      <c r="B1453" t="s">
        <v>3421</v>
      </c>
      <c r="C1453" s="4">
        <v>45769</v>
      </c>
      <c r="D1453">
        <v>2025</v>
      </c>
      <c r="E1453">
        <v>4</v>
      </c>
      <c r="F1453" t="s">
        <v>20</v>
      </c>
      <c r="G1453" t="s">
        <v>74</v>
      </c>
      <c r="H1453" t="s">
        <v>3422</v>
      </c>
      <c r="I1453" t="s">
        <v>1686</v>
      </c>
      <c r="J1453" t="s">
        <v>1928</v>
      </c>
      <c r="K1453" t="s">
        <v>572</v>
      </c>
      <c r="L1453">
        <v>3</v>
      </c>
      <c r="M1453" s="5">
        <v>232.2</v>
      </c>
      <c r="N1453" s="6">
        <v>20</v>
      </c>
      <c r="O1453" s="5">
        <v>139.32</v>
      </c>
      <c r="P1453" s="5">
        <v>83.59</v>
      </c>
      <c r="Q1453" s="5">
        <v>557.28</v>
      </c>
      <c r="R1453" s="5">
        <v>482.94</v>
      </c>
      <c r="S1453" s="5">
        <v>74.34</v>
      </c>
      <c r="T1453" s="7">
        <v>0.133397932816538</v>
      </c>
      <c r="U1453" t="s">
        <v>11</v>
      </c>
      <c r="V1453" t="s">
        <v>50</v>
      </c>
      <c r="W1453" t="s">
        <v>50</v>
      </c>
      <c r="X1453" t="s">
        <v>33</v>
      </c>
      <c r="Y1453" t="s">
        <v>1914</v>
      </c>
      <c r="Z1453" t="s">
        <v>101</v>
      </c>
    </row>
    <row r="1454" spans="1:26">
      <c r="A1454" t="s">
        <v>3423</v>
      </c>
      <c r="B1454" t="s">
        <v>3423</v>
      </c>
      <c r="C1454" s="4">
        <v>46004</v>
      </c>
      <c r="D1454">
        <v>2025</v>
      </c>
      <c r="E1454">
        <v>12</v>
      </c>
      <c r="F1454" t="s">
        <v>28</v>
      </c>
      <c r="G1454" t="s">
        <v>137</v>
      </c>
      <c r="H1454" t="s">
        <v>1057</v>
      </c>
      <c r="I1454" t="s">
        <v>592</v>
      </c>
      <c r="J1454" t="s">
        <v>593</v>
      </c>
      <c r="K1454" t="s">
        <v>1480</v>
      </c>
      <c r="L1454">
        <v>6</v>
      </c>
      <c r="M1454" s="5">
        <v>242.93</v>
      </c>
      <c r="N1454" s="6">
        <v>0</v>
      </c>
      <c r="O1454" s="5">
        <v>0</v>
      </c>
      <c r="P1454" s="5">
        <v>218.64</v>
      </c>
      <c r="Q1454" s="5">
        <v>1676.22</v>
      </c>
      <c r="R1454" s="5">
        <v>1093.02</v>
      </c>
      <c r="S1454" s="5">
        <v>583.2</v>
      </c>
      <c r="T1454" s="7">
        <v>0.347925689945234</v>
      </c>
      <c r="U1454" t="s">
        <v>11</v>
      </c>
      <c r="V1454" t="s">
        <v>50</v>
      </c>
      <c r="W1454" t="s">
        <v>50</v>
      </c>
      <c r="X1454" t="s">
        <v>33</v>
      </c>
      <c r="Y1454" t="s">
        <v>2335</v>
      </c>
      <c r="Z1454" t="s">
        <v>80</v>
      </c>
    </row>
    <row r="1455" spans="1:26">
      <c r="A1455" t="s">
        <v>3424</v>
      </c>
      <c r="B1455" t="s">
        <v>3424</v>
      </c>
      <c r="C1455" s="4">
        <v>45964</v>
      </c>
      <c r="D1455">
        <v>2025</v>
      </c>
      <c r="E1455">
        <v>11</v>
      </c>
      <c r="F1455" t="s">
        <v>27</v>
      </c>
      <c r="G1455" t="s">
        <v>137</v>
      </c>
      <c r="H1455" t="s">
        <v>3422</v>
      </c>
      <c r="I1455" t="s">
        <v>774</v>
      </c>
      <c r="J1455" t="s">
        <v>302</v>
      </c>
      <c r="K1455" t="s">
        <v>303</v>
      </c>
      <c r="L1455">
        <v>5</v>
      </c>
      <c r="M1455" s="5">
        <v>661.91</v>
      </c>
      <c r="N1455" s="6">
        <v>15</v>
      </c>
      <c r="O1455" s="5">
        <v>496.43</v>
      </c>
      <c r="P1455" s="5">
        <v>421.97</v>
      </c>
      <c r="Q1455" s="5">
        <v>2813.12</v>
      </c>
      <c r="R1455" s="5">
        <v>1993.6</v>
      </c>
      <c r="S1455" s="5">
        <v>819.52</v>
      </c>
      <c r="T1455" s="7">
        <v>0.291320668865886</v>
      </c>
      <c r="U1455" t="s">
        <v>12</v>
      </c>
      <c r="V1455" t="s">
        <v>50</v>
      </c>
      <c r="W1455" t="s">
        <v>50</v>
      </c>
      <c r="X1455" t="s">
        <v>33</v>
      </c>
      <c r="Y1455" t="s">
        <v>2387</v>
      </c>
      <c r="Z1455" t="s">
        <v>101</v>
      </c>
    </row>
    <row r="1456" spans="1:26">
      <c r="A1456" t="s">
        <v>3425</v>
      </c>
      <c r="B1456" t="s">
        <v>3425</v>
      </c>
      <c r="C1456" s="4">
        <v>45955</v>
      </c>
      <c r="D1456">
        <v>2025</v>
      </c>
      <c r="E1456">
        <v>10</v>
      </c>
      <c r="F1456" t="s">
        <v>26</v>
      </c>
      <c r="G1456" t="s">
        <v>137</v>
      </c>
      <c r="H1456" t="s">
        <v>2306</v>
      </c>
      <c r="I1456" t="s">
        <v>587</v>
      </c>
      <c r="J1456" t="s">
        <v>1468</v>
      </c>
      <c r="K1456" t="s">
        <v>1473</v>
      </c>
      <c r="L1456">
        <v>2</v>
      </c>
      <c r="M1456" s="5">
        <v>386.17</v>
      </c>
      <c r="N1456" s="6">
        <v>0</v>
      </c>
      <c r="O1456" s="5">
        <v>0</v>
      </c>
      <c r="P1456" s="5">
        <v>115.85</v>
      </c>
      <c r="Q1456" s="5">
        <v>888.19</v>
      </c>
      <c r="R1456" s="5">
        <v>551.34</v>
      </c>
      <c r="S1456" s="5">
        <v>336.85</v>
      </c>
      <c r="T1456" s="7">
        <v>0.379254438802508</v>
      </c>
      <c r="U1456" t="s">
        <v>10</v>
      </c>
      <c r="V1456" t="s">
        <v>50</v>
      </c>
      <c r="W1456" t="s">
        <v>50</v>
      </c>
      <c r="X1456" t="s">
        <v>33</v>
      </c>
      <c r="Y1456" t="s">
        <v>314</v>
      </c>
      <c r="Z1456" t="s">
        <v>80</v>
      </c>
    </row>
    <row r="1457" spans="1:26">
      <c r="A1457" t="s">
        <v>3426</v>
      </c>
      <c r="B1457" t="s">
        <v>3426</v>
      </c>
      <c r="C1457" s="4">
        <v>45983</v>
      </c>
      <c r="D1457">
        <v>2025</v>
      </c>
      <c r="E1457">
        <v>11</v>
      </c>
      <c r="F1457" t="s">
        <v>27</v>
      </c>
      <c r="G1457" t="s">
        <v>137</v>
      </c>
      <c r="H1457" t="s">
        <v>3261</v>
      </c>
      <c r="I1457" t="s">
        <v>285</v>
      </c>
      <c r="J1457" t="s">
        <v>43</v>
      </c>
      <c r="K1457" t="s">
        <v>375</v>
      </c>
      <c r="L1457">
        <v>5</v>
      </c>
      <c r="M1457" s="5">
        <v>541.35</v>
      </c>
      <c r="N1457" s="6">
        <v>5</v>
      </c>
      <c r="O1457" s="5">
        <v>135.34</v>
      </c>
      <c r="P1457" s="5">
        <v>385.71</v>
      </c>
      <c r="Q1457" s="5">
        <v>2957.12</v>
      </c>
      <c r="R1457" s="5">
        <v>1682</v>
      </c>
      <c r="S1457" s="5">
        <v>1275.12</v>
      </c>
      <c r="T1457" s="7">
        <v>0.431203332972622</v>
      </c>
      <c r="U1457" t="s">
        <v>11</v>
      </c>
      <c r="V1457" t="s">
        <v>50</v>
      </c>
      <c r="W1457" t="s">
        <v>50</v>
      </c>
      <c r="X1457" t="s">
        <v>33</v>
      </c>
      <c r="Y1457" t="s">
        <v>3245</v>
      </c>
      <c r="Z1457" t="s">
        <v>80</v>
      </c>
    </row>
    <row r="1458" spans="1:26">
      <c r="A1458" t="s">
        <v>3427</v>
      </c>
      <c r="B1458" t="s">
        <v>3427</v>
      </c>
      <c r="C1458" s="4">
        <v>45767</v>
      </c>
      <c r="D1458">
        <v>2025</v>
      </c>
      <c r="E1458">
        <v>4</v>
      </c>
      <c r="F1458" t="s">
        <v>20</v>
      </c>
      <c r="G1458" t="s">
        <v>74</v>
      </c>
      <c r="H1458" t="s">
        <v>1136</v>
      </c>
      <c r="I1458" t="s">
        <v>174</v>
      </c>
      <c r="J1458" t="s">
        <v>46</v>
      </c>
      <c r="K1458" t="s">
        <v>319</v>
      </c>
      <c r="L1458">
        <v>3</v>
      </c>
      <c r="M1458" s="5">
        <v>397.22</v>
      </c>
      <c r="N1458" s="6">
        <v>15</v>
      </c>
      <c r="O1458" s="5">
        <v>178.75</v>
      </c>
      <c r="P1458" s="5">
        <v>151.94</v>
      </c>
      <c r="Q1458" s="5">
        <v>1164.85</v>
      </c>
      <c r="R1458" s="5">
        <v>958.11</v>
      </c>
      <c r="S1458" s="5">
        <v>206.74</v>
      </c>
      <c r="T1458" s="7">
        <v>0.17748207923767</v>
      </c>
      <c r="U1458" t="s">
        <v>14</v>
      </c>
      <c r="V1458" t="s">
        <v>50</v>
      </c>
      <c r="W1458" t="s">
        <v>50</v>
      </c>
      <c r="X1458" t="s">
        <v>35</v>
      </c>
      <c r="Y1458" t="s">
        <v>276</v>
      </c>
      <c r="Z1458" t="s">
        <v>80</v>
      </c>
    </row>
    <row r="1459" spans="1:26">
      <c r="A1459" t="s">
        <v>3428</v>
      </c>
      <c r="B1459" t="s">
        <v>3428</v>
      </c>
      <c r="C1459" s="4">
        <v>45819</v>
      </c>
      <c r="D1459">
        <v>2025</v>
      </c>
      <c r="E1459">
        <v>6</v>
      </c>
      <c r="F1459" t="s">
        <v>22</v>
      </c>
      <c r="G1459" t="s">
        <v>74</v>
      </c>
      <c r="H1459" t="s">
        <v>1075</v>
      </c>
      <c r="I1459" t="s">
        <v>356</v>
      </c>
      <c r="J1459" t="s">
        <v>197</v>
      </c>
      <c r="K1459" t="s">
        <v>407</v>
      </c>
      <c r="L1459">
        <v>2</v>
      </c>
      <c r="M1459" s="5">
        <v>455.79</v>
      </c>
      <c r="N1459" s="6">
        <v>0</v>
      </c>
      <c r="O1459" s="5">
        <v>0</v>
      </c>
      <c r="P1459" s="5">
        <v>136.74</v>
      </c>
      <c r="Q1459" s="5">
        <v>911.58</v>
      </c>
      <c r="R1459" s="5">
        <v>565.76</v>
      </c>
      <c r="S1459" s="5">
        <v>345.82</v>
      </c>
      <c r="T1459" s="7">
        <v>0.379363303275631</v>
      </c>
      <c r="U1459" t="s">
        <v>14</v>
      </c>
      <c r="V1459" t="s">
        <v>51</v>
      </c>
      <c r="W1459" t="s">
        <v>51</v>
      </c>
      <c r="X1459" t="s">
        <v>33</v>
      </c>
      <c r="Y1459" t="s">
        <v>2424</v>
      </c>
      <c r="Z1459" t="s">
        <v>101</v>
      </c>
    </row>
    <row r="1460" spans="1:26">
      <c r="A1460" t="s">
        <v>3429</v>
      </c>
      <c r="B1460" t="s">
        <v>3429</v>
      </c>
      <c r="C1460" s="4">
        <v>45940</v>
      </c>
      <c r="D1460">
        <v>2025</v>
      </c>
      <c r="E1460">
        <v>10</v>
      </c>
      <c r="F1460" t="s">
        <v>26</v>
      </c>
      <c r="G1460" t="s">
        <v>137</v>
      </c>
      <c r="H1460" t="s">
        <v>3430</v>
      </c>
      <c r="I1460" t="s">
        <v>1419</v>
      </c>
      <c r="J1460" t="s">
        <v>133</v>
      </c>
      <c r="K1460" t="s">
        <v>2235</v>
      </c>
      <c r="L1460">
        <v>3</v>
      </c>
      <c r="M1460" s="5">
        <v>317.99</v>
      </c>
      <c r="N1460" s="6">
        <v>0</v>
      </c>
      <c r="O1460" s="5">
        <v>0</v>
      </c>
      <c r="P1460" s="5">
        <v>143.1</v>
      </c>
      <c r="Q1460" s="5">
        <v>953.97</v>
      </c>
      <c r="R1460" s="5">
        <v>705.15</v>
      </c>
      <c r="S1460" s="5">
        <v>248.82</v>
      </c>
      <c r="T1460" s="7">
        <v>0.260825812132457</v>
      </c>
      <c r="U1460" t="s">
        <v>11</v>
      </c>
      <c r="V1460" t="s">
        <v>50</v>
      </c>
      <c r="W1460" t="s">
        <v>50</v>
      </c>
      <c r="X1460" t="s">
        <v>33</v>
      </c>
      <c r="Y1460" t="s">
        <v>3431</v>
      </c>
      <c r="Z1460" t="s">
        <v>101</v>
      </c>
    </row>
    <row r="1461" spans="1:26">
      <c r="A1461" t="s">
        <v>3432</v>
      </c>
      <c r="B1461" t="s">
        <v>3432</v>
      </c>
      <c r="C1461" s="4">
        <v>45945</v>
      </c>
      <c r="D1461">
        <v>2025</v>
      </c>
      <c r="E1461">
        <v>10</v>
      </c>
      <c r="F1461" t="s">
        <v>26</v>
      </c>
      <c r="G1461" t="s">
        <v>137</v>
      </c>
      <c r="H1461" t="s">
        <v>1983</v>
      </c>
      <c r="I1461" t="s">
        <v>537</v>
      </c>
      <c r="J1461" t="s">
        <v>2044</v>
      </c>
      <c r="K1461" t="s">
        <v>1209</v>
      </c>
      <c r="L1461">
        <v>4</v>
      </c>
      <c r="M1461" s="5">
        <v>259.32</v>
      </c>
      <c r="N1461" s="6">
        <v>10</v>
      </c>
      <c r="O1461" s="5">
        <v>103.73</v>
      </c>
      <c r="P1461" s="5">
        <v>140.03</v>
      </c>
      <c r="Q1461" s="5">
        <v>933.55</v>
      </c>
      <c r="R1461" s="5">
        <v>764.8</v>
      </c>
      <c r="S1461" s="5">
        <v>168.75</v>
      </c>
      <c r="T1461" s="7">
        <v>0.180761608912217</v>
      </c>
      <c r="U1461" t="s">
        <v>11</v>
      </c>
      <c r="V1461" t="s">
        <v>50</v>
      </c>
      <c r="W1461" t="s">
        <v>50</v>
      </c>
      <c r="X1461" t="s">
        <v>33</v>
      </c>
      <c r="Y1461" t="s">
        <v>2113</v>
      </c>
      <c r="Z1461" t="s">
        <v>101</v>
      </c>
    </row>
    <row r="1462" spans="1:26">
      <c r="A1462" t="s">
        <v>3433</v>
      </c>
      <c r="B1462" t="s">
        <v>3433</v>
      </c>
      <c r="C1462" s="4">
        <v>45973</v>
      </c>
      <c r="D1462">
        <v>2025</v>
      </c>
      <c r="E1462">
        <v>11</v>
      </c>
      <c r="F1462" t="s">
        <v>27</v>
      </c>
      <c r="G1462" t="s">
        <v>137</v>
      </c>
      <c r="H1462" t="s">
        <v>3059</v>
      </c>
      <c r="I1462" t="s">
        <v>787</v>
      </c>
      <c r="J1462" t="s">
        <v>1450</v>
      </c>
      <c r="K1462" t="s">
        <v>1864</v>
      </c>
      <c r="L1462">
        <v>3</v>
      </c>
      <c r="M1462" s="5">
        <v>168.36</v>
      </c>
      <c r="N1462" s="6">
        <v>5</v>
      </c>
      <c r="O1462" s="5">
        <v>25.25</v>
      </c>
      <c r="P1462" s="5">
        <v>71.97</v>
      </c>
      <c r="Q1462" s="5">
        <v>479.83</v>
      </c>
      <c r="R1462" s="5">
        <v>306.69</v>
      </c>
      <c r="S1462" s="5">
        <v>173.14</v>
      </c>
      <c r="T1462" s="7">
        <v>0.360836129462518</v>
      </c>
      <c r="U1462" t="s">
        <v>11</v>
      </c>
      <c r="V1462" t="s">
        <v>50</v>
      </c>
      <c r="W1462" t="s">
        <v>50</v>
      </c>
      <c r="X1462" t="s">
        <v>33</v>
      </c>
      <c r="Y1462" t="s">
        <v>2060</v>
      </c>
      <c r="Z1462" t="s">
        <v>101</v>
      </c>
    </row>
    <row r="1463" spans="1:26">
      <c r="A1463" t="s">
        <v>3434</v>
      </c>
      <c r="B1463" t="s">
        <v>3434</v>
      </c>
      <c r="C1463" s="4">
        <v>45990</v>
      </c>
      <c r="D1463">
        <v>2025</v>
      </c>
      <c r="E1463">
        <v>11</v>
      </c>
      <c r="F1463" t="s">
        <v>27</v>
      </c>
      <c r="G1463" t="s">
        <v>137</v>
      </c>
      <c r="H1463" t="s">
        <v>3435</v>
      </c>
      <c r="I1463" t="s">
        <v>1526</v>
      </c>
      <c r="J1463" t="s">
        <v>1272</v>
      </c>
      <c r="K1463" t="s">
        <v>971</v>
      </c>
      <c r="L1463">
        <v>3</v>
      </c>
      <c r="M1463" s="5">
        <v>102.51</v>
      </c>
      <c r="N1463" s="6">
        <v>5</v>
      </c>
      <c r="O1463" s="5">
        <v>15.38</v>
      </c>
      <c r="P1463" s="5">
        <v>43.82</v>
      </c>
      <c r="Q1463" s="5">
        <v>335.97</v>
      </c>
      <c r="R1463" s="5">
        <v>266.16</v>
      </c>
      <c r="S1463" s="5">
        <v>69.81</v>
      </c>
      <c r="T1463" s="7">
        <v>0.207786409500848</v>
      </c>
      <c r="U1463" t="s">
        <v>10</v>
      </c>
      <c r="V1463" t="s">
        <v>50</v>
      </c>
      <c r="W1463" t="s">
        <v>50</v>
      </c>
      <c r="X1463" t="s">
        <v>33</v>
      </c>
      <c r="Y1463" t="s">
        <v>1413</v>
      </c>
      <c r="Z1463" t="s">
        <v>80</v>
      </c>
    </row>
    <row r="1464" spans="1:26">
      <c r="A1464" t="s">
        <v>3436</v>
      </c>
      <c r="B1464" t="s">
        <v>3436</v>
      </c>
      <c r="C1464" s="4">
        <v>45983</v>
      </c>
      <c r="D1464">
        <v>2025</v>
      </c>
      <c r="E1464">
        <v>11</v>
      </c>
      <c r="F1464" t="s">
        <v>27</v>
      </c>
      <c r="G1464" t="s">
        <v>137</v>
      </c>
      <c r="H1464" t="s">
        <v>3238</v>
      </c>
      <c r="I1464" t="s">
        <v>356</v>
      </c>
      <c r="J1464" t="s">
        <v>1928</v>
      </c>
      <c r="K1464" t="s">
        <v>2636</v>
      </c>
      <c r="L1464">
        <v>8</v>
      </c>
      <c r="M1464" s="5">
        <v>495.59</v>
      </c>
      <c r="N1464" s="6">
        <v>20</v>
      </c>
      <c r="O1464" s="5">
        <v>792.94</v>
      </c>
      <c r="P1464" s="5">
        <v>475.77</v>
      </c>
      <c r="Q1464" s="5">
        <v>3647.55</v>
      </c>
      <c r="R1464" s="5">
        <v>2263.04</v>
      </c>
      <c r="S1464" s="5">
        <v>1384.51</v>
      </c>
      <c r="T1464" s="7">
        <v>0.379572589820565</v>
      </c>
      <c r="U1464" t="s">
        <v>11</v>
      </c>
      <c r="V1464" t="s">
        <v>50</v>
      </c>
      <c r="W1464" t="s">
        <v>50</v>
      </c>
      <c r="X1464" t="s">
        <v>33</v>
      </c>
      <c r="Y1464" t="s">
        <v>683</v>
      </c>
      <c r="Z1464" t="s">
        <v>80</v>
      </c>
    </row>
    <row r="1465" spans="1:26">
      <c r="A1465" t="s">
        <v>3437</v>
      </c>
      <c r="B1465" t="s">
        <v>3437</v>
      </c>
      <c r="C1465" s="4">
        <v>45993</v>
      </c>
      <c r="D1465">
        <v>2025</v>
      </c>
      <c r="E1465">
        <v>12</v>
      </c>
      <c r="F1465" t="s">
        <v>28</v>
      </c>
      <c r="G1465" t="s">
        <v>137</v>
      </c>
      <c r="H1465" t="s">
        <v>597</v>
      </c>
      <c r="I1465" t="s">
        <v>174</v>
      </c>
      <c r="J1465" t="s">
        <v>390</v>
      </c>
      <c r="K1465" t="s">
        <v>391</v>
      </c>
      <c r="L1465">
        <v>3</v>
      </c>
      <c r="M1465" s="5">
        <v>397.22</v>
      </c>
      <c r="N1465" s="6">
        <v>15</v>
      </c>
      <c r="O1465" s="5">
        <v>178.75</v>
      </c>
      <c r="P1465" s="5">
        <v>151.94</v>
      </c>
      <c r="Q1465" s="5">
        <v>1012.91</v>
      </c>
      <c r="R1465" s="5">
        <v>958.11</v>
      </c>
      <c r="S1465" s="5">
        <v>54.8</v>
      </c>
      <c r="T1465" s="7">
        <v>0.0541015490023793</v>
      </c>
      <c r="U1465" t="s">
        <v>14</v>
      </c>
      <c r="V1465" t="s">
        <v>50</v>
      </c>
      <c r="W1465" t="s">
        <v>50</v>
      </c>
      <c r="X1465" t="s">
        <v>33</v>
      </c>
      <c r="Y1465" t="s">
        <v>1809</v>
      </c>
      <c r="Z1465" t="s">
        <v>101</v>
      </c>
    </row>
    <row r="1466" spans="1:26">
      <c r="A1466" t="s">
        <v>3438</v>
      </c>
      <c r="B1466" t="s">
        <v>3438</v>
      </c>
      <c r="C1466" s="4">
        <v>45931</v>
      </c>
      <c r="D1466">
        <v>2025</v>
      </c>
      <c r="E1466">
        <v>10</v>
      </c>
      <c r="F1466" t="s">
        <v>26</v>
      </c>
      <c r="G1466" t="s">
        <v>137</v>
      </c>
      <c r="H1466" t="s">
        <v>1279</v>
      </c>
      <c r="I1466" t="s">
        <v>190</v>
      </c>
      <c r="J1466" t="s">
        <v>401</v>
      </c>
      <c r="K1466" t="s">
        <v>402</v>
      </c>
      <c r="L1466">
        <v>5</v>
      </c>
      <c r="M1466" s="5">
        <v>463.77</v>
      </c>
      <c r="N1466" s="6">
        <v>10</v>
      </c>
      <c r="O1466" s="5">
        <v>231.88</v>
      </c>
      <c r="P1466" s="5">
        <v>313.05</v>
      </c>
      <c r="Q1466" s="5">
        <v>2086.97</v>
      </c>
      <c r="R1466" s="5">
        <v>1327.2</v>
      </c>
      <c r="S1466" s="5">
        <v>759.77</v>
      </c>
      <c r="T1466" s="7">
        <v>0.364054107150558</v>
      </c>
      <c r="U1466" t="s">
        <v>13</v>
      </c>
      <c r="V1466" t="s">
        <v>50</v>
      </c>
      <c r="W1466" t="s">
        <v>50</v>
      </c>
      <c r="X1466" t="s">
        <v>33</v>
      </c>
      <c r="Y1466" t="s">
        <v>414</v>
      </c>
      <c r="Z1466" t="s">
        <v>101</v>
      </c>
    </row>
    <row r="1467" spans="1:26">
      <c r="A1467" t="s">
        <v>3439</v>
      </c>
      <c r="B1467" t="s">
        <v>3439</v>
      </c>
      <c r="C1467" s="4">
        <v>45942</v>
      </c>
      <c r="D1467">
        <v>2025</v>
      </c>
      <c r="E1467">
        <v>10</v>
      </c>
      <c r="F1467" t="s">
        <v>26</v>
      </c>
      <c r="G1467" t="s">
        <v>137</v>
      </c>
      <c r="H1467" t="s">
        <v>862</v>
      </c>
      <c r="I1467" t="s">
        <v>110</v>
      </c>
      <c r="J1467" t="s">
        <v>1940</v>
      </c>
      <c r="K1467" t="s">
        <v>1141</v>
      </c>
      <c r="L1467">
        <v>3</v>
      </c>
      <c r="M1467" s="5">
        <v>342.46</v>
      </c>
      <c r="N1467" s="6">
        <v>10</v>
      </c>
      <c r="O1467" s="5">
        <v>102.74</v>
      </c>
      <c r="P1467" s="5">
        <v>138.7</v>
      </c>
      <c r="Q1467" s="5">
        <v>1063.34</v>
      </c>
      <c r="R1467" s="5">
        <v>815.34</v>
      </c>
      <c r="S1467" s="5">
        <v>248</v>
      </c>
      <c r="T1467" s="7">
        <v>0.233227377884778</v>
      </c>
      <c r="U1467" t="s">
        <v>11</v>
      </c>
      <c r="V1467" t="s">
        <v>50</v>
      </c>
      <c r="W1467" t="s">
        <v>50</v>
      </c>
      <c r="X1467" t="s">
        <v>33</v>
      </c>
      <c r="Y1467" t="s">
        <v>3440</v>
      </c>
      <c r="Z1467" t="s">
        <v>80</v>
      </c>
    </row>
    <row r="1468" spans="1:26">
      <c r="A1468" t="s">
        <v>3441</v>
      </c>
      <c r="B1468" t="s">
        <v>3441</v>
      </c>
      <c r="C1468" s="4">
        <v>45998</v>
      </c>
      <c r="D1468">
        <v>2025</v>
      </c>
      <c r="E1468">
        <v>12</v>
      </c>
      <c r="F1468" t="s">
        <v>28</v>
      </c>
      <c r="G1468" t="s">
        <v>137</v>
      </c>
      <c r="H1468" t="s">
        <v>2422</v>
      </c>
      <c r="I1468" t="s">
        <v>947</v>
      </c>
      <c r="J1468" t="s">
        <v>659</v>
      </c>
      <c r="K1468" t="s">
        <v>287</v>
      </c>
      <c r="L1468">
        <v>4</v>
      </c>
      <c r="M1468" s="5">
        <v>464.41</v>
      </c>
      <c r="N1468" s="6">
        <v>0</v>
      </c>
      <c r="O1468" s="5">
        <v>0</v>
      </c>
      <c r="P1468" s="5">
        <v>278.65</v>
      </c>
      <c r="Q1468" s="5">
        <v>2136.29</v>
      </c>
      <c r="R1468" s="5">
        <v>1590.76</v>
      </c>
      <c r="S1468" s="5">
        <v>545.53</v>
      </c>
      <c r="T1468" s="7">
        <v>0.255363269968029</v>
      </c>
      <c r="U1468" t="s">
        <v>9</v>
      </c>
      <c r="V1468" t="s">
        <v>50</v>
      </c>
      <c r="W1468" t="s">
        <v>50</v>
      </c>
      <c r="X1468" t="s">
        <v>33</v>
      </c>
      <c r="Y1468" t="s">
        <v>2200</v>
      </c>
      <c r="Z1468" t="s">
        <v>80</v>
      </c>
    </row>
    <row r="1469" spans="1:26">
      <c r="A1469" t="s">
        <v>3442</v>
      </c>
      <c r="B1469" t="s">
        <v>3442</v>
      </c>
      <c r="C1469" s="4">
        <v>46068</v>
      </c>
      <c r="D1469">
        <v>2026</v>
      </c>
      <c r="E1469">
        <v>2</v>
      </c>
      <c r="F1469" t="s">
        <v>31</v>
      </c>
      <c r="G1469" t="s">
        <v>82</v>
      </c>
      <c r="H1469" t="s">
        <v>582</v>
      </c>
      <c r="I1469" t="s">
        <v>623</v>
      </c>
      <c r="J1469" t="s">
        <v>263</v>
      </c>
      <c r="K1469" t="s">
        <v>264</v>
      </c>
      <c r="L1469">
        <v>7</v>
      </c>
      <c r="M1469" s="5">
        <v>155.72</v>
      </c>
      <c r="N1469" s="6">
        <v>0</v>
      </c>
      <c r="O1469" s="5">
        <v>0</v>
      </c>
      <c r="P1469" s="5">
        <v>163.51</v>
      </c>
      <c r="Q1469" s="5">
        <v>1253.55</v>
      </c>
      <c r="R1469" s="5">
        <v>748.93</v>
      </c>
      <c r="S1469" s="5">
        <v>504.62</v>
      </c>
      <c r="T1469" s="7">
        <v>0.402552750189462</v>
      </c>
      <c r="U1469" t="s">
        <v>12</v>
      </c>
      <c r="V1469" t="s">
        <v>51</v>
      </c>
      <c r="W1469" t="s">
        <v>51</v>
      </c>
      <c r="X1469" t="s">
        <v>33</v>
      </c>
      <c r="Y1469" t="s">
        <v>2116</v>
      </c>
      <c r="Z1469" t="s">
        <v>80</v>
      </c>
    </row>
    <row r="1470" spans="1:26">
      <c r="A1470" t="s">
        <v>3443</v>
      </c>
      <c r="B1470" t="s">
        <v>3443</v>
      </c>
      <c r="C1470" s="4">
        <v>45821</v>
      </c>
      <c r="D1470">
        <v>2025</v>
      </c>
      <c r="E1470">
        <v>6</v>
      </c>
      <c r="F1470" t="s">
        <v>22</v>
      </c>
      <c r="G1470" t="s">
        <v>74</v>
      </c>
      <c r="H1470" t="s">
        <v>1324</v>
      </c>
      <c r="I1470" t="s">
        <v>703</v>
      </c>
      <c r="J1470" t="s">
        <v>538</v>
      </c>
      <c r="K1470" t="s">
        <v>539</v>
      </c>
      <c r="L1470">
        <v>2</v>
      </c>
      <c r="M1470" s="5">
        <v>224.28</v>
      </c>
      <c r="N1470" s="6">
        <v>0</v>
      </c>
      <c r="O1470" s="5">
        <v>0</v>
      </c>
      <c r="P1470" s="5">
        <v>67.28</v>
      </c>
      <c r="Q1470" s="5">
        <v>448.56</v>
      </c>
      <c r="R1470" s="5">
        <v>384.78</v>
      </c>
      <c r="S1470" s="5">
        <v>63.78</v>
      </c>
      <c r="T1470" s="7">
        <v>0.142188336008561</v>
      </c>
      <c r="U1470" t="s">
        <v>14</v>
      </c>
      <c r="V1470" t="s">
        <v>50</v>
      </c>
      <c r="W1470" t="s">
        <v>50</v>
      </c>
      <c r="X1470" t="s">
        <v>33</v>
      </c>
      <c r="Y1470" t="s">
        <v>650</v>
      </c>
      <c r="Z1470" t="s">
        <v>101</v>
      </c>
    </row>
    <row r="1471" spans="1:26">
      <c r="A1471" t="s">
        <v>3444</v>
      </c>
      <c r="B1471" t="s">
        <v>3444</v>
      </c>
      <c r="C1471" s="4">
        <v>46037</v>
      </c>
      <c r="D1471">
        <v>2026</v>
      </c>
      <c r="E1471">
        <v>1</v>
      </c>
      <c r="F1471" t="s">
        <v>30</v>
      </c>
      <c r="G1471" t="s">
        <v>82</v>
      </c>
      <c r="H1471" t="s">
        <v>912</v>
      </c>
      <c r="I1471" t="s">
        <v>1360</v>
      </c>
      <c r="J1471" t="s">
        <v>208</v>
      </c>
      <c r="K1471" t="s">
        <v>1073</v>
      </c>
      <c r="L1471">
        <v>4</v>
      </c>
      <c r="M1471" s="5">
        <v>241.98</v>
      </c>
      <c r="N1471" s="6">
        <v>0</v>
      </c>
      <c r="O1471" s="5">
        <v>0</v>
      </c>
      <c r="P1471" s="5">
        <v>145.19</v>
      </c>
      <c r="Q1471" s="5">
        <v>967.92</v>
      </c>
      <c r="R1471" s="5">
        <v>832.88</v>
      </c>
      <c r="S1471" s="5">
        <v>135.04</v>
      </c>
      <c r="T1471" s="7">
        <v>0.139515662451442</v>
      </c>
      <c r="U1471" t="s">
        <v>13</v>
      </c>
      <c r="V1471" t="s">
        <v>50</v>
      </c>
      <c r="W1471" t="s">
        <v>50</v>
      </c>
      <c r="X1471" t="s">
        <v>33</v>
      </c>
      <c r="Y1471" t="s">
        <v>1513</v>
      </c>
      <c r="Z1471" t="s">
        <v>101</v>
      </c>
    </row>
    <row r="1472" spans="1:26">
      <c r="A1472" t="s">
        <v>3445</v>
      </c>
      <c r="B1472" t="s">
        <v>3445</v>
      </c>
      <c r="C1472" s="4">
        <v>45795</v>
      </c>
      <c r="D1472">
        <v>2025</v>
      </c>
      <c r="E1472">
        <v>5</v>
      </c>
      <c r="F1472" t="s">
        <v>21</v>
      </c>
      <c r="G1472" t="s">
        <v>74</v>
      </c>
      <c r="H1472" t="s">
        <v>3446</v>
      </c>
      <c r="I1472" t="s">
        <v>454</v>
      </c>
      <c r="J1472" t="s">
        <v>1072</v>
      </c>
      <c r="K1472" t="s">
        <v>1073</v>
      </c>
      <c r="L1472">
        <v>2</v>
      </c>
      <c r="M1472" s="5">
        <v>299.73</v>
      </c>
      <c r="N1472" s="6">
        <v>0</v>
      </c>
      <c r="O1472" s="5">
        <v>0</v>
      </c>
      <c r="P1472" s="5">
        <v>89.92</v>
      </c>
      <c r="Q1472" s="5">
        <v>689.38</v>
      </c>
      <c r="R1472" s="5">
        <v>369.48</v>
      </c>
      <c r="S1472" s="5">
        <v>319.9</v>
      </c>
      <c r="T1472" s="7">
        <v>0.464040152020656</v>
      </c>
      <c r="U1472" t="s">
        <v>9</v>
      </c>
      <c r="V1472" t="s">
        <v>50</v>
      </c>
      <c r="W1472" t="s">
        <v>50</v>
      </c>
      <c r="X1472" t="s">
        <v>33</v>
      </c>
      <c r="Y1472" t="s">
        <v>1287</v>
      </c>
      <c r="Z1472" t="s">
        <v>80</v>
      </c>
    </row>
    <row r="1473" spans="1:26">
      <c r="A1473" t="s">
        <v>3447</v>
      </c>
      <c r="B1473" t="s">
        <v>3447</v>
      </c>
      <c r="C1473" s="4">
        <v>45787</v>
      </c>
      <c r="D1473">
        <v>2025</v>
      </c>
      <c r="E1473">
        <v>5</v>
      </c>
      <c r="F1473" t="s">
        <v>21</v>
      </c>
      <c r="G1473" t="s">
        <v>74</v>
      </c>
      <c r="H1473" t="s">
        <v>3448</v>
      </c>
      <c r="I1473" t="s">
        <v>279</v>
      </c>
      <c r="J1473" t="s">
        <v>246</v>
      </c>
      <c r="K1473" t="s">
        <v>736</v>
      </c>
      <c r="L1473">
        <v>2</v>
      </c>
      <c r="M1473" s="5">
        <v>418.79</v>
      </c>
      <c r="N1473" s="6">
        <v>5</v>
      </c>
      <c r="O1473" s="5">
        <v>41.88</v>
      </c>
      <c r="P1473" s="5">
        <v>119.36</v>
      </c>
      <c r="Q1473" s="5">
        <v>915.05</v>
      </c>
      <c r="R1473" s="5">
        <v>617.88</v>
      </c>
      <c r="S1473" s="5">
        <v>297.17</v>
      </c>
      <c r="T1473" s="7">
        <v>0.324758209933883</v>
      </c>
      <c r="U1473" t="s">
        <v>14</v>
      </c>
      <c r="V1473" t="s">
        <v>50</v>
      </c>
      <c r="W1473" t="s">
        <v>50</v>
      </c>
      <c r="X1473" t="s">
        <v>33</v>
      </c>
      <c r="Y1473" t="s">
        <v>3097</v>
      </c>
      <c r="Z1473" t="s">
        <v>80</v>
      </c>
    </row>
    <row r="1474" spans="1:26">
      <c r="A1474" t="s">
        <v>3449</v>
      </c>
      <c r="B1474" t="s">
        <v>3449</v>
      </c>
      <c r="C1474" s="4">
        <v>46037</v>
      </c>
      <c r="D1474">
        <v>2026</v>
      </c>
      <c r="E1474">
        <v>1</v>
      </c>
      <c r="F1474" t="s">
        <v>30</v>
      </c>
      <c r="G1474" t="s">
        <v>82</v>
      </c>
      <c r="H1474" t="s">
        <v>1386</v>
      </c>
      <c r="I1474" t="s">
        <v>97</v>
      </c>
      <c r="J1474" t="s">
        <v>1361</v>
      </c>
      <c r="K1474" t="s">
        <v>2905</v>
      </c>
      <c r="L1474">
        <v>1</v>
      </c>
      <c r="M1474" s="5">
        <v>398.25</v>
      </c>
      <c r="N1474" s="6">
        <v>15</v>
      </c>
      <c r="O1474" s="5">
        <v>59.74</v>
      </c>
      <c r="P1474" s="5">
        <v>50.78</v>
      </c>
      <c r="Q1474" s="5">
        <v>338.51</v>
      </c>
      <c r="R1474" s="5">
        <v>236.54</v>
      </c>
      <c r="S1474" s="5">
        <v>101.97</v>
      </c>
      <c r="T1474" s="7">
        <v>0.301231869073292</v>
      </c>
      <c r="U1474" t="s">
        <v>11</v>
      </c>
      <c r="V1474" t="s">
        <v>50</v>
      </c>
      <c r="W1474" t="s">
        <v>50</v>
      </c>
      <c r="X1474" t="s">
        <v>33</v>
      </c>
      <c r="Y1474" t="s">
        <v>2378</v>
      </c>
      <c r="Z1474" t="s">
        <v>101</v>
      </c>
    </row>
    <row r="1475" spans="1:26">
      <c r="A1475" t="s">
        <v>3450</v>
      </c>
      <c r="B1475" t="s">
        <v>3450</v>
      </c>
      <c r="C1475" s="4">
        <v>45807</v>
      </c>
      <c r="D1475">
        <v>2025</v>
      </c>
      <c r="E1475">
        <v>5</v>
      </c>
      <c r="F1475" t="s">
        <v>21</v>
      </c>
      <c r="G1475" t="s">
        <v>74</v>
      </c>
      <c r="H1475" t="s">
        <v>1529</v>
      </c>
      <c r="I1475" t="s">
        <v>151</v>
      </c>
      <c r="J1475" t="s">
        <v>659</v>
      </c>
      <c r="K1475" t="s">
        <v>287</v>
      </c>
      <c r="L1475">
        <v>2</v>
      </c>
      <c r="M1475" s="5">
        <v>434.65</v>
      </c>
      <c r="N1475" s="6">
        <v>20</v>
      </c>
      <c r="O1475" s="5">
        <v>173.86</v>
      </c>
      <c r="P1475" s="5">
        <v>104.32</v>
      </c>
      <c r="Q1475" s="5"/>
      <c r="R1475" s="5">
        <v>703.26</v>
      </c>
      <c r="S1475" s="5">
        <v>-7.82</v>
      </c>
      <c r="T1475" s="7"/>
      <c r="U1475" t="s">
        <v>11</v>
      </c>
      <c r="V1475" t="s">
        <v>50</v>
      </c>
      <c r="W1475" t="s">
        <v>50</v>
      </c>
      <c r="X1475" t="s">
        <v>33</v>
      </c>
      <c r="Y1475" t="s">
        <v>1301</v>
      </c>
      <c r="Z1475" t="s">
        <v>101</v>
      </c>
    </row>
    <row r="1476" spans="1:26">
      <c r="A1476" t="s">
        <v>3451</v>
      </c>
      <c r="B1476" t="s">
        <v>3451</v>
      </c>
      <c r="C1476" s="4">
        <v>45897</v>
      </c>
      <c r="D1476">
        <v>2025</v>
      </c>
      <c r="E1476">
        <v>8</v>
      </c>
      <c r="F1476" t="s">
        <v>24</v>
      </c>
      <c r="G1476" t="s">
        <v>89</v>
      </c>
      <c r="H1476" t="s">
        <v>2040</v>
      </c>
      <c r="I1476" t="s">
        <v>434</v>
      </c>
      <c r="J1476" t="s">
        <v>1834</v>
      </c>
      <c r="K1476" t="s">
        <v>1835</v>
      </c>
      <c r="L1476">
        <v>4</v>
      </c>
      <c r="M1476" s="5">
        <v>83.13</v>
      </c>
      <c r="N1476" s="6">
        <v>0</v>
      </c>
      <c r="O1476" s="5">
        <v>0</v>
      </c>
      <c r="P1476" s="5">
        <v>49.88</v>
      </c>
      <c r="Q1476" s="5">
        <v>332.52</v>
      </c>
      <c r="R1476" s="5">
        <v>276.36</v>
      </c>
      <c r="S1476" s="5">
        <v>56.16</v>
      </c>
      <c r="T1476" s="7">
        <v>0.168892096715987</v>
      </c>
      <c r="U1476" t="s">
        <v>14</v>
      </c>
      <c r="V1476" t="s">
        <v>50</v>
      </c>
      <c r="W1476" t="s">
        <v>50</v>
      </c>
      <c r="X1476" t="s">
        <v>33</v>
      </c>
      <c r="Y1476" t="s">
        <v>3372</v>
      </c>
      <c r="Z1476" t="s">
        <v>101</v>
      </c>
    </row>
    <row r="1477" spans="1:26">
      <c r="A1477" t="s">
        <v>3452</v>
      </c>
      <c r="B1477" t="s">
        <v>3452</v>
      </c>
      <c r="C1477" s="4">
        <v>46005</v>
      </c>
      <c r="D1477">
        <v>2025</v>
      </c>
      <c r="E1477">
        <v>12</v>
      </c>
      <c r="F1477" t="s">
        <v>28</v>
      </c>
      <c r="G1477" t="s">
        <v>137</v>
      </c>
      <c r="H1477" t="s">
        <v>1930</v>
      </c>
      <c r="I1477" t="s">
        <v>362</v>
      </c>
      <c r="J1477" t="s">
        <v>1657</v>
      </c>
      <c r="K1477" t="s">
        <v>1658</v>
      </c>
      <c r="L1477">
        <v>5</v>
      </c>
      <c r="M1477" s="5">
        <v>329.69</v>
      </c>
      <c r="N1477" s="6">
        <v>0</v>
      </c>
      <c r="O1477" s="5">
        <v>0</v>
      </c>
      <c r="P1477" s="5">
        <v>247.27</v>
      </c>
      <c r="Q1477" s="5">
        <v>1895.72</v>
      </c>
      <c r="R1477" s="5">
        <v>1236.25</v>
      </c>
      <c r="S1477" s="5">
        <v>659.47</v>
      </c>
      <c r="T1477" s="7">
        <v>0.347873103622898</v>
      </c>
      <c r="U1477" t="s">
        <v>9</v>
      </c>
      <c r="V1477" t="s">
        <v>50</v>
      </c>
      <c r="W1477" t="s">
        <v>50</v>
      </c>
      <c r="X1477" t="s">
        <v>33</v>
      </c>
      <c r="Y1477" t="s">
        <v>3453</v>
      </c>
      <c r="Z1477" t="s">
        <v>80</v>
      </c>
    </row>
    <row r="1478" spans="1:26">
      <c r="A1478" t="s">
        <v>3454</v>
      </c>
      <c r="B1478" t="s">
        <v>3454</v>
      </c>
      <c r="C1478" s="4">
        <v>45880</v>
      </c>
      <c r="D1478">
        <v>2025</v>
      </c>
      <c r="E1478">
        <v>8</v>
      </c>
      <c r="F1478" t="s">
        <v>24</v>
      </c>
      <c r="G1478" t="s">
        <v>89</v>
      </c>
      <c r="H1478" t="s">
        <v>389</v>
      </c>
      <c r="I1478" t="s">
        <v>207</v>
      </c>
      <c r="J1478" t="s">
        <v>111</v>
      </c>
      <c r="K1478" t="s">
        <v>1300</v>
      </c>
      <c r="L1478">
        <v>6</v>
      </c>
      <c r="M1478" s="5">
        <v>310.42</v>
      </c>
      <c r="N1478" s="6">
        <v>0</v>
      </c>
      <c r="O1478" s="5">
        <v>0</v>
      </c>
      <c r="P1478" s="5">
        <v>279.38</v>
      </c>
      <c r="Q1478" s="5">
        <v>1862.52</v>
      </c>
      <c r="R1478" s="5">
        <v>1559.58</v>
      </c>
      <c r="S1478" s="5">
        <v>302.94</v>
      </c>
      <c r="T1478" s="7">
        <v>0.162650602409639</v>
      </c>
      <c r="U1478" t="s">
        <v>12</v>
      </c>
      <c r="V1478" t="s">
        <v>50</v>
      </c>
      <c r="W1478" t="s">
        <v>50</v>
      </c>
      <c r="X1478" t="s">
        <v>33</v>
      </c>
      <c r="Y1478" t="s">
        <v>2054</v>
      </c>
      <c r="Z1478" t="s">
        <v>101</v>
      </c>
    </row>
    <row r="1479" spans="1:26">
      <c r="A1479" t="s">
        <v>3455</v>
      </c>
      <c r="B1479" t="s">
        <v>3455</v>
      </c>
      <c r="C1479" s="4">
        <v>45943</v>
      </c>
      <c r="D1479">
        <v>2025</v>
      </c>
      <c r="E1479">
        <v>10</v>
      </c>
      <c r="F1479" t="s">
        <v>26</v>
      </c>
      <c r="G1479" t="s">
        <v>137</v>
      </c>
      <c r="H1479" t="s">
        <v>3456</v>
      </c>
      <c r="I1479" t="s">
        <v>986</v>
      </c>
      <c r="J1479" t="s">
        <v>175</v>
      </c>
      <c r="K1479" t="s">
        <v>821</v>
      </c>
      <c r="L1479">
        <v>3</v>
      </c>
      <c r="M1479" s="5">
        <v>333.54</v>
      </c>
      <c r="N1479" s="6">
        <v>5</v>
      </c>
      <c r="O1479" s="5">
        <v>50.03</v>
      </c>
      <c r="P1479" s="5">
        <v>142.59</v>
      </c>
      <c r="Q1479" s="5">
        <v>950.59</v>
      </c>
      <c r="R1479" s="5">
        <v>715.29</v>
      </c>
      <c r="S1479" s="5">
        <v>235.3</v>
      </c>
      <c r="T1479" s="7">
        <v>0.247530481069652</v>
      </c>
      <c r="U1479" t="s">
        <v>11</v>
      </c>
      <c r="V1479" t="s">
        <v>50</v>
      </c>
      <c r="W1479" t="s">
        <v>50</v>
      </c>
      <c r="X1479" t="s">
        <v>33</v>
      </c>
      <c r="Y1479" t="s">
        <v>3457</v>
      </c>
      <c r="Z1479" t="s">
        <v>101</v>
      </c>
    </row>
    <row r="1480" spans="1:26">
      <c r="A1480" t="s">
        <v>3458</v>
      </c>
      <c r="B1480" t="s">
        <v>3458</v>
      </c>
      <c r="C1480" s="4">
        <v>45970</v>
      </c>
      <c r="D1480">
        <v>2025</v>
      </c>
      <c r="E1480">
        <v>11</v>
      </c>
      <c r="F1480" t="s">
        <v>27</v>
      </c>
      <c r="G1480" t="s">
        <v>137</v>
      </c>
      <c r="H1480" t="s">
        <v>3459</v>
      </c>
      <c r="I1480" t="s">
        <v>196</v>
      </c>
      <c r="J1480" t="s">
        <v>676</v>
      </c>
      <c r="K1480" t="s">
        <v>677</v>
      </c>
      <c r="L1480">
        <v>3</v>
      </c>
      <c r="M1480" s="5">
        <v>332.73</v>
      </c>
      <c r="N1480" s="6">
        <v>0</v>
      </c>
      <c r="O1480" s="5">
        <v>0</v>
      </c>
      <c r="P1480" s="5">
        <v>149.73</v>
      </c>
      <c r="Q1480" s="5">
        <v>1147.92</v>
      </c>
      <c r="R1480" s="5">
        <v>783.66</v>
      </c>
      <c r="S1480" s="5">
        <v>364.26</v>
      </c>
      <c r="T1480" s="7">
        <v>0.317321764582898</v>
      </c>
      <c r="U1480" t="s">
        <v>9</v>
      </c>
      <c r="V1480" t="s">
        <v>50</v>
      </c>
      <c r="W1480" t="s">
        <v>50</v>
      </c>
      <c r="X1480" t="s">
        <v>35</v>
      </c>
      <c r="Y1480" t="s">
        <v>809</v>
      </c>
      <c r="Z1480" t="s">
        <v>80</v>
      </c>
    </row>
    <row r="1481" spans="1:26">
      <c r="A1481" t="s">
        <v>3460</v>
      </c>
      <c r="B1481" t="s">
        <v>3460</v>
      </c>
      <c r="C1481" s="4">
        <v>45913</v>
      </c>
      <c r="D1481">
        <v>2025</v>
      </c>
      <c r="E1481">
        <v>9</v>
      </c>
      <c r="F1481" t="s">
        <v>25</v>
      </c>
      <c r="G1481" t="s">
        <v>89</v>
      </c>
      <c r="H1481" t="s">
        <v>367</v>
      </c>
      <c r="I1481" t="s">
        <v>836</v>
      </c>
      <c r="J1481" t="s">
        <v>1507</v>
      </c>
      <c r="K1481" t="s">
        <v>2229</v>
      </c>
      <c r="L1481">
        <v>6</v>
      </c>
      <c r="M1481" s="5">
        <v>176.07</v>
      </c>
      <c r="N1481" s="6">
        <v>0</v>
      </c>
      <c r="O1481" s="5">
        <v>0</v>
      </c>
      <c r="P1481" s="5">
        <v>158.46</v>
      </c>
      <c r="Q1481" s="5">
        <v>1214.88</v>
      </c>
      <c r="R1481" s="5">
        <v>745.98</v>
      </c>
      <c r="S1481" s="5">
        <v>468.9</v>
      </c>
      <c r="T1481" s="7">
        <v>0.385964045831687</v>
      </c>
      <c r="U1481" t="s">
        <v>14</v>
      </c>
      <c r="V1481" t="s">
        <v>50</v>
      </c>
      <c r="W1481" t="s">
        <v>50</v>
      </c>
      <c r="X1481" t="s">
        <v>33</v>
      </c>
      <c r="Y1481" t="s">
        <v>1063</v>
      </c>
      <c r="Z1481" t="s">
        <v>80</v>
      </c>
    </row>
    <row r="1482" spans="1:26">
      <c r="A1482" t="s">
        <v>3461</v>
      </c>
      <c r="B1482" t="s">
        <v>3461</v>
      </c>
      <c r="C1482" s="4">
        <v>45831</v>
      </c>
      <c r="D1482">
        <v>2025</v>
      </c>
      <c r="E1482">
        <v>6</v>
      </c>
      <c r="F1482" t="s">
        <v>22</v>
      </c>
      <c r="G1482" t="s">
        <v>74</v>
      </c>
      <c r="H1482" t="s">
        <v>394</v>
      </c>
      <c r="I1482" t="s">
        <v>1307</v>
      </c>
      <c r="J1482" t="s">
        <v>1208</v>
      </c>
      <c r="K1482" t="s">
        <v>3462</v>
      </c>
      <c r="L1482">
        <v>6</v>
      </c>
      <c r="M1482" s="5">
        <v>266.28</v>
      </c>
      <c r="N1482" s="6">
        <v>15</v>
      </c>
      <c r="O1482" s="5">
        <v>239.65</v>
      </c>
      <c r="P1482" s="5">
        <v>203.7</v>
      </c>
      <c r="Q1482" s="5">
        <v>1358.03</v>
      </c>
      <c r="R1482" s="5">
        <v>1270.38</v>
      </c>
      <c r="S1482" s="5">
        <v>87.65</v>
      </c>
      <c r="T1482" s="7">
        <v>0.0645420204266474</v>
      </c>
      <c r="U1482" t="s">
        <v>13</v>
      </c>
      <c r="V1482" t="s">
        <v>50</v>
      </c>
      <c r="W1482" t="s">
        <v>50</v>
      </c>
      <c r="X1482" t="s">
        <v>35</v>
      </c>
      <c r="Y1482" t="s">
        <v>1620</v>
      </c>
      <c r="Z1482" t="s">
        <v>101</v>
      </c>
    </row>
    <row r="1483" spans="1:26">
      <c r="A1483" t="s">
        <v>3463</v>
      </c>
      <c r="B1483" t="s">
        <v>3463</v>
      </c>
      <c r="C1483" s="4">
        <v>45943</v>
      </c>
      <c r="D1483">
        <v>2025</v>
      </c>
      <c r="E1483">
        <v>10</v>
      </c>
      <c r="F1483" t="s">
        <v>26</v>
      </c>
      <c r="G1483" t="s">
        <v>137</v>
      </c>
      <c r="H1483" t="s">
        <v>1811</v>
      </c>
      <c r="I1483" t="s">
        <v>279</v>
      </c>
      <c r="J1483" t="s">
        <v>948</v>
      </c>
      <c r="K1483" t="s">
        <v>949</v>
      </c>
      <c r="L1483">
        <v>4</v>
      </c>
      <c r="M1483" s="5">
        <v>420.54</v>
      </c>
      <c r="N1483" s="6">
        <v>0</v>
      </c>
      <c r="O1483" s="5">
        <v>0</v>
      </c>
      <c r="P1483" s="5">
        <v>252.32</v>
      </c>
      <c r="Q1483" s="5">
        <v>1682.16</v>
      </c>
      <c r="R1483" s="5">
        <v>1235.76</v>
      </c>
      <c r="S1483" s="5">
        <v>446.4</v>
      </c>
      <c r="T1483" s="7">
        <v>0.265373091739192</v>
      </c>
      <c r="U1483" t="s">
        <v>11</v>
      </c>
      <c r="V1483" t="s">
        <v>50</v>
      </c>
      <c r="W1483" t="s">
        <v>50</v>
      </c>
      <c r="X1483" t="s">
        <v>33</v>
      </c>
      <c r="Y1483" t="s">
        <v>1035</v>
      </c>
      <c r="Z1483" t="s">
        <v>101</v>
      </c>
    </row>
    <row r="1484" spans="1:26">
      <c r="A1484" t="s">
        <v>3464</v>
      </c>
      <c r="B1484" t="s">
        <v>3464</v>
      </c>
      <c r="C1484" s="4">
        <v>45814</v>
      </c>
      <c r="D1484">
        <v>2025</v>
      </c>
      <c r="E1484">
        <v>6</v>
      </c>
      <c r="F1484" t="s">
        <v>22</v>
      </c>
      <c r="G1484" t="s">
        <v>74</v>
      </c>
      <c r="H1484" t="s">
        <v>1386</v>
      </c>
      <c r="I1484" t="s">
        <v>207</v>
      </c>
      <c r="J1484" t="s">
        <v>111</v>
      </c>
      <c r="K1484" t="s">
        <v>1300</v>
      </c>
      <c r="L1484">
        <v>5</v>
      </c>
      <c r="M1484" s="5">
        <v>306.62</v>
      </c>
      <c r="N1484" s="6">
        <v>0</v>
      </c>
      <c r="O1484" s="5">
        <v>0</v>
      </c>
      <c r="P1484" s="5">
        <v>229.96</v>
      </c>
      <c r="Q1484" s="5">
        <v>1533.1</v>
      </c>
      <c r="R1484" s="5">
        <v>1299.65</v>
      </c>
      <c r="S1484" s="5">
        <v>233.45</v>
      </c>
      <c r="T1484" s="7">
        <v>0.152273172004435</v>
      </c>
      <c r="U1484" t="s">
        <v>13</v>
      </c>
      <c r="V1484" t="s">
        <v>51</v>
      </c>
      <c r="W1484" t="s">
        <v>51</v>
      </c>
      <c r="X1484" t="s">
        <v>33</v>
      </c>
      <c r="Y1484" t="s">
        <v>1820</v>
      </c>
      <c r="Z1484" t="s">
        <v>101</v>
      </c>
    </row>
    <row r="1485" spans="1:26">
      <c r="A1485" t="s">
        <v>3465</v>
      </c>
      <c r="B1485" t="s">
        <v>3465</v>
      </c>
      <c r="C1485" s="4">
        <v>46083</v>
      </c>
      <c r="D1485">
        <v>2026</v>
      </c>
      <c r="E1485">
        <v>3</v>
      </c>
      <c r="F1485" t="s">
        <v>19</v>
      </c>
      <c r="G1485" t="s">
        <v>82</v>
      </c>
      <c r="H1485" t="s">
        <v>571</v>
      </c>
      <c r="I1485" t="s">
        <v>323</v>
      </c>
      <c r="J1485" t="s">
        <v>1381</v>
      </c>
      <c r="K1485" t="s">
        <v>1382</v>
      </c>
      <c r="L1485">
        <v>1</v>
      </c>
      <c r="M1485" s="5">
        <v>51.33</v>
      </c>
      <c r="N1485" s="6">
        <v>5</v>
      </c>
      <c r="O1485" s="5">
        <v>2.57</v>
      </c>
      <c r="P1485" s="5">
        <v>7.31</v>
      </c>
      <c r="Q1485" s="5">
        <v>48.76</v>
      </c>
      <c r="R1485" s="5">
        <v>37.48</v>
      </c>
      <c r="S1485" s="5">
        <v>11.28</v>
      </c>
      <c r="T1485" s="7">
        <v>0.231337161607875</v>
      </c>
      <c r="U1485" t="s">
        <v>14</v>
      </c>
      <c r="V1485" t="s">
        <v>50</v>
      </c>
      <c r="W1485" t="s">
        <v>50</v>
      </c>
      <c r="X1485" t="s">
        <v>33</v>
      </c>
      <c r="Y1485" t="s">
        <v>1991</v>
      </c>
      <c r="Z1485" t="s">
        <v>101</v>
      </c>
    </row>
    <row r="1486" spans="1:26">
      <c r="A1486" t="s">
        <v>3466</v>
      </c>
      <c r="B1486" t="s">
        <v>3466</v>
      </c>
      <c r="C1486" s="4">
        <v>45992</v>
      </c>
      <c r="D1486">
        <v>2025</v>
      </c>
      <c r="E1486">
        <v>12</v>
      </c>
      <c r="F1486" t="s">
        <v>28</v>
      </c>
      <c r="G1486" t="s">
        <v>137</v>
      </c>
      <c r="H1486" t="s">
        <v>552</v>
      </c>
      <c r="I1486" t="s">
        <v>722</v>
      </c>
      <c r="J1486" t="s">
        <v>105</v>
      </c>
      <c r="K1486" t="s">
        <v>324</v>
      </c>
      <c r="L1486">
        <v>8</v>
      </c>
      <c r="M1486" s="5">
        <v>169.42</v>
      </c>
      <c r="N1486" s="6">
        <v>20</v>
      </c>
      <c r="O1486" s="5">
        <v>271.07</v>
      </c>
      <c r="P1486" s="5">
        <v>162.64</v>
      </c>
      <c r="Q1486" s="5">
        <v>1084.29</v>
      </c>
      <c r="R1486" s="5">
        <v>1103.6</v>
      </c>
      <c r="S1486" s="5">
        <v>-19.31</v>
      </c>
      <c r="T1486" s="7">
        <v>-0.0178088887659206</v>
      </c>
      <c r="U1486" t="s">
        <v>9</v>
      </c>
      <c r="V1486" t="s">
        <v>50</v>
      </c>
      <c r="W1486" t="s">
        <v>50</v>
      </c>
      <c r="X1486" t="s">
        <v>33</v>
      </c>
      <c r="Y1486" t="s">
        <v>600</v>
      </c>
      <c r="Z1486" t="s">
        <v>101</v>
      </c>
    </row>
    <row r="1487" spans="1:26">
      <c r="A1487" t="s">
        <v>3467</v>
      </c>
      <c r="B1487" t="s">
        <v>3467</v>
      </c>
      <c r="C1487" s="4">
        <v>46004</v>
      </c>
      <c r="D1487">
        <v>2025</v>
      </c>
      <c r="E1487">
        <v>12</v>
      </c>
      <c r="F1487" t="s">
        <v>28</v>
      </c>
      <c r="G1487" t="s">
        <v>137</v>
      </c>
      <c r="H1487" t="s">
        <v>2455</v>
      </c>
      <c r="I1487" t="s">
        <v>459</v>
      </c>
      <c r="J1487" t="s">
        <v>1450</v>
      </c>
      <c r="K1487" t="s">
        <v>1864</v>
      </c>
      <c r="L1487">
        <v>2</v>
      </c>
      <c r="M1487" s="5">
        <v>96.72</v>
      </c>
      <c r="N1487" s="6">
        <v>0</v>
      </c>
      <c r="O1487" s="5">
        <v>0</v>
      </c>
      <c r="P1487" s="5">
        <v>29.02</v>
      </c>
      <c r="Q1487" s="5">
        <v>222.46</v>
      </c>
      <c r="R1487" s="5">
        <v>159.64</v>
      </c>
      <c r="S1487" s="5">
        <v>62.82</v>
      </c>
      <c r="T1487" s="7">
        <v>0.282387845005844</v>
      </c>
      <c r="U1487" t="s">
        <v>10</v>
      </c>
      <c r="V1487" t="s">
        <v>50</v>
      </c>
      <c r="W1487" t="s">
        <v>50</v>
      </c>
      <c r="X1487" t="s">
        <v>33</v>
      </c>
      <c r="Y1487" t="s">
        <v>1046</v>
      </c>
      <c r="Z1487" t="s">
        <v>80</v>
      </c>
    </row>
    <row r="1488" spans="1:26">
      <c r="A1488" t="s">
        <v>3468</v>
      </c>
      <c r="B1488" t="s">
        <v>3468</v>
      </c>
      <c r="C1488" s="4">
        <v>45950</v>
      </c>
      <c r="D1488">
        <v>2025</v>
      </c>
      <c r="E1488">
        <v>10</v>
      </c>
      <c r="F1488" t="s">
        <v>26</v>
      </c>
      <c r="G1488" t="s">
        <v>137</v>
      </c>
      <c r="H1488" t="s">
        <v>2482</v>
      </c>
      <c r="I1488" t="s">
        <v>1694</v>
      </c>
      <c r="J1488" t="s">
        <v>1361</v>
      </c>
      <c r="K1488" t="s">
        <v>1622</v>
      </c>
      <c r="L1488">
        <v>3</v>
      </c>
      <c r="M1488" s="5">
        <v>233.47</v>
      </c>
      <c r="N1488" s="6">
        <v>0</v>
      </c>
      <c r="O1488" s="5">
        <v>0</v>
      </c>
      <c r="P1488" s="5">
        <v>105.06</v>
      </c>
      <c r="Q1488" s="5">
        <v>700.41</v>
      </c>
      <c r="R1488" s="5">
        <v>566.94</v>
      </c>
      <c r="S1488" s="5">
        <v>133.47</v>
      </c>
      <c r="T1488" s="7">
        <v>0.19055981496552</v>
      </c>
      <c r="U1488" t="s">
        <v>12</v>
      </c>
      <c r="V1488" t="s">
        <v>50</v>
      </c>
      <c r="W1488" t="s">
        <v>50</v>
      </c>
      <c r="X1488" t="s">
        <v>33</v>
      </c>
      <c r="Y1488" t="s">
        <v>1981</v>
      </c>
      <c r="Z1488" t="s">
        <v>101</v>
      </c>
    </row>
    <row r="1489" spans="1:26">
      <c r="A1489" t="s">
        <v>3469</v>
      </c>
      <c r="B1489" t="s">
        <v>3469</v>
      </c>
      <c r="C1489" s="4">
        <v>45760</v>
      </c>
      <c r="D1489">
        <v>2025</v>
      </c>
      <c r="E1489">
        <v>4</v>
      </c>
      <c r="F1489" t="s">
        <v>20</v>
      </c>
      <c r="G1489" t="s">
        <v>74</v>
      </c>
      <c r="H1489" t="s">
        <v>1978</v>
      </c>
      <c r="I1489" t="s">
        <v>913</v>
      </c>
      <c r="J1489" t="s">
        <v>263</v>
      </c>
      <c r="K1489" t="s">
        <v>264</v>
      </c>
      <c r="L1489">
        <v>3</v>
      </c>
      <c r="M1489" s="5">
        <v>214.04</v>
      </c>
      <c r="N1489" s="6">
        <v>20</v>
      </c>
      <c r="O1489" s="5">
        <v>128.42</v>
      </c>
      <c r="P1489" s="5">
        <v>77.06</v>
      </c>
      <c r="Q1489" s="5">
        <v>590.75</v>
      </c>
      <c r="R1489" s="5">
        <v>474.18</v>
      </c>
      <c r="S1489" s="5">
        <v>116.57</v>
      </c>
      <c r="T1489" s="7">
        <v>0.197325433770631</v>
      </c>
      <c r="U1489" t="s">
        <v>12</v>
      </c>
      <c r="V1489" t="s">
        <v>51</v>
      </c>
      <c r="W1489" t="s">
        <v>51</v>
      </c>
      <c r="X1489" t="s">
        <v>33</v>
      </c>
      <c r="Y1489" t="s">
        <v>1111</v>
      </c>
      <c r="Z1489" t="s">
        <v>80</v>
      </c>
    </row>
    <row r="1490" spans="1:26">
      <c r="A1490" t="s">
        <v>3470</v>
      </c>
      <c r="B1490" t="s">
        <v>3470</v>
      </c>
      <c r="C1490" s="4">
        <v>45849</v>
      </c>
      <c r="D1490">
        <v>2025</v>
      </c>
      <c r="E1490">
        <v>7</v>
      </c>
      <c r="F1490" t="s">
        <v>23</v>
      </c>
      <c r="G1490" t="s">
        <v>89</v>
      </c>
      <c r="H1490" t="s">
        <v>3347</v>
      </c>
      <c r="I1490" t="s">
        <v>750</v>
      </c>
      <c r="J1490" t="s">
        <v>2646</v>
      </c>
      <c r="K1490" t="s">
        <v>2647</v>
      </c>
      <c r="L1490">
        <v>1</v>
      </c>
      <c r="M1490" s="5">
        <v>474.19</v>
      </c>
      <c r="N1490" s="6">
        <v>15</v>
      </c>
      <c r="O1490" s="5">
        <v>71.13</v>
      </c>
      <c r="P1490" s="5">
        <v>60.46</v>
      </c>
      <c r="Q1490" s="5">
        <v>403.06</v>
      </c>
      <c r="R1490" s="5">
        <v>343.89</v>
      </c>
      <c r="S1490" s="5">
        <v>59.17</v>
      </c>
      <c r="T1490" s="7">
        <v>0.146801964967995</v>
      </c>
      <c r="U1490" t="s">
        <v>12</v>
      </c>
      <c r="V1490" t="s">
        <v>50</v>
      </c>
      <c r="W1490" t="s">
        <v>50</v>
      </c>
      <c r="X1490" t="s">
        <v>33</v>
      </c>
      <c r="Y1490" t="s">
        <v>2106</v>
      </c>
      <c r="Z1490" t="s">
        <v>101</v>
      </c>
    </row>
    <row r="1491" spans="1:26">
      <c r="A1491" t="s">
        <v>3471</v>
      </c>
      <c r="B1491" t="s">
        <v>3471</v>
      </c>
      <c r="C1491" s="4">
        <v>45815</v>
      </c>
      <c r="D1491">
        <v>2025</v>
      </c>
      <c r="E1491">
        <v>6</v>
      </c>
      <c r="F1491" t="s">
        <v>22</v>
      </c>
      <c r="G1491" t="s">
        <v>74</v>
      </c>
      <c r="H1491" t="s">
        <v>1549</v>
      </c>
      <c r="I1491" t="s">
        <v>797</v>
      </c>
      <c r="J1491" t="s">
        <v>291</v>
      </c>
      <c r="K1491" t="s">
        <v>270</v>
      </c>
      <c r="L1491">
        <v>6</v>
      </c>
      <c r="M1491" s="5">
        <v>508.03</v>
      </c>
      <c r="N1491" s="6">
        <v>0</v>
      </c>
      <c r="O1491" s="5">
        <v>0</v>
      </c>
      <c r="P1491" s="5">
        <v>457.23</v>
      </c>
      <c r="Q1491" s="5">
        <v>3505.41</v>
      </c>
      <c r="R1491" s="5">
        <v>2111.22</v>
      </c>
      <c r="S1491" s="5">
        <v>1394.19</v>
      </c>
      <c r="T1491" s="7">
        <v>0.397725230429536</v>
      </c>
      <c r="U1491" t="s">
        <v>12</v>
      </c>
      <c r="V1491" t="s">
        <v>50</v>
      </c>
      <c r="W1491" t="s">
        <v>50</v>
      </c>
      <c r="X1491" t="s">
        <v>34</v>
      </c>
      <c r="Y1491" t="s">
        <v>3472</v>
      </c>
      <c r="Z1491" t="s">
        <v>80</v>
      </c>
    </row>
    <row r="1492" spans="1:26">
      <c r="A1492" t="s">
        <v>3473</v>
      </c>
      <c r="B1492" t="s">
        <v>3473</v>
      </c>
      <c r="C1492" s="4">
        <v>45801</v>
      </c>
      <c r="D1492">
        <v>2025</v>
      </c>
      <c r="E1492">
        <v>5</v>
      </c>
      <c r="F1492" t="s">
        <v>21</v>
      </c>
      <c r="G1492" t="s">
        <v>74</v>
      </c>
      <c r="H1492" t="s">
        <v>3187</v>
      </c>
      <c r="I1492" t="s">
        <v>1904</v>
      </c>
      <c r="J1492" t="s">
        <v>757</v>
      </c>
      <c r="K1492" t="s">
        <v>1943</v>
      </c>
      <c r="L1492">
        <v>4</v>
      </c>
      <c r="M1492" s="5">
        <v>121.74</v>
      </c>
      <c r="N1492" s="6">
        <v>0</v>
      </c>
      <c r="O1492" s="5">
        <v>0</v>
      </c>
      <c r="P1492" s="5">
        <v>73.04</v>
      </c>
      <c r="Q1492" s="5">
        <v>560</v>
      </c>
      <c r="R1492" s="5">
        <v>333.32</v>
      </c>
      <c r="S1492" s="5">
        <v>226.68</v>
      </c>
      <c r="T1492" s="7">
        <v>0.404785714285714</v>
      </c>
      <c r="U1492" t="s">
        <v>10</v>
      </c>
      <c r="V1492" t="s">
        <v>50</v>
      </c>
      <c r="W1492" t="s">
        <v>50</v>
      </c>
      <c r="X1492" t="s">
        <v>33</v>
      </c>
      <c r="Y1492" t="s">
        <v>3474</v>
      </c>
      <c r="Z1492" t="s">
        <v>80</v>
      </c>
    </row>
    <row r="1493" spans="1:26">
      <c r="A1493" t="s">
        <v>3475</v>
      </c>
      <c r="B1493" t="s">
        <v>3475</v>
      </c>
      <c r="C1493" s="4">
        <v>46065</v>
      </c>
      <c r="D1493">
        <v>2026</v>
      </c>
      <c r="E1493">
        <v>2</v>
      </c>
      <c r="F1493" t="s">
        <v>31</v>
      </c>
      <c r="G1493" t="s">
        <v>82</v>
      </c>
      <c r="H1493" t="s">
        <v>1018</v>
      </c>
      <c r="I1493" t="s">
        <v>937</v>
      </c>
      <c r="J1493" t="s">
        <v>202</v>
      </c>
      <c r="K1493" t="s">
        <v>203</v>
      </c>
      <c r="L1493">
        <v>7</v>
      </c>
      <c r="M1493" s="5">
        <v>439.39</v>
      </c>
      <c r="N1493" s="6">
        <v>20</v>
      </c>
      <c r="O1493" s="5">
        <v>615.15</v>
      </c>
      <c r="P1493" s="5">
        <v>369.09</v>
      </c>
      <c r="Q1493" s="5">
        <v>2460.58</v>
      </c>
      <c r="R1493" s="5">
        <v>2591.26</v>
      </c>
      <c r="S1493" s="5">
        <v>-130.68</v>
      </c>
      <c r="T1493" s="7">
        <v>-0.0531094294841054</v>
      </c>
      <c r="U1493" t="s">
        <v>12</v>
      </c>
      <c r="V1493" t="s">
        <v>50</v>
      </c>
      <c r="W1493" t="s">
        <v>50</v>
      </c>
      <c r="X1493" t="s">
        <v>35</v>
      </c>
      <c r="Y1493" t="s">
        <v>1964</v>
      </c>
      <c r="Z1493" t="s">
        <v>101</v>
      </c>
    </row>
    <row r="1494" spans="1:26">
      <c r="A1494" t="s">
        <v>3476</v>
      </c>
      <c r="B1494" t="s">
        <v>3476</v>
      </c>
      <c r="C1494" s="4">
        <v>45922</v>
      </c>
      <c r="D1494">
        <v>2025</v>
      </c>
      <c r="E1494">
        <v>9</v>
      </c>
      <c r="F1494" t="s">
        <v>25</v>
      </c>
      <c r="G1494" t="s">
        <v>89</v>
      </c>
      <c r="H1494" t="s">
        <v>1544</v>
      </c>
      <c r="I1494" t="s">
        <v>547</v>
      </c>
      <c r="J1494" t="s">
        <v>1361</v>
      </c>
      <c r="K1494" t="s">
        <v>106</v>
      </c>
      <c r="L1494">
        <v>8</v>
      </c>
      <c r="M1494" s="5">
        <v>509.6</v>
      </c>
      <c r="N1494" s="6">
        <v>5</v>
      </c>
      <c r="O1494" s="5">
        <v>203.84</v>
      </c>
      <c r="P1494" s="5">
        <v>580.94</v>
      </c>
      <c r="Q1494" s="5">
        <v>3872.96</v>
      </c>
      <c r="R1494" s="5">
        <v>3118.4</v>
      </c>
      <c r="S1494" s="5">
        <v>754.56</v>
      </c>
      <c r="T1494" s="7">
        <v>0.194827728662315</v>
      </c>
      <c r="U1494" t="s">
        <v>11</v>
      </c>
      <c r="V1494" t="s">
        <v>50</v>
      </c>
      <c r="W1494" t="s">
        <v>50</v>
      </c>
      <c r="X1494" t="s">
        <v>35</v>
      </c>
      <c r="Y1494" t="s">
        <v>673</v>
      </c>
      <c r="Z1494" t="s">
        <v>101</v>
      </c>
    </row>
    <row r="1495" spans="1:26">
      <c r="A1495" t="s">
        <v>3477</v>
      </c>
      <c r="B1495" t="s">
        <v>3477</v>
      </c>
      <c r="C1495" s="4">
        <v>45943</v>
      </c>
      <c r="D1495">
        <v>2025</v>
      </c>
      <c r="E1495">
        <v>10</v>
      </c>
      <c r="F1495" t="s">
        <v>26</v>
      </c>
      <c r="G1495" t="s">
        <v>137</v>
      </c>
      <c r="H1495" t="s">
        <v>2281</v>
      </c>
      <c r="I1495" t="s">
        <v>444</v>
      </c>
      <c r="J1495" t="s">
        <v>532</v>
      </c>
      <c r="K1495" t="s">
        <v>533</v>
      </c>
      <c r="L1495">
        <v>3</v>
      </c>
      <c r="M1495" s="5">
        <v>99.93</v>
      </c>
      <c r="N1495" s="6">
        <v>0</v>
      </c>
      <c r="O1495" s="5">
        <v>0</v>
      </c>
      <c r="P1495" s="5">
        <v>44.97</v>
      </c>
      <c r="Q1495" s="5">
        <v>299.79</v>
      </c>
      <c r="R1495" s="5">
        <v>258.15</v>
      </c>
      <c r="S1495" s="5">
        <v>41.64</v>
      </c>
      <c r="T1495" s="7">
        <v>0.138897228059642</v>
      </c>
      <c r="U1495" t="s">
        <v>9</v>
      </c>
      <c r="V1495" t="s">
        <v>50</v>
      </c>
      <c r="W1495" t="s">
        <v>50</v>
      </c>
      <c r="X1495" t="s">
        <v>35</v>
      </c>
      <c r="Y1495" t="s">
        <v>2380</v>
      </c>
      <c r="Z1495" t="s">
        <v>101</v>
      </c>
    </row>
    <row r="1496" spans="1:26">
      <c r="A1496" t="s">
        <v>3478</v>
      </c>
      <c r="B1496" t="s">
        <v>3478</v>
      </c>
      <c r="C1496" s="4">
        <v>45941</v>
      </c>
      <c r="D1496">
        <v>2025</v>
      </c>
      <c r="E1496">
        <v>10</v>
      </c>
      <c r="F1496" t="s">
        <v>26</v>
      </c>
      <c r="G1496" t="s">
        <v>137</v>
      </c>
      <c r="H1496" t="s">
        <v>1732</v>
      </c>
      <c r="I1496" t="s">
        <v>2993</v>
      </c>
      <c r="J1496" t="s">
        <v>460</v>
      </c>
      <c r="K1496" t="s">
        <v>1952</v>
      </c>
      <c r="L1496">
        <v>3</v>
      </c>
      <c r="M1496" s="5">
        <v>414.29</v>
      </c>
      <c r="N1496" s="6">
        <v>10</v>
      </c>
      <c r="O1496" s="5">
        <v>124.29</v>
      </c>
      <c r="P1496" s="5">
        <v>167.79</v>
      </c>
      <c r="Q1496" s="5">
        <v>1286.37</v>
      </c>
      <c r="R1496" s="5">
        <v>942.78</v>
      </c>
      <c r="S1496" s="5">
        <v>343.59</v>
      </c>
      <c r="T1496" s="7">
        <v>0.267100445439493</v>
      </c>
      <c r="U1496" t="s">
        <v>14</v>
      </c>
      <c r="V1496" t="s">
        <v>50</v>
      </c>
      <c r="W1496" t="s">
        <v>50</v>
      </c>
      <c r="X1496" t="s">
        <v>33</v>
      </c>
      <c r="Y1496" t="s">
        <v>3479</v>
      </c>
      <c r="Z1496" t="s">
        <v>80</v>
      </c>
    </row>
    <row r="1497" spans="1:26">
      <c r="A1497" t="s">
        <v>3480</v>
      </c>
      <c r="B1497" t="s">
        <v>3480</v>
      </c>
      <c r="C1497" s="4">
        <v>46057</v>
      </c>
      <c r="D1497">
        <v>2026</v>
      </c>
      <c r="E1497">
        <v>2</v>
      </c>
      <c r="F1497" t="s">
        <v>31</v>
      </c>
      <c r="G1497" t="s">
        <v>82</v>
      </c>
      <c r="H1497" t="s">
        <v>1370</v>
      </c>
      <c r="I1497" t="s">
        <v>97</v>
      </c>
      <c r="J1497" t="s">
        <v>1133</v>
      </c>
      <c r="K1497" t="s">
        <v>1134</v>
      </c>
      <c r="L1497">
        <v>4</v>
      </c>
      <c r="M1497" s="5">
        <v>398.25</v>
      </c>
      <c r="N1497" s="6">
        <v>0</v>
      </c>
      <c r="O1497" s="5">
        <v>0</v>
      </c>
      <c r="P1497" s="5">
        <v>238.95</v>
      </c>
      <c r="Q1497" s="5">
        <v>1593</v>
      </c>
      <c r="R1497" s="5">
        <v>946.16</v>
      </c>
      <c r="S1497" s="5">
        <v>646.84</v>
      </c>
      <c r="T1497" s="7">
        <v>0.406051475204018</v>
      </c>
      <c r="U1497" t="s">
        <v>13</v>
      </c>
      <c r="V1497" t="s">
        <v>50</v>
      </c>
      <c r="W1497" t="s">
        <v>50</v>
      </c>
      <c r="X1497" t="s">
        <v>33</v>
      </c>
      <c r="Y1497" t="s">
        <v>686</v>
      </c>
      <c r="Z1497" t="s">
        <v>101</v>
      </c>
    </row>
    <row r="1498" spans="1:26">
      <c r="A1498" t="s">
        <v>3481</v>
      </c>
      <c r="B1498" t="s">
        <v>3481</v>
      </c>
      <c r="C1498" s="4">
        <v>45933</v>
      </c>
      <c r="D1498">
        <v>2025</v>
      </c>
      <c r="E1498">
        <v>10</v>
      </c>
      <c r="F1498" t="s">
        <v>26</v>
      </c>
      <c r="G1498" t="s">
        <v>137</v>
      </c>
      <c r="H1498" t="s">
        <v>2196</v>
      </c>
      <c r="I1498" t="s">
        <v>2120</v>
      </c>
      <c r="J1498" t="s">
        <v>1507</v>
      </c>
      <c r="K1498" t="s">
        <v>1664</v>
      </c>
      <c r="L1498">
        <v>3</v>
      </c>
      <c r="M1498" s="5">
        <v>392.68</v>
      </c>
      <c r="N1498" s="6">
        <v>0</v>
      </c>
      <c r="O1498" s="5">
        <v>0</v>
      </c>
      <c r="P1498" s="5">
        <v>176.71</v>
      </c>
      <c r="Q1498" s="5">
        <v>1178.04</v>
      </c>
      <c r="R1498" s="5">
        <v>957.15</v>
      </c>
      <c r="S1498" s="5">
        <v>220.89</v>
      </c>
      <c r="T1498" s="7">
        <v>0.18750636650708</v>
      </c>
      <c r="U1498" t="s">
        <v>13</v>
      </c>
      <c r="V1498" t="s">
        <v>50</v>
      </c>
      <c r="W1498" t="s">
        <v>50</v>
      </c>
      <c r="X1498" t="s">
        <v>35</v>
      </c>
      <c r="Y1498" t="s">
        <v>3482</v>
      </c>
      <c r="Z1498" t="s">
        <v>101</v>
      </c>
    </row>
    <row r="1499" spans="1:26">
      <c r="A1499" t="s">
        <v>3483</v>
      </c>
      <c r="B1499" t="s">
        <v>3483</v>
      </c>
      <c r="C1499" s="4">
        <v>46066</v>
      </c>
      <c r="D1499">
        <v>2026</v>
      </c>
      <c r="E1499">
        <v>2</v>
      </c>
      <c r="F1499" t="s">
        <v>31</v>
      </c>
      <c r="G1499" t="s">
        <v>82</v>
      </c>
      <c r="H1499" t="s">
        <v>605</v>
      </c>
      <c r="I1499" t="s">
        <v>2993</v>
      </c>
      <c r="J1499" t="s">
        <v>42</v>
      </c>
      <c r="K1499" t="s">
        <v>1191</v>
      </c>
      <c r="L1499">
        <v>3</v>
      </c>
      <c r="M1499" s="5">
        <v>461.27</v>
      </c>
      <c r="N1499" s="6">
        <v>5</v>
      </c>
      <c r="O1499" s="5">
        <v>69.19</v>
      </c>
      <c r="P1499" s="5">
        <v>197.19</v>
      </c>
      <c r="Q1499" s="5">
        <v>1314.62</v>
      </c>
      <c r="R1499" s="5">
        <v>942.78</v>
      </c>
      <c r="S1499" s="5">
        <v>371.84</v>
      </c>
      <c r="T1499" s="7">
        <v>0.282849796899484</v>
      </c>
      <c r="U1499" t="s">
        <v>13</v>
      </c>
      <c r="V1499" t="s">
        <v>50</v>
      </c>
      <c r="W1499" t="s">
        <v>50</v>
      </c>
      <c r="X1499" t="s">
        <v>35</v>
      </c>
      <c r="Y1499" t="s">
        <v>1046</v>
      </c>
      <c r="Z1499" t="s">
        <v>101</v>
      </c>
    </row>
    <row r="1500" spans="1:26">
      <c r="A1500" t="s">
        <v>3484</v>
      </c>
      <c r="B1500" t="s">
        <v>3484</v>
      </c>
      <c r="C1500" s="4">
        <v>45938</v>
      </c>
      <c r="D1500">
        <v>2025</v>
      </c>
      <c r="E1500">
        <v>10</v>
      </c>
      <c r="F1500" t="s">
        <v>26</v>
      </c>
      <c r="G1500" t="s">
        <v>137</v>
      </c>
      <c r="H1500" t="s">
        <v>2025</v>
      </c>
      <c r="I1500" t="s">
        <v>928</v>
      </c>
      <c r="J1500" t="s">
        <v>723</v>
      </c>
      <c r="K1500" t="s">
        <v>287</v>
      </c>
      <c r="L1500">
        <v>4</v>
      </c>
      <c r="M1500" s="5">
        <v>232.92</v>
      </c>
      <c r="N1500" s="6">
        <v>15</v>
      </c>
      <c r="O1500" s="5">
        <v>139.75</v>
      </c>
      <c r="P1500" s="5">
        <v>118.79</v>
      </c>
      <c r="Q1500" s="5">
        <v>791.93</v>
      </c>
      <c r="R1500" s="5">
        <v>769.64</v>
      </c>
      <c r="S1500" s="5">
        <v>22.29</v>
      </c>
      <c r="T1500" s="7">
        <v>0.0281464270832018</v>
      </c>
      <c r="U1500" t="s">
        <v>14</v>
      </c>
      <c r="V1500" t="s">
        <v>50</v>
      </c>
      <c r="W1500" t="s">
        <v>50</v>
      </c>
      <c r="X1500" t="s">
        <v>33</v>
      </c>
      <c r="Y1500" t="s">
        <v>3485</v>
      </c>
      <c r="Z1500" t="s">
        <v>101</v>
      </c>
    </row>
    <row r="1501" spans="1:26">
      <c r="A1501" t="s">
        <v>3486</v>
      </c>
      <c r="B1501" t="s">
        <v>3486</v>
      </c>
      <c r="C1501" s="4">
        <v>45906</v>
      </c>
      <c r="D1501">
        <v>2025</v>
      </c>
      <c r="E1501">
        <v>9</v>
      </c>
      <c r="F1501" t="s">
        <v>25</v>
      </c>
      <c r="G1501" t="s">
        <v>89</v>
      </c>
      <c r="H1501" t="s">
        <v>2407</v>
      </c>
      <c r="I1501" t="s">
        <v>417</v>
      </c>
      <c r="J1501" t="s">
        <v>121</v>
      </c>
      <c r="K1501" t="s">
        <v>2021</v>
      </c>
      <c r="L1501">
        <v>3</v>
      </c>
      <c r="M1501" s="5">
        <v>380.12</v>
      </c>
      <c r="N1501" s="6">
        <v>10</v>
      </c>
      <c r="O1501" s="5">
        <v>114.04</v>
      </c>
      <c r="P1501" s="5">
        <v>153.95</v>
      </c>
      <c r="Q1501" s="5">
        <v>1180.27</v>
      </c>
      <c r="R1501" s="5">
        <v>929.94</v>
      </c>
      <c r="S1501" s="5">
        <v>250.33</v>
      </c>
      <c r="T1501" s="7">
        <v>0.212095537461767</v>
      </c>
      <c r="U1501" t="s">
        <v>13</v>
      </c>
      <c r="V1501" t="s">
        <v>50</v>
      </c>
      <c r="W1501" t="s">
        <v>50</v>
      </c>
      <c r="X1501" t="s">
        <v>35</v>
      </c>
      <c r="Y1501" t="s">
        <v>2214</v>
      </c>
      <c r="Z1501" t="s">
        <v>80</v>
      </c>
    </row>
    <row r="1502" spans="1:26">
      <c r="A1502" t="s">
        <v>3487</v>
      </c>
      <c r="B1502" t="s">
        <v>3487</v>
      </c>
      <c r="C1502" s="4">
        <v>45958</v>
      </c>
      <c r="D1502">
        <v>2025</v>
      </c>
      <c r="E1502">
        <v>10</v>
      </c>
      <c r="F1502" t="s">
        <v>26</v>
      </c>
      <c r="G1502" t="s">
        <v>137</v>
      </c>
      <c r="H1502" t="s">
        <v>2794</v>
      </c>
      <c r="I1502" t="s">
        <v>395</v>
      </c>
      <c r="J1502" t="s">
        <v>1834</v>
      </c>
      <c r="K1502" t="s">
        <v>1835</v>
      </c>
      <c r="L1502">
        <v>1</v>
      </c>
      <c r="M1502" s="5">
        <v>446.17</v>
      </c>
      <c r="N1502" s="6">
        <v>0</v>
      </c>
      <c r="O1502" s="5">
        <v>0</v>
      </c>
      <c r="P1502" s="5">
        <v>66.93</v>
      </c>
      <c r="Q1502" s="5">
        <v>446.17</v>
      </c>
      <c r="R1502" s="5">
        <v>325.61</v>
      </c>
      <c r="S1502" s="5">
        <v>120.56</v>
      </c>
      <c r="T1502" s="7">
        <v>0.270210906156846</v>
      </c>
      <c r="U1502" t="s">
        <v>12</v>
      </c>
      <c r="V1502" t="s">
        <v>50</v>
      </c>
      <c r="W1502" t="s">
        <v>50</v>
      </c>
      <c r="X1502" t="s">
        <v>33</v>
      </c>
      <c r="Y1502" t="s">
        <v>2568</v>
      </c>
      <c r="Z1502" t="s">
        <v>101</v>
      </c>
    </row>
    <row r="1503" spans="1:26">
      <c r="A1503" t="s">
        <v>3488</v>
      </c>
      <c r="B1503" t="s">
        <v>3488</v>
      </c>
      <c r="C1503" s="4">
        <v>46077</v>
      </c>
      <c r="D1503">
        <v>2026</v>
      </c>
      <c r="E1503">
        <v>2</v>
      </c>
      <c r="F1503" t="s">
        <v>31</v>
      </c>
      <c r="G1503" t="s">
        <v>82</v>
      </c>
      <c r="H1503" t="s">
        <v>1054</v>
      </c>
      <c r="I1503" t="s">
        <v>344</v>
      </c>
      <c r="J1503" t="s">
        <v>220</v>
      </c>
      <c r="K1503" t="s">
        <v>3489</v>
      </c>
      <c r="L1503">
        <v>3</v>
      </c>
      <c r="M1503" s="5">
        <v>548.71</v>
      </c>
      <c r="N1503" s="6">
        <v>0</v>
      </c>
      <c r="O1503" s="5">
        <v>0</v>
      </c>
      <c r="P1503" s="5">
        <v>246.92</v>
      </c>
      <c r="Q1503" s="5">
        <v>1646.13</v>
      </c>
      <c r="R1503" s="5">
        <v>1089.87</v>
      </c>
      <c r="S1503" s="5">
        <v>556.26</v>
      </c>
      <c r="T1503" s="7">
        <v>0.337919848371635</v>
      </c>
      <c r="U1503" t="s">
        <v>13</v>
      </c>
      <c r="V1503" t="s">
        <v>51</v>
      </c>
      <c r="W1503" t="s">
        <v>51</v>
      </c>
      <c r="X1503" t="s">
        <v>33</v>
      </c>
      <c r="Y1503" t="s">
        <v>2009</v>
      </c>
      <c r="Z1503" t="s">
        <v>101</v>
      </c>
    </row>
    <row r="1504" spans="1:26">
      <c r="A1504" t="s">
        <v>3490</v>
      </c>
      <c r="B1504" t="s">
        <v>3490</v>
      </c>
      <c r="C1504" s="4">
        <v>46018</v>
      </c>
      <c r="D1504">
        <v>2025</v>
      </c>
      <c r="E1504">
        <v>12</v>
      </c>
      <c r="F1504" t="s">
        <v>28</v>
      </c>
      <c r="G1504" t="s">
        <v>137</v>
      </c>
      <c r="H1504" t="s">
        <v>2085</v>
      </c>
      <c r="I1504" t="s">
        <v>97</v>
      </c>
      <c r="J1504" t="s">
        <v>1381</v>
      </c>
      <c r="K1504" t="s">
        <v>1382</v>
      </c>
      <c r="L1504">
        <v>7</v>
      </c>
      <c r="M1504" s="5">
        <v>441.15</v>
      </c>
      <c r="N1504" s="6">
        <v>0</v>
      </c>
      <c r="O1504" s="5">
        <v>0</v>
      </c>
      <c r="P1504" s="5">
        <v>463.21</v>
      </c>
      <c r="Q1504" s="5">
        <v>3551.26</v>
      </c>
      <c r="R1504" s="5">
        <v>1655.78</v>
      </c>
      <c r="S1504" s="5">
        <v>1895.48</v>
      </c>
      <c r="T1504" s="7">
        <v>0.533748585009264</v>
      </c>
      <c r="U1504" t="s">
        <v>13</v>
      </c>
      <c r="V1504" t="s">
        <v>50</v>
      </c>
      <c r="W1504" t="s">
        <v>50</v>
      </c>
      <c r="X1504" t="s">
        <v>33</v>
      </c>
      <c r="Y1504" t="s">
        <v>248</v>
      </c>
      <c r="Z1504" t="s">
        <v>80</v>
      </c>
    </row>
    <row r="1505" spans="1:26">
      <c r="A1505" t="s">
        <v>3491</v>
      </c>
      <c r="B1505" t="s">
        <v>3491</v>
      </c>
      <c r="C1505" s="4">
        <v>45990</v>
      </c>
      <c r="D1505">
        <v>2025</v>
      </c>
      <c r="E1505">
        <v>11</v>
      </c>
      <c r="F1505" t="s">
        <v>27</v>
      </c>
      <c r="G1505" t="s">
        <v>137</v>
      </c>
      <c r="H1505" t="s">
        <v>2281</v>
      </c>
      <c r="I1505" t="s">
        <v>139</v>
      </c>
      <c r="J1505" t="s">
        <v>509</v>
      </c>
      <c r="K1505" t="s">
        <v>510</v>
      </c>
      <c r="L1505">
        <v>4</v>
      </c>
      <c r="M1505" s="5">
        <v>38.66</v>
      </c>
      <c r="N1505" s="6">
        <v>0</v>
      </c>
      <c r="O1505" s="5">
        <v>0</v>
      </c>
      <c r="P1505" s="5">
        <v>23.2</v>
      </c>
      <c r="Q1505" s="5">
        <v>177.84</v>
      </c>
      <c r="R1505" s="5">
        <v>129.6</v>
      </c>
      <c r="S1505" s="5">
        <v>48.24</v>
      </c>
      <c r="T1505" s="7">
        <v>0.271255060728745</v>
      </c>
      <c r="U1505" t="s">
        <v>11</v>
      </c>
      <c r="V1505" t="s">
        <v>50</v>
      </c>
      <c r="W1505" t="s">
        <v>50</v>
      </c>
      <c r="X1505" t="s">
        <v>33</v>
      </c>
      <c r="Y1505" t="s">
        <v>589</v>
      </c>
      <c r="Z1505" t="s">
        <v>80</v>
      </c>
    </row>
    <row r="1506" spans="1:26">
      <c r="A1506" t="s">
        <v>3492</v>
      </c>
      <c r="B1506" t="s">
        <v>3492</v>
      </c>
      <c r="C1506" s="4">
        <v>46075</v>
      </c>
      <c r="D1506">
        <v>2026</v>
      </c>
      <c r="E1506">
        <v>2</v>
      </c>
      <c r="F1506" t="s">
        <v>31</v>
      </c>
      <c r="G1506" t="s">
        <v>82</v>
      </c>
      <c r="H1506" t="s">
        <v>622</v>
      </c>
      <c r="I1506" t="s">
        <v>592</v>
      </c>
      <c r="J1506" t="s">
        <v>482</v>
      </c>
      <c r="K1506" t="s">
        <v>523</v>
      </c>
      <c r="L1506">
        <v>7</v>
      </c>
      <c r="M1506" s="5">
        <v>228.59</v>
      </c>
      <c r="N1506" s="6">
        <v>10</v>
      </c>
      <c r="O1506" s="5">
        <v>160.01</v>
      </c>
      <c r="P1506" s="5">
        <v>216.02</v>
      </c>
      <c r="Q1506" s="5">
        <v>1656.14</v>
      </c>
      <c r="R1506" s="5">
        <v>1275.19</v>
      </c>
      <c r="S1506" s="5">
        <v>380.95</v>
      </c>
      <c r="T1506" s="7">
        <v>0.230022824157378</v>
      </c>
      <c r="U1506" t="s">
        <v>11</v>
      </c>
      <c r="V1506" t="s">
        <v>50</v>
      </c>
      <c r="W1506" t="s">
        <v>50</v>
      </c>
      <c r="X1506" t="s">
        <v>34</v>
      </c>
      <c r="Y1506" t="s">
        <v>3493</v>
      </c>
      <c r="Z1506" t="s">
        <v>80</v>
      </c>
    </row>
    <row r="1507" spans="1:26">
      <c r="A1507" t="s">
        <v>3494</v>
      </c>
      <c r="B1507" t="s">
        <v>3494</v>
      </c>
      <c r="C1507" s="4">
        <v>45961</v>
      </c>
      <c r="D1507">
        <v>2025</v>
      </c>
      <c r="E1507">
        <v>10</v>
      </c>
      <c r="F1507" t="s">
        <v>26</v>
      </c>
      <c r="G1507" t="s">
        <v>137</v>
      </c>
      <c r="H1507" t="s">
        <v>425</v>
      </c>
      <c r="I1507" t="s">
        <v>587</v>
      </c>
      <c r="J1507" t="s">
        <v>44</v>
      </c>
      <c r="K1507" t="s">
        <v>518</v>
      </c>
      <c r="L1507">
        <v>7</v>
      </c>
      <c r="M1507" s="5">
        <v>435.89</v>
      </c>
      <c r="N1507" s="6">
        <v>15</v>
      </c>
      <c r="O1507" s="5">
        <v>457.68</v>
      </c>
      <c r="P1507" s="5">
        <v>389.03</v>
      </c>
      <c r="Q1507" s="5">
        <v>2593.55</v>
      </c>
      <c r="R1507" s="5">
        <v>1929.69</v>
      </c>
      <c r="S1507" s="5">
        <v>663.86</v>
      </c>
      <c r="T1507" s="7">
        <v>0.255965761215323</v>
      </c>
      <c r="U1507" t="s">
        <v>13</v>
      </c>
      <c r="V1507" t="s">
        <v>51</v>
      </c>
      <c r="W1507" t="s">
        <v>51</v>
      </c>
      <c r="X1507" t="s">
        <v>33</v>
      </c>
      <c r="Y1507" t="s">
        <v>678</v>
      </c>
      <c r="Z1507" t="s">
        <v>101</v>
      </c>
    </row>
    <row r="1508" spans="1:26">
      <c r="A1508" t="s">
        <v>3495</v>
      </c>
      <c r="B1508" t="s">
        <v>3495</v>
      </c>
      <c r="C1508" s="4">
        <v>46005</v>
      </c>
      <c r="D1508">
        <v>2025</v>
      </c>
      <c r="E1508">
        <v>12</v>
      </c>
      <c r="F1508" t="s">
        <v>28</v>
      </c>
      <c r="G1508" t="s">
        <v>137</v>
      </c>
      <c r="H1508" t="s">
        <v>230</v>
      </c>
      <c r="I1508" t="s">
        <v>97</v>
      </c>
      <c r="J1508" t="s">
        <v>191</v>
      </c>
      <c r="K1508" t="s">
        <v>499</v>
      </c>
      <c r="L1508">
        <v>7</v>
      </c>
      <c r="M1508" s="5">
        <v>426.71</v>
      </c>
      <c r="N1508" s="6">
        <v>10</v>
      </c>
      <c r="O1508" s="5">
        <v>298.7</v>
      </c>
      <c r="P1508" s="5">
        <v>403.24</v>
      </c>
      <c r="Q1508" s="5">
        <v>3091.51</v>
      </c>
      <c r="R1508" s="5">
        <v>1655.78</v>
      </c>
      <c r="S1508" s="5">
        <v>1435.73</v>
      </c>
      <c r="T1508" s="7">
        <v>0.464410595469528</v>
      </c>
      <c r="U1508" t="s">
        <v>13</v>
      </c>
      <c r="V1508" t="s">
        <v>50</v>
      </c>
      <c r="W1508" t="s">
        <v>50</v>
      </c>
      <c r="X1508" t="s">
        <v>35</v>
      </c>
      <c r="Y1508" t="s">
        <v>1246</v>
      </c>
      <c r="Z1508" t="s">
        <v>80</v>
      </c>
    </row>
    <row r="1509" spans="1:26">
      <c r="A1509" t="s">
        <v>3496</v>
      </c>
      <c r="B1509" t="s">
        <v>3496</v>
      </c>
      <c r="C1509" s="4">
        <v>45919</v>
      </c>
      <c r="D1509">
        <v>2025</v>
      </c>
      <c r="E1509">
        <v>9</v>
      </c>
      <c r="F1509" t="s">
        <v>25</v>
      </c>
      <c r="G1509" t="s">
        <v>89</v>
      </c>
      <c r="H1509" t="s">
        <v>2163</v>
      </c>
      <c r="I1509" t="s">
        <v>245</v>
      </c>
      <c r="J1509" t="s">
        <v>47</v>
      </c>
      <c r="K1509" t="s">
        <v>1197</v>
      </c>
      <c r="L1509">
        <v>6</v>
      </c>
      <c r="M1509" s="5">
        <v>124.54</v>
      </c>
      <c r="N1509" s="6">
        <v>0</v>
      </c>
      <c r="O1509" s="5">
        <v>0</v>
      </c>
      <c r="P1509" s="5">
        <v>112.09</v>
      </c>
      <c r="Q1509" s="5">
        <v>747.24</v>
      </c>
      <c r="R1509" s="5">
        <v>653.52</v>
      </c>
      <c r="S1509" s="5">
        <v>93.72</v>
      </c>
      <c r="T1509" s="7">
        <v>0.125421551308816</v>
      </c>
      <c r="U1509" t="s">
        <v>13</v>
      </c>
      <c r="V1509" t="s">
        <v>50</v>
      </c>
      <c r="W1509" t="s">
        <v>50</v>
      </c>
      <c r="X1509" t="s">
        <v>33</v>
      </c>
      <c r="Y1509" t="s">
        <v>788</v>
      </c>
      <c r="Z1509" t="s">
        <v>101</v>
      </c>
    </row>
    <row r="1510" spans="1:26">
      <c r="A1510" t="s">
        <v>3497</v>
      </c>
      <c r="B1510" t="s">
        <v>3497</v>
      </c>
      <c r="C1510" s="4">
        <v>45810</v>
      </c>
      <c r="D1510">
        <v>2025</v>
      </c>
      <c r="E1510">
        <v>6</v>
      </c>
      <c r="F1510" t="s">
        <v>22</v>
      </c>
      <c r="G1510" t="s">
        <v>74</v>
      </c>
      <c r="H1510" t="s">
        <v>738</v>
      </c>
      <c r="I1510" t="s">
        <v>262</v>
      </c>
      <c r="J1510" t="s">
        <v>307</v>
      </c>
      <c r="K1510" t="s">
        <v>308</v>
      </c>
      <c r="L1510">
        <v>4</v>
      </c>
      <c r="M1510" s="5">
        <v>169.91</v>
      </c>
      <c r="N1510" s="6">
        <v>0</v>
      </c>
      <c r="O1510" s="5">
        <v>0</v>
      </c>
      <c r="P1510" s="5">
        <v>101.95</v>
      </c>
      <c r="Q1510" s="5">
        <v>679.64</v>
      </c>
      <c r="R1510" s="5">
        <v>451.2</v>
      </c>
      <c r="S1510" s="5">
        <v>228.44</v>
      </c>
      <c r="T1510" s="7">
        <v>0.336119121888058</v>
      </c>
      <c r="U1510" t="s">
        <v>10</v>
      </c>
      <c r="V1510" t="s">
        <v>50</v>
      </c>
      <c r="W1510" t="s">
        <v>50</v>
      </c>
      <c r="X1510" t="s">
        <v>33</v>
      </c>
      <c r="Y1510" t="s">
        <v>2375</v>
      </c>
      <c r="Z1510" t="s">
        <v>101</v>
      </c>
    </row>
    <row r="1511" spans="1:26">
      <c r="A1511" t="s">
        <v>3498</v>
      </c>
      <c r="B1511" t="s">
        <v>3498</v>
      </c>
      <c r="C1511" s="4">
        <v>45879</v>
      </c>
      <c r="D1511">
        <v>2025</v>
      </c>
      <c r="E1511">
        <v>8</v>
      </c>
      <c r="F1511" t="s">
        <v>24</v>
      </c>
      <c r="G1511" t="s">
        <v>89</v>
      </c>
      <c r="H1511" t="s">
        <v>1426</v>
      </c>
      <c r="I1511" t="s">
        <v>1132</v>
      </c>
      <c r="J1511" t="s">
        <v>558</v>
      </c>
      <c r="K1511" t="s">
        <v>559</v>
      </c>
      <c r="L1511">
        <v>2</v>
      </c>
      <c r="M1511" s="5">
        <v>297.32</v>
      </c>
      <c r="N1511" s="6">
        <v>0</v>
      </c>
      <c r="O1511" s="5">
        <v>0</v>
      </c>
      <c r="P1511" s="5">
        <v>89.2</v>
      </c>
      <c r="Q1511" s="5">
        <v>683.84</v>
      </c>
      <c r="R1511" s="5">
        <v>450.56</v>
      </c>
      <c r="S1511" s="5">
        <v>233.28</v>
      </c>
      <c r="T1511" s="7">
        <v>0.341132428638278</v>
      </c>
      <c r="U1511" t="s">
        <v>10</v>
      </c>
      <c r="V1511" t="s">
        <v>50</v>
      </c>
      <c r="W1511" t="s">
        <v>50</v>
      </c>
      <c r="X1511" t="s">
        <v>34</v>
      </c>
      <c r="Y1511" t="s">
        <v>2854</v>
      </c>
      <c r="Z1511" t="s">
        <v>80</v>
      </c>
    </row>
    <row r="1512" spans="1:26">
      <c r="A1512" t="s">
        <v>3499</v>
      </c>
      <c r="B1512" t="s">
        <v>3499</v>
      </c>
      <c r="C1512" s="4">
        <v>45913</v>
      </c>
      <c r="D1512">
        <v>2025</v>
      </c>
      <c r="E1512">
        <v>9</v>
      </c>
      <c r="F1512" t="s">
        <v>25</v>
      </c>
      <c r="G1512" t="s">
        <v>89</v>
      </c>
      <c r="H1512" t="s">
        <v>635</v>
      </c>
      <c r="I1512" t="s">
        <v>1714</v>
      </c>
      <c r="J1512" t="s">
        <v>610</v>
      </c>
      <c r="K1512" t="s">
        <v>1835</v>
      </c>
      <c r="L1512">
        <v>1</v>
      </c>
      <c r="M1512" s="5">
        <v>342.27</v>
      </c>
      <c r="N1512" s="6">
        <v>20</v>
      </c>
      <c r="O1512" s="5">
        <v>68.45</v>
      </c>
      <c r="P1512" s="5">
        <v>41.07</v>
      </c>
      <c r="Q1512" s="5">
        <v>314.89</v>
      </c>
      <c r="R1512" s="5">
        <v>266.1</v>
      </c>
      <c r="S1512" s="5">
        <v>48.79</v>
      </c>
      <c r="T1512" s="7">
        <v>0.154942995966846</v>
      </c>
      <c r="U1512" t="s">
        <v>13</v>
      </c>
      <c r="V1512" t="s">
        <v>50</v>
      </c>
      <c r="W1512" t="s">
        <v>50</v>
      </c>
      <c r="X1512" t="s">
        <v>34</v>
      </c>
      <c r="Y1512" t="s">
        <v>2435</v>
      </c>
      <c r="Z1512" t="s">
        <v>80</v>
      </c>
    </row>
    <row r="1513" spans="1:26">
      <c r="A1513" t="s">
        <v>3500</v>
      </c>
      <c r="B1513" t="s">
        <v>3500</v>
      </c>
      <c r="C1513" s="4">
        <v>45976</v>
      </c>
      <c r="D1513">
        <v>2025</v>
      </c>
      <c r="E1513">
        <v>11</v>
      </c>
      <c r="F1513" t="s">
        <v>27</v>
      </c>
      <c r="G1513" t="s">
        <v>137</v>
      </c>
      <c r="H1513" t="s">
        <v>3248</v>
      </c>
      <c r="I1513" t="s">
        <v>423</v>
      </c>
      <c r="J1513" t="s">
        <v>152</v>
      </c>
      <c r="K1513" t="s">
        <v>153</v>
      </c>
      <c r="L1513">
        <v>4</v>
      </c>
      <c r="M1513" s="5">
        <v>53.39</v>
      </c>
      <c r="N1513" s="6">
        <v>0</v>
      </c>
      <c r="O1513" s="5">
        <v>0</v>
      </c>
      <c r="P1513" s="5">
        <v>32.03</v>
      </c>
      <c r="Q1513" s="5">
        <v>245.59</v>
      </c>
      <c r="R1513" s="5">
        <v>172.04</v>
      </c>
      <c r="S1513" s="5">
        <v>73.55</v>
      </c>
      <c r="T1513" s="7">
        <v>0.299482877967344</v>
      </c>
      <c r="U1513" t="s">
        <v>10</v>
      </c>
      <c r="V1513" t="s">
        <v>50</v>
      </c>
      <c r="W1513" t="s">
        <v>50</v>
      </c>
      <c r="X1513" t="s">
        <v>33</v>
      </c>
      <c r="Y1513" t="s">
        <v>2034</v>
      </c>
      <c r="Z1513" t="s">
        <v>80</v>
      </c>
    </row>
    <row r="1514" spans="1:26">
      <c r="A1514" t="s">
        <v>3501</v>
      </c>
      <c r="B1514" t="s">
        <v>3501</v>
      </c>
      <c r="C1514" s="4">
        <v>45779</v>
      </c>
      <c r="D1514">
        <v>2025</v>
      </c>
      <c r="E1514">
        <v>5</v>
      </c>
      <c r="F1514" t="s">
        <v>21</v>
      </c>
      <c r="G1514" t="s">
        <v>74</v>
      </c>
      <c r="H1514" t="s">
        <v>1963</v>
      </c>
      <c r="I1514" t="s">
        <v>933</v>
      </c>
      <c r="J1514" t="s">
        <v>1219</v>
      </c>
      <c r="K1514" t="s">
        <v>441</v>
      </c>
      <c r="L1514">
        <v>5</v>
      </c>
      <c r="M1514" s="5">
        <v>442.09</v>
      </c>
      <c r="N1514" s="6">
        <v>20</v>
      </c>
      <c r="O1514" s="5">
        <v>442.09</v>
      </c>
      <c r="P1514" s="5">
        <v>265.25</v>
      </c>
      <c r="Q1514" s="5">
        <v>1768.36</v>
      </c>
      <c r="R1514" s="5">
        <v>1787.35</v>
      </c>
      <c r="S1514" s="5">
        <v>-18.99</v>
      </c>
      <c r="T1514" s="7">
        <v>-0.0107387636001719</v>
      </c>
      <c r="U1514" t="s">
        <v>12</v>
      </c>
      <c r="V1514" t="s">
        <v>50</v>
      </c>
      <c r="W1514" t="s">
        <v>50</v>
      </c>
      <c r="X1514" t="s">
        <v>33</v>
      </c>
      <c r="Y1514" t="s">
        <v>1626</v>
      </c>
      <c r="Z1514" t="s">
        <v>101</v>
      </c>
    </row>
    <row r="1515" spans="1:26">
      <c r="A1515" t="s">
        <v>3502</v>
      </c>
      <c r="B1515" t="s">
        <v>3502</v>
      </c>
      <c r="C1515" s="4">
        <v>45759</v>
      </c>
      <c r="D1515">
        <v>2025</v>
      </c>
      <c r="E1515">
        <v>4</v>
      </c>
      <c r="F1515" t="s">
        <v>20</v>
      </c>
      <c r="G1515" t="s">
        <v>74</v>
      </c>
      <c r="H1515" t="s">
        <v>2178</v>
      </c>
      <c r="I1515" t="s">
        <v>139</v>
      </c>
      <c r="J1515" t="s">
        <v>445</v>
      </c>
      <c r="K1515" t="s">
        <v>446</v>
      </c>
      <c r="L1515">
        <v>3</v>
      </c>
      <c r="M1515" s="5">
        <v>38.66</v>
      </c>
      <c r="N1515" s="6">
        <v>0</v>
      </c>
      <c r="O1515" s="5">
        <v>0</v>
      </c>
      <c r="P1515" s="5">
        <v>17.4</v>
      </c>
      <c r="Q1515" s="5">
        <v>133.38</v>
      </c>
      <c r="R1515" s="5">
        <v>97.2</v>
      </c>
      <c r="S1515" s="5">
        <v>36.18</v>
      </c>
      <c r="T1515" s="7">
        <v>0.271255060728745</v>
      </c>
      <c r="U1515" t="s">
        <v>12</v>
      </c>
      <c r="V1515" t="s">
        <v>50</v>
      </c>
      <c r="W1515" t="s">
        <v>50</v>
      </c>
      <c r="X1515" t="s">
        <v>33</v>
      </c>
      <c r="Y1515" t="s">
        <v>3503</v>
      </c>
      <c r="Z1515" t="s">
        <v>80</v>
      </c>
    </row>
    <row r="1516" spans="1:26">
      <c r="A1516" t="s">
        <v>3504</v>
      </c>
      <c r="B1516" t="s">
        <v>3504</v>
      </c>
      <c r="C1516" s="4">
        <v>46002</v>
      </c>
      <c r="D1516">
        <v>2025</v>
      </c>
      <c r="E1516">
        <v>12</v>
      </c>
      <c r="F1516" t="s">
        <v>28</v>
      </c>
      <c r="G1516" t="s">
        <v>137</v>
      </c>
      <c r="H1516" t="s">
        <v>3505</v>
      </c>
      <c r="I1516" t="s">
        <v>116</v>
      </c>
      <c r="J1516" t="s">
        <v>955</v>
      </c>
      <c r="K1516" t="s">
        <v>704</v>
      </c>
      <c r="L1516">
        <v>4</v>
      </c>
      <c r="M1516" s="5">
        <v>172.63</v>
      </c>
      <c r="N1516" s="6">
        <v>10</v>
      </c>
      <c r="O1516" s="5">
        <v>69.05</v>
      </c>
      <c r="P1516" s="5">
        <v>93.22</v>
      </c>
      <c r="Q1516" s="5">
        <v>621.47</v>
      </c>
      <c r="R1516" s="5">
        <v>568</v>
      </c>
      <c r="S1516" s="5">
        <v>53.47</v>
      </c>
      <c r="T1516" s="7">
        <v>0.0860379422980997</v>
      </c>
      <c r="U1516" t="s">
        <v>13</v>
      </c>
      <c r="V1516" t="s">
        <v>50</v>
      </c>
      <c r="W1516" t="s">
        <v>50</v>
      </c>
      <c r="X1516" t="s">
        <v>33</v>
      </c>
      <c r="Y1516" t="s">
        <v>3506</v>
      </c>
      <c r="Z1516" t="s">
        <v>101</v>
      </c>
    </row>
    <row r="1517" spans="1:26">
      <c r="A1517" t="s">
        <v>3507</v>
      </c>
      <c r="B1517" t="s">
        <v>3507</v>
      </c>
      <c r="C1517" s="4">
        <v>45844</v>
      </c>
      <c r="D1517">
        <v>2025</v>
      </c>
      <c r="E1517">
        <v>7</v>
      </c>
      <c r="F1517" t="s">
        <v>23</v>
      </c>
      <c r="G1517" t="s">
        <v>89</v>
      </c>
      <c r="H1517" t="s">
        <v>469</v>
      </c>
      <c r="I1517" t="s">
        <v>514</v>
      </c>
      <c r="J1517" t="s">
        <v>307</v>
      </c>
      <c r="K1517" t="s">
        <v>554</v>
      </c>
      <c r="L1517">
        <v>1</v>
      </c>
      <c r="M1517" s="5">
        <v>589.75</v>
      </c>
      <c r="N1517" s="6">
        <v>0</v>
      </c>
      <c r="O1517" s="5">
        <v>0</v>
      </c>
      <c r="P1517" s="5">
        <v>88.46</v>
      </c>
      <c r="Q1517" s="5">
        <v>678.21</v>
      </c>
      <c r="R1517" s="5">
        <v>343.65</v>
      </c>
      <c r="S1517" s="5">
        <v>334.56</v>
      </c>
      <c r="T1517" s="7">
        <v>0.493298535851727</v>
      </c>
      <c r="U1517" t="s">
        <v>9</v>
      </c>
      <c r="V1517" t="s">
        <v>50</v>
      </c>
      <c r="W1517" t="s">
        <v>50</v>
      </c>
      <c r="X1517" t="s">
        <v>33</v>
      </c>
      <c r="Y1517" t="s">
        <v>2792</v>
      </c>
      <c r="Z1517" t="s">
        <v>80</v>
      </c>
    </row>
    <row r="1518" spans="1:26">
      <c r="A1518" t="s">
        <v>3508</v>
      </c>
      <c r="B1518" t="s">
        <v>3508</v>
      </c>
      <c r="C1518" s="4">
        <v>46047</v>
      </c>
      <c r="D1518">
        <v>2026</v>
      </c>
      <c r="E1518">
        <v>1</v>
      </c>
      <c r="F1518" t="s">
        <v>30</v>
      </c>
      <c r="G1518" t="s">
        <v>82</v>
      </c>
      <c r="H1518" t="s">
        <v>886</v>
      </c>
      <c r="I1518" t="s">
        <v>207</v>
      </c>
      <c r="J1518" t="s">
        <v>43</v>
      </c>
      <c r="K1518" t="s">
        <v>934</v>
      </c>
      <c r="L1518">
        <v>5</v>
      </c>
      <c r="M1518" s="5">
        <v>306.62</v>
      </c>
      <c r="N1518" s="6">
        <v>15</v>
      </c>
      <c r="O1518" s="5">
        <v>229.97</v>
      </c>
      <c r="P1518" s="5">
        <v>195.47</v>
      </c>
      <c r="Q1518" s="5">
        <v>1498.6</v>
      </c>
      <c r="R1518" s="5">
        <v>1299.65</v>
      </c>
      <c r="S1518" s="5">
        <v>198.95</v>
      </c>
      <c r="T1518" s="7">
        <v>0.132757240090751</v>
      </c>
      <c r="U1518" t="s">
        <v>10</v>
      </c>
      <c r="V1518" t="s">
        <v>50</v>
      </c>
      <c r="W1518" t="s">
        <v>50</v>
      </c>
      <c r="X1518" t="s">
        <v>33</v>
      </c>
      <c r="Y1518" t="s">
        <v>1620</v>
      </c>
      <c r="Z1518" t="s">
        <v>80</v>
      </c>
    </row>
    <row r="1519" spans="1:26">
      <c r="A1519" t="s">
        <v>3509</v>
      </c>
      <c r="B1519" t="s">
        <v>3509</v>
      </c>
      <c r="C1519" s="4">
        <v>45786</v>
      </c>
      <c r="D1519">
        <v>2025</v>
      </c>
      <c r="E1519">
        <v>5</v>
      </c>
      <c r="F1519" t="s">
        <v>21</v>
      </c>
      <c r="G1519" t="s">
        <v>74</v>
      </c>
      <c r="H1519" t="s">
        <v>2141</v>
      </c>
      <c r="I1519" t="s">
        <v>84</v>
      </c>
      <c r="J1519" t="s">
        <v>396</v>
      </c>
      <c r="K1519" t="s">
        <v>1297</v>
      </c>
      <c r="L1519">
        <v>3</v>
      </c>
      <c r="M1519" s="5">
        <v>448.94</v>
      </c>
      <c r="N1519" s="6">
        <v>10</v>
      </c>
      <c r="O1519" s="5">
        <v>134.68</v>
      </c>
      <c r="P1519" s="5">
        <v>181.82</v>
      </c>
      <c r="Q1519" s="5">
        <v>1212.14</v>
      </c>
      <c r="R1519" s="5">
        <v>1140.24</v>
      </c>
      <c r="S1519" s="5">
        <v>71.9</v>
      </c>
      <c r="T1519" s="7">
        <v>0.0593165805930008</v>
      </c>
      <c r="U1519" t="s">
        <v>11</v>
      </c>
      <c r="V1519" t="s">
        <v>50</v>
      </c>
      <c r="W1519" t="s">
        <v>50</v>
      </c>
      <c r="X1519" t="s">
        <v>33</v>
      </c>
      <c r="Y1519" t="s">
        <v>1383</v>
      </c>
      <c r="Z1519" t="s">
        <v>101</v>
      </c>
    </row>
    <row r="1520" spans="1:26">
      <c r="A1520" t="s">
        <v>3510</v>
      </c>
      <c r="B1520" t="s">
        <v>3510</v>
      </c>
      <c r="C1520" s="4">
        <v>45962</v>
      </c>
      <c r="D1520">
        <v>2025</v>
      </c>
      <c r="E1520">
        <v>11</v>
      </c>
      <c r="F1520" t="s">
        <v>27</v>
      </c>
      <c r="G1520" t="s">
        <v>137</v>
      </c>
      <c r="H1520" t="s">
        <v>2698</v>
      </c>
      <c r="I1520" t="s">
        <v>2120</v>
      </c>
      <c r="J1520" t="s">
        <v>1718</v>
      </c>
      <c r="K1520" t="s">
        <v>3511</v>
      </c>
      <c r="L1520">
        <v>4</v>
      </c>
      <c r="M1520" s="5">
        <v>404.15</v>
      </c>
      <c r="N1520" s="6">
        <v>0</v>
      </c>
      <c r="O1520" s="5">
        <v>0</v>
      </c>
      <c r="P1520" s="5">
        <v>242.49</v>
      </c>
      <c r="Q1520" s="5">
        <v>1859.09</v>
      </c>
      <c r="R1520" s="5">
        <v>1276.2</v>
      </c>
      <c r="S1520" s="5">
        <v>582.89</v>
      </c>
      <c r="T1520" s="7">
        <v>0.313535116643089</v>
      </c>
      <c r="U1520" t="s">
        <v>12</v>
      </c>
      <c r="V1520" t="s">
        <v>50</v>
      </c>
      <c r="W1520" t="s">
        <v>50</v>
      </c>
      <c r="X1520" t="s">
        <v>33</v>
      </c>
      <c r="Y1520" t="s">
        <v>3512</v>
      </c>
      <c r="Z1520" t="s">
        <v>80</v>
      </c>
    </row>
    <row r="1521" spans="1:26">
      <c r="A1521" t="s">
        <v>3513</v>
      </c>
      <c r="B1521" t="s">
        <v>3513</v>
      </c>
      <c r="C1521" s="4">
        <v>46091</v>
      </c>
      <c r="D1521">
        <v>2026</v>
      </c>
      <c r="E1521">
        <v>3</v>
      </c>
      <c r="F1521" t="s">
        <v>19</v>
      </c>
      <c r="G1521" t="s">
        <v>82</v>
      </c>
      <c r="H1521" t="s">
        <v>2002</v>
      </c>
      <c r="I1521" t="s">
        <v>290</v>
      </c>
      <c r="J1521" t="s">
        <v>1485</v>
      </c>
      <c r="K1521" t="s">
        <v>1486</v>
      </c>
      <c r="L1521">
        <v>3</v>
      </c>
      <c r="M1521" s="5">
        <v>82.31</v>
      </c>
      <c r="N1521" s="6">
        <v>0</v>
      </c>
      <c r="O1521" s="5">
        <v>0</v>
      </c>
      <c r="P1521" s="5">
        <v>37.04</v>
      </c>
      <c r="Q1521" s="5">
        <v>246.93</v>
      </c>
      <c r="R1521" s="5">
        <v>186.75</v>
      </c>
      <c r="S1521" s="5">
        <v>60.18</v>
      </c>
      <c r="T1521" s="7">
        <v>0.243712793099259</v>
      </c>
      <c r="U1521" t="s">
        <v>10</v>
      </c>
      <c r="V1521" t="s">
        <v>50</v>
      </c>
      <c r="W1521" t="s">
        <v>50</v>
      </c>
      <c r="X1521" t="s">
        <v>35</v>
      </c>
      <c r="Y1521" t="s">
        <v>565</v>
      </c>
      <c r="Z1521" t="s">
        <v>101</v>
      </c>
    </row>
    <row r="1522" spans="1:26">
      <c r="A1522" t="s">
        <v>3514</v>
      </c>
      <c r="B1522" t="s">
        <v>3514</v>
      </c>
      <c r="C1522" s="4">
        <v>46004</v>
      </c>
      <c r="D1522">
        <v>2025</v>
      </c>
      <c r="E1522">
        <v>12</v>
      </c>
      <c r="F1522" t="s">
        <v>28</v>
      </c>
      <c r="G1522" t="s">
        <v>137</v>
      </c>
      <c r="H1522" t="s">
        <v>1549</v>
      </c>
      <c r="I1522" t="s">
        <v>116</v>
      </c>
      <c r="J1522" t="s">
        <v>1290</v>
      </c>
      <c r="K1522" t="s">
        <v>2591</v>
      </c>
      <c r="L1522">
        <v>5</v>
      </c>
      <c r="M1522" s="5">
        <v>186.35</v>
      </c>
      <c r="N1522" s="6">
        <v>10</v>
      </c>
      <c r="O1522" s="5">
        <v>93.17</v>
      </c>
      <c r="P1522" s="5">
        <v>125.79</v>
      </c>
      <c r="Q1522" s="5">
        <v>964.37</v>
      </c>
      <c r="R1522" s="5">
        <v>710</v>
      </c>
      <c r="S1522" s="5">
        <v>254.37</v>
      </c>
      <c r="T1522" s="7">
        <v>0.263768055829194</v>
      </c>
      <c r="U1522" t="s">
        <v>10</v>
      </c>
      <c r="V1522" t="s">
        <v>50</v>
      </c>
      <c r="W1522" t="s">
        <v>50</v>
      </c>
      <c r="X1522" t="s">
        <v>33</v>
      </c>
      <c r="Y1522" t="s">
        <v>3515</v>
      </c>
      <c r="Z1522" t="s">
        <v>80</v>
      </c>
    </row>
    <row r="1523" spans="1:26">
      <c r="A1523" t="s">
        <v>3516</v>
      </c>
      <c r="B1523" t="s">
        <v>3516</v>
      </c>
      <c r="C1523" s="4">
        <v>45866</v>
      </c>
      <c r="D1523">
        <v>2025</v>
      </c>
      <c r="E1523">
        <v>7</v>
      </c>
      <c r="F1523" t="s">
        <v>23</v>
      </c>
      <c r="G1523" t="s">
        <v>89</v>
      </c>
      <c r="H1523" t="s">
        <v>425</v>
      </c>
      <c r="I1523" t="s">
        <v>362</v>
      </c>
      <c r="J1523" t="s">
        <v>850</v>
      </c>
      <c r="K1523" t="s">
        <v>3153</v>
      </c>
      <c r="L1523">
        <v>8</v>
      </c>
      <c r="M1523" s="5">
        <v>366.27</v>
      </c>
      <c r="N1523" s="6">
        <v>20</v>
      </c>
      <c r="O1523" s="5">
        <v>586.03</v>
      </c>
      <c r="P1523" s="5">
        <v>351.62</v>
      </c>
      <c r="Q1523" s="5">
        <v>2344.13</v>
      </c>
      <c r="R1523" s="5">
        <v>1978</v>
      </c>
      <c r="S1523" s="5">
        <v>366.13</v>
      </c>
      <c r="T1523" s="7">
        <v>0.156190143038142</v>
      </c>
      <c r="U1523" t="s">
        <v>9</v>
      </c>
      <c r="V1523" t="s">
        <v>50</v>
      </c>
      <c r="W1523" t="s">
        <v>50</v>
      </c>
      <c r="X1523" t="s">
        <v>33</v>
      </c>
      <c r="Y1523" t="s">
        <v>2331</v>
      </c>
      <c r="Z1523" t="s">
        <v>101</v>
      </c>
    </row>
    <row r="1524" spans="1:26">
      <c r="A1524" t="s">
        <v>3517</v>
      </c>
      <c r="B1524" t="s">
        <v>3517</v>
      </c>
      <c r="C1524" s="4">
        <v>45785</v>
      </c>
      <c r="D1524">
        <v>2025</v>
      </c>
      <c r="E1524">
        <v>5</v>
      </c>
      <c r="F1524" t="s">
        <v>21</v>
      </c>
      <c r="G1524" t="s">
        <v>74</v>
      </c>
      <c r="H1524" t="s">
        <v>980</v>
      </c>
      <c r="I1524" t="s">
        <v>312</v>
      </c>
      <c r="J1524" t="s">
        <v>345</v>
      </c>
      <c r="K1524" t="s">
        <v>3518</v>
      </c>
      <c r="L1524">
        <v>4</v>
      </c>
      <c r="M1524" s="5">
        <v>383.51</v>
      </c>
      <c r="N1524" s="6">
        <v>0</v>
      </c>
      <c r="O1524" s="5">
        <v>0</v>
      </c>
      <c r="P1524" s="5">
        <v>230.11</v>
      </c>
      <c r="Q1524" s="5">
        <v>1534.04</v>
      </c>
      <c r="R1524" s="5">
        <v>1143.6</v>
      </c>
      <c r="S1524" s="5">
        <v>390.44</v>
      </c>
      <c r="T1524" s="7">
        <v>0.254517483246851</v>
      </c>
      <c r="U1524" t="s">
        <v>13</v>
      </c>
      <c r="V1524" t="s">
        <v>50</v>
      </c>
      <c r="W1524" t="s">
        <v>50</v>
      </c>
      <c r="X1524" t="s">
        <v>35</v>
      </c>
      <c r="Y1524" t="s">
        <v>3009</v>
      </c>
      <c r="Z1524" t="s">
        <v>101</v>
      </c>
    </row>
    <row r="1525" spans="1:26">
      <c r="A1525" t="s">
        <v>3519</v>
      </c>
      <c r="B1525" t="s">
        <v>3519</v>
      </c>
      <c r="C1525" s="4">
        <v>46008</v>
      </c>
      <c r="D1525">
        <v>2025</v>
      </c>
      <c r="E1525">
        <v>12</v>
      </c>
      <c r="F1525" t="s">
        <v>28</v>
      </c>
      <c r="G1525" t="s">
        <v>137</v>
      </c>
      <c r="H1525" t="s">
        <v>3520</v>
      </c>
      <c r="I1525" t="s">
        <v>344</v>
      </c>
      <c r="J1525" t="s">
        <v>648</v>
      </c>
      <c r="K1525" t="s">
        <v>672</v>
      </c>
      <c r="L1525">
        <v>2</v>
      </c>
      <c r="M1525" s="5">
        <v>507.5</v>
      </c>
      <c r="N1525" s="6">
        <v>0</v>
      </c>
      <c r="O1525" s="5">
        <v>0</v>
      </c>
      <c r="P1525" s="5">
        <v>152.25</v>
      </c>
      <c r="Q1525" s="5">
        <v>1015</v>
      </c>
      <c r="R1525" s="5">
        <v>726.58</v>
      </c>
      <c r="S1525" s="5">
        <v>288.42</v>
      </c>
      <c r="T1525" s="7">
        <v>0.28415763546798</v>
      </c>
      <c r="U1525" t="s">
        <v>14</v>
      </c>
      <c r="V1525" t="s">
        <v>50</v>
      </c>
      <c r="W1525" t="s">
        <v>50</v>
      </c>
      <c r="X1525" t="s">
        <v>33</v>
      </c>
      <c r="Y1525" t="s">
        <v>2832</v>
      </c>
      <c r="Z1525" t="s">
        <v>101</v>
      </c>
    </row>
    <row r="1526" spans="1:26">
      <c r="A1526" t="s">
        <v>3521</v>
      </c>
      <c r="B1526" t="s">
        <v>3521</v>
      </c>
      <c r="C1526" s="4">
        <v>45941</v>
      </c>
      <c r="D1526">
        <v>2025</v>
      </c>
      <c r="E1526">
        <v>10</v>
      </c>
      <c r="F1526" t="s">
        <v>26</v>
      </c>
      <c r="G1526" t="s">
        <v>137</v>
      </c>
      <c r="H1526" t="s">
        <v>250</v>
      </c>
      <c r="I1526" t="s">
        <v>374</v>
      </c>
      <c r="J1526" t="s">
        <v>40</v>
      </c>
      <c r="K1526" t="s">
        <v>426</v>
      </c>
      <c r="L1526">
        <v>4</v>
      </c>
      <c r="M1526" s="5">
        <v>400.33</v>
      </c>
      <c r="N1526" s="6">
        <v>10</v>
      </c>
      <c r="O1526" s="5">
        <v>160.13</v>
      </c>
      <c r="P1526" s="5">
        <v>216.18</v>
      </c>
      <c r="Q1526" s="5">
        <v>1657.37</v>
      </c>
      <c r="R1526" s="5">
        <v>1363.6</v>
      </c>
      <c r="S1526" s="5">
        <v>293.77</v>
      </c>
      <c r="T1526" s="7">
        <v>0.177250704429307</v>
      </c>
      <c r="U1526" t="s">
        <v>10</v>
      </c>
      <c r="V1526" t="s">
        <v>50</v>
      </c>
      <c r="W1526" t="s">
        <v>50</v>
      </c>
      <c r="X1526" t="s">
        <v>33</v>
      </c>
      <c r="Y1526" t="s">
        <v>1683</v>
      </c>
      <c r="Z1526" t="s">
        <v>80</v>
      </c>
    </row>
    <row r="1527" spans="1:26">
      <c r="A1527" t="s">
        <v>3522</v>
      </c>
      <c r="B1527" t="s">
        <v>3522</v>
      </c>
      <c r="C1527" s="4">
        <v>45828</v>
      </c>
      <c r="D1527">
        <v>2025</v>
      </c>
      <c r="E1527">
        <v>6</v>
      </c>
      <c r="F1527" t="s">
        <v>22</v>
      </c>
      <c r="G1527" t="s">
        <v>74</v>
      </c>
      <c r="H1527" t="s">
        <v>3187</v>
      </c>
      <c r="I1527" t="s">
        <v>279</v>
      </c>
      <c r="J1527" t="s">
        <v>240</v>
      </c>
      <c r="K1527" t="s">
        <v>1687</v>
      </c>
      <c r="L1527">
        <v>3</v>
      </c>
      <c r="M1527" s="5">
        <v>424.8</v>
      </c>
      <c r="N1527" s="6">
        <v>0</v>
      </c>
      <c r="O1527" s="5">
        <v>0</v>
      </c>
      <c r="P1527" s="5">
        <v>191.16</v>
      </c>
      <c r="Q1527" s="5">
        <v>1274.4</v>
      </c>
      <c r="R1527" s="5">
        <v>926.82</v>
      </c>
      <c r="S1527" s="5">
        <v>347.58</v>
      </c>
      <c r="T1527" s="7">
        <v>0.27274011299435</v>
      </c>
      <c r="U1527" t="s">
        <v>14</v>
      </c>
      <c r="V1527" t="s">
        <v>50</v>
      </c>
      <c r="W1527" t="s">
        <v>50</v>
      </c>
      <c r="X1527" t="s">
        <v>33</v>
      </c>
      <c r="Y1527" t="s">
        <v>473</v>
      </c>
      <c r="Z1527" t="s">
        <v>101</v>
      </c>
    </row>
    <row r="1528" spans="1:26">
      <c r="A1528" t="s">
        <v>3523</v>
      </c>
      <c r="B1528" t="s">
        <v>3523</v>
      </c>
      <c r="C1528" s="4">
        <v>45850</v>
      </c>
      <c r="D1528">
        <v>2025</v>
      </c>
      <c r="E1528">
        <v>7</v>
      </c>
      <c r="F1528" t="s">
        <v>23</v>
      </c>
      <c r="G1528" t="s">
        <v>89</v>
      </c>
      <c r="H1528" t="s">
        <v>1218</v>
      </c>
      <c r="I1528" t="s">
        <v>503</v>
      </c>
      <c r="J1528" t="s">
        <v>2681</v>
      </c>
      <c r="K1528" t="s">
        <v>1141</v>
      </c>
      <c r="L1528">
        <v>3</v>
      </c>
      <c r="M1528" s="5">
        <v>77.4</v>
      </c>
      <c r="N1528" s="6">
        <v>0</v>
      </c>
      <c r="O1528" s="5">
        <v>0</v>
      </c>
      <c r="P1528" s="5">
        <v>34.83</v>
      </c>
      <c r="Q1528" s="5">
        <v>267.03</v>
      </c>
      <c r="R1528" s="5">
        <v>178.11</v>
      </c>
      <c r="S1528" s="5">
        <v>88.92</v>
      </c>
      <c r="T1528" s="7">
        <v>0.332996292551399</v>
      </c>
      <c r="U1528" t="s">
        <v>9</v>
      </c>
      <c r="V1528" t="s">
        <v>50</v>
      </c>
      <c r="W1528" t="s">
        <v>50</v>
      </c>
      <c r="X1528" t="s">
        <v>33</v>
      </c>
      <c r="Y1528" t="s">
        <v>1530</v>
      </c>
      <c r="Z1528" t="s">
        <v>80</v>
      </c>
    </row>
    <row r="1529" spans="1:26">
      <c r="A1529" t="s">
        <v>3524</v>
      </c>
      <c r="B1529" t="s">
        <v>3524</v>
      </c>
      <c r="C1529" s="4">
        <v>45857</v>
      </c>
      <c r="D1529">
        <v>2025</v>
      </c>
      <c r="E1529">
        <v>7</v>
      </c>
      <c r="F1529" t="s">
        <v>23</v>
      </c>
      <c r="G1529" t="s">
        <v>89</v>
      </c>
      <c r="H1529" t="s">
        <v>3525</v>
      </c>
      <c r="I1529" t="s">
        <v>126</v>
      </c>
      <c r="J1529" t="s">
        <v>152</v>
      </c>
      <c r="K1529" t="s">
        <v>153</v>
      </c>
      <c r="L1529">
        <v>4</v>
      </c>
      <c r="M1529" s="5">
        <v>131.03</v>
      </c>
      <c r="N1529" s="6">
        <v>20</v>
      </c>
      <c r="O1529" s="5">
        <v>104.82</v>
      </c>
      <c r="P1529" s="5">
        <v>62.9</v>
      </c>
      <c r="Q1529" s="5">
        <v>482.19</v>
      </c>
      <c r="R1529" s="5">
        <v>469.08</v>
      </c>
      <c r="S1529" s="5">
        <v>13.11</v>
      </c>
      <c r="T1529" s="7">
        <v>0.0271884526846264</v>
      </c>
      <c r="U1529" t="s">
        <v>9</v>
      </c>
      <c r="V1529" t="s">
        <v>50</v>
      </c>
      <c r="W1529" t="s">
        <v>50</v>
      </c>
      <c r="X1529" t="s">
        <v>33</v>
      </c>
      <c r="Y1529" t="s">
        <v>639</v>
      </c>
      <c r="Z1529" t="s">
        <v>80</v>
      </c>
    </row>
    <row r="1530" spans="1:26">
      <c r="A1530" t="s">
        <v>3526</v>
      </c>
      <c r="B1530" t="s">
        <v>3526</v>
      </c>
      <c r="C1530" s="4">
        <v>45819</v>
      </c>
      <c r="D1530">
        <v>2025</v>
      </c>
      <c r="E1530">
        <v>6</v>
      </c>
      <c r="F1530" t="s">
        <v>22</v>
      </c>
      <c r="G1530" t="s">
        <v>74</v>
      </c>
      <c r="H1530" t="s">
        <v>138</v>
      </c>
      <c r="I1530" t="s">
        <v>145</v>
      </c>
      <c r="J1530" t="s">
        <v>1003</v>
      </c>
      <c r="K1530" t="s">
        <v>1004</v>
      </c>
      <c r="L1530">
        <v>3</v>
      </c>
      <c r="M1530" s="5">
        <v>522.78</v>
      </c>
      <c r="N1530" s="6">
        <v>0</v>
      </c>
      <c r="O1530" s="5">
        <v>0</v>
      </c>
      <c r="P1530" s="5">
        <v>235.25</v>
      </c>
      <c r="Q1530" s="5">
        <v>1568.34</v>
      </c>
      <c r="R1530" s="5">
        <v>1187.61</v>
      </c>
      <c r="S1530" s="5">
        <v>380.73</v>
      </c>
      <c r="T1530" s="7">
        <v>0.242759860744481</v>
      </c>
      <c r="U1530" t="s">
        <v>9</v>
      </c>
      <c r="V1530" t="s">
        <v>50</v>
      </c>
      <c r="W1530" t="s">
        <v>50</v>
      </c>
      <c r="X1530" t="s">
        <v>35</v>
      </c>
      <c r="Y1530" t="s">
        <v>2298</v>
      </c>
      <c r="Z1530" t="s">
        <v>101</v>
      </c>
    </row>
    <row r="1531" spans="1:26">
      <c r="A1531" t="s">
        <v>3527</v>
      </c>
      <c r="B1531" t="s">
        <v>3527</v>
      </c>
      <c r="C1531" s="4">
        <v>45870</v>
      </c>
      <c r="D1531">
        <v>2025</v>
      </c>
      <c r="E1531">
        <v>8</v>
      </c>
      <c r="F1531" t="s">
        <v>24</v>
      </c>
      <c r="G1531" t="s">
        <v>89</v>
      </c>
      <c r="H1531" t="s">
        <v>2104</v>
      </c>
      <c r="I1531" t="s">
        <v>937</v>
      </c>
      <c r="J1531" t="s">
        <v>41</v>
      </c>
      <c r="K1531" t="s">
        <v>588</v>
      </c>
      <c r="L1531">
        <v>4</v>
      </c>
      <c r="M1531" s="5">
        <v>438.7</v>
      </c>
      <c r="N1531" s="6">
        <v>0</v>
      </c>
      <c r="O1531" s="5">
        <v>0</v>
      </c>
      <c r="P1531" s="5">
        <v>263.22</v>
      </c>
      <c r="Q1531" s="5">
        <v>1754.8</v>
      </c>
      <c r="R1531" s="5">
        <v>1480.72</v>
      </c>
      <c r="S1531" s="5">
        <v>274.08</v>
      </c>
      <c r="T1531" s="7">
        <v>0.156188739457488</v>
      </c>
      <c r="U1531" t="s">
        <v>13</v>
      </c>
      <c r="V1531" t="s">
        <v>50</v>
      </c>
      <c r="W1531" t="s">
        <v>50</v>
      </c>
      <c r="X1531" t="s">
        <v>35</v>
      </c>
      <c r="Y1531" t="s">
        <v>2161</v>
      </c>
      <c r="Z1531" t="s">
        <v>101</v>
      </c>
    </row>
    <row r="1532" spans="1:26">
      <c r="A1532" t="s">
        <v>3528</v>
      </c>
      <c r="B1532" t="s">
        <v>3528</v>
      </c>
      <c r="C1532" s="4">
        <v>46095</v>
      </c>
      <c r="D1532">
        <v>2026</v>
      </c>
      <c r="E1532">
        <v>3</v>
      </c>
      <c r="F1532" t="s">
        <v>19</v>
      </c>
      <c r="G1532" t="s">
        <v>82</v>
      </c>
      <c r="H1532" t="s">
        <v>1983</v>
      </c>
      <c r="I1532" t="s">
        <v>104</v>
      </c>
      <c r="J1532" t="s">
        <v>532</v>
      </c>
      <c r="K1532" t="s">
        <v>533</v>
      </c>
      <c r="L1532">
        <v>4</v>
      </c>
      <c r="M1532" s="5">
        <v>331.6</v>
      </c>
      <c r="N1532" s="6">
        <v>0</v>
      </c>
      <c r="O1532" s="5">
        <v>0</v>
      </c>
      <c r="P1532" s="5">
        <v>198.96</v>
      </c>
      <c r="Q1532" s="5">
        <v>1525.36</v>
      </c>
      <c r="R1532" s="5">
        <v>984.48</v>
      </c>
      <c r="S1532" s="5">
        <v>540.88</v>
      </c>
      <c r="T1532" s="7">
        <v>0.354591702942256</v>
      </c>
      <c r="U1532" t="s">
        <v>12</v>
      </c>
      <c r="V1532" t="s">
        <v>50</v>
      </c>
      <c r="W1532" t="s">
        <v>50</v>
      </c>
      <c r="X1532" t="s">
        <v>34</v>
      </c>
      <c r="Y1532" t="s">
        <v>603</v>
      </c>
      <c r="Z1532" t="s">
        <v>80</v>
      </c>
    </row>
    <row r="1533" spans="1:26">
      <c r="A1533" t="s">
        <v>3529</v>
      </c>
      <c r="B1533" t="s">
        <v>3529</v>
      </c>
      <c r="C1533" s="4">
        <v>46105</v>
      </c>
      <c r="D1533">
        <v>2026</v>
      </c>
      <c r="E1533">
        <v>3</v>
      </c>
      <c r="F1533" t="s">
        <v>19</v>
      </c>
      <c r="G1533" t="s">
        <v>82</v>
      </c>
      <c r="H1533" t="s">
        <v>3530</v>
      </c>
      <c r="I1533" t="s">
        <v>262</v>
      </c>
      <c r="J1533" t="s">
        <v>240</v>
      </c>
      <c r="K1533" t="s">
        <v>2573</v>
      </c>
      <c r="L1533">
        <v>4</v>
      </c>
      <c r="M1533" s="5">
        <v>147.97</v>
      </c>
      <c r="N1533" s="6">
        <v>15</v>
      </c>
      <c r="O1533" s="5">
        <v>88.78</v>
      </c>
      <c r="P1533" s="5">
        <v>75.46</v>
      </c>
      <c r="Q1533" s="5">
        <v>503.1</v>
      </c>
      <c r="R1533" s="5">
        <v>451.2</v>
      </c>
      <c r="S1533" s="5">
        <v>51.9</v>
      </c>
      <c r="T1533" s="7">
        <v>0.103160405485987</v>
      </c>
      <c r="U1533" t="s">
        <v>13</v>
      </c>
      <c r="V1533" t="s">
        <v>50</v>
      </c>
      <c r="W1533" t="s">
        <v>50</v>
      </c>
      <c r="X1533" t="s">
        <v>35</v>
      </c>
      <c r="Y1533" t="s">
        <v>1198</v>
      </c>
      <c r="Z1533" t="s">
        <v>101</v>
      </c>
    </row>
    <row r="1534" spans="1:26">
      <c r="A1534" t="s">
        <v>3531</v>
      </c>
      <c r="B1534" t="s">
        <v>3531</v>
      </c>
      <c r="C1534" s="4">
        <v>45989</v>
      </c>
      <c r="D1534">
        <v>2025</v>
      </c>
      <c r="E1534">
        <v>11</v>
      </c>
      <c r="F1534" t="s">
        <v>27</v>
      </c>
      <c r="G1534" t="s">
        <v>137</v>
      </c>
      <c r="H1534" t="s">
        <v>2541</v>
      </c>
      <c r="I1534" t="s">
        <v>362</v>
      </c>
      <c r="J1534" t="s">
        <v>820</v>
      </c>
      <c r="K1534" t="s">
        <v>1020</v>
      </c>
      <c r="L1534">
        <v>6</v>
      </c>
      <c r="M1534" s="5">
        <v>355.35</v>
      </c>
      <c r="N1534" s="6">
        <v>0</v>
      </c>
      <c r="O1534" s="5">
        <v>0</v>
      </c>
      <c r="P1534" s="5">
        <v>319.82</v>
      </c>
      <c r="Q1534" s="5">
        <v>2132.1</v>
      </c>
      <c r="R1534" s="5">
        <v>1483.5</v>
      </c>
      <c r="S1534" s="5">
        <v>648.6</v>
      </c>
      <c r="T1534" s="7">
        <v>0.3042071197411</v>
      </c>
      <c r="U1534" t="s">
        <v>12</v>
      </c>
      <c r="V1534" t="s">
        <v>50</v>
      </c>
      <c r="W1534" t="s">
        <v>50</v>
      </c>
      <c r="X1534" t="s">
        <v>33</v>
      </c>
      <c r="Y1534" t="s">
        <v>1362</v>
      </c>
      <c r="Z1534" t="s">
        <v>101</v>
      </c>
    </row>
    <row r="1535" spans="1:26">
      <c r="A1535" t="s">
        <v>3532</v>
      </c>
      <c r="B1535" t="s">
        <v>3532</v>
      </c>
      <c r="C1535" s="4">
        <v>45969</v>
      </c>
      <c r="D1535">
        <v>2025</v>
      </c>
      <c r="E1535">
        <v>11</v>
      </c>
      <c r="F1535" t="s">
        <v>27</v>
      </c>
      <c r="G1535" t="s">
        <v>137</v>
      </c>
      <c r="H1535" t="s">
        <v>3533</v>
      </c>
      <c r="I1535" t="s">
        <v>1714</v>
      </c>
      <c r="J1535" t="s">
        <v>610</v>
      </c>
      <c r="K1535" t="s">
        <v>2051</v>
      </c>
      <c r="L1535">
        <v>1</v>
      </c>
      <c r="M1535" s="5">
        <v>342.27</v>
      </c>
      <c r="N1535" s="6">
        <v>20</v>
      </c>
      <c r="O1535" s="5">
        <v>68.45</v>
      </c>
      <c r="P1535" s="5">
        <v>41.07</v>
      </c>
      <c r="Q1535" s="5">
        <v>314.89</v>
      </c>
      <c r="R1535" s="5">
        <v>266.1</v>
      </c>
      <c r="S1535" s="5">
        <v>48.79</v>
      </c>
      <c r="T1535" s="7">
        <v>0.154942995966846</v>
      </c>
      <c r="U1535" t="s">
        <v>10</v>
      </c>
      <c r="V1535" t="s">
        <v>50</v>
      </c>
      <c r="W1535" t="s">
        <v>50</v>
      </c>
      <c r="X1535" t="s">
        <v>33</v>
      </c>
      <c r="Y1535" t="s">
        <v>1454</v>
      </c>
      <c r="Z1535" t="s">
        <v>80</v>
      </c>
    </row>
    <row r="1536" spans="1:26">
      <c r="A1536" t="s">
        <v>3534</v>
      </c>
      <c r="B1536" t="s">
        <v>3534</v>
      </c>
      <c r="C1536" s="4">
        <v>45848</v>
      </c>
      <c r="D1536">
        <v>2025</v>
      </c>
      <c r="E1536">
        <v>7</v>
      </c>
      <c r="F1536" t="s">
        <v>23</v>
      </c>
      <c r="G1536" t="s">
        <v>89</v>
      </c>
      <c r="H1536" t="s">
        <v>738</v>
      </c>
      <c r="I1536" t="s">
        <v>1019</v>
      </c>
      <c r="J1536" t="s">
        <v>363</v>
      </c>
      <c r="K1536" t="s">
        <v>364</v>
      </c>
      <c r="L1536">
        <v>6</v>
      </c>
      <c r="M1536" s="5">
        <v>148.84</v>
      </c>
      <c r="N1536" s="6">
        <v>15</v>
      </c>
      <c r="O1536" s="5">
        <v>133.96</v>
      </c>
      <c r="P1536" s="5">
        <v>113.86</v>
      </c>
      <c r="Q1536" s="5">
        <v>759.08</v>
      </c>
      <c r="R1536" s="5">
        <v>675.72</v>
      </c>
      <c r="S1536" s="5">
        <v>83.36</v>
      </c>
      <c r="T1536" s="7">
        <v>0.109817147072772</v>
      </c>
      <c r="U1536" t="s">
        <v>9</v>
      </c>
      <c r="V1536" t="s">
        <v>50</v>
      </c>
      <c r="W1536" t="s">
        <v>50</v>
      </c>
      <c r="X1536" t="s">
        <v>33</v>
      </c>
      <c r="Y1536" t="s">
        <v>1758</v>
      </c>
      <c r="Z1536" t="s">
        <v>101</v>
      </c>
    </row>
    <row r="1537" spans="1:26">
      <c r="A1537" t="s">
        <v>3535</v>
      </c>
      <c r="B1537" t="s">
        <v>3535</v>
      </c>
      <c r="C1537" s="4">
        <v>46095</v>
      </c>
      <c r="D1537">
        <v>2026</v>
      </c>
      <c r="E1537">
        <v>3</v>
      </c>
      <c r="F1537" t="s">
        <v>19</v>
      </c>
      <c r="G1537" t="s">
        <v>82</v>
      </c>
      <c r="H1537" t="s">
        <v>103</v>
      </c>
      <c r="I1537" t="s">
        <v>2426</v>
      </c>
      <c r="J1537" t="s">
        <v>751</v>
      </c>
      <c r="K1537" t="s">
        <v>752</v>
      </c>
      <c r="L1537">
        <v>4</v>
      </c>
      <c r="M1537" s="5">
        <v>156.52</v>
      </c>
      <c r="N1537" s="6">
        <v>0</v>
      </c>
      <c r="O1537" s="5">
        <v>0</v>
      </c>
      <c r="P1537" s="5">
        <v>93.91</v>
      </c>
      <c r="Q1537" s="5">
        <v>719.99</v>
      </c>
      <c r="R1537" s="5">
        <v>511.92</v>
      </c>
      <c r="S1537" s="5">
        <v>208.07</v>
      </c>
      <c r="T1537" s="7">
        <v>0.288990124862845</v>
      </c>
      <c r="U1537" t="s">
        <v>13</v>
      </c>
      <c r="V1537" t="s">
        <v>50</v>
      </c>
      <c r="W1537" t="s">
        <v>50</v>
      </c>
      <c r="X1537" t="s">
        <v>35</v>
      </c>
      <c r="Y1537" t="s">
        <v>3275</v>
      </c>
      <c r="Z1537" t="s">
        <v>80</v>
      </c>
    </row>
    <row r="1538" spans="1:26">
      <c r="A1538" t="s">
        <v>3536</v>
      </c>
      <c r="B1538" t="s">
        <v>3536</v>
      </c>
      <c r="C1538" s="4">
        <v>45899</v>
      </c>
      <c r="D1538">
        <v>2025</v>
      </c>
      <c r="E1538">
        <v>8</v>
      </c>
      <c r="F1538" t="s">
        <v>24</v>
      </c>
      <c r="G1538" t="s">
        <v>89</v>
      </c>
      <c r="H1538" t="s">
        <v>3137</v>
      </c>
      <c r="I1538" t="s">
        <v>801</v>
      </c>
      <c r="J1538" t="s">
        <v>631</v>
      </c>
      <c r="K1538" t="s">
        <v>632</v>
      </c>
      <c r="L1538">
        <v>1</v>
      </c>
      <c r="M1538" s="5">
        <v>217.85</v>
      </c>
      <c r="N1538" s="6">
        <v>0</v>
      </c>
      <c r="O1538" s="5">
        <v>0</v>
      </c>
      <c r="P1538" s="5">
        <v>32.68</v>
      </c>
      <c r="Q1538" s="5">
        <v>250.53</v>
      </c>
      <c r="R1538" s="5">
        <v>189.69</v>
      </c>
      <c r="S1538" s="5">
        <v>60.84</v>
      </c>
      <c r="T1538" s="7">
        <v>0.242845168243324</v>
      </c>
      <c r="U1538" t="s">
        <v>13</v>
      </c>
      <c r="V1538" t="s">
        <v>50</v>
      </c>
      <c r="W1538" t="s">
        <v>50</v>
      </c>
      <c r="X1538" t="s">
        <v>33</v>
      </c>
      <c r="Y1538" t="s">
        <v>3537</v>
      </c>
      <c r="Z1538" t="s">
        <v>80</v>
      </c>
    </row>
    <row r="1539" spans="1:26">
      <c r="A1539" t="s">
        <v>3538</v>
      </c>
      <c r="B1539" t="s">
        <v>3538</v>
      </c>
      <c r="C1539" s="4">
        <v>45788</v>
      </c>
      <c r="D1539">
        <v>2025</v>
      </c>
      <c r="E1539">
        <v>5</v>
      </c>
      <c r="F1539" t="s">
        <v>21</v>
      </c>
      <c r="G1539" t="s">
        <v>74</v>
      </c>
      <c r="H1539" t="s">
        <v>3539</v>
      </c>
      <c r="I1539" t="s">
        <v>1419</v>
      </c>
      <c r="J1539" t="s">
        <v>1450</v>
      </c>
      <c r="K1539" t="s">
        <v>1864</v>
      </c>
      <c r="L1539">
        <v>2</v>
      </c>
      <c r="M1539" s="5">
        <v>317.99</v>
      </c>
      <c r="N1539" s="6">
        <v>5</v>
      </c>
      <c r="O1539" s="5">
        <v>31.8</v>
      </c>
      <c r="P1539" s="5">
        <v>90.63</v>
      </c>
      <c r="Q1539" s="5">
        <v>694.81</v>
      </c>
      <c r="R1539" s="5">
        <v>470.1</v>
      </c>
      <c r="S1539" s="5">
        <v>224.71</v>
      </c>
      <c r="T1539" s="7">
        <v>0.323412155841165</v>
      </c>
      <c r="U1539" t="s">
        <v>10</v>
      </c>
      <c r="V1539" t="s">
        <v>50</v>
      </c>
      <c r="W1539" t="s">
        <v>50</v>
      </c>
      <c r="X1539" t="s">
        <v>35</v>
      </c>
      <c r="Y1539" t="s">
        <v>1589</v>
      </c>
      <c r="Z1539" t="s">
        <v>80</v>
      </c>
    </row>
    <row r="1540" spans="1:26">
      <c r="A1540" t="s">
        <v>3540</v>
      </c>
      <c r="B1540" t="s">
        <v>3540</v>
      </c>
      <c r="C1540" s="4">
        <v>45786</v>
      </c>
      <c r="D1540">
        <v>2025</v>
      </c>
      <c r="E1540">
        <v>5</v>
      </c>
      <c r="F1540" t="s">
        <v>21</v>
      </c>
      <c r="G1540" t="s">
        <v>74</v>
      </c>
      <c r="H1540" t="s">
        <v>144</v>
      </c>
      <c r="I1540" t="s">
        <v>169</v>
      </c>
      <c r="J1540" t="s">
        <v>280</v>
      </c>
      <c r="K1540" t="s">
        <v>1172</v>
      </c>
      <c r="L1540">
        <v>3</v>
      </c>
      <c r="M1540" s="5">
        <v>141.11</v>
      </c>
      <c r="N1540" s="6">
        <v>5</v>
      </c>
      <c r="O1540" s="5">
        <v>21.17</v>
      </c>
      <c r="P1540" s="5">
        <v>60.32</v>
      </c>
      <c r="Q1540" s="5"/>
      <c r="R1540" s="5">
        <v>347.73</v>
      </c>
      <c r="S1540" s="5">
        <v>54.43</v>
      </c>
      <c r="T1540" s="7"/>
      <c r="U1540" t="s">
        <v>12</v>
      </c>
      <c r="V1540" t="s">
        <v>50</v>
      </c>
      <c r="W1540" t="s">
        <v>50</v>
      </c>
      <c r="X1540" t="s">
        <v>33</v>
      </c>
      <c r="Y1540" t="s">
        <v>3352</v>
      </c>
      <c r="Z1540" t="s">
        <v>101</v>
      </c>
    </row>
    <row r="1541" spans="1:26">
      <c r="A1541" t="s">
        <v>3541</v>
      </c>
      <c r="B1541" t="s">
        <v>3541</v>
      </c>
      <c r="C1541" s="4">
        <v>45907</v>
      </c>
      <c r="D1541">
        <v>2025</v>
      </c>
      <c r="E1541">
        <v>9</v>
      </c>
      <c r="F1541" t="s">
        <v>25</v>
      </c>
      <c r="G1541" t="s">
        <v>89</v>
      </c>
      <c r="H1541" t="s">
        <v>1660</v>
      </c>
      <c r="I1541" t="s">
        <v>110</v>
      </c>
      <c r="J1541" t="s">
        <v>418</v>
      </c>
      <c r="K1541" t="s">
        <v>419</v>
      </c>
      <c r="L1541">
        <v>5</v>
      </c>
      <c r="M1541" s="5">
        <v>373.84</v>
      </c>
      <c r="N1541" s="6">
        <v>15</v>
      </c>
      <c r="O1541" s="5">
        <v>280.38</v>
      </c>
      <c r="P1541" s="5">
        <v>238.32</v>
      </c>
      <c r="Q1541" s="5">
        <v>1827.14</v>
      </c>
      <c r="R1541" s="5">
        <v>1358.9</v>
      </c>
      <c r="S1541" s="5">
        <v>468.24</v>
      </c>
      <c r="T1541" s="7">
        <v>0.256269360859047</v>
      </c>
      <c r="U1541" t="s">
        <v>11</v>
      </c>
      <c r="V1541" t="s">
        <v>50</v>
      </c>
      <c r="W1541" t="s">
        <v>50</v>
      </c>
      <c r="X1541" t="s">
        <v>33</v>
      </c>
      <c r="Y1541" t="s">
        <v>595</v>
      </c>
      <c r="Z1541" t="s">
        <v>80</v>
      </c>
    </row>
    <row r="1542" spans="1:26">
      <c r="A1542" t="s">
        <v>3542</v>
      </c>
      <c r="B1542" t="s">
        <v>3542</v>
      </c>
      <c r="C1542" s="4">
        <v>45981</v>
      </c>
      <c r="D1542">
        <v>2025</v>
      </c>
      <c r="E1542">
        <v>11</v>
      </c>
      <c r="F1542" t="s">
        <v>27</v>
      </c>
      <c r="G1542" t="s">
        <v>137</v>
      </c>
      <c r="H1542" t="s">
        <v>2500</v>
      </c>
      <c r="I1542" t="s">
        <v>225</v>
      </c>
      <c r="J1542" t="s">
        <v>648</v>
      </c>
      <c r="K1542" t="s">
        <v>672</v>
      </c>
      <c r="L1542">
        <v>6</v>
      </c>
      <c r="M1542" s="5">
        <v>404.27</v>
      </c>
      <c r="N1542" s="6">
        <v>5</v>
      </c>
      <c r="O1542" s="5">
        <v>121.28</v>
      </c>
      <c r="P1542" s="5">
        <v>345.65</v>
      </c>
      <c r="Q1542" s="5">
        <v>2304.34</v>
      </c>
      <c r="R1542" s="5">
        <v>1820.46</v>
      </c>
      <c r="S1542" s="5">
        <v>483.88</v>
      </c>
      <c r="T1542" s="7">
        <v>0.209986373538627</v>
      </c>
      <c r="U1542" t="s">
        <v>13</v>
      </c>
      <c r="V1542" t="s">
        <v>50</v>
      </c>
      <c r="W1542" t="s">
        <v>50</v>
      </c>
      <c r="X1542" t="s">
        <v>33</v>
      </c>
      <c r="Y1542" t="s">
        <v>1751</v>
      </c>
      <c r="Z1542" t="s">
        <v>101</v>
      </c>
    </row>
    <row r="1543" spans="1:26">
      <c r="A1543" t="s">
        <v>3543</v>
      </c>
      <c r="B1543" t="s">
        <v>3543</v>
      </c>
      <c r="C1543" s="4">
        <v>45883</v>
      </c>
      <c r="D1543">
        <v>2025</v>
      </c>
      <c r="E1543">
        <v>8</v>
      </c>
      <c r="F1543" t="s">
        <v>24</v>
      </c>
      <c r="G1543" t="s">
        <v>89</v>
      </c>
      <c r="H1543" t="s">
        <v>3194</v>
      </c>
      <c r="I1543" t="s">
        <v>689</v>
      </c>
      <c r="J1543" t="s">
        <v>1003</v>
      </c>
      <c r="K1543" t="s">
        <v>1004</v>
      </c>
      <c r="L1543">
        <v>4</v>
      </c>
      <c r="M1543" s="5">
        <v>136.81</v>
      </c>
      <c r="N1543" s="6">
        <v>5</v>
      </c>
      <c r="O1543" s="5">
        <v>27.36</v>
      </c>
      <c r="P1543" s="5">
        <v>77.98</v>
      </c>
      <c r="Q1543" s="5">
        <v>519.88</v>
      </c>
      <c r="R1543" s="5">
        <v>364.72</v>
      </c>
      <c r="S1543" s="5">
        <v>155.16</v>
      </c>
      <c r="T1543" s="7">
        <v>0.298453489266754</v>
      </c>
      <c r="U1543" t="s">
        <v>14</v>
      </c>
      <c r="V1543" t="s">
        <v>50</v>
      </c>
      <c r="W1543" t="s">
        <v>50</v>
      </c>
      <c r="X1543" t="s">
        <v>33</v>
      </c>
      <c r="Y1543" t="s">
        <v>1576</v>
      </c>
      <c r="Z1543" t="s">
        <v>101</v>
      </c>
    </row>
    <row r="1544" spans="1:26">
      <c r="A1544" t="s">
        <v>3544</v>
      </c>
      <c r="B1544" t="s">
        <v>3544</v>
      </c>
      <c r="C1544" s="4">
        <v>45766</v>
      </c>
      <c r="D1544">
        <v>2025</v>
      </c>
      <c r="E1544">
        <v>4</v>
      </c>
      <c r="F1544" t="s">
        <v>20</v>
      </c>
      <c r="G1544" t="s">
        <v>74</v>
      </c>
      <c r="H1544" t="s">
        <v>3530</v>
      </c>
      <c r="I1544" t="s">
        <v>2587</v>
      </c>
      <c r="J1544" t="s">
        <v>471</v>
      </c>
      <c r="K1544" t="s">
        <v>472</v>
      </c>
      <c r="L1544">
        <v>1</v>
      </c>
      <c r="M1544" s="5">
        <v>72.93</v>
      </c>
      <c r="N1544" s="6">
        <v>15</v>
      </c>
      <c r="O1544" s="5">
        <v>10.94</v>
      </c>
      <c r="P1544" s="5">
        <v>9.3</v>
      </c>
      <c r="Q1544" s="5">
        <v>71.29</v>
      </c>
      <c r="R1544" s="5">
        <v>54.25</v>
      </c>
      <c r="S1544" s="5">
        <v>17.04</v>
      </c>
      <c r="T1544" s="7">
        <v>0.23902370598962</v>
      </c>
      <c r="U1544" t="s">
        <v>14</v>
      </c>
      <c r="V1544" t="s">
        <v>50</v>
      </c>
      <c r="W1544" t="s">
        <v>50</v>
      </c>
      <c r="X1544" t="s">
        <v>33</v>
      </c>
      <c r="Y1544" t="s">
        <v>3503</v>
      </c>
      <c r="Z1544" t="s">
        <v>80</v>
      </c>
    </row>
    <row r="1545" spans="1:26">
      <c r="A1545" t="s">
        <v>3545</v>
      </c>
      <c r="B1545" t="s">
        <v>3545</v>
      </c>
      <c r="C1545" s="4">
        <v>46070</v>
      </c>
      <c r="D1545">
        <v>2026</v>
      </c>
      <c r="E1545">
        <v>2</v>
      </c>
      <c r="F1545" t="s">
        <v>31</v>
      </c>
      <c r="G1545" t="s">
        <v>82</v>
      </c>
      <c r="H1545" t="s">
        <v>1168</v>
      </c>
      <c r="I1545" t="s">
        <v>157</v>
      </c>
      <c r="J1545" t="s">
        <v>133</v>
      </c>
      <c r="K1545" t="s">
        <v>134</v>
      </c>
      <c r="L1545">
        <v>8</v>
      </c>
      <c r="M1545" s="5">
        <v>66.26</v>
      </c>
      <c r="N1545" s="6">
        <v>0</v>
      </c>
      <c r="O1545" s="5">
        <v>0</v>
      </c>
      <c r="P1545" s="5">
        <v>79.51</v>
      </c>
      <c r="Q1545" s="5">
        <v>530.08</v>
      </c>
      <c r="R1545" s="5">
        <v>385.2</v>
      </c>
      <c r="S1545" s="5">
        <v>144.88</v>
      </c>
      <c r="T1545" s="7">
        <v>0.273317235134319</v>
      </c>
      <c r="U1545" t="s">
        <v>11</v>
      </c>
      <c r="V1545" t="s">
        <v>50</v>
      </c>
      <c r="W1545" t="s">
        <v>50</v>
      </c>
      <c r="X1545" t="s">
        <v>33</v>
      </c>
      <c r="Y1545" t="s">
        <v>2066</v>
      </c>
      <c r="Z1545" t="s">
        <v>101</v>
      </c>
    </row>
    <row r="1546" spans="1:26">
      <c r="A1546" t="s">
        <v>3546</v>
      </c>
      <c r="B1546" t="s">
        <v>3546</v>
      </c>
      <c r="C1546" s="4">
        <v>46095</v>
      </c>
      <c r="D1546">
        <v>2026</v>
      </c>
      <c r="E1546">
        <v>3</v>
      </c>
      <c r="F1546" t="s">
        <v>19</v>
      </c>
      <c r="G1546" t="s">
        <v>82</v>
      </c>
      <c r="H1546" t="s">
        <v>405</v>
      </c>
      <c r="I1546" t="s">
        <v>91</v>
      </c>
      <c r="J1546" t="s">
        <v>563</v>
      </c>
      <c r="K1546" t="s">
        <v>564</v>
      </c>
      <c r="L1546">
        <v>4</v>
      </c>
      <c r="M1546" s="5">
        <v>234.86</v>
      </c>
      <c r="N1546" s="6">
        <v>0</v>
      </c>
      <c r="O1546" s="5">
        <v>0</v>
      </c>
      <c r="P1546" s="5">
        <v>140.92</v>
      </c>
      <c r="Q1546" s="5">
        <v>1080.36</v>
      </c>
      <c r="R1546" s="5">
        <v>852.92</v>
      </c>
      <c r="S1546" s="5">
        <v>227.44</v>
      </c>
      <c r="T1546" s="7">
        <v>0.210522418453108</v>
      </c>
      <c r="U1546" t="s">
        <v>11</v>
      </c>
      <c r="V1546" t="s">
        <v>50</v>
      </c>
      <c r="W1546" t="s">
        <v>50</v>
      </c>
      <c r="X1546" t="s">
        <v>33</v>
      </c>
      <c r="Y1546" t="s">
        <v>3015</v>
      </c>
      <c r="Z1546" t="s">
        <v>80</v>
      </c>
    </row>
    <row r="1547" spans="1:26">
      <c r="A1547" t="s">
        <v>3547</v>
      </c>
      <c r="B1547" t="s">
        <v>3547</v>
      </c>
      <c r="C1547" s="4">
        <v>45941</v>
      </c>
      <c r="D1547">
        <v>2025</v>
      </c>
      <c r="E1547">
        <v>10</v>
      </c>
      <c r="F1547" t="s">
        <v>26</v>
      </c>
      <c r="G1547" t="s">
        <v>137</v>
      </c>
      <c r="H1547" t="s">
        <v>2698</v>
      </c>
      <c r="I1547" t="s">
        <v>235</v>
      </c>
      <c r="J1547" t="s">
        <v>929</v>
      </c>
      <c r="K1547" t="s">
        <v>313</v>
      </c>
      <c r="L1547">
        <v>4</v>
      </c>
      <c r="M1547" s="5">
        <v>241.53</v>
      </c>
      <c r="N1547" s="6">
        <v>15</v>
      </c>
      <c r="O1547" s="5">
        <v>144.92</v>
      </c>
      <c r="P1547" s="5">
        <v>123.18</v>
      </c>
      <c r="Q1547" s="5">
        <v>944.38</v>
      </c>
      <c r="R1547" s="5">
        <v>708.12</v>
      </c>
      <c r="S1547" s="5">
        <v>236.26</v>
      </c>
      <c r="T1547" s="7">
        <v>0.250174717804274</v>
      </c>
      <c r="U1547" t="s">
        <v>12</v>
      </c>
      <c r="V1547" t="s">
        <v>50</v>
      </c>
      <c r="W1547" t="s">
        <v>50</v>
      </c>
      <c r="X1547" t="s">
        <v>35</v>
      </c>
      <c r="Y1547" t="s">
        <v>3548</v>
      </c>
      <c r="Z1547" t="s">
        <v>80</v>
      </c>
    </row>
    <row r="1548" spans="1:26">
      <c r="A1548" t="s">
        <v>3549</v>
      </c>
      <c r="B1548" t="s">
        <v>3549</v>
      </c>
      <c r="C1548" s="4">
        <v>45911</v>
      </c>
      <c r="D1548">
        <v>2025</v>
      </c>
      <c r="E1548">
        <v>9</v>
      </c>
      <c r="F1548" t="s">
        <v>25</v>
      </c>
      <c r="G1548" t="s">
        <v>89</v>
      </c>
      <c r="H1548" t="s">
        <v>1279</v>
      </c>
      <c r="I1548" t="s">
        <v>553</v>
      </c>
      <c r="J1548" t="s">
        <v>802</v>
      </c>
      <c r="K1548" t="s">
        <v>803</v>
      </c>
      <c r="L1548">
        <v>4</v>
      </c>
      <c r="M1548" s="5">
        <v>328.15</v>
      </c>
      <c r="N1548" s="6">
        <v>20</v>
      </c>
      <c r="O1548" s="5">
        <v>262.52</v>
      </c>
      <c r="P1548" s="5">
        <v>157.51</v>
      </c>
      <c r="Q1548" s="5">
        <v>1050.08</v>
      </c>
      <c r="R1548" s="5">
        <v>1014.8</v>
      </c>
      <c r="S1548" s="5">
        <v>35.28</v>
      </c>
      <c r="T1548" s="7">
        <v>0.0335974401950328</v>
      </c>
      <c r="U1548" t="s">
        <v>12</v>
      </c>
      <c r="V1548" t="s">
        <v>50</v>
      </c>
      <c r="W1548" t="s">
        <v>50</v>
      </c>
      <c r="X1548" t="s">
        <v>33</v>
      </c>
      <c r="Y1548" t="s">
        <v>606</v>
      </c>
      <c r="Z1548" t="s">
        <v>101</v>
      </c>
    </row>
    <row r="1549" spans="1:26">
      <c r="A1549" t="s">
        <v>3550</v>
      </c>
      <c r="B1549" t="s">
        <v>3550</v>
      </c>
      <c r="C1549" s="4">
        <v>45914</v>
      </c>
      <c r="D1549">
        <v>2025</v>
      </c>
      <c r="E1549">
        <v>9</v>
      </c>
      <c r="F1549" t="s">
        <v>25</v>
      </c>
      <c r="G1549" t="s">
        <v>89</v>
      </c>
      <c r="H1549" t="s">
        <v>1600</v>
      </c>
      <c r="I1549" t="s">
        <v>317</v>
      </c>
      <c r="J1549" t="s">
        <v>240</v>
      </c>
      <c r="K1549" t="s">
        <v>2573</v>
      </c>
      <c r="L1549">
        <v>5</v>
      </c>
      <c r="M1549" s="5">
        <v>157.92</v>
      </c>
      <c r="N1549" s="6">
        <v>0</v>
      </c>
      <c r="O1549" s="5">
        <v>0</v>
      </c>
      <c r="P1549" s="5">
        <v>118.44</v>
      </c>
      <c r="Q1549" s="5">
        <v>908.04</v>
      </c>
      <c r="R1549" s="5">
        <v>688.2</v>
      </c>
      <c r="S1549" s="5">
        <v>219.84</v>
      </c>
      <c r="T1549" s="7">
        <v>0.24210387207612</v>
      </c>
      <c r="U1549" t="s">
        <v>10</v>
      </c>
      <c r="V1549" t="s">
        <v>50</v>
      </c>
      <c r="W1549" t="s">
        <v>50</v>
      </c>
      <c r="X1549" t="s">
        <v>33</v>
      </c>
      <c r="Y1549" t="s">
        <v>2047</v>
      </c>
      <c r="Z1549" t="s">
        <v>80</v>
      </c>
    </row>
    <row r="1550" spans="1:26">
      <c r="A1550" t="s">
        <v>3551</v>
      </c>
      <c r="B1550" t="s">
        <v>3551</v>
      </c>
      <c r="C1550" s="4">
        <v>46061</v>
      </c>
      <c r="D1550">
        <v>2026</v>
      </c>
      <c r="E1550">
        <v>2</v>
      </c>
      <c r="F1550" t="s">
        <v>31</v>
      </c>
      <c r="G1550" t="s">
        <v>82</v>
      </c>
      <c r="H1550" t="s">
        <v>389</v>
      </c>
      <c r="I1550" t="s">
        <v>470</v>
      </c>
      <c r="J1550" t="s">
        <v>548</v>
      </c>
      <c r="K1550" t="s">
        <v>1671</v>
      </c>
      <c r="L1550">
        <v>5</v>
      </c>
      <c r="M1550" s="5">
        <v>292.4</v>
      </c>
      <c r="N1550" s="6">
        <v>0</v>
      </c>
      <c r="O1550" s="5">
        <v>0</v>
      </c>
      <c r="P1550" s="5">
        <v>219.3</v>
      </c>
      <c r="Q1550" s="5">
        <v>1681.3</v>
      </c>
      <c r="R1550" s="5">
        <v>1189.45</v>
      </c>
      <c r="S1550" s="5">
        <v>491.85</v>
      </c>
      <c r="T1550" s="7">
        <v>0.29254148575507</v>
      </c>
      <c r="U1550" t="s">
        <v>13</v>
      </c>
      <c r="V1550" t="s">
        <v>50</v>
      </c>
      <c r="W1550" t="s">
        <v>50</v>
      </c>
      <c r="X1550" t="s">
        <v>33</v>
      </c>
      <c r="Y1550" t="s">
        <v>2892</v>
      </c>
      <c r="Z1550" t="s">
        <v>80</v>
      </c>
    </row>
    <row r="1551" spans="1:26">
      <c r="A1551" t="s">
        <v>3552</v>
      </c>
      <c r="B1551" t="s">
        <v>3552</v>
      </c>
      <c r="C1551" s="4">
        <v>45820</v>
      </c>
      <c r="D1551">
        <v>2025</v>
      </c>
      <c r="E1551">
        <v>6</v>
      </c>
      <c r="F1551" t="s">
        <v>22</v>
      </c>
      <c r="G1551" t="s">
        <v>74</v>
      </c>
      <c r="H1551" t="s">
        <v>3553</v>
      </c>
      <c r="I1551" t="s">
        <v>295</v>
      </c>
      <c r="J1551" t="s">
        <v>345</v>
      </c>
      <c r="K1551" t="s">
        <v>346</v>
      </c>
      <c r="L1551">
        <v>3</v>
      </c>
      <c r="M1551" s="5">
        <v>317.72</v>
      </c>
      <c r="N1551" s="6">
        <v>10</v>
      </c>
      <c r="O1551" s="5">
        <v>95.32</v>
      </c>
      <c r="P1551" s="5">
        <v>128.68</v>
      </c>
      <c r="Q1551" s="5">
        <v>857.84</v>
      </c>
      <c r="R1551" s="5">
        <v>814.59</v>
      </c>
      <c r="S1551" s="5">
        <v>43.25</v>
      </c>
      <c r="T1551" s="7">
        <v>0.0504173272405111</v>
      </c>
      <c r="U1551" t="s">
        <v>13</v>
      </c>
      <c r="V1551" t="s">
        <v>50</v>
      </c>
      <c r="W1551" t="s">
        <v>50</v>
      </c>
      <c r="X1551" t="s">
        <v>33</v>
      </c>
      <c r="Y1551" t="s">
        <v>1433</v>
      </c>
      <c r="Z1551" t="s">
        <v>101</v>
      </c>
    </row>
    <row r="1552" spans="1:26">
      <c r="A1552" t="s">
        <v>3554</v>
      </c>
      <c r="B1552" t="s">
        <v>3554</v>
      </c>
      <c r="C1552" s="4">
        <v>45867</v>
      </c>
      <c r="D1552">
        <v>2025</v>
      </c>
      <c r="E1552">
        <v>7</v>
      </c>
      <c r="F1552" t="s">
        <v>23</v>
      </c>
      <c r="G1552" t="s">
        <v>89</v>
      </c>
      <c r="H1552" t="s">
        <v>646</v>
      </c>
      <c r="I1552" t="s">
        <v>251</v>
      </c>
      <c r="J1552" t="s">
        <v>92</v>
      </c>
      <c r="K1552" t="s">
        <v>3311</v>
      </c>
      <c r="L1552">
        <v>8</v>
      </c>
      <c r="M1552" s="5">
        <v>226.78</v>
      </c>
      <c r="N1552" s="6">
        <v>0</v>
      </c>
      <c r="O1552" s="5">
        <v>0</v>
      </c>
      <c r="P1552" s="5">
        <v>272.14</v>
      </c>
      <c r="Q1552" s="5">
        <v>1814.24</v>
      </c>
      <c r="R1552" s="5">
        <v>1361.6</v>
      </c>
      <c r="S1552" s="5">
        <v>452.64</v>
      </c>
      <c r="T1552" s="7">
        <v>0.249492900608519</v>
      </c>
      <c r="U1552" t="s">
        <v>13</v>
      </c>
      <c r="V1552" t="s">
        <v>50</v>
      </c>
      <c r="W1552" t="s">
        <v>50</v>
      </c>
      <c r="X1552" t="s">
        <v>33</v>
      </c>
      <c r="Y1552" t="s">
        <v>519</v>
      </c>
      <c r="Z1552" t="s">
        <v>101</v>
      </c>
    </row>
    <row r="1553" spans="1:26">
      <c r="A1553" t="s">
        <v>3555</v>
      </c>
      <c r="B1553" t="s">
        <v>3555</v>
      </c>
      <c r="C1553" s="4">
        <v>45864</v>
      </c>
      <c r="D1553">
        <v>2025</v>
      </c>
      <c r="E1553">
        <v>7</v>
      </c>
      <c r="F1553" t="s">
        <v>23</v>
      </c>
      <c r="G1553" t="s">
        <v>89</v>
      </c>
      <c r="H1553" t="s">
        <v>1888</v>
      </c>
      <c r="I1553" t="s">
        <v>1360</v>
      </c>
      <c r="J1553" t="s">
        <v>477</v>
      </c>
      <c r="K1553" t="s">
        <v>478</v>
      </c>
      <c r="L1553">
        <v>1</v>
      </c>
      <c r="M1553" s="5">
        <v>229.81</v>
      </c>
      <c r="N1553" s="6">
        <v>5</v>
      </c>
      <c r="O1553" s="5">
        <v>11.49</v>
      </c>
      <c r="P1553" s="5">
        <v>32.75</v>
      </c>
      <c r="Q1553" s="5">
        <v>251.07</v>
      </c>
      <c r="R1553" s="5">
        <v>208.22</v>
      </c>
      <c r="S1553" s="5">
        <v>42.85</v>
      </c>
      <c r="T1553" s="7">
        <v>0.170669534392799</v>
      </c>
      <c r="U1553" t="s">
        <v>12</v>
      </c>
      <c r="V1553" t="s">
        <v>50</v>
      </c>
      <c r="W1553" t="s">
        <v>50</v>
      </c>
      <c r="X1553" t="s">
        <v>33</v>
      </c>
      <c r="Y1553" t="s">
        <v>1437</v>
      </c>
      <c r="Z1553" t="s">
        <v>80</v>
      </c>
    </row>
    <row r="1554" spans="1:26">
      <c r="A1554" t="s">
        <v>3556</v>
      </c>
      <c r="B1554" t="s">
        <v>3556</v>
      </c>
      <c r="C1554" s="4">
        <v>45984</v>
      </c>
      <c r="D1554">
        <v>2025</v>
      </c>
      <c r="E1554">
        <v>11</v>
      </c>
      <c r="F1554" t="s">
        <v>27</v>
      </c>
      <c r="G1554" t="s">
        <v>137</v>
      </c>
      <c r="H1554" t="s">
        <v>3557</v>
      </c>
      <c r="I1554" t="s">
        <v>1694</v>
      </c>
      <c r="J1554" t="s">
        <v>2044</v>
      </c>
      <c r="K1554" t="s">
        <v>878</v>
      </c>
      <c r="L1554">
        <v>2</v>
      </c>
      <c r="M1554" s="5">
        <v>233.47</v>
      </c>
      <c r="N1554" s="6">
        <v>15</v>
      </c>
      <c r="O1554" s="5">
        <v>70.04</v>
      </c>
      <c r="P1554" s="5">
        <v>59.54</v>
      </c>
      <c r="Q1554" s="5">
        <v>456.43</v>
      </c>
      <c r="R1554" s="5">
        <v>377.96</v>
      </c>
      <c r="S1554" s="5">
        <v>78.47</v>
      </c>
      <c r="T1554" s="7">
        <v>0.171921214644086</v>
      </c>
      <c r="U1554" t="s">
        <v>14</v>
      </c>
      <c r="V1554" t="s">
        <v>50</v>
      </c>
      <c r="W1554" t="s">
        <v>50</v>
      </c>
      <c r="X1554" t="s">
        <v>34</v>
      </c>
      <c r="Y1554" t="s">
        <v>891</v>
      </c>
      <c r="Z1554" t="s">
        <v>80</v>
      </c>
    </row>
    <row r="1555" spans="1:26">
      <c r="A1555" t="s">
        <v>3558</v>
      </c>
      <c r="B1555" t="s">
        <v>3558</v>
      </c>
      <c r="C1555" s="4">
        <v>46109</v>
      </c>
      <c r="D1555">
        <v>2026</v>
      </c>
      <c r="E1555">
        <v>3</v>
      </c>
      <c r="F1555" t="s">
        <v>19</v>
      </c>
      <c r="G1555" t="s">
        <v>82</v>
      </c>
      <c r="H1555" t="s">
        <v>3422</v>
      </c>
      <c r="I1555" t="s">
        <v>395</v>
      </c>
      <c r="J1555" t="s">
        <v>1290</v>
      </c>
      <c r="K1555" t="s">
        <v>2591</v>
      </c>
      <c r="L1555">
        <v>3</v>
      </c>
      <c r="M1555" s="5">
        <v>446.17</v>
      </c>
      <c r="N1555" s="6">
        <v>0</v>
      </c>
      <c r="O1555" s="5">
        <v>0</v>
      </c>
      <c r="P1555" s="5">
        <v>200.78</v>
      </c>
      <c r="Q1555" s="5">
        <v>1539.29</v>
      </c>
      <c r="R1555" s="5">
        <v>976.83</v>
      </c>
      <c r="S1555" s="5">
        <v>562.46</v>
      </c>
      <c r="T1555" s="7">
        <v>0.365402230898661</v>
      </c>
      <c r="U1555" t="s">
        <v>13</v>
      </c>
      <c r="V1555" t="s">
        <v>50</v>
      </c>
      <c r="W1555" t="s">
        <v>50</v>
      </c>
      <c r="X1555" t="s">
        <v>35</v>
      </c>
      <c r="Y1555" t="s">
        <v>1776</v>
      </c>
      <c r="Z1555" t="s">
        <v>80</v>
      </c>
    </row>
    <row r="1556" spans="1:26">
      <c r="A1556" t="s">
        <v>3559</v>
      </c>
      <c r="B1556" t="s">
        <v>3559</v>
      </c>
      <c r="C1556" s="4">
        <v>45847</v>
      </c>
      <c r="D1556">
        <v>2025</v>
      </c>
      <c r="E1556">
        <v>7</v>
      </c>
      <c r="F1556" t="s">
        <v>23</v>
      </c>
      <c r="G1556" t="s">
        <v>89</v>
      </c>
      <c r="H1556" t="s">
        <v>2330</v>
      </c>
      <c r="I1556" t="s">
        <v>1307</v>
      </c>
      <c r="J1556" t="s">
        <v>1718</v>
      </c>
      <c r="K1556" t="s">
        <v>1622</v>
      </c>
      <c r="L1556">
        <v>1</v>
      </c>
      <c r="M1556" s="5">
        <v>236.56</v>
      </c>
      <c r="N1556" s="6">
        <v>20</v>
      </c>
      <c r="O1556" s="5">
        <v>47.31</v>
      </c>
      <c r="P1556" s="5">
        <v>28.39</v>
      </c>
      <c r="Q1556" s="5">
        <v>189.25</v>
      </c>
      <c r="R1556" s="5">
        <v>211.73</v>
      </c>
      <c r="S1556" s="5">
        <v>-22.48</v>
      </c>
      <c r="T1556" s="7">
        <v>-0.118784676354029</v>
      </c>
      <c r="U1556" t="s">
        <v>13</v>
      </c>
      <c r="V1556" t="s">
        <v>50</v>
      </c>
      <c r="W1556" t="s">
        <v>50</v>
      </c>
      <c r="X1556" t="s">
        <v>33</v>
      </c>
      <c r="Y1556" t="s">
        <v>228</v>
      </c>
      <c r="Z1556" t="s">
        <v>101</v>
      </c>
    </row>
    <row r="1557" spans="1:26">
      <c r="A1557" t="s">
        <v>3560</v>
      </c>
      <c r="B1557" t="s">
        <v>3560</v>
      </c>
      <c r="C1557" s="4">
        <v>46030</v>
      </c>
      <c r="D1557">
        <v>2026</v>
      </c>
      <c r="E1557">
        <v>1</v>
      </c>
      <c r="F1557" t="s">
        <v>30</v>
      </c>
      <c r="G1557" t="s">
        <v>82</v>
      </c>
      <c r="H1557" t="s">
        <v>3561</v>
      </c>
      <c r="I1557" t="s">
        <v>411</v>
      </c>
      <c r="J1557" t="s">
        <v>98</v>
      </c>
      <c r="K1557" t="s">
        <v>99</v>
      </c>
      <c r="L1557">
        <v>1</v>
      </c>
      <c r="M1557" s="5">
        <v>459.58</v>
      </c>
      <c r="N1557" s="6">
        <v>20</v>
      </c>
      <c r="O1557" s="5">
        <v>91.92</v>
      </c>
      <c r="P1557" s="5">
        <v>55.15</v>
      </c>
      <c r="Q1557" s="5">
        <v>367.66</v>
      </c>
      <c r="R1557" s="5">
        <v>386.89</v>
      </c>
      <c r="S1557" s="5">
        <v>-19.23</v>
      </c>
      <c r="T1557" s="7">
        <v>-0.0523037589076865</v>
      </c>
      <c r="U1557" t="s">
        <v>9</v>
      </c>
      <c r="V1557" t="s">
        <v>50</v>
      </c>
      <c r="W1557" t="s">
        <v>50</v>
      </c>
      <c r="X1557" t="s">
        <v>34</v>
      </c>
      <c r="Y1557" t="s">
        <v>1699</v>
      </c>
      <c r="Z1557" t="s">
        <v>101</v>
      </c>
    </row>
    <row r="1558" spans="1:26">
      <c r="A1558" t="s">
        <v>3562</v>
      </c>
      <c r="B1558" t="s">
        <v>3562</v>
      </c>
      <c r="C1558" s="4">
        <v>46008</v>
      </c>
      <c r="D1558">
        <v>2025</v>
      </c>
      <c r="E1558">
        <v>12</v>
      </c>
      <c r="F1558" t="s">
        <v>28</v>
      </c>
      <c r="G1558" t="s">
        <v>137</v>
      </c>
      <c r="H1558" t="s">
        <v>2173</v>
      </c>
      <c r="I1558" t="s">
        <v>844</v>
      </c>
      <c r="J1558" t="s">
        <v>43</v>
      </c>
      <c r="K1558" t="s">
        <v>375</v>
      </c>
      <c r="L1558">
        <v>8</v>
      </c>
      <c r="M1558" s="5">
        <v>327.9</v>
      </c>
      <c r="N1558" s="6">
        <v>10</v>
      </c>
      <c r="O1558" s="5">
        <v>262.32</v>
      </c>
      <c r="P1558" s="5">
        <v>354.13</v>
      </c>
      <c r="Q1558" s="5">
        <v>2360.88</v>
      </c>
      <c r="R1558" s="5">
        <v>2005.52</v>
      </c>
      <c r="S1558" s="5">
        <v>355.36</v>
      </c>
      <c r="T1558" s="7">
        <v>0.150520145030666</v>
      </c>
      <c r="U1558" t="s">
        <v>13</v>
      </c>
      <c r="V1558" t="s">
        <v>50</v>
      </c>
      <c r="W1558" t="s">
        <v>50</v>
      </c>
      <c r="X1558" t="s">
        <v>33</v>
      </c>
      <c r="Y1558" t="s">
        <v>1442</v>
      </c>
      <c r="Z1558" t="s">
        <v>101</v>
      </c>
    </row>
    <row r="1559" spans="1:26">
      <c r="A1559" t="s">
        <v>3563</v>
      </c>
      <c r="B1559" t="s">
        <v>3563</v>
      </c>
      <c r="C1559" s="4">
        <v>45801</v>
      </c>
      <c r="D1559">
        <v>2025</v>
      </c>
      <c r="E1559">
        <v>5</v>
      </c>
      <c r="F1559" t="s">
        <v>21</v>
      </c>
      <c r="G1559" t="s">
        <v>74</v>
      </c>
      <c r="H1559" t="s">
        <v>1223</v>
      </c>
      <c r="I1559" t="s">
        <v>498</v>
      </c>
      <c r="J1559" t="s">
        <v>418</v>
      </c>
      <c r="K1559" t="s">
        <v>419</v>
      </c>
      <c r="L1559">
        <v>7</v>
      </c>
      <c r="M1559" s="5">
        <v>368</v>
      </c>
      <c r="N1559" s="6">
        <v>0</v>
      </c>
      <c r="O1559" s="5">
        <v>0</v>
      </c>
      <c r="P1559" s="5">
        <v>386.4</v>
      </c>
      <c r="Q1559" s="5">
        <v>2962.4</v>
      </c>
      <c r="R1559" s="5">
        <v>2172.66</v>
      </c>
      <c r="S1559" s="5">
        <v>789.74</v>
      </c>
      <c r="T1559" s="7">
        <v>0.266587901701323</v>
      </c>
      <c r="U1559" t="s">
        <v>9</v>
      </c>
      <c r="V1559" t="s">
        <v>50</v>
      </c>
      <c r="W1559" t="s">
        <v>50</v>
      </c>
      <c r="X1559" t="s">
        <v>35</v>
      </c>
      <c r="Y1559" t="s">
        <v>1325</v>
      </c>
      <c r="Z1559" t="s">
        <v>80</v>
      </c>
    </row>
    <row r="1560" spans="1:26">
      <c r="A1560" t="s">
        <v>3564</v>
      </c>
      <c r="B1560" t="s">
        <v>3564</v>
      </c>
      <c r="C1560" s="4">
        <v>45854</v>
      </c>
      <c r="D1560">
        <v>2025</v>
      </c>
      <c r="E1560">
        <v>7</v>
      </c>
      <c r="F1560" t="s">
        <v>23</v>
      </c>
      <c r="G1560" t="s">
        <v>89</v>
      </c>
      <c r="H1560" t="s">
        <v>131</v>
      </c>
      <c r="I1560" t="s">
        <v>1511</v>
      </c>
      <c r="J1560" t="s">
        <v>44</v>
      </c>
      <c r="K1560" t="s">
        <v>518</v>
      </c>
      <c r="L1560">
        <v>5</v>
      </c>
      <c r="M1560" s="5">
        <v>183.39</v>
      </c>
      <c r="N1560" s="6">
        <v>10</v>
      </c>
      <c r="O1560" s="5">
        <v>91.69</v>
      </c>
      <c r="P1560" s="5">
        <v>123.79</v>
      </c>
      <c r="Q1560" s="5">
        <v>825.26</v>
      </c>
      <c r="R1560" s="5">
        <v>792.15</v>
      </c>
      <c r="S1560" s="5">
        <v>33.11</v>
      </c>
      <c r="T1560" s="7">
        <v>0.0401206892373313</v>
      </c>
      <c r="U1560" t="s">
        <v>12</v>
      </c>
      <c r="V1560" t="s">
        <v>50</v>
      </c>
      <c r="W1560" t="s">
        <v>50</v>
      </c>
      <c r="X1560" t="s">
        <v>33</v>
      </c>
      <c r="Y1560" t="s">
        <v>1225</v>
      </c>
      <c r="Z1560" t="s">
        <v>101</v>
      </c>
    </row>
    <row r="1561" spans="1:26">
      <c r="A1561" t="s">
        <v>3565</v>
      </c>
      <c r="B1561" t="s">
        <v>3565</v>
      </c>
      <c r="C1561" s="4">
        <v>46005</v>
      </c>
      <c r="D1561">
        <v>2025</v>
      </c>
      <c r="E1561">
        <v>12</v>
      </c>
      <c r="F1561" t="s">
        <v>28</v>
      </c>
      <c r="G1561" t="s">
        <v>137</v>
      </c>
      <c r="H1561" t="s">
        <v>1574</v>
      </c>
      <c r="I1561" t="s">
        <v>765</v>
      </c>
      <c r="J1561" t="s">
        <v>695</v>
      </c>
      <c r="K1561" t="s">
        <v>1259</v>
      </c>
      <c r="L1561">
        <v>7</v>
      </c>
      <c r="M1561" s="5">
        <v>402.8</v>
      </c>
      <c r="N1561" s="6">
        <v>10</v>
      </c>
      <c r="O1561" s="5">
        <v>281.96</v>
      </c>
      <c r="P1561" s="5">
        <v>380.65</v>
      </c>
      <c r="Q1561" s="5">
        <v>2918.29</v>
      </c>
      <c r="R1561" s="5">
        <v>2110.99</v>
      </c>
      <c r="S1561" s="5">
        <v>807.3</v>
      </c>
      <c r="T1561" s="7">
        <v>0.276634604511546</v>
      </c>
      <c r="U1561" t="s">
        <v>14</v>
      </c>
      <c r="V1561" t="s">
        <v>50</v>
      </c>
      <c r="W1561" t="s">
        <v>50</v>
      </c>
      <c r="X1561" t="s">
        <v>33</v>
      </c>
      <c r="Y1561" t="s">
        <v>1615</v>
      </c>
      <c r="Z1561" t="s">
        <v>80</v>
      </c>
    </row>
    <row r="1562" spans="1:26">
      <c r="A1562" t="s">
        <v>3566</v>
      </c>
      <c r="B1562" t="s">
        <v>3566</v>
      </c>
      <c r="C1562" s="4">
        <v>45789</v>
      </c>
      <c r="D1562">
        <v>2025</v>
      </c>
      <c r="E1562">
        <v>5</v>
      </c>
      <c r="F1562" t="s">
        <v>21</v>
      </c>
      <c r="G1562" t="s">
        <v>74</v>
      </c>
      <c r="H1562" t="s">
        <v>327</v>
      </c>
      <c r="I1562" t="s">
        <v>623</v>
      </c>
      <c r="J1562" t="s">
        <v>610</v>
      </c>
      <c r="K1562" t="s">
        <v>1643</v>
      </c>
      <c r="L1562">
        <v>5</v>
      </c>
      <c r="M1562" s="5">
        <v>139.21</v>
      </c>
      <c r="N1562" s="6">
        <v>5</v>
      </c>
      <c r="O1562" s="5">
        <v>34.8</v>
      </c>
      <c r="P1562" s="5">
        <v>99.19</v>
      </c>
      <c r="Q1562" s="5">
        <v>661.25</v>
      </c>
      <c r="R1562" s="5">
        <v>534.95</v>
      </c>
      <c r="S1562" s="5">
        <v>126.3</v>
      </c>
      <c r="T1562" s="7">
        <v>0.191001890359168</v>
      </c>
      <c r="U1562" t="s">
        <v>11</v>
      </c>
      <c r="V1562" t="s">
        <v>50</v>
      </c>
      <c r="W1562" t="s">
        <v>50</v>
      </c>
      <c r="X1562" t="s">
        <v>35</v>
      </c>
      <c r="Y1562" t="s">
        <v>3294</v>
      </c>
      <c r="Z1562" t="s">
        <v>101</v>
      </c>
    </row>
    <row r="1563" spans="1:26">
      <c r="A1563" t="s">
        <v>3567</v>
      </c>
      <c r="B1563" t="s">
        <v>3567</v>
      </c>
      <c r="C1563" s="4">
        <v>45748</v>
      </c>
      <c r="D1563">
        <v>2025</v>
      </c>
      <c r="E1563">
        <v>4</v>
      </c>
      <c r="F1563" t="s">
        <v>20</v>
      </c>
      <c r="G1563" t="s">
        <v>74</v>
      </c>
      <c r="H1563" t="s">
        <v>485</v>
      </c>
      <c r="I1563" t="s">
        <v>213</v>
      </c>
      <c r="J1563" t="s">
        <v>1150</v>
      </c>
      <c r="K1563" t="s">
        <v>2062</v>
      </c>
      <c r="L1563">
        <v>2</v>
      </c>
      <c r="M1563" s="5">
        <v>191.13</v>
      </c>
      <c r="N1563" s="6">
        <v>15</v>
      </c>
      <c r="O1563" s="5">
        <v>57.34</v>
      </c>
      <c r="P1563" s="5">
        <v>48.74</v>
      </c>
      <c r="Q1563" s="5">
        <v>324.92</v>
      </c>
      <c r="R1563" s="5">
        <v>306.84</v>
      </c>
      <c r="S1563" s="5">
        <v>18.08</v>
      </c>
      <c r="T1563" s="7">
        <v>0.0556444663301736</v>
      </c>
      <c r="U1563" t="s">
        <v>13</v>
      </c>
      <c r="V1563" t="s">
        <v>50</v>
      </c>
      <c r="W1563" t="s">
        <v>50</v>
      </c>
      <c r="X1563" t="s">
        <v>33</v>
      </c>
      <c r="Y1563" t="s">
        <v>3568</v>
      </c>
      <c r="Z1563" t="s">
        <v>101</v>
      </c>
    </row>
    <row r="1564" spans="1:26">
      <c r="A1564" t="s">
        <v>3569</v>
      </c>
      <c r="B1564" t="s">
        <v>3569</v>
      </c>
      <c r="C1564" s="4">
        <v>45914</v>
      </c>
      <c r="D1564">
        <v>2025</v>
      </c>
      <c r="E1564">
        <v>9</v>
      </c>
      <c r="F1564" t="s">
        <v>25</v>
      </c>
      <c r="G1564" t="s">
        <v>89</v>
      </c>
      <c r="H1564" t="s">
        <v>201</v>
      </c>
      <c r="I1564" t="s">
        <v>450</v>
      </c>
      <c r="J1564" t="s">
        <v>121</v>
      </c>
      <c r="K1564" t="s">
        <v>122</v>
      </c>
      <c r="L1564">
        <v>5</v>
      </c>
      <c r="M1564" s="5">
        <v>441.67</v>
      </c>
      <c r="N1564" s="6">
        <v>10</v>
      </c>
      <c r="O1564" s="5">
        <v>220.84</v>
      </c>
      <c r="P1564" s="5">
        <v>298.13</v>
      </c>
      <c r="Q1564" s="5">
        <v>2285.64</v>
      </c>
      <c r="R1564" s="5">
        <v>1270.25</v>
      </c>
      <c r="S1564" s="5">
        <v>1015.39</v>
      </c>
      <c r="T1564" s="7">
        <v>0.444247563045799</v>
      </c>
      <c r="U1564" t="s">
        <v>10</v>
      </c>
      <c r="V1564" t="s">
        <v>50</v>
      </c>
      <c r="W1564" t="s">
        <v>50</v>
      </c>
      <c r="X1564" t="s">
        <v>35</v>
      </c>
      <c r="Y1564" t="s">
        <v>2179</v>
      </c>
      <c r="Z1564" t="s">
        <v>80</v>
      </c>
    </row>
    <row r="1565" spans="1:26">
      <c r="A1565" t="s">
        <v>3570</v>
      </c>
      <c r="B1565" t="s">
        <v>3570</v>
      </c>
      <c r="C1565" s="4">
        <v>45995</v>
      </c>
      <c r="D1565">
        <v>2025</v>
      </c>
      <c r="E1565">
        <v>12</v>
      </c>
      <c r="F1565" t="s">
        <v>28</v>
      </c>
      <c r="G1565" t="s">
        <v>137</v>
      </c>
      <c r="H1565" t="s">
        <v>2284</v>
      </c>
      <c r="I1565" t="s">
        <v>1019</v>
      </c>
      <c r="J1565" t="s">
        <v>867</v>
      </c>
      <c r="K1565" t="s">
        <v>868</v>
      </c>
      <c r="L1565">
        <v>3</v>
      </c>
      <c r="M1565" s="5">
        <v>130.09</v>
      </c>
      <c r="N1565" s="6">
        <v>0</v>
      </c>
      <c r="O1565" s="5">
        <v>0</v>
      </c>
      <c r="P1565" s="5">
        <v>58.54</v>
      </c>
      <c r="Q1565" s="5">
        <v>390.27</v>
      </c>
      <c r="R1565" s="5">
        <v>337.86</v>
      </c>
      <c r="S1565" s="5">
        <v>52.41</v>
      </c>
      <c r="T1565" s="7">
        <v>0.134291644246291</v>
      </c>
      <c r="U1565" t="s">
        <v>12</v>
      </c>
      <c r="V1565" t="s">
        <v>50</v>
      </c>
      <c r="W1565" t="s">
        <v>50</v>
      </c>
      <c r="X1565" t="s">
        <v>33</v>
      </c>
      <c r="Y1565" t="s">
        <v>2488</v>
      </c>
      <c r="Z1565" t="s">
        <v>101</v>
      </c>
    </row>
    <row r="1566" spans="1:26">
      <c r="A1566" t="s">
        <v>3571</v>
      </c>
      <c r="B1566" t="s">
        <v>3571</v>
      </c>
      <c r="C1566" s="4">
        <v>46066</v>
      </c>
      <c r="D1566">
        <v>2026</v>
      </c>
      <c r="E1566">
        <v>2</v>
      </c>
      <c r="F1566" t="s">
        <v>31</v>
      </c>
      <c r="G1566" t="s">
        <v>82</v>
      </c>
      <c r="H1566" t="s">
        <v>1274</v>
      </c>
      <c r="I1566" t="s">
        <v>587</v>
      </c>
      <c r="J1566" t="s">
        <v>412</v>
      </c>
      <c r="K1566" t="s">
        <v>938</v>
      </c>
      <c r="L1566">
        <v>4</v>
      </c>
      <c r="M1566" s="5">
        <v>386.17</v>
      </c>
      <c r="N1566" s="6">
        <v>5</v>
      </c>
      <c r="O1566" s="5">
        <v>77.23</v>
      </c>
      <c r="P1566" s="5">
        <v>220.12</v>
      </c>
      <c r="Q1566" s="5">
        <v>1467.45</v>
      </c>
      <c r="R1566" s="5">
        <v>1102.68</v>
      </c>
      <c r="S1566" s="5">
        <v>364.77</v>
      </c>
      <c r="T1566" s="7">
        <v>0.248574057037719</v>
      </c>
      <c r="U1566" t="s">
        <v>11</v>
      </c>
      <c r="V1566" t="s">
        <v>50</v>
      </c>
      <c r="W1566" t="s">
        <v>50</v>
      </c>
      <c r="X1566" t="s">
        <v>33</v>
      </c>
      <c r="Y1566" t="s">
        <v>2963</v>
      </c>
      <c r="Z1566" t="s">
        <v>101</v>
      </c>
    </row>
    <row r="1567" spans="1:26">
      <c r="A1567" t="s">
        <v>3572</v>
      </c>
      <c r="B1567" t="s">
        <v>3572</v>
      </c>
      <c r="C1567" s="4">
        <v>45983</v>
      </c>
      <c r="D1567">
        <v>2025</v>
      </c>
      <c r="E1567">
        <v>11</v>
      </c>
      <c r="F1567" t="s">
        <v>27</v>
      </c>
      <c r="G1567" t="s">
        <v>137</v>
      </c>
      <c r="H1567" t="s">
        <v>1092</v>
      </c>
      <c r="I1567" t="s">
        <v>274</v>
      </c>
      <c r="J1567" t="s">
        <v>2513</v>
      </c>
      <c r="K1567" t="s">
        <v>3573</v>
      </c>
      <c r="L1567">
        <v>3</v>
      </c>
      <c r="M1567" s="5">
        <v>318.62</v>
      </c>
      <c r="N1567" s="6">
        <v>20</v>
      </c>
      <c r="O1567" s="5">
        <v>191.17</v>
      </c>
      <c r="P1567" s="5">
        <v>114.7</v>
      </c>
      <c r="Q1567" s="5">
        <v>879.39</v>
      </c>
      <c r="R1567" s="5">
        <v>665.16</v>
      </c>
      <c r="S1567" s="5">
        <v>214.23</v>
      </c>
      <c r="T1567" s="7">
        <v>0.24361204926142</v>
      </c>
      <c r="U1567" t="s">
        <v>13</v>
      </c>
      <c r="V1567" t="s">
        <v>50</v>
      </c>
      <c r="W1567" t="s">
        <v>50</v>
      </c>
      <c r="X1567" t="s">
        <v>33</v>
      </c>
      <c r="Y1567" t="s">
        <v>1216</v>
      </c>
      <c r="Z1567" t="s">
        <v>80</v>
      </c>
    </row>
    <row r="1568" spans="1:26">
      <c r="A1568" t="s">
        <v>3574</v>
      </c>
      <c r="B1568" t="s">
        <v>3574</v>
      </c>
      <c r="C1568" s="4">
        <v>45839</v>
      </c>
      <c r="D1568">
        <v>2025</v>
      </c>
      <c r="E1568">
        <v>7</v>
      </c>
      <c r="F1568" t="s">
        <v>23</v>
      </c>
      <c r="G1568" t="s">
        <v>89</v>
      </c>
      <c r="H1568" t="s">
        <v>2199</v>
      </c>
      <c r="I1568" t="s">
        <v>1575</v>
      </c>
      <c r="J1568" t="s">
        <v>121</v>
      </c>
      <c r="K1568" t="s">
        <v>122</v>
      </c>
      <c r="L1568">
        <v>2</v>
      </c>
      <c r="M1568" s="5">
        <v>66.4</v>
      </c>
      <c r="N1568" s="6">
        <v>0</v>
      </c>
      <c r="O1568" s="5">
        <v>0</v>
      </c>
      <c r="P1568" s="5">
        <v>19.92</v>
      </c>
      <c r="Q1568" s="5">
        <v>132.8</v>
      </c>
      <c r="R1568" s="5">
        <v>99.98</v>
      </c>
      <c r="S1568" s="5">
        <v>32.82</v>
      </c>
      <c r="T1568" s="7">
        <v>0.247138554216868</v>
      </c>
      <c r="U1568" t="s">
        <v>12</v>
      </c>
      <c r="V1568" t="s">
        <v>50</v>
      </c>
      <c r="W1568" t="s">
        <v>50</v>
      </c>
      <c r="X1568" t="s">
        <v>33</v>
      </c>
      <c r="Y1568" t="s">
        <v>1692</v>
      </c>
      <c r="Z1568" t="s">
        <v>101</v>
      </c>
    </row>
    <row r="1569" spans="1:26">
      <c r="A1569" t="s">
        <v>3575</v>
      </c>
      <c r="B1569" t="s">
        <v>3575</v>
      </c>
      <c r="C1569" s="4">
        <v>46097</v>
      </c>
      <c r="D1569">
        <v>2026</v>
      </c>
      <c r="E1569">
        <v>3</v>
      </c>
      <c r="F1569" t="s">
        <v>19</v>
      </c>
      <c r="G1569" t="s">
        <v>82</v>
      </c>
      <c r="H1569" t="s">
        <v>1439</v>
      </c>
      <c r="I1569" t="s">
        <v>476</v>
      </c>
      <c r="J1569" t="s">
        <v>676</v>
      </c>
      <c r="K1569" t="s">
        <v>1894</v>
      </c>
      <c r="L1569">
        <v>1</v>
      </c>
      <c r="M1569" s="5">
        <v>305.67</v>
      </c>
      <c r="N1569" s="6">
        <v>15</v>
      </c>
      <c r="O1569" s="5">
        <v>45.85</v>
      </c>
      <c r="P1569" s="5">
        <v>38.97</v>
      </c>
      <c r="Q1569" s="5">
        <v>259.82</v>
      </c>
      <c r="R1569" s="5">
        <v>251.42</v>
      </c>
      <c r="S1569" s="5">
        <v>8.4</v>
      </c>
      <c r="T1569" s="7">
        <v>0.0323300746670772</v>
      </c>
      <c r="U1569" t="s">
        <v>10</v>
      </c>
      <c r="V1569" t="s">
        <v>50</v>
      </c>
      <c r="W1569" t="s">
        <v>50</v>
      </c>
      <c r="X1569" t="s">
        <v>33</v>
      </c>
      <c r="Y1569" t="s">
        <v>830</v>
      </c>
      <c r="Z1569" t="s">
        <v>101</v>
      </c>
    </row>
    <row r="1570" spans="1:26">
      <c r="A1570" t="s">
        <v>3576</v>
      </c>
      <c r="B1570" t="s">
        <v>3576</v>
      </c>
      <c r="C1570" s="4">
        <v>45830</v>
      </c>
      <c r="D1570">
        <v>2025</v>
      </c>
      <c r="E1570">
        <v>6</v>
      </c>
      <c r="F1570" t="s">
        <v>22</v>
      </c>
      <c r="G1570" t="s">
        <v>74</v>
      </c>
      <c r="H1570" t="s">
        <v>2635</v>
      </c>
      <c r="I1570" t="s">
        <v>323</v>
      </c>
      <c r="J1570" t="s">
        <v>1361</v>
      </c>
      <c r="K1570" t="s">
        <v>2905</v>
      </c>
      <c r="L1570">
        <v>4</v>
      </c>
      <c r="M1570" s="5">
        <v>51.43</v>
      </c>
      <c r="N1570" s="6">
        <v>0</v>
      </c>
      <c r="O1570" s="5">
        <v>0</v>
      </c>
      <c r="P1570" s="5">
        <v>30.86</v>
      </c>
      <c r="Q1570" s="5">
        <v>236.58</v>
      </c>
      <c r="R1570" s="5">
        <v>149.92</v>
      </c>
      <c r="S1570" s="5">
        <v>86.66</v>
      </c>
      <c r="T1570" s="7">
        <v>0.366303153267394</v>
      </c>
      <c r="U1570" t="s">
        <v>10</v>
      </c>
      <c r="V1570" t="s">
        <v>50</v>
      </c>
      <c r="W1570" t="s">
        <v>50</v>
      </c>
      <c r="X1570" t="s">
        <v>33</v>
      </c>
      <c r="Y1570" t="s">
        <v>1287</v>
      </c>
      <c r="Z1570" t="s">
        <v>80</v>
      </c>
    </row>
    <row r="1571" spans="1:26">
      <c r="A1571" t="s">
        <v>3577</v>
      </c>
      <c r="B1571" t="s">
        <v>3577</v>
      </c>
      <c r="C1571" s="4">
        <v>45788</v>
      </c>
      <c r="D1571">
        <v>2025</v>
      </c>
      <c r="E1571">
        <v>5</v>
      </c>
      <c r="F1571" t="s">
        <v>21</v>
      </c>
      <c r="G1571" t="s">
        <v>74</v>
      </c>
      <c r="H1571" t="s">
        <v>2549</v>
      </c>
      <c r="I1571" t="s">
        <v>219</v>
      </c>
      <c r="J1571" t="s">
        <v>191</v>
      </c>
      <c r="K1571" t="s">
        <v>192</v>
      </c>
      <c r="L1571">
        <v>5</v>
      </c>
      <c r="M1571" s="5">
        <v>245.4</v>
      </c>
      <c r="N1571" s="6">
        <v>0</v>
      </c>
      <c r="O1571" s="5">
        <v>0</v>
      </c>
      <c r="P1571" s="5">
        <v>184.05</v>
      </c>
      <c r="Q1571" s="5">
        <v>1411.05</v>
      </c>
      <c r="R1571" s="5">
        <v>954.5</v>
      </c>
      <c r="S1571" s="5">
        <v>456.55</v>
      </c>
      <c r="T1571" s="7">
        <v>0.323553382233089</v>
      </c>
      <c r="U1571" t="s">
        <v>12</v>
      </c>
      <c r="V1571" t="s">
        <v>50</v>
      </c>
      <c r="W1571" t="s">
        <v>50</v>
      </c>
      <c r="X1571" t="s">
        <v>35</v>
      </c>
      <c r="Y1571" t="s">
        <v>2331</v>
      </c>
      <c r="Z1571" t="s">
        <v>80</v>
      </c>
    </row>
    <row r="1572" spans="1:26">
      <c r="A1572" t="s">
        <v>3578</v>
      </c>
      <c r="B1572" t="s">
        <v>3578</v>
      </c>
      <c r="C1572" s="4">
        <v>46094</v>
      </c>
      <c r="D1572">
        <v>2026</v>
      </c>
      <c r="E1572">
        <v>3</v>
      </c>
      <c r="F1572" t="s">
        <v>19</v>
      </c>
      <c r="G1572" t="s">
        <v>82</v>
      </c>
      <c r="H1572" t="s">
        <v>3045</v>
      </c>
      <c r="I1572" t="s">
        <v>854</v>
      </c>
      <c r="J1572" t="s">
        <v>1361</v>
      </c>
      <c r="K1572" t="s">
        <v>106</v>
      </c>
      <c r="L1572">
        <v>4</v>
      </c>
      <c r="M1572" s="5">
        <v>571.55</v>
      </c>
      <c r="N1572" s="6">
        <v>5</v>
      </c>
      <c r="O1572" s="5">
        <v>114.31</v>
      </c>
      <c r="P1572" s="5">
        <v>325.78</v>
      </c>
      <c r="Q1572" s="5">
        <v>2171.89</v>
      </c>
      <c r="R1572" s="5">
        <v>1516.76</v>
      </c>
      <c r="S1572" s="5">
        <v>655.13</v>
      </c>
      <c r="T1572" s="7">
        <v>0.301640506655494</v>
      </c>
      <c r="U1572" t="s">
        <v>10</v>
      </c>
      <c r="V1572" t="s">
        <v>50</v>
      </c>
      <c r="W1572" t="s">
        <v>50</v>
      </c>
      <c r="X1572" t="s">
        <v>33</v>
      </c>
      <c r="Y1572" t="s">
        <v>2460</v>
      </c>
      <c r="Z1572" t="s">
        <v>101</v>
      </c>
    </row>
    <row r="1573" spans="1:26">
      <c r="A1573" t="s">
        <v>3579</v>
      </c>
      <c r="B1573" t="s">
        <v>3579</v>
      </c>
      <c r="C1573" s="4">
        <v>45925</v>
      </c>
      <c r="D1573">
        <v>2025</v>
      </c>
      <c r="E1573">
        <v>9</v>
      </c>
      <c r="F1573" t="s">
        <v>25</v>
      </c>
      <c r="G1573" t="s">
        <v>89</v>
      </c>
      <c r="H1573" t="s">
        <v>3580</v>
      </c>
      <c r="I1573" t="s">
        <v>395</v>
      </c>
      <c r="J1573" t="s">
        <v>802</v>
      </c>
      <c r="K1573" t="s">
        <v>803</v>
      </c>
      <c r="L1573">
        <v>1</v>
      </c>
      <c r="M1573" s="5">
        <v>446.17</v>
      </c>
      <c r="N1573" s="6">
        <v>0</v>
      </c>
      <c r="O1573" s="5">
        <v>0</v>
      </c>
      <c r="P1573" s="5">
        <v>66.93</v>
      </c>
      <c r="Q1573" s="5">
        <v>446.17</v>
      </c>
      <c r="R1573" s="5">
        <v>325.61</v>
      </c>
      <c r="S1573" s="5">
        <v>120.56</v>
      </c>
      <c r="T1573" s="7">
        <v>0.270210906156846</v>
      </c>
      <c r="U1573" t="s">
        <v>12</v>
      </c>
      <c r="V1573" t="s">
        <v>50</v>
      </c>
      <c r="W1573" t="s">
        <v>50</v>
      </c>
      <c r="X1573" t="s">
        <v>33</v>
      </c>
      <c r="Y1573" t="s">
        <v>1213</v>
      </c>
      <c r="Z1573" t="s">
        <v>101</v>
      </c>
    </row>
    <row r="1574" spans="1:26">
      <c r="A1574" t="s">
        <v>3581</v>
      </c>
      <c r="B1574" t="s">
        <v>3581</v>
      </c>
      <c r="C1574" s="4">
        <v>46104</v>
      </c>
      <c r="D1574">
        <v>2026</v>
      </c>
      <c r="E1574">
        <v>3</v>
      </c>
      <c r="F1574" t="s">
        <v>19</v>
      </c>
      <c r="G1574" t="s">
        <v>82</v>
      </c>
      <c r="H1574" t="s">
        <v>3582</v>
      </c>
      <c r="I1574" t="s">
        <v>836</v>
      </c>
      <c r="J1574" t="s">
        <v>85</v>
      </c>
      <c r="K1574" t="s">
        <v>86</v>
      </c>
      <c r="L1574">
        <v>3</v>
      </c>
      <c r="M1574" s="5">
        <v>171.25</v>
      </c>
      <c r="N1574" s="6">
        <v>0</v>
      </c>
      <c r="O1574" s="5">
        <v>0</v>
      </c>
      <c r="P1574" s="5">
        <v>77.06</v>
      </c>
      <c r="Q1574" s="5">
        <v>513.75</v>
      </c>
      <c r="R1574" s="5">
        <v>372.99</v>
      </c>
      <c r="S1574" s="5">
        <v>140.76</v>
      </c>
      <c r="T1574" s="7">
        <v>0.273985401459854</v>
      </c>
      <c r="U1574" t="s">
        <v>13</v>
      </c>
      <c r="V1574" t="s">
        <v>50</v>
      </c>
      <c r="W1574" t="s">
        <v>50</v>
      </c>
      <c r="X1574" t="s">
        <v>33</v>
      </c>
      <c r="Y1574" t="s">
        <v>3037</v>
      </c>
      <c r="Z1574" t="s">
        <v>101</v>
      </c>
    </row>
    <row r="1575" spans="1:26">
      <c r="A1575" t="s">
        <v>3583</v>
      </c>
      <c r="B1575" t="s">
        <v>3583</v>
      </c>
      <c r="C1575" s="4">
        <v>45996</v>
      </c>
      <c r="D1575">
        <v>2025</v>
      </c>
      <c r="E1575">
        <v>12</v>
      </c>
      <c r="F1575" t="s">
        <v>28</v>
      </c>
      <c r="G1575" t="s">
        <v>137</v>
      </c>
      <c r="H1575" t="s">
        <v>1236</v>
      </c>
      <c r="I1575" t="s">
        <v>328</v>
      </c>
      <c r="J1575" t="s">
        <v>1009</v>
      </c>
      <c r="K1575" t="s">
        <v>1234</v>
      </c>
      <c r="L1575">
        <v>6</v>
      </c>
      <c r="M1575" s="5">
        <v>137.82</v>
      </c>
      <c r="N1575" s="6">
        <v>0</v>
      </c>
      <c r="O1575" s="5">
        <v>0</v>
      </c>
      <c r="P1575" s="5">
        <v>124.04</v>
      </c>
      <c r="Q1575" s="5">
        <v>826.92</v>
      </c>
      <c r="R1575" s="5">
        <v>584.1</v>
      </c>
      <c r="S1575" s="5">
        <v>242.82</v>
      </c>
      <c r="T1575" s="7">
        <v>0.293643883326077</v>
      </c>
      <c r="U1575" t="s">
        <v>9</v>
      </c>
      <c r="V1575" t="s">
        <v>50</v>
      </c>
      <c r="W1575" t="s">
        <v>50</v>
      </c>
      <c r="X1575" t="s">
        <v>35</v>
      </c>
      <c r="Y1575" t="s">
        <v>1960</v>
      </c>
      <c r="Z1575" t="s">
        <v>101</v>
      </c>
    </row>
    <row r="1576" spans="1:26">
      <c r="A1576" t="s">
        <v>3584</v>
      </c>
      <c r="B1576" t="s">
        <v>3584</v>
      </c>
      <c r="C1576" s="4">
        <v>45993</v>
      </c>
      <c r="D1576">
        <v>2025</v>
      </c>
      <c r="E1576">
        <v>12</v>
      </c>
      <c r="F1576" t="s">
        <v>28</v>
      </c>
      <c r="G1576" t="s">
        <v>137</v>
      </c>
      <c r="H1576" t="s">
        <v>322</v>
      </c>
      <c r="I1576" t="s">
        <v>323</v>
      </c>
      <c r="J1576" t="s">
        <v>998</v>
      </c>
      <c r="K1576" t="s">
        <v>1931</v>
      </c>
      <c r="L1576">
        <v>5</v>
      </c>
      <c r="M1576" s="5">
        <v>51.63</v>
      </c>
      <c r="N1576" s="6">
        <v>5</v>
      </c>
      <c r="O1576" s="5">
        <v>12.91</v>
      </c>
      <c r="P1576" s="5">
        <v>36.79</v>
      </c>
      <c r="Q1576" s="5">
        <v>245.24</v>
      </c>
      <c r="R1576" s="5">
        <v>187.4</v>
      </c>
      <c r="S1576" s="5">
        <v>57.84</v>
      </c>
      <c r="T1576" s="7">
        <v>0.235850595335182</v>
      </c>
      <c r="U1576" t="s">
        <v>14</v>
      </c>
      <c r="V1576" t="s">
        <v>50</v>
      </c>
      <c r="W1576" t="s">
        <v>50</v>
      </c>
      <c r="X1576" t="s">
        <v>35</v>
      </c>
      <c r="Y1576" t="s">
        <v>1243</v>
      </c>
      <c r="Z1576" t="s">
        <v>101</v>
      </c>
    </row>
    <row r="1577" spans="1:26">
      <c r="A1577" t="s">
        <v>3585</v>
      </c>
      <c r="B1577" t="s">
        <v>3585</v>
      </c>
      <c r="C1577" s="4">
        <v>46008</v>
      </c>
      <c r="D1577">
        <v>2025</v>
      </c>
      <c r="E1577">
        <v>12</v>
      </c>
      <c r="F1577" t="s">
        <v>28</v>
      </c>
      <c r="G1577" t="s">
        <v>137</v>
      </c>
      <c r="H1577" t="s">
        <v>1768</v>
      </c>
      <c r="I1577" t="s">
        <v>1343</v>
      </c>
      <c r="J1577" t="s">
        <v>220</v>
      </c>
      <c r="K1577" t="s">
        <v>814</v>
      </c>
      <c r="L1577">
        <v>3</v>
      </c>
      <c r="M1577" s="5">
        <v>550.96</v>
      </c>
      <c r="N1577" s="6">
        <v>0</v>
      </c>
      <c r="O1577" s="5">
        <v>0</v>
      </c>
      <c r="P1577" s="5">
        <v>247.93</v>
      </c>
      <c r="Q1577" s="5">
        <v>1652.88</v>
      </c>
      <c r="R1577" s="5">
        <v>1120.74</v>
      </c>
      <c r="S1577" s="5">
        <v>532.14</v>
      </c>
      <c r="T1577" s="7">
        <v>0.321947146798316</v>
      </c>
      <c r="U1577" t="s">
        <v>12</v>
      </c>
      <c r="V1577" t="s">
        <v>50</v>
      </c>
      <c r="W1577" t="s">
        <v>50</v>
      </c>
      <c r="X1577" t="s">
        <v>33</v>
      </c>
      <c r="Y1577" t="s">
        <v>2577</v>
      </c>
      <c r="Z1577" t="s">
        <v>101</v>
      </c>
    </row>
    <row r="1578" spans="1:26">
      <c r="A1578" t="s">
        <v>3586</v>
      </c>
      <c r="B1578" t="s">
        <v>3586</v>
      </c>
      <c r="C1578" s="4">
        <v>46005</v>
      </c>
      <c r="D1578">
        <v>2025</v>
      </c>
      <c r="E1578">
        <v>12</v>
      </c>
      <c r="F1578" t="s">
        <v>28</v>
      </c>
      <c r="G1578" t="s">
        <v>137</v>
      </c>
      <c r="H1578" t="s">
        <v>1041</v>
      </c>
      <c r="I1578" t="s">
        <v>444</v>
      </c>
      <c r="J1578" t="s">
        <v>1133</v>
      </c>
      <c r="K1578" t="s">
        <v>1134</v>
      </c>
      <c r="L1578">
        <v>1</v>
      </c>
      <c r="M1578" s="5">
        <v>99.93</v>
      </c>
      <c r="N1578" s="6">
        <v>15</v>
      </c>
      <c r="O1578" s="5">
        <v>14.99</v>
      </c>
      <c r="P1578" s="5">
        <v>12.74</v>
      </c>
      <c r="Q1578" s="5">
        <v>97.68</v>
      </c>
      <c r="R1578" s="5">
        <v>86.05</v>
      </c>
      <c r="S1578" s="5">
        <v>11.63</v>
      </c>
      <c r="T1578" s="7">
        <v>0.119062244062244</v>
      </c>
      <c r="U1578" t="s">
        <v>12</v>
      </c>
      <c r="V1578" t="s">
        <v>50</v>
      </c>
      <c r="W1578" t="s">
        <v>50</v>
      </c>
      <c r="X1578" t="s">
        <v>35</v>
      </c>
      <c r="Y1578" t="s">
        <v>900</v>
      </c>
      <c r="Z1578" t="s">
        <v>80</v>
      </c>
    </row>
    <row r="1579" spans="1:26">
      <c r="A1579" t="s">
        <v>3587</v>
      </c>
      <c r="B1579" t="s">
        <v>3587</v>
      </c>
      <c r="C1579" s="4">
        <v>45946</v>
      </c>
      <c r="D1579">
        <v>2025</v>
      </c>
      <c r="E1579">
        <v>10</v>
      </c>
      <c r="F1579" t="s">
        <v>26</v>
      </c>
      <c r="G1579" t="s">
        <v>137</v>
      </c>
      <c r="H1579" t="s">
        <v>513</v>
      </c>
      <c r="I1579" t="s">
        <v>498</v>
      </c>
      <c r="J1579" t="s">
        <v>676</v>
      </c>
      <c r="K1579" t="s">
        <v>2051</v>
      </c>
      <c r="L1579">
        <v>3</v>
      </c>
      <c r="M1579" s="5">
        <v>397.96</v>
      </c>
      <c r="N1579" s="6">
        <v>5</v>
      </c>
      <c r="O1579" s="5">
        <v>59.69</v>
      </c>
      <c r="P1579" s="5">
        <v>170.13</v>
      </c>
      <c r="Q1579" s="5">
        <v>1134.19</v>
      </c>
      <c r="R1579" s="5">
        <v>931.14</v>
      </c>
      <c r="S1579" s="5">
        <v>203.05</v>
      </c>
      <c r="T1579" s="7">
        <v>0.179026441777833</v>
      </c>
      <c r="U1579" t="s">
        <v>10</v>
      </c>
      <c r="V1579" t="s">
        <v>50</v>
      </c>
      <c r="W1579" t="s">
        <v>50</v>
      </c>
      <c r="X1579" t="s">
        <v>33</v>
      </c>
      <c r="Y1579" t="s">
        <v>1403</v>
      </c>
      <c r="Z1579" t="s">
        <v>101</v>
      </c>
    </row>
    <row r="1580" spans="1:26">
      <c r="A1580" t="s">
        <v>3588</v>
      </c>
      <c r="B1580" t="s">
        <v>3588</v>
      </c>
      <c r="C1580" s="4">
        <v>45940</v>
      </c>
      <c r="D1580">
        <v>2025</v>
      </c>
      <c r="E1580">
        <v>10</v>
      </c>
      <c r="F1580" t="s">
        <v>26</v>
      </c>
      <c r="G1580" t="s">
        <v>137</v>
      </c>
      <c r="H1580" t="s">
        <v>1028</v>
      </c>
      <c r="I1580" t="s">
        <v>157</v>
      </c>
      <c r="J1580" t="s">
        <v>39</v>
      </c>
      <c r="K1580" t="s">
        <v>724</v>
      </c>
      <c r="L1580">
        <v>3</v>
      </c>
      <c r="M1580" s="5">
        <v>61.22</v>
      </c>
      <c r="N1580" s="6">
        <v>20</v>
      </c>
      <c r="O1580" s="5">
        <v>36.73</v>
      </c>
      <c r="P1580" s="5">
        <v>22.04</v>
      </c>
      <c r="Q1580" s="5">
        <v>146.93</v>
      </c>
      <c r="R1580" s="5">
        <v>144.45</v>
      </c>
      <c r="S1580" s="5">
        <v>2.48</v>
      </c>
      <c r="T1580" s="7">
        <v>0.0168787858163751</v>
      </c>
      <c r="U1580" t="s">
        <v>11</v>
      </c>
      <c r="V1580" t="s">
        <v>50</v>
      </c>
      <c r="W1580" t="s">
        <v>50</v>
      </c>
      <c r="X1580" t="s">
        <v>33</v>
      </c>
      <c r="Y1580" t="s">
        <v>392</v>
      </c>
      <c r="Z1580" t="s">
        <v>101</v>
      </c>
    </row>
    <row r="1581" spans="1:26">
      <c r="A1581" t="s">
        <v>3589</v>
      </c>
      <c r="B1581" t="s">
        <v>3589</v>
      </c>
      <c r="C1581" s="4">
        <v>45958</v>
      </c>
      <c r="D1581">
        <v>2025</v>
      </c>
      <c r="E1581">
        <v>10</v>
      </c>
      <c r="F1581" t="s">
        <v>26</v>
      </c>
      <c r="G1581" t="s">
        <v>137</v>
      </c>
      <c r="H1581" t="s">
        <v>1594</v>
      </c>
      <c r="I1581" t="s">
        <v>793</v>
      </c>
      <c r="J1581" t="s">
        <v>435</v>
      </c>
      <c r="K1581" t="s">
        <v>863</v>
      </c>
      <c r="L1581">
        <v>4</v>
      </c>
      <c r="M1581" s="5">
        <v>144.03</v>
      </c>
      <c r="N1581" s="6">
        <v>0</v>
      </c>
      <c r="O1581" s="5">
        <v>0</v>
      </c>
      <c r="P1581" s="5">
        <v>86.42</v>
      </c>
      <c r="Q1581" s="5">
        <v>576.12</v>
      </c>
      <c r="R1581" s="5">
        <v>509.92</v>
      </c>
      <c r="S1581" s="5">
        <v>66.2</v>
      </c>
      <c r="T1581" s="7">
        <v>0.114906616677081</v>
      </c>
      <c r="U1581" t="s">
        <v>11</v>
      </c>
      <c r="V1581" t="s">
        <v>50</v>
      </c>
      <c r="W1581" t="s">
        <v>50</v>
      </c>
      <c r="X1581" t="s">
        <v>33</v>
      </c>
      <c r="Y1581" t="s">
        <v>2408</v>
      </c>
      <c r="Z1581" t="s">
        <v>101</v>
      </c>
    </row>
    <row r="1582" spans="1:26">
      <c r="A1582" t="s">
        <v>3590</v>
      </c>
      <c r="B1582" t="s">
        <v>3590</v>
      </c>
      <c r="C1582" s="4">
        <v>45760</v>
      </c>
      <c r="D1582">
        <v>2025</v>
      </c>
      <c r="E1582">
        <v>4</v>
      </c>
      <c r="F1582" t="s">
        <v>20</v>
      </c>
      <c r="G1582" t="s">
        <v>74</v>
      </c>
      <c r="H1582" t="s">
        <v>3269</v>
      </c>
      <c r="I1582" t="s">
        <v>411</v>
      </c>
      <c r="J1582" t="s">
        <v>1290</v>
      </c>
      <c r="K1582" t="s">
        <v>1373</v>
      </c>
      <c r="L1582">
        <v>5</v>
      </c>
      <c r="M1582" s="5">
        <v>459.58</v>
      </c>
      <c r="N1582" s="6">
        <v>20</v>
      </c>
      <c r="O1582" s="5">
        <v>459.58</v>
      </c>
      <c r="P1582" s="5">
        <v>275.75</v>
      </c>
      <c r="Q1582" s="5">
        <v>2114.07</v>
      </c>
      <c r="R1582" s="5">
        <v>1934.45</v>
      </c>
      <c r="S1582" s="5">
        <v>179.62</v>
      </c>
      <c r="T1582" s="7">
        <v>0.0849640740372835</v>
      </c>
      <c r="U1582" t="s">
        <v>9</v>
      </c>
      <c r="V1582" t="s">
        <v>50</v>
      </c>
      <c r="W1582" t="s">
        <v>50</v>
      </c>
      <c r="X1582" t="s">
        <v>35</v>
      </c>
      <c r="Y1582" t="s">
        <v>3537</v>
      </c>
      <c r="Z1582" t="s">
        <v>80</v>
      </c>
    </row>
    <row r="1583" spans="1:26">
      <c r="A1583" t="s">
        <v>3591</v>
      </c>
      <c r="B1583" t="s">
        <v>3591</v>
      </c>
      <c r="C1583" s="4">
        <v>45809</v>
      </c>
      <c r="D1583">
        <v>2025</v>
      </c>
      <c r="E1583">
        <v>6</v>
      </c>
      <c r="F1583" t="s">
        <v>22</v>
      </c>
      <c r="G1583" t="s">
        <v>74</v>
      </c>
      <c r="H1583" t="s">
        <v>1236</v>
      </c>
      <c r="I1583" t="s">
        <v>362</v>
      </c>
      <c r="J1583" t="s">
        <v>2484</v>
      </c>
      <c r="K1583" t="s">
        <v>287</v>
      </c>
      <c r="L1583">
        <v>5</v>
      </c>
      <c r="M1583" s="5">
        <v>352.15</v>
      </c>
      <c r="N1583" s="6">
        <v>20</v>
      </c>
      <c r="O1583" s="5">
        <v>352.15</v>
      </c>
      <c r="P1583" s="5">
        <v>211.29</v>
      </c>
      <c r="Q1583" s="5">
        <v>1619.89</v>
      </c>
      <c r="R1583" s="5">
        <v>1236.25</v>
      </c>
      <c r="S1583" s="5">
        <v>383.64</v>
      </c>
      <c r="T1583" s="7">
        <v>0.236830895925032</v>
      </c>
      <c r="U1583" t="s">
        <v>9</v>
      </c>
      <c r="V1583" t="s">
        <v>50</v>
      </c>
      <c r="W1583" t="s">
        <v>50</v>
      </c>
      <c r="X1583" t="s">
        <v>33</v>
      </c>
      <c r="Y1583" t="s">
        <v>1756</v>
      </c>
      <c r="Z1583" t="s">
        <v>80</v>
      </c>
    </row>
    <row r="1584" spans="1:26">
      <c r="A1584" t="s">
        <v>3592</v>
      </c>
      <c r="B1584" t="s">
        <v>3592</v>
      </c>
      <c r="C1584" s="4">
        <v>46022</v>
      </c>
      <c r="D1584">
        <v>2025</v>
      </c>
      <c r="E1584">
        <v>12</v>
      </c>
      <c r="F1584" t="s">
        <v>28</v>
      </c>
      <c r="G1584" t="s">
        <v>137</v>
      </c>
      <c r="H1584" t="s">
        <v>958</v>
      </c>
      <c r="I1584" t="s">
        <v>350</v>
      </c>
      <c r="J1584" t="s">
        <v>302</v>
      </c>
      <c r="K1584" t="s">
        <v>303</v>
      </c>
      <c r="L1584">
        <v>5</v>
      </c>
      <c r="M1584" s="5">
        <v>343.56</v>
      </c>
      <c r="N1584" s="6">
        <v>0</v>
      </c>
      <c r="O1584" s="5">
        <v>0</v>
      </c>
      <c r="P1584" s="5">
        <v>257.67</v>
      </c>
      <c r="Q1584" s="5">
        <v>1717.8</v>
      </c>
      <c r="R1584" s="5">
        <v>1081.6</v>
      </c>
      <c r="S1584" s="5">
        <v>636.2</v>
      </c>
      <c r="T1584" s="7">
        <v>0.370357433927116</v>
      </c>
      <c r="U1584" t="s">
        <v>11</v>
      </c>
      <c r="V1584" t="s">
        <v>50</v>
      </c>
      <c r="W1584" t="s">
        <v>50</v>
      </c>
      <c r="X1584" t="s">
        <v>33</v>
      </c>
      <c r="Y1584" t="s">
        <v>3284</v>
      </c>
      <c r="Z1584" t="s">
        <v>101</v>
      </c>
    </row>
    <row r="1585" spans="1:26">
      <c r="A1585" t="s">
        <v>3593</v>
      </c>
      <c r="B1585" t="s">
        <v>3593</v>
      </c>
      <c r="C1585" s="4">
        <v>45780</v>
      </c>
      <c r="D1585">
        <v>2025</v>
      </c>
      <c r="E1585">
        <v>5</v>
      </c>
      <c r="F1585" t="s">
        <v>21</v>
      </c>
      <c r="G1585" t="s">
        <v>74</v>
      </c>
      <c r="H1585" t="s">
        <v>2480</v>
      </c>
      <c r="I1585" t="s">
        <v>328</v>
      </c>
      <c r="J1585" t="s">
        <v>563</v>
      </c>
      <c r="K1585" t="s">
        <v>564</v>
      </c>
      <c r="L1585">
        <v>2</v>
      </c>
      <c r="M1585" s="5">
        <v>124.84</v>
      </c>
      <c r="N1585" s="6">
        <v>20</v>
      </c>
      <c r="O1585" s="5">
        <v>49.94</v>
      </c>
      <c r="P1585" s="5">
        <v>29.96</v>
      </c>
      <c r="Q1585" s="5">
        <v>229.7</v>
      </c>
      <c r="R1585" s="5">
        <v>194.7</v>
      </c>
      <c r="S1585" s="5">
        <v>35</v>
      </c>
      <c r="T1585" s="7">
        <v>0.152372659991293</v>
      </c>
      <c r="U1585" t="s">
        <v>9</v>
      </c>
      <c r="V1585" t="s">
        <v>50</v>
      </c>
      <c r="W1585" t="s">
        <v>50</v>
      </c>
      <c r="X1585" t="s">
        <v>33</v>
      </c>
      <c r="Y1585" t="s">
        <v>775</v>
      </c>
      <c r="Z1585" t="s">
        <v>80</v>
      </c>
    </row>
    <row r="1586" spans="1:26">
      <c r="A1586" t="s">
        <v>3594</v>
      </c>
      <c r="B1586" t="s">
        <v>3594</v>
      </c>
      <c r="C1586" s="4">
        <v>45991</v>
      </c>
      <c r="D1586">
        <v>2025</v>
      </c>
      <c r="E1586">
        <v>11</v>
      </c>
      <c r="F1586" t="s">
        <v>27</v>
      </c>
      <c r="G1586" t="s">
        <v>137</v>
      </c>
      <c r="H1586" t="s">
        <v>230</v>
      </c>
      <c r="I1586" t="s">
        <v>274</v>
      </c>
      <c r="J1586" t="s">
        <v>2646</v>
      </c>
      <c r="K1586" t="s">
        <v>2647</v>
      </c>
      <c r="L1586">
        <v>3</v>
      </c>
      <c r="M1586" s="5">
        <v>351.95</v>
      </c>
      <c r="N1586" s="6">
        <v>0</v>
      </c>
      <c r="O1586" s="5">
        <v>0</v>
      </c>
      <c r="P1586" s="5">
        <v>158.38</v>
      </c>
      <c r="Q1586" s="5">
        <v>1214.23</v>
      </c>
      <c r="R1586" s="5">
        <v>665.16</v>
      </c>
      <c r="S1586" s="5">
        <v>549.07</v>
      </c>
      <c r="T1586" s="7">
        <v>0.452196041936042</v>
      </c>
      <c r="U1586" t="s">
        <v>10</v>
      </c>
      <c r="V1586" t="s">
        <v>50</v>
      </c>
      <c r="W1586" t="s">
        <v>50</v>
      </c>
      <c r="X1586" t="s">
        <v>33</v>
      </c>
      <c r="Y1586" t="s">
        <v>956</v>
      </c>
      <c r="Z1586" t="s">
        <v>80</v>
      </c>
    </row>
    <row r="1587" spans="1:26">
      <c r="A1587" t="s">
        <v>3595</v>
      </c>
      <c r="B1587" t="s">
        <v>3595</v>
      </c>
      <c r="C1587" s="4">
        <v>46093</v>
      </c>
      <c r="D1587">
        <v>2026</v>
      </c>
      <c r="E1587">
        <v>3</v>
      </c>
      <c r="F1587" t="s">
        <v>19</v>
      </c>
      <c r="G1587" t="s">
        <v>82</v>
      </c>
      <c r="H1587" t="s">
        <v>3596</v>
      </c>
      <c r="I1587" t="s">
        <v>450</v>
      </c>
      <c r="J1587" t="s">
        <v>889</v>
      </c>
      <c r="K1587" t="s">
        <v>1727</v>
      </c>
      <c r="L1587">
        <v>5</v>
      </c>
      <c r="M1587" s="5">
        <v>440.5</v>
      </c>
      <c r="N1587" s="6">
        <v>15</v>
      </c>
      <c r="O1587" s="5">
        <v>330.38</v>
      </c>
      <c r="P1587" s="5">
        <v>280.82</v>
      </c>
      <c r="Q1587" s="5">
        <v>1872.12</v>
      </c>
      <c r="R1587" s="5">
        <v>1270.25</v>
      </c>
      <c r="S1587" s="5">
        <v>601.87</v>
      </c>
      <c r="T1587" s="7">
        <v>0.321491143730103</v>
      </c>
      <c r="U1587" t="s">
        <v>11</v>
      </c>
      <c r="V1587" t="s">
        <v>50</v>
      </c>
      <c r="W1587" t="s">
        <v>50</v>
      </c>
      <c r="X1587" t="s">
        <v>35</v>
      </c>
      <c r="Y1587" t="s">
        <v>1260</v>
      </c>
      <c r="Z1587" t="s">
        <v>101</v>
      </c>
    </row>
    <row r="1588" spans="1:26">
      <c r="A1588" t="s">
        <v>3597</v>
      </c>
      <c r="B1588" t="s">
        <v>3597</v>
      </c>
      <c r="C1588" s="4">
        <v>46096</v>
      </c>
      <c r="D1588">
        <v>2026</v>
      </c>
      <c r="E1588">
        <v>3</v>
      </c>
      <c r="F1588" t="s">
        <v>19</v>
      </c>
      <c r="G1588" t="s">
        <v>82</v>
      </c>
      <c r="H1588" t="s">
        <v>1018</v>
      </c>
      <c r="I1588" t="s">
        <v>1904</v>
      </c>
      <c r="J1588" t="s">
        <v>1718</v>
      </c>
      <c r="K1588" t="s">
        <v>930</v>
      </c>
      <c r="L1588">
        <v>7</v>
      </c>
      <c r="M1588" s="5">
        <v>112.45</v>
      </c>
      <c r="N1588" s="6">
        <v>0</v>
      </c>
      <c r="O1588" s="5">
        <v>0</v>
      </c>
      <c r="P1588" s="5">
        <v>118.07</v>
      </c>
      <c r="Q1588" s="5">
        <v>905.22</v>
      </c>
      <c r="R1588" s="5">
        <v>583.31</v>
      </c>
      <c r="S1588" s="5">
        <v>321.91</v>
      </c>
      <c r="T1588" s="7">
        <v>0.355615209562316</v>
      </c>
      <c r="U1588" t="s">
        <v>10</v>
      </c>
      <c r="V1588" t="s">
        <v>50</v>
      </c>
      <c r="W1588" t="s">
        <v>50</v>
      </c>
      <c r="X1588" t="s">
        <v>35</v>
      </c>
      <c r="Y1588" t="s">
        <v>1692</v>
      </c>
      <c r="Z1588" t="s">
        <v>80</v>
      </c>
    </row>
    <row r="1589" spans="1:26">
      <c r="A1589" t="s">
        <v>3598</v>
      </c>
      <c r="B1589" t="s">
        <v>3598</v>
      </c>
      <c r="C1589" s="4">
        <v>45869</v>
      </c>
      <c r="D1589">
        <v>2025</v>
      </c>
      <c r="E1589">
        <v>7</v>
      </c>
      <c r="F1589" t="s">
        <v>23</v>
      </c>
      <c r="G1589" t="s">
        <v>89</v>
      </c>
      <c r="H1589" t="s">
        <v>1761</v>
      </c>
      <c r="I1589" t="s">
        <v>728</v>
      </c>
      <c r="J1589" t="s">
        <v>214</v>
      </c>
      <c r="K1589" t="s">
        <v>215</v>
      </c>
      <c r="L1589">
        <v>4</v>
      </c>
      <c r="M1589" s="5">
        <v>451.89</v>
      </c>
      <c r="N1589" s="6">
        <v>0</v>
      </c>
      <c r="O1589" s="5">
        <v>0</v>
      </c>
      <c r="P1589" s="5">
        <v>271.13</v>
      </c>
      <c r="Q1589" s="5">
        <v>1807.56</v>
      </c>
      <c r="R1589" s="5">
        <v>1548.64</v>
      </c>
      <c r="S1589" s="5">
        <v>258.92</v>
      </c>
      <c r="T1589" s="7">
        <v>0.143242824581203</v>
      </c>
      <c r="U1589" t="s">
        <v>14</v>
      </c>
      <c r="V1589" t="s">
        <v>50</v>
      </c>
      <c r="W1589" t="s">
        <v>50</v>
      </c>
      <c r="X1589" t="s">
        <v>33</v>
      </c>
      <c r="Y1589" t="s">
        <v>3599</v>
      </c>
      <c r="Z1589" t="s">
        <v>101</v>
      </c>
    </row>
    <row r="1590" spans="1:26">
      <c r="A1590" t="s">
        <v>3600</v>
      </c>
      <c r="B1590" t="s">
        <v>3600</v>
      </c>
      <c r="C1590" s="4">
        <v>45928</v>
      </c>
      <c r="D1590">
        <v>2025</v>
      </c>
      <c r="E1590">
        <v>9</v>
      </c>
      <c r="F1590" t="s">
        <v>25</v>
      </c>
      <c r="G1590" t="s">
        <v>89</v>
      </c>
      <c r="H1590" t="s">
        <v>2434</v>
      </c>
      <c r="I1590" t="s">
        <v>1904</v>
      </c>
      <c r="J1590" t="s">
        <v>872</v>
      </c>
      <c r="K1590" t="s">
        <v>873</v>
      </c>
      <c r="L1590">
        <v>4</v>
      </c>
      <c r="M1590" s="5">
        <v>108.97</v>
      </c>
      <c r="N1590" s="6">
        <v>0</v>
      </c>
      <c r="O1590" s="5">
        <v>0</v>
      </c>
      <c r="P1590" s="5">
        <v>65.38</v>
      </c>
      <c r="Q1590" s="5">
        <v>501.26</v>
      </c>
      <c r="R1590" s="5">
        <v>333.32</v>
      </c>
      <c r="S1590" s="5">
        <v>167.94</v>
      </c>
      <c r="T1590" s="7">
        <v>0.335035710010773</v>
      </c>
      <c r="U1590" t="s">
        <v>11</v>
      </c>
      <c r="V1590" t="s">
        <v>50</v>
      </c>
      <c r="W1590" t="s">
        <v>50</v>
      </c>
      <c r="X1590" t="s">
        <v>33</v>
      </c>
      <c r="Y1590" t="s">
        <v>953</v>
      </c>
      <c r="Z1590" t="s">
        <v>80</v>
      </c>
    </row>
    <row r="1591" spans="1:26">
      <c r="A1591" t="s">
        <v>3601</v>
      </c>
      <c r="B1591" t="s">
        <v>3601</v>
      </c>
      <c r="C1591" s="4">
        <v>45831</v>
      </c>
      <c r="D1591">
        <v>2025</v>
      </c>
      <c r="E1591">
        <v>6</v>
      </c>
      <c r="F1591" t="s">
        <v>22</v>
      </c>
      <c r="G1591" t="s">
        <v>74</v>
      </c>
      <c r="H1591" t="s">
        <v>982</v>
      </c>
      <c r="I1591" t="s">
        <v>647</v>
      </c>
      <c r="J1591" t="s">
        <v>654</v>
      </c>
      <c r="K1591" t="s">
        <v>1304</v>
      </c>
      <c r="L1591">
        <v>4</v>
      </c>
      <c r="M1591" s="5">
        <v>75.68</v>
      </c>
      <c r="N1591" s="6">
        <v>0</v>
      </c>
      <c r="O1591" s="5">
        <v>0</v>
      </c>
      <c r="P1591" s="5">
        <v>45.41</v>
      </c>
      <c r="Q1591" s="5">
        <v>302.72</v>
      </c>
      <c r="R1591" s="5">
        <v>248.56</v>
      </c>
      <c r="S1591" s="5">
        <v>54.16</v>
      </c>
      <c r="T1591" s="7">
        <v>0.178911205073996</v>
      </c>
      <c r="U1591" t="s">
        <v>9</v>
      </c>
      <c r="V1591" t="s">
        <v>51</v>
      </c>
      <c r="W1591" t="s">
        <v>51</v>
      </c>
      <c r="X1591" t="s">
        <v>33</v>
      </c>
      <c r="Y1591" t="s">
        <v>3602</v>
      </c>
      <c r="Z1591" t="s">
        <v>101</v>
      </c>
    </row>
    <row r="1592" spans="1:26">
      <c r="A1592" t="s">
        <v>3603</v>
      </c>
      <c r="B1592" t="s">
        <v>3603</v>
      </c>
      <c r="C1592" s="4">
        <v>46074</v>
      </c>
      <c r="D1592">
        <v>2026</v>
      </c>
      <c r="E1592">
        <v>2</v>
      </c>
      <c r="F1592" t="s">
        <v>31</v>
      </c>
      <c r="G1592" t="s">
        <v>82</v>
      </c>
      <c r="H1592" t="s">
        <v>2775</v>
      </c>
      <c r="I1592" t="s">
        <v>1196</v>
      </c>
      <c r="J1592" t="s">
        <v>220</v>
      </c>
      <c r="K1592" t="s">
        <v>1308</v>
      </c>
      <c r="L1592">
        <v>5</v>
      </c>
      <c r="M1592" s="5">
        <v>147.72</v>
      </c>
      <c r="N1592" s="6">
        <v>0</v>
      </c>
      <c r="O1592" s="5">
        <v>0</v>
      </c>
      <c r="P1592" s="5">
        <v>110.79</v>
      </c>
      <c r="Q1592" s="5">
        <v>849.39</v>
      </c>
      <c r="R1592" s="5">
        <v>546.05</v>
      </c>
      <c r="S1592" s="5">
        <v>303.34</v>
      </c>
      <c r="T1592" s="7">
        <v>0.357126879289843</v>
      </c>
      <c r="U1592" t="s">
        <v>11</v>
      </c>
      <c r="V1592" t="s">
        <v>50</v>
      </c>
      <c r="W1592" t="s">
        <v>50</v>
      </c>
      <c r="X1592" t="s">
        <v>34</v>
      </c>
      <c r="Y1592" t="s">
        <v>529</v>
      </c>
      <c r="Z1592" t="s">
        <v>80</v>
      </c>
    </row>
    <row r="1593" spans="1:26">
      <c r="A1593" t="s">
        <v>3604</v>
      </c>
      <c r="B1593" t="s">
        <v>3604</v>
      </c>
      <c r="C1593" s="4">
        <v>46012</v>
      </c>
      <c r="D1593">
        <v>2025</v>
      </c>
      <c r="E1593">
        <v>12</v>
      </c>
      <c r="F1593" t="s">
        <v>28</v>
      </c>
      <c r="G1593" t="s">
        <v>137</v>
      </c>
      <c r="H1593" t="s">
        <v>3605</v>
      </c>
      <c r="I1593" t="s">
        <v>328</v>
      </c>
      <c r="J1593" t="s">
        <v>318</v>
      </c>
      <c r="K1593" t="s">
        <v>3153</v>
      </c>
      <c r="L1593">
        <v>3</v>
      </c>
      <c r="M1593" s="5">
        <v>124.84</v>
      </c>
      <c r="N1593" s="6">
        <v>0</v>
      </c>
      <c r="O1593" s="5">
        <v>0</v>
      </c>
      <c r="P1593" s="5">
        <v>56.18</v>
      </c>
      <c r="Q1593" s="5">
        <v>430.7</v>
      </c>
      <c r="R1593" s="5">
        <v>292.05</v>
      </c>
      <c r="S1593" s="5">
        <v>138.65</v>
      </c>
      <c r="T1593" s="7">
        <v>0.321917808219178</v>
      </c>
      <c r="U1593" t="s">
        <v>13</v>
      </c>
      <c r="V1593" t="s">
        <v>50</v>
      </c>
      <c r="W1593" t="s">
        <v>50</v>
      </c>
      <c r="X1593" t="s">
        <v>33</v>
      </c>
      <c r="Y1593" t="s">
        <v>2456</v>
      </c>
      <c r="Z1593" t="s">
        <v>80</v>
      </c>
    </row>
    <row r="1594" spans="1:26">
      <c r="A1594" t="s">
        <v>3606</v>
      </c>
      <c r="B1594" t="s">
        <v>3606</v>
      </c>
      <c r="C1594" s="4">
        <v>45931</v>
      </c>
      <c r="D1594">
        <v>2025</v>
      </c>
      <c r="E1594">
        <v>10</v>
      </c>
      <c r="F1594" t="s">
        <v>26</v>
      </c>
      <c r="G1594" t="s">
        <v>137</v>
      </c>
      <c r="H1594" t="s">
        <v>367</v>
      </c>
      <c r="I1594" t="s">
        <v>110</v>
      </c>
      <c r="J1594" t="s">
        <v>220</v>
      </c>
      <c r="K1594" t="s">
        <v>2497</v>
      </c>
      <c r="L1594">
        <v>6</v>
      </c>
      <c r="M1594" s="5">
        <v>373.25</v>
      </c>
      <c r="N1594" s="6">
        <v>10</v>
      </c>
      <c r="O1594" s="5">
        <v>223.95</v>
      </c>
      <c r="P1594" s="5">
        <v>302.33</v>
      </c>
      <c r="Q1594" s="5">
        <v>2015.55</v>
      </c>
      <c r="R1594" s="5">
        <v>1630.68</v>
      </c>
      <c r="S1594" s="5">
        <v>384.87</v>
      </c>
      <c r="T1594" s="7">
        <v>0.190950360943663</v>
      </c>
      <c r="U1594" t="s">
        <v>13</v>
      </c>
      <c r="V1594" t="s">
        <v>50</v>
      </c>
      <c r="W1594" t="s">
        <v>50</v>
      </c>
      <c r="X1594" t="s">
        <v>33</v>
      </c>
      <c r="Y1594" t="s">
        <v>381</v>
      </c>
      <c r="Z1594" t="s">
        <v>101</v>
      </c>
    </row>
    <row r="1595" spans="1:26">
      <c r="A1595" t="s">
        <v>3607</v>
      </c>
      <c r="B1595" t="s">
        <v>3607</v>
      </c>
      <c r="C1595" s="4">
        <v>45781</v>
      </c>
      <c r="D1595">
        <v>2025</v>
      </c>
      <c r="E1595">
        <v>5</v>
      </c>
      <c r="F1595" t="s">
        <v>21</v>
      </c>
      <c r="G1595" t="s">
        <v>74</v>
      </c>
      <c r="H1595" t="s">
        <v>1089</v>
      </c>
      <c r="I1595" t="s">
        <v>787</v>
      </c>
      <c r="J1595" t="s">
        <v>286</v>
      </c>
      <c r="K1595" t="s">
        <v>1985</v>
      </c>
      <c r="L1595">
        <v>1</v>
      </c>
      <c r="M1595" s="5">
        <v>168.36</v>
      </c>
      <c r="N1595" s="6">
        <v>0</v>
      </c>
      <c r="O1595" s="5">
        <v>0</v>
      </c>
      <c r="P1595" s="5">
        <v>25.25</v>
      </c>
      <c r="Q1595" s="5">
        <v>193.61</v>
      </c>
      <c r="R1595" s="5">
        <v>102.23</v>
      </c>
      <c r="S1595" s="5">
        <v>91.38</v>
      </c>
      <c r="T1595" s="7">
        <v>0.471979753111926</v>
      </c>
      <c r="U1595" t="s">
        <v>13</v>
      </c>
      <c r="V1595" t="s">
        <v>50</v>
      </c>
      <c r="W1595" t="s">
        <v>50</v>
      </c>
      <c r="X1595" t="s">
        <v>33</v>
      </c>
      <c r="Y1595" t="s">
        <v>2878</v>
      </c>
      <c r="Z1595" t="s">
        <v>80</v>
      </c>
    </row>
    <row r="1596" spans="1:26">
      <c r="A1596" t="s">
        <v>3608</v>
      </c>
      <c r="B1596" t="s">
        <v>3608</v>
      </c>
      <c r="C1596" s="4">
        <v>45980</v>
      </c>
      <c r="D1596">
        <v>2025</v>
      </c>
      <c r="E1596">
        <v>11</v>
      </c>
      <c r="F1596" t="s">
        <v>27</v>
      </c>
      <c r="G1596" t="s">
        <v>137</v>
      </c>
      <c r="H1596" t="s">
        <v>1489</v>
      </c>
      <c r="I1596" t="s">
        <v>116</v>
      </c>
      <c r="J1596" t="s">
        <v>257</v>
      </c>
      <c r="K1596" t="s">
        <v>258</v>
      </c>
      <c r="L1596">
        <v>5</v>
      </c>
      <c r="M1596" s="5">
        <v>172.63</v>
      </c>
      <c r="N1596" s="6">
        <v>0</v>
      </c>
      <c r="O1596" s="5">
        <v>0</v>
      </c>
      <c r="P1596" s="5">
        <v>129.47</v>
      </c>
      <c r="Q1596" s="5">
        <v>863.15</v>
      </c>
      <c r="R1596" s="5">
        <v>710</v>
      </c>
      <c r="S1596" s="5">
        <v>153.15</v>
      </c>
      <c r="T1596" s="7">
        <v>0.177431500897874</v>
      </c>
      <c r="U1596" t="s">
        <v>10</v>
      </c>
      <c r="V1596" t="s">
        <v>50</v>
      </c>
      <c r="W1596" t="s">
        <v>50</v>
      </c>
      <c r="X1596" t="s">
        <v>34</v>
      </c>
      <c r="Y1596" t="s">
        <v>3609</v>
      </c>
      <c r="Z1596" t="s">
        <v>101</v>
      </c>
    </row>
    <row r="1597" spans="1:26">
      <c r="A1597" t="s">
        <v>3610</v>
      </c>
      <c r="B1597" t="s">
        <v>3610</v>
      </c>
      <c r="C1597" s="4">
        <v>46049</v>
      </c>
      <c r="D1597">
        <v>2026</v>
      </c>
      <c r="E1597">
        <v>1</v>
      </c>
      <c r="F1597" t="s">
        <v>30</v>
      </c>
      <c r="G1597" t="s">
        <v>82</v>
      </c>
      <c r="H1597" t="s">
        <v>3151</v>
      </c>
      <c r="I1597" t="s">
        <v>295</v>
      </c>
      <c r="J1597" t="s">
        <v>894</v>
      </c>
      <c r="K1597" t="s">
        <v>1038</v>
      </c>
      <c r="L1597">
        <v>3</v>
      </c>
      <c r="M1597" s="5">
        <v>330.49</v>
      </c>
      <c r="N1597" s="6">
        <v>0</v>
      </c>
      <c r="O1597" s="5">
        <v>0</v>
      </c>
      <c r="P1597" s="5">
        <v>148.72</v>
      </c>
      <c r="Q1597" s="5">
        <v>991.47</v>
      </c>
      <c r="R1597" s="5">
        <v>814.59</v>
      </c>
      <c r="S1597" s="5">
        <v>176.88</v>
      </c>
      <c r="T1597" s="7">
        <v>0.178401767073134</v>
      </c>
      <c r="U1597" t="s">
        <v>9</v>
      </c>
      <c r="V1597" t="s">
        <v>50</v>
      </c>
      <c r="W1597" t="s">
        <v>50</v>
      </c>
      <c r="X1597" t="s">
        <v>35</v>
      </c>
      <c r="Y1597" t="s">
        <v>673</v>
      </c>
      <c r="Z1597" t="s">
        <v>101</v>
      </c>
    </row>
    <row r="1598" spans="1:26">
      <c r="A1598" t="s">
        <v>3611</v>
      </c>
      <c r="B1598" t="s">
        <v>3611</v>
      </c>
      <c r="C1598" s="4">
        <v>45908</v>
      </c>
      <c r="D1598">
        <v>2025</v>
      </c>
      <c r="E1598">
        <v>9</v>
      </c>
      <c r="F1598" t="s">
        <v>25</v>
      </c>
      <c r="G1598" t="s">
        <v>89</v>
      </c>
      <c r="H1598" t="s">
        <v>1867</v>
      </c>
      <c r="I1598" t="s">
        <v>235</v>
      </c>
      <c r="J1598" t="s">
        <v>369</v>
      </c>
      <c r="K1598" t="s">
        <v>1545</v>
      </c>
      <c r="L1598">
        <v>5</v>
      </c>
      <c r="M1598" s="5">
        <v>217.42</v>
      </c>
      <c r="N1598" s="6">
        <v>0</v>
      </c>
      <c r="O1598" s="5">
        <v>0</v>
      </c>
      <c r="P1598" s="5">
        <v>163.06</v>
      </c>
      <c r="Q1598" s="5">
        <v>1087.1</v>
      </c>
      <c r="R1598" s="5">
        <v>885.15</v>
      </c>
      <c r="S1598" s="5">
        <v>201.95</v>
      </c>
      <c r="T1598" s="7">
        <v>0.185769478428847</v>
      </c>
      <c r="U1598" t="s">
        <v>14</v>
      </c>
      <c r="V1598" t="s">
        <v>50</v>
      </c>
      <c r="W1598" t="s">
        <v>50</v>
      </c>
      <c r="X1598" t="s">
        <v>33</v>
      </c>
      <c r="Y1598" t="s">
        <v>135</v>
      </c>
      <c r="Z1598" t="s">
        <v>101</v>
      </c>
    </row>
    <row r="1599" spans="1:26">
      <c r="A1599" t="s">
        <v>3612</v>
      </c>
      <c r="B1599" t="s">
        <v>3612</v>
      </c>
      <c r="C1599" s="4">
        <v>45824</v>
      </c>
      <c r="D1599">
        <v>2025</v>
      </c>
      <c r="E1599">
        <v>6</v>
      </c>
      <c r="F1599" t="s">
        <v>22</v>
      </c>
      <c r="G1599" t="s">
        <v>74</v>
      </c>
      <c r="H1599" t="s">
        <v>1478</v>
      </c>
      <c r="I1599" t="s">
        <v>774</v>
      </c>
      <c r="J1599" t="s">
        <v>929</v>
      </c>
      <c r="K1599" t="s">
        <v>2882</v>
      </c>
      <c r="L1599">
        <v>3</v>
      </c>
      <c r="M1599" s="5">
        <v>743.18</v>
      </c>
      <c r="N1599" s="6">
        <v>15</v>
      </c>
      <c r="O1599" s="5">
        <v>334.43</v>
      </c>
      <c r="P1599" s="5">
        <v>284.27</v>
      </c>
      <c r="Q1599" s="5">
        <v>1895.11</v>
      </c>
      <c r="R1599" s="5">
        <v>1196.16</v>
      </c>
      <c r="S1599" s="5">
        <v>698.95</v>
      </c>
      <c r="T1599" s="7">
        <v>0.368817641192332</v>
      </c>
      <c r="U1599" t="s">
        <v>11</v>
      </c>
      <c r="V1599" t="s">
        <v>50</v>
      </c>
      <c r="W1599" t="s">
        <v>50</v>
      </c>
      <c r="X1599" t="s">
        <v>34</v>
      </c>
      <c r="Y1599" t="s">
        <v>3599</v>
      </c>
      <c r="Z1599" t="s">
        <v>101</v>
      </c>
    </row>
    <row r="1600" spans="1:26">
      <c r="A1600" t="s">
        <v>3613</v>
      </c>
      <c r="B1600" t="s">
        <v>3613</v>
      </c>
      <c r="C1600" s="4">
        <v>46004</v>
      </c>
      <c r="D1600">
        <v>2025</v>
      </c>
      <c r="E1600">
        <v>12</v>
      </c>
      <c r="F1600" t="s">
        <v>28</v>
      </c>
      <c r="G1600" t="s">
        <v>137</v>
      </c>
      <c r="H1600" t="s">
        <v>3614</v>
      </c>
      <c r="I1600" t="s">
        <v>169</v>
      </c>
      <c r="J1600" t="s">
        <v>1150</v>
      </c>
      <c r="K1600" t="s">
        <v>1151</v>
      </c>
      <c r="L1600">
        <v>1</v>
      </c>
      <c r="M1600" s="5">
        <v>141.11</v>
      </c>
      <c r="N1600" s="6">
        <v>15</v>
      </c>
      <c r="O1600" s="5">
        <v>21.17</v>
      </c>
      <c r="P1600" s="5">
        <v>17.99</v>
      </c>
      <c r="Q1600" s="5">
        <v>137.93</v>
      </c>
      <c r="R1600" s="5">
        <v>115.91</v>
      </c>
      <c r="S1600" s="5">
        <v>22.02</v>
      </c>
      <c r="T1600" s="7">
        <v>0.15964619734648</v>
      </c>
      <c r="U1600" t="s">
        <v>12</v>
      </c>
      <c r="V1600" t="s">
        <v>50</v>
      </c>
      <c r="W1600" t="s">
        <v>50</v>
      </c>
      <c r="X1600" t="s">
        <v>35</v>
      </c>
      <c r="Y1600" t="s">
        <v>1743</v>
      </c>
      <c r="Z1600" t="s">
        <v>80</v>
      </c>
    </row>
    <row r="1601" spans="1:26">
      <c r="A1601" t="s">
        <v>3615</v>
      </c>
      <c r="B1601" t="s">
        <v>3615</v>
      </c>
      <c r="C1601" s="4">
        <v>45955</v>
      </c>
      <c r="D1601">
        <v>2025</v>
      </c>
      <c r="E1601">
        <v>10</v>
      </c>
      <c r="F1601" t="s">
        <v>26</v>
      </c>
      <c r="G1601" t="s">
        <v>137</v>
      </c>
      <c r="H1601" t="s">
        <v>2270</v>
      </c>
      <c r="I1601" t="s">
        <v>157</v>
      </c>
      <c r="J1601" t="s">
        <v>2629</v>
      </c>
      <c r="K1601" t="s">
        <v>1230</v>
      </c>
      <c r="L1601">
        <v>6</v>
      </c>
      <c r="M1601" s="5">
        <v>66.16</v>
      </c>
      <c r="N1601" s="6">
        <v>0</v>
      </c>
      <c r="O1601" s="5">
        <v>0</v>
      </c>
      <c r="P1601" s="5">
        <v>59.54</v>
      </c>
      <c r="Q1601" s="5">
        <v>456.5</v>
      </c>
      <c r="R1601" s="5">
        <v>288.9</v>
      </c>
      <c r="S1601" s="5">
        <v>167.6</v>
      </c>
      <c r="T1601" s="7">
        <v>0.367141292442497</v>
      </c>
      <c r="U1601" t="s">
        <v>11</v>
      </c>
      <c r="V1601" t="s">
        <v>50</v>
      </c>
      <c r="W1601" t="s">
        <v>50</v>
      </c>
      <c r="X1601" t="s">
        <v>35</v>
      </c>
      <c r="Y1601" t="s">
        <v>1546</v>
      </c>
      <c r="Z1601" t="s">
        <v>80</v>
      </c>
    </row>
    <row r="1602" spans="1:26">
      <c r="A1602" t="s">
        <v>3616</v>
      </c>
      <c r="B1602" t="s">
        <v>3616</v>
      </c>
      <c r="C1602" s="4">
        <v>46019</v>
      </c>
      <c r="D1602">
        <v>2025</v>
      </c>
      <c r="E1602">
        <v>12</v>
      </c>
      <c r="F1602" t="s">
        <v>28</v>
      </c>
      <c r="G1602" t="s">
        <v>137</v>
      </c>
      <c r="H1602" t="s">
        <v>1738</v>
      </c>
      <c r="I1602" t="s">
        <v>787</v>
      </c>
      <c r="J1602" t="s">
        <v>252</v>
      </c>
      <c r="K1602" t="s">
        <v>253</v>
      </c>
      <c r="L1602">
        <v>3</v>
      </c>
      <c r="M1602" s="5">
        <v>168.36</v>
      </c>
      <c r="N1602" s="6">
        <v>15</v>
      </c>
      <c r="O1602" s="5">
        <v>75.76</v>
      </c>
      <c r="P1602" s="5">
        <v>64.4</v>
      </c>
      <c r="Q1602" s="5">
        <v>493.72</v>
      </c>
      <c r="R1602" s="5">
        <v>306.69</v>
      </c>
      <c r="S1602" s="5">
        <v>187.03</v>
      </c>
      <c r="T1602" s="7">
        <v>0.378817953495909</v>
      </c>
      <c r="U1602" t="s">
        <v>10</v>
      </c>
      <c r="V1602" t="s">
        <v>50</v>
      </c>
      <c r="W1602" t="s">
        <v>50</v>
      </c>
      <c r="X1602" t="s">
        <v>33</v>
      </c>
      <c r="Y1602" t="s">
        <v>1840</v>
      </c>
      <c r="Z1602" t="s">
        <v>80</v>
      </c>
    </row>
    <row r="1603" spans="1:26">
      <c r="A1603" t="s">
        <v>3617</v>
      </c>
      <c r="B1603" t="s">
        <v>3617</v>
      </c>
      <c r="C1603" s="4">
        <v>45949</v>
      </c>
      <c r="D1603">
        <v>2025</v>
      </c>
      <c r="E1603">
        <v>10</v>
      </c>
      <c r="F1603" t="s">
        <v>26</v>
      </c>
      <c r="G1603" t="s">
        <v>137</v>
      </c>
      <c r="H1603" t="s">
        <v>201</v>
      </c>
      <c r="I1603" t="s">
        <v>583</v>
      </c>
      <c r="J1603" t="s">
        <v>302</v>
      </c>
      <c r="K1603" t="s">
        <v>303</v>
      </c>
      <c r="L1603">
        <v>4</v>
      </c>
      <c r="M1603" s="5">
        <v>281.6</v>
      </c>
      <c r="N1603" s="6">
        <v>20</v>
      </c>
      <c r="O1603" s="5">
        <v>225.28</v>
      </c>
      <c r="P1603" s="5">
        <v>135.17</v>
      </c>
      <c r="Q1603" s="5">
        <v>1036.29</v>
      </c>
      <c r="R1603" s="5">
        <v>842.08</v>
      </c>
      <c r="S1603" s="5">
        <v>194.21</v>
      </c>
      <c r="T1603" s="7">
        <v>0.187408929932741</v>
      </c>
      <c r="U1603" t="s">
        <v>13</v>
      </c>
      <c r="V1603" t="s">
        <v>50</v>
      </c>
      <c r="W1603" t="s">
        <v>50</v>
      </c>
      <c r="X1603" t="s">
        <v>33</v>
      </c>
      <c r="Y1603" t="s">
        <v>1173</v>
      </c>
      <c r="Z1603" t="s">
        <v>80</v>
      </c>
    </row>
    <row r="1604" spans="1:26">
      <c r="A1604" t="s">
        <v>3618</v>
      </c>
      <c r="B1604" t="s">
        <v>3618</v>
      </c>
      <c r="C1604" s="4">
        <v>45824</v>
      </c>
      <c r="D1604">
        <v>2025</v>
      </c>
      <c r="E1604">
        <v>6</v>
      </c>
      <c r="F1604" t="s">
        <v>22</v>
      </c>
      <c r="G1604" t="s">
        <v>74</v>
      </c>
      <c r="H1604" t="s">
        <v>635</v>
      </c>
      <c r="I1604" t="s">
        <v>2193</v>
      </c>
      <c r="J1604" t="s">
        <v>1072</v>
      </c>
      <c r="K1604" t="s">
        <v>2347</v>
      </c>
      <c r="L1604">
        <v>3</v>
      </c>
      <c r="M1604" s="5">
        <v>91.61</v>
      </c>
      <c r="N1604" s="6">
        <v>5</v>
      </c>
      <c r="O1604" s="5">
        <v>13.74</v>
      </c>
      <c r="P1604" s="5">
        <v>39.16</v>
      </c>
      <c r="Q1604" s="5">
        <v>261.09</v>
      </c>
      <c r="R1604" s="5">
        <v>212.1</v>
      </c>
      <c r="S1604" s="5">
        <v>48.99</v>
      </c>
      <c r="T1604" s="7">
        <v>0.187636447202114</v>
      </c>
      <c r="U1604" t="s">
        <v>12</v>
      </c>
      <c r="V1604" t="s">
        <v>50</v>
      </c>
      <c r="W1604" t="s">
        <v>50</v>
      </c>
      <c r="X1604" t="s">
        <v>35</v>
      </c>
      <c r="Y1604" t="s">
        <v>3619</v>
      </c>
      <c r="Z1604" t="s">
        <v>101</v>
      </c>
    </row>
    <row r="1605" spans="1:26">
      <c r="A1605" t="s">
        <v>3620</v>
      </c>
      <c r="B1605" t="s">
        <v>3620</v>
      </c>
      <c r="C1605" s="4">
        <v>45899</v>
      </c>
      <c r="D1605">
        <v>2025</v>
      </c>
      <c r="E1605">
        <v>8</v>
      </c>
      <c r="F1605" t="s">
        <v>24</v>
      </c>
      <c r="G1605" t="s">
        <v>89</v>
      </c>
      <c r="H1605" t="s">
        <v>3621</v>
      </c>
      <c r="I1605" t="s">
        <v>444</v>
      </c>
      <c r="J1605" t="s">
        <v>648</v>
      </c>
      <c r="K1605" t="s">
        <v>672</v>
      </c>
      <c r="L1605">
        <v>3</v>
      </c>
      <c r="M1605" s="5">
        <v>99.93</v>
      </c>
      <c r="N1605" s="6">
        <v>20</v>
      </c>
      <c r="O1605" s="5">
        <v>59.96</v>
      </c>
      <c r="P1605" s="5">
        <v>35.97</v>
      </c>
      <c r="Q1605" s="5">
        <v>275.8</v>
      </c>
      <c r="R1605" s="5">
        <v>258.15</v>
      </c>
      <c r="S1605" s="5">
        <v>17.65</v>
      </c>
      <c r="T1605" s="7">
        <v>0.0639956490210297</v>
      </c>
      <c r="U1605" t="s">
        <v>11</v>
      </c>
      <c r="V1605" t="s">
        <v>50</v>
      </c>
      <c r="W1605" t="s">
        <v>50</v>
      </c>
      <c r="X1605" t="s">
        <v>33</v>
      </c>
      <c r="Y1605" t="s">
        <v>2236</v>
      </c>
      <c r="Z1605" t="s">
        <v>80</v>
      </c>
    </row>
    <row r="1606" spans="1:26">
      <c r="A1606" t="s">
        <v>3622</v>
      </c>
      <c r="B1606" t="s">
        <v>3622</v>
      </c>
      <c r="C1606" s="4">
        <v>45952</v>
      </c>
      <c r="D1606">
        <v>2025</v>
      </c>
      <c r="E1606">
        <v>10</v>
      </c>
      <c r="F1606" t="s">
        <v>26</v>
      </c>
      <c r="G1606" t="s">
        <v>137</v>
      </c>
      <c r="H1606" t="s">
        <v>586</v>
      </c>
      <c r="I1606" t="s">
        <v>395</v>
      </c>
      <c r="J1606" t="s">
        <v>813</v>
      </c>
      <c r="K1606" t="s">
        <v>287</v>
      </c>
      <c r="L1606">
        <v>8</v>
      </c>
      <c r="M1606" s="5">
        <v>468.1</v>
      </c>
      <c r="N1606" s="6">
        <v>5</v>
      </c>
      <c r="O1606" s="5">
        <v>187.24</v>
      </c>
      <c r="P1606" s="5">
        <v>533.63</v>
      </c>
      <c r="Q1606" s="5">
        <v>3557.56</v>
      </c>
      <c r="R1606" s="5">
        <v>2604.88</v>
      </c>
      <c r="S1606" s="5">
        <v>952.68</v>
      </c>
      <c r="T1606" s="7">
        <v>0.26779028322783</v>
      </c>
      <c r="U1606" t="s">
        <v>9</v>
      </c>
      <c r="V1606" t="s">
        <v>50</v>
      </c>
      <c r="W1606" t="s">
        <v>50</v>
      </c>
      <c r="X1606" t="s">
        <v>33</v>
      </c>
      <c r="Y1606" t="s">
        <v>222</v>
      </c>
      <c r="Z1606" t="s">
        <v>101</v>
      </c>
    </row>
    <row r="1607" spans="1:26">
      <c r="A1607" t="s">
        <v>3623</v>
      </c>
      <c r="B1607" t="s">
        <v>3623</v>
      </c>
      <c r="C1607" s="4">
        <v>45832</v>
      </c>
      <c r="D1607">
        <v>2025</v>
      </c>
      <c r="E1607">
        <v>6</v>
      </c>
      <c r="F1607" t="s">
        <v>22</v>
      </c>
      <c r="G1607" t="s">
        <v>74</v>
      </c>
      <c r="H1607" t="s">
        <v>3624</v>
      </c>
      <c r="I1607" t="s">
        <v>163</v>
      </c>
      <c r="J1607" t="s">
        <v>1855</v>
      </c>
      <c r="K1607" t="s">
        <v>1328</v>
      </c>
      <c r="L1607">
        <v>4</v>
      </c>
      <c r="M1607" s="5">
        <v>253.11</v>
      </c>
      <c r="N1607" s="6">
        <v>5</v>
      </c>
      <c r="O1607" s="5">
        <v>50.62</v>
      </c>
      <c r="P1607" s="5">
        <v>144.27</v>
      </c>
      <c r="Q1607" s="5">
        <v>961.82</v>
      </c>
      <c r="R1607" s="5">
        <v>762.96</v>
      </c>
      <c r="S1607" s="5">
        <v>198.86</v>
      </c>
      <c r="T1607" s="7">
        <v>0.206753862469069</v>
      </c>
      <c r="U1607" t="s">
        <v>14</v>
      </c>
      <c r="V1607" t="s">
        <v>50</v>
      </c>
      <c r="W1607" t="s">
        <v>50</v>
      </c>
      <c r="X1607" t="s">
        <v>33</v>
      </c>
      <c r="Y1607" t="s">
        <v>2965</v>
      </c>
      <c r="Z1607" t="s">
        <v>101</v>
      </c>
    </row>
    <row r="1608" spans="1:26">
      <c r="A1608" t="s">
        <v>3625</v>
      </c>
      <c r="B1608" t="s">
        <v>3625</v>
      </c>
      <c r="C1608" s="4">
        <v>45882</v>
      </c>
      <c r="D1608">
        <v>2025</v>
      </c>
      <c r="E1608">
        <v>8</v>
      </c>
      <c r="F1608" t="s">
        <v>24</v>
      </c>
      <c r="G1608" t="s">
        <v>89</v>
      </c>
      <c r="H1608" t="s">
        <v>1054</v>
      </c>
      <c r="I1608" t="s">
        <v>1714</v>
      </c>
      <c r="J1608" t="s">
        <v>440</v>
      </c>
      <c r="K1608" t="s">
        <v>992</v>
      </c>
      <c r="L1608">
        <v>3</v>
      </c>
      <c r="M1608" s="5">
        <v>344.73</v>
      </c>
      <c r="N1608" s="6">
        <v>0</v>
      </c>
      <c r="O1608" s="5">
        <v>0</v>
      </c>
      <c r="P1608" s="5">
        <v>155.13</v>
      </c>
      <c r="Q1608" s="5">
        <v>1034.19</v>
      </c>
      <c r="R1608" s="5">
        <v>798.3</v>
      </c>
      <c r="S1608" s="5">
        <v>235.89</v>
      </c>
      <c r="T1608" s="7">
        <v>0.228091549908624</v>
      </c>
      <c r="U1608" t="s">
        <v>9</v>
      </c>
      <c r="V1608" t="s">
        <v>50</v>
      </c>
      <c r="W1608" t="s">
        <v>50</v>
      </c>
      <c r="X1608" t="s">
        <v>35</v>
      </c>
      <c r="Y1608" t="s">
        <v>2304</v>
      </c>
      <c r="Z1608" t="s">
        <v>101</v>
      </c>
    </row>
    <row r="1609" spans="1:26">
      <c r="A1609" t="s">
        <v>3626</v>
      </c>
      <c r="B1609" t="s">
        <v>3626</v>
      </c>
      <c r="C1609" s="4">
        <v>46060</v>
      </c>
      <c r="D1609">
        <v>2026</v>
      </c>
      <c r="E1609">
        <v>2</v>
      </c>
      <c r="F1609" t="s">
        <v>31</v>
      </c>
      <c r="G1609" t="s">
        <v>82</v>
      </c>
      <c r="H1609" t="s">
        <v>485</v>
      </c>
      <c r="I1609" t="s">
        <v>801</v>
      </c>
      <c r="J1609" t="s">
        <v>1100</v>
      </c>
      <c r="K1609" t="s">
        <v>352</v>
      </c>
      <c r="L1609">
        <v>3</v>
      </c>
      <c r="M1609" s="5">
        <v>217.85</v>
      </c>
      <c r="N1609" s="6">
        <v>20</v>
      </c>
      <c r="O1609" s="5">
        <v>130.71</v>
      </c>
      <c r="P1609" s="5">
        <v>78.43</v>
      </c>
      <c r="Q1609" s="5">
        <v>601.27</v>
      </c>
      <c r="R1609" s="5">
        <v>569.07</v>
      </c>
      <c r="S1609" s="5">
        <v>32.2</v>
      </c>
      <c r="T1609" s="7">
        <v>0.0535533121559366</v>
      </c>
      <c r="U1609" t="s">
        <v>11</v>
      </c>
      <c r="V1609" t="s">
        <v>50</v>
      </c>
      <c r="W1609" t="s">
        <v>50</v>
      </c>
      <c r="X1609" t="s">
        <v>35</v>
      </c>
      <c r="Y1609" t="s">
        <v>2015</v>
      </c>
      <c r="Z1609" t="s">
        <v>80</v>
      </c>
    </row>
    <row r="1610" spans="1:26">
      <c r="A1610" t="s">
        <v>3627</v>
      </c>
      <c r="B1610" t="s">
        <v>3627</v>
      </c>
      <c r="C1610" s="4">
        <v>45749</v>
      </c>
      <c r="D1610">
        <v>2025</v>
      </c>
      <c r="E1610">
        <v>4</v>
      </c>
      <c r="F1610" t="s">
        <v>20</v>
      </c>
      <c r="G1610" t="s">
        <v>74</v>
      </c>
      <c r="H1610" t="s">
        <v>400</v>
      </c>
      <c r="I1610" t="s">
        <v>444</v>
      </c>
      <c r="J1610" t="s">
        <v>175</v>
      </c>
      <c r="K1610" t="s">
        <v>455</v>
      </c>
      <c r="L1610">
        <v>7</v>
      </c>
      <c r="M1610" s="5">
        <v>107.6</v>
      </c>
      <c r="N1610" s="6">
        <v>15</v>
      </c>
      <c r="O1610" s="5">
        <v>112.98</v>
      </c>
      <c r="P1610" s="5">
        <v>96.03</v>
      </c>
      <c r="Q1610" s="5">
        <v>640.22</v>
      </c>
      <c r="R1610" s="5">
        <v>602.35</v>
      </c>
      <c r="S1610" s="5">
        <v>37.87</v>
      </c>
      <c r="T1610" s="7">
        <v>0.0591515416575552</v>
      </c>
      <c r="U1610" t="s">
        <v>10</v>
      </c>
      <c r="V1610" t="s">
        <v>50</v>
      </c>
      <c r="W1610" t="s">
        <v>50</v>
      </c>
      <c r="X1610" t="s">
        <v>33</v>
      </c>
      <c r="Y1610" t="s">
        <v>569</v>
      </c>
      <c r="Z1610" t="s">
        <v>101</v>
      </c>
    </row>
    <row r="1611" spans="1:26">
      <c r="A1611" t="s">
        <v>3628</v>
      </c>
      <c r="B1611" t="s">
        <v>3628</v>
      </c>
      <c r="C1611" s="4">
        <v>45998</v>
      </c>
      <c r="D1611">
        <v>2025</v>
      </c>
      <c r="E1611">
        <v>12</v>
      </c>
      <c r="F1611" t="s">
        <v>28</v>
      </c>
      <c r="G1611" t="s">
        <v>137</v>
      </c>
      <c r="H1611" t="s">
        <v>669</v>
      </c>
      <c r="I1611" t="s">
        <v>169</v>
      </c>
      <c r="J1611" t="s">
        <v>46</v>
      </c>
      <c r="K1611" t="s">
        <v>159</v>
      </c>
      <c r="L1611">
        <v>1</v>
      </c>
      <c r="M1611" s="5">
        <v>141.11</v>
      </c>
      <c r="N1611" s="6">
        <v>0</v>
      </c>
      <c r="O1611" s="5">
        <v>0</v>
      </c>
      <c r="P1611" s="5">
        <v>21.17</v>
      </c>
      <c r="Q1611" s="5">
        <v>162.28</v>
      </c>
      <c r="R1611" s="5">
        <v>115.91</v>
      </c>
      <c r="S1611" s="5">
        <v>46.37</v>
      </c>
      <c r="T1611" s="7">
        <v>0.285740695094898</v>
      </c>
      <c r="U1611" t="s">
        <v>11</v>
      </c>
      <c r="V1611" t="s">
        <v>50</v>
      </c>
      <c r="W1611" t="s">
        <v>50</v>
      </c>
      <c r="X1611" t="s">
        <v>33</v>
      </c>
      <c r="Y1611" t="s">
        <v>2022</v>
      </c>
      <c r="Z1611" t="s">
        <v>80</v>
      </c>
    </row>
    <row r="1612" spans="1:26">
      <c r="A1612" t="s">
        <v>3629</v>
      </c>
      <c r="B1612" t="s">
        <v>3629</v>
      </c>
      <c r="C1612" s="4">
        <v>45951</v>
      </c>
      <c r="D1612">
        <v>2025</v>
      </c>
      <c r="E1612">
        <v>10</v>
      </c>
      <c r="F1612" t="s">
        <v>26</v>
      </c>
      <c r="G1612" t="s">
        <v>137</v>
      </c>
      <c r="H1612" t="s">
        <v>3530</v>
      </c>
      <c r="I1612" t="s">
        <v>543</v>
      </c>
      <c r="J1612" t="s">
        <v>567</v>
      </c>
      <c r="K1612" t="s">
        <v>568</v>
      </c>
      <c r="L1612">
        <v>3</v>
      </c>
      <c r="M1612" s="5">
        <v>401.06</v>
      </c>
      <c r="N1612" s="6">
        <v>0</v>
      </c>
      <c r="O1612" s="5">
        <v>0</v>
      </c>
      <c r="P1612" s="5">
        <v>180.48</v>
      </c>
      <c r="Q1612" s="5">
        <v>1203.18</v>
      </c>
      <c r="R1612" s="5">
        <v>1042.41</v>
      </c>
      <c r="S1612" s="5">
        <v>160.77</v>
      </c>
      <c r="T1612" s="7">
        <v>0.133620904602803</v>
      </c>
      <c r="U1612" t="s">
        <v>14</v>
      </c>
      <c r="V1612" t="s">
        <v>50</v>
      </c>
      <c r="W1612" t="s">
        <v>50</v>
      </c>
      <c r="X1612" t="s">
        <v>33</v>
      </c>
      <c r="Y1612" t="s">
        <v>1000</v>
      </c>
      <c r="Z1612" t="s">
        <v>101</v>
      </c>
    </row>
    <row r="1613" spans="1:26">
      <c r="A1613" t="s">
        <v>3630</v>
      </c>
      <c r="B1613" t="s">
        <v>3630</v>
      </c>
      <c r="C1613" s="4">
        <v>45760</v>
      </c>
      <c r="D1613">
        <v>2025</v>
      </c>
      <c r="E1613">
        <v>4</v>
      </c>
      <c r="F1613" t="s">
        <v>20</v>
      </c>
      <c r="G1613" t="s">
        <v>74</v>
      </c>
      <c r="H1613" t="s">
        <v>2389</v>
      </c>
      <c r="I1613" t="s">
        <v>1694</v>
      </c>
      <c r="J1613" t="s">
        <v>291</v>
      </c>
      <c r="K1613" t="s">
        <v>1204</v>
      </c>
      <c r="L1613">
        <v>3</v>
      </c>
      <c r="M1613" s="5">
        <v>233.47</v>
      </c>
      <c r="N1613" s="6">
        <v>0</v>
      </c>
      <c r="O1613" s="5">
        <v>0</v>
      </c>
      <c r="P1613" s="5">
        <v>105.06</v>
      </c>
      <c r="Q1613" s="5">
        <v>805.47</v>
      </c>
      <c r="R1613" s="5">
        <v>566.94</v>
      </c>
      <c r="S1613" s="5">
        <v>238.53</v>
      </c>
      <c r="T1613" s="7">
        <v>0.29613765875824</v>
      </c>
      <c r="U1613" t="s">
        <v>13</v>
      </c>
      <c r="V1613" t="s">
        <v>50</v>
      </c>
      <c r="W1613" t="s">
        <v>50</v>
      </c>
      <c r="X1613" t="s">
        <v>33</v>
      </c>
      <c r="Y1613" t="s">
        <v>3041</v>
      </c>
      <c r="Z1613" t="s">
        <v>80</v>
      </c>
    </row>
    <row r="1614" spans="1:26">
      <c r="A1614" t="s">
        <v>3631</v>
      </c>
      <c r="B1614" t="s">
        <v>3631</v>
      </c>
      <c r="C1614" s="4">
        <v>46031</v>
      </c>
      <c r="D1614">
        <v>2026</v>
      </c>
      <c r="E1614">
        <v>1</v>
      </c>
      <c r="F1614" t="s">
        <v>30</v>
      </c>
      <c r="G1614" t="s">
        <v>82</v>
      </c>
      <c r="H1614" t="s">
        <v>1421</v>
      </c>
      <c r="I1614" t="s">
        <v>279</v>
      </c>
      <c r="J1614" t="s">
        <v>894</v>
      </c>
      <c r="K1614" t="s">
        <v>1038</v>
      </c>
      <c r="L1614">
        <v>8</v>
      </c>
      <c r="M1614" s="5">
        <v>458.23</v>
      </c>
      <c r="N1614" s="6">
        <v>10</v>
      </c>
      <c r="O1614" s="5">
        <v>366.58</v>
      </c>
      <c r="P1614" s="5">
        <v>494.89</v>
      </c>
      <c r="Q1614" s="5">
        <v>3299.26</v>
      </c>
      <c r="R1614" s="5">
        <v>2471.52</v>
      </c>
      <c r="S1614" s="5">
        <v>827.74</v>
      </c>
      <c r="T1614" s="7">
        <v>0.250886562441275</v>
      </c>
      <c r="U1614" t="s">
        <v>10</v>
      </c>
      <c r="V1614" t="s">
        <v>50</v>
      </c>
      <c r="W1614" t="s">
        <v>50</v>
      </c>
      <c r="X1614" t="s">
        <v>33</v>
      </c>
      <c r="Y1614" t="s">
        <v>118</v>
      </c>
      <c r="Z1614" t="s">
        <v>101</v>
      </c>
    </row>
    <row r="1615" spans="1:26">
      <c r="A1615" t="s">
        <v>3632</v>
      </c>
      <c r="B1615" t="s">
        <v>3632</v>
      </c>
      <c r="C1615" s="4">
        <v>46061</v>
      </c>
      <c r="D1615">
        <v>2026</v>
      </c>
      <c r="E1615">
        <v>2</v>
      </c>
      <c r="F1615" t="s">
        <v>31</v>
      </c>
      <c r="G1615" t="s">
        <v>82</v>
      </c>
      <c r="H1615" t="s">
        <v>1786</v>
      </c>
      <c r="I1615" t="s">
        <v>2193</v>
      </c>
      <c r="J1615" t="s">
        <v>858</v>
      </c>
      <c r="K1615" t="s">
        <v>859</v>
      </c>
      <c r="L1615">
        <v>4</v>
      </c>
      <c r="M1615" s="5">
        <v>94.71</v>
      </c>
      <c r="N1615" s="6">
        <v>10</v>
      </c>
      <c r="O1615" s="5">
        <v>37.88</v>
      </c>
      <c r="P1615" s="5">
        <v>51.14</v>
      </c>
      <c r="Q1615" s="5">
        <v>392.1</v>
      </c>
      <c r="R1615" s="5">
        <v>282.8</v>
      </c>
      <c r="S1615" s="5">
        <v>109.3</v>
      </c>
      <c r="T1615" s="7">
        <v>0.278755419535833</v>
      </c>
      <c r="U1615" t="s">
        <v>14</v>
      </c>
      <c r="V1615" t="s">
        <v>50</v>
      </c>
      <c r="W1615" t="s">
        <v>50</v>
      </c>
      <c r="X1615" t="s">
        <v>33</v>
      </c>
      <c r="Y1615" t="s">
        <v>3633</v>
      </c>
      <c r="Z1615" t="s">
        <v>80</v>
      </c>
    </row>
    <row r="1616" spans="1:26">
      <c r="A1616" t="s">
        <v>3634</v>
      </c>
      <c r="B1616" t="s">
        <v>3634</v>
      </c>
      <c r="C1616" s="4">
        <v>45867</v>
      </c>
      <c r="D1616">
        <v>2025</v>
      </c>
      <c r="E1616">
        <v>7</v>
      </c>
      <c r="F1616" t="s">
        <v>23</v>
      </c>
      <c r="G1616" t="s">
        <v>89</v>
      </c>
      <c r="H1616" t="s">
        <v>3635</v>
      </c>
      <c r="I1616" t="s">
        <v>190</v>
      </c>
      <c r="J1616" t="s">
        <v>435</v>
      </c>
      <c r="K1616" t="s">
        <v>436</v>
      </c>
      <c r="L1616">
        <v>4</v>
      </c>
      <c r="M1616" s="5">
        <v>437.49</v>
      </c>
      <c r="N1616" s="6">
        <v>20</v>
      </c>
      <c r="O1616" s="5">
        <v>349.99</v>
      </c>
      <c r="P1616" s="5">
        <v>210</v>
      </c>
      <c r="Q1616" s="5">
        <v>1399.97</v>
      </c>
      <c r="R1616" s="5">
        <v>1061.76</v>
      </c>
      <c r="S1616" s="5">
        <v>338.21</v>
      </c>
      <c r="T1616" s="7">
        <v>0.241583748223176</v>
      </c>
      <c r="U1616" t="s">
        <v>13</v>
      </c>
      <c r="V1616" t="s">
        <v>50</v>
      </c>
      <c r="W1616" t="s">
        <v>50</v>
      </c>
      <c r="X1616" t="s">
        <v>33</v>
      </c>
      <c r="Y1616" t="s">
        <v>1796</v>
      </c>
      <c r="Z1616" t="s">
        <v>101</v>
      </c>
    </row>
    <row r="1617" spans="1:26">
      <c r="A1617" t="s">
        <v>3636</v>
      </c>
      <c r="B1617" t="s">
        <v>3636</v>
      </c>
      <c r="C1617" s="4">
        <v>45989</v>
      </c>
      <c r="D1617">
        <v>2025</v>
      </c>
      <c r="E1617">
        <v>11</v>
      </c>
      <c r="F1617" t="s">
        <v>27</v>
      </c>
      <c r="G1617" t="s">
        <v>137</v>
      </c>
      <c r="H1617" t="s">
        <v>3637</v>
      </c>
      <c r="I1617" t="s">
        <v>797</v>
      </c>
      <c r="J1617" t="s">
        <v>1657</v>
      </c>
      <c r="K1617" t="s">
        <v>1658</v>
      </c>
      <c r="L1617">
        <v>2</v>
      </c>
      <c r="M1617" s="5">
        <v>442.14</v>
      </c>
      <c r="N1617" s="6">
        <v>0</v>
      </c>
      <c r="O1617" s="5">
        <v>0</v>
      </c>
      <c r="P1617" s="5">
        <v>132.64</v>
      </c>
      <c r="Q1617" s="5">
        <v>884.28</v>
      </c>
      <c r="R1617" s="5">
        <v>703.74</v>
      </c>
      <c r="S1617" s="5">
        <v>180.54</v>
      </c>
      <c r="T1617" s="7">
        <v>0.204166101234903</v>
      </c>
      <c r="U1617" t="s">
        <v>10</v>
      </c>
      <c r="V1617" t="s">
        <v>50</v>
      </c>
      <c r="W1617" t="s">
        <v>50</v>
      </c>
      <c r="X1617" t="s">
        <v>33</v>
      </c>
      <c r="Y1617" t="s">
        <v>1712</v>
      </c>
      <c r="Z1617" t="s">
        <v>101</v>
      </c>
    </row>
    <row r="1618" spans="1:26">
      <c r="A1618" t="s">
        <v>3638</v>
      </c>
      <c r="B1618" t="s">
        <v>3638</v>
      </c>
      <c r="C1618" s="4">
        <v>45955</v>
      </c>
      <c r="D1618">
        <v>2025</v>
      </c>
      <c r="E1618">
        <v>10</v>
      </c>
      <c r="F1618" t="s">
        <v>26</v>
      </c>
      <c r="G1618" t="s">
        <v>137</v>
      </c>
      <c r="H1618" t="s">
        <v>973</v>
      </c>
      <c r="I1618" t="s">
        <v>411</v>
      </c>
      <c r="J1618" t="s">
        <v>1327</v>
      </c>
      <c r="K1618" t="s">
        <v>704</v>
      </c>
      <c r="L1618">
        <v>4</v>
      </c>
      <c r="M1618" s="5">
        <v>514.83</v>
      </c>
      <c r="N1618" s="6">
        <v>15</v>
      </c>
      <c r="O1618" s="5">
        <v>308.9</v>
      </c>
      <c r="P1618" s="5">
        <v>262.56</v>
      </c>
      <c r="Q1618" s="5">
        <v>2012.98</v>
      </c>
      <c r="R1618" s="5">
        <v>1547.56</v>
      </c>
      <c r="S1618" s="5">
        <v>465.42</v>
      </c>
      <c r="T1618" s="7">
        <v>0.231209450665183</v>
      </c>
      <c r="U1618" t="s">
        <v>14</v>
      </c>
      <c r="V1618" t="s">
        <v>50</v>
      </c>
      <c r="W1618" t="s">
        <v>50</v>
      </c>
      <c r="X1618" t="s">
        <v>35</v>
      </c>
      <c r="Y1618" t="s">
        <v>2709</v>
      </c>
      <c r="Z1618" t="s">
        <v>80</v>
      </c>
    </row>
    <row r="1619" spans="1:26">
      <c r="A1619" t="s">
        <v>3639</v>
      </c>
      <c r="B1619" t="s">
        <v>3639</v>
      </c>
      <c r="C1619" s="4">
        <v>45920</v>
      </c>
      <c r="D1619">
        <v>2025</v>
      </c>
      <c r="E1619">
        <v>9</v>
      </c>
      <c r="F1619" t="s">
        <v>25</v>
      </c>
      <c r="G1619" t="s">
        <v>89</v>
      </c>
      <c r="H1619" t="s">
        <v>1581</v>
      </c>
      <c r="I1619" t="s">
        <v>213</v>
      </c>
      <c r="J1619" t="s">
        <v>894</v>
      </c>
      <c r="K1619" t="s">
        <v>1038</v>
      </c>
      <c r="L1619">
        <v>1</v>
      </c>
      <c r="M1619" s="5">
        <v>191.13</v>
      </c>
      <c r="N1619" s="6">
        <v>0</v>
      </c>
      <c r="O1619" s="5">
        <v>0</v>
      </c>
      <c r="P1619" s="5">
        <v>28.67</v>
      </c>
      <c r="Q1619" s="5">
        <v>219.8</v>
      </c>
      <c r="R1619" s="5">
        <v>153.42</v>
      </c>
      <c r="S1619" s="5">
        <v>66.38</v>
      </c>
      <c r="T1619" s="7">
        <v>0.302001819836215</v>
      </c>
      <c r="U1619" t="s">
        <v>12</v>
      </c>
      <c r="V1619" t="s">
        <v>50</v>
      </c>
      <c r="W1619" t="s">
        <v>50</v>
      </c>
      <c r="X1619" t="s">
        <v>33</v>
      </c>
      <c r="Y1619" t="s">
        <v>347</v>
      </c>
      <c r="Z1619" t="s">
        <v>80</v>
      </c>
    </row>
    <row r="1620" spans="1:26">
      <c r="A1620" t="s">
        <v>3640</v>
      </c>
      <c r="B1620" t="s">
        <v>3640</v>
      </c>
      <c r="C1620" s="4">
        <v>46014</v>
      </c>
      <c r="D1620">
        <v>2025</v>
      </c>
      <c r="E1620">
        <v>12</v>
      </c>
      <c r="F1620" t="s">
        <v>28</v>
      </c>
      <c r="G1620" t="s">
        <v>137</v>
      </c>
      <c r="H1620" t="s">
        <v>3218</v>
      </c>
      <c r="I1620" t="s">
        <v>174</v>
      </c>
      <c r="J1620" t="s">
        <v>38</v>
      </c>
      <c r="K1620" t="s">
        <v>236</v>
      </c>
      <c r="L1620">
        <v>4</v>
      </c>
      <c r="M1620" s="5">
        <v>397.22</v>
      </c>
      <c r="N1620" s="6">
        <v>10</v>
      </c>
      <c r="O1620" s="5">
        <v>158.89</v>
      </c>
      <c r="P1620" s="5">
        <v>214.5</v>
      </c>
      <c r="Q1620" s="5">
        <v>1429.99</v>
      </c>
      <c r="R1620" s="5">
        <v>1277.48</v>
      </c>
      <c r="S1620" s="5">
        <v>152.51</v>
      </c>
      <c r="T1620" s="7">
        <v>0.106651095462206</v>
      </c>
      <c r="U1620" t="s">
        <v>13</v>
      </c>
      <c r="V1620" t="s">
        <v>50</v>
      </c>
      <c r="W1620" t="s">
        <v>50</v>
      </c>
      <c r="X1620" t="s">
        <v>33</v>
      </c>
      <c r="Y1620" t="s">
        <v>869</v>
      </c>
      <c r="Z1620" t="s">
        <v>101</v>
      </c>
    </row>
    <row r="1621" spans="1:26">
      <c r="A1621" t="s">
        <v>3641</v>
      </c>
      <c r="B1621" t="s">
        <v>3641</v>
      </c>
      <c r="C1621" s="4">
        <v>45961</v>
      </c>
      <c r="D1621">
        <v>2025</v>
      </c>
      <c r="E1621">
        <v>10</v>
      </c>
      <c r="F1621" t="s">
        <v>26</v>
      </c>
      <c r="G1621" t="s">
        <v>137</v>
      </c>
      <c r="H1621" t="s">
        <v>3642</v>
      </c>
      <c r="I1621" t="s">
        <v>2706</v>
      </c>
      <c r="J1621" t="s">
        <v>1127</v>
      </c>
      <c r="K1621" t="s">
        <v>287</v>
      </c>
      <c r="L1621">
        <v>2</v>
      </c>
      <c r="M1621" s="5">
        <v>519.78</v>
      </c>
      <c r="N1621" s="6">
        <v>5</v>
      </c>
      <c r="O1621" s="5">
        <v>51.98</v>
      </c>
      <c r="P1621" s="5">
        <v>148.14</v>
      </c>
      <c r="Q1621" s="5">
        <v>987.58</v>
      </c>
      <c r="R1621" s="5">
        <v>795.84</v>
      </c>
      <c r="S1621" s="5">
        <v>191.74</v>
      </c>
      <c r="T1621" s="7">
        <v>0.194151359889832</v>
      </c>
      <c r="U1621" t="s">
        <v>10</v>
      </c>
      <c r="V1621" t="s">
        <v>50</v>
      </c>
      <c r="W1621" t="s">
        <v>50</v>
      </c>
      <c r="X1621" t="s">
        <v>33</v>
      </c>
      <c r="Y1621" t="s">
        <v>1146</v>
      </c>
      <c r="Z1621" t="s">
        <v>101</v>
      </c>
    </row>
    <row r="1622" spans="1:26">
      <c r="A1622" t="s">
        <v>3643</v>
      </c>
      <c r="B1622" t="s">
        <v>3643</v>
      </c>
      <c r="C1622" s="4">
        <v>45880</v>
      </c>
      <c r="D1622">
        <v>2025</v>
      </c>
      <c r="E1622">
        <v>8</v>
      </c>
      <c r="F1622" t="s">
        <v>24</v>
      </c>
      <c r="G1622" t="s">
        <v>89</v>
      </c>
      <c r="H1622" t="s">
        <v>1587</v>
      </c>
      <c r="I1622" t="s">
        <v>722</v>
      </c>
      <c r="J1622" t="s">
        <v>38</v>
      </c>
      <c r="K1622" t="s">
        <v>236</v>
      </c>
      <c r="L1622">
        <v>3</v>
      </c>
      <c r="M1622" s="5">
        <v>170.66</v>
      </c>
      <c r="N1622" s="6">
        <v>0</v>
      </c>
      <c r="O1622" s="5">
        <v>0</v>
      </c>
      <c r="P1622" s="5">
        <v>76.8</v>
      </c>
      <c r="Q1622" s="5">
        <v>511.98</v>
      </c>
      <c r="R1622" s="5">
        <v>413.85</v>
      </c>
      <c r="S1622" s="5">
        <v>98.13</v>
      </c>
      <c r="T1622" s="7">
        <v>0.191667643267315</v>
      </c>
      <c r="U1622" t="s">
        <v>10</v>
      </c>
      <c r="V1622" t="s">
        <v>50</v>
      </c>
      <c r="W1622" t="s">
        <v>50</v>
      </c>
      <c r="X1622" t="s">
        <v>33</v>
      </c>
      <c r="Y1622" t="s">
        <v>860</v>
      </c>
      <c r="Z1622" t="s">
        <v>101</v>
      </c>
    </row>
    <row r="1623" spans="1:26">
      <c r="A1623" t="s">
        <v>3644</v>
      </c>
      <c r="B1623" t="s">
        <v>3644</v>
      </c>
      <c r="C1623" s="4">
        <v>45924</v>
      </c>
      <c r="D1623">
        <v>2025</v>
      </c>
      <c r="E1623">
        <v>9</v>
      </c>
      <c r="F1623" t="s">
        <v>25</v>
      </c>
      <c r="G1623" t="s">
        <v>89</v>
      </c>
      <c r="H1623" t="s">
        <v>2270</v>
      </c>
      <c r="I1623" t="s">
        <v>169</v>
      </c>
      <c r="J1623" t="s">
        <v>1107</v>
      </c>
      <c r="K1623" t="s">
        <v>515</v>
      </c>
      <c r="L1623">
        <v>7</v>
      </c>
      <c r="M1623" s="5">
        <v>145.25</v>
      </c>
      <c r="N1623" s="6">
        <v>20</v>
      </c>
      <c r="O1623" s="5">
        <v>203.35</v>
      </c>
      <c r="P1623" s="5">
        <v>122.01</v>
      </c>
      <c r="Q1623" s="5">
        <v>813.4</v>
      </c>
      <c r="R1623" s="5">
        <v>811.37</v>
      </c>
      <c r="S1623" s="5">
        <v>2.03</v>
      </c>
      <c r="T1623" s="7">
        <v>0.00249569707401033</v>
      </c>
      <c r="U1623" t="s">
        <v>11</v>
      </c>
      <c r="V1623" t="s">
        <v>50</v>
      </c>
      <c r="W1623" t="s">
        <v>50</v>
      </c>
      <c r="X1623" t="s">
        <v>35</v>
      </c>
      <c r="Y1623" t="s">
        <v>1692</v>
      </c>
      <c r="Z1623" t="s">
        <v>101</v>
      </c>
    </row>
    <row r="1624" spans="1:26">
      <c r="A1624" t="s">
        <v>3645</v>
      </c>
      <c r="B1624" t="s">
        <v>3645</v>
      </c>
      <c r="C1624" s="4">
        <v>46062</v>
      </c>
      <c r="D1624">
        <v>2026</v>
      </c>
      <c r="E1624">
        <v>2</v>
      </c>
      <c r="F1624" t="s">
        <v>31</v>
      </c>
      <c r="G1624" t="s">
        <v>82</v>
      </c>
      <c r="H1624" t="s">
        <v>1439</v>
      </c>
      <c r="I1624" t="s">
        <v>84</v>
      </c>
      <c r="J1624" t="s">
        <v>202</v>
      </c>
      <c r="K1624" t="s">
        <v>203</v>
      </c>
      <c r="L1624">
        <v>1</v>
      </c>
      <c r="M1624" s="5">
        <v>448.94</v>
      </c>
      <c r="N1624" s="6">
        <v>0</v>
      </c>
      <c r="O1624" s="5">
        <v>0</v>
      </c>
      <c r="P1624" s="5">
        <v>67.34</v>
      </c>
      <c r="Q1624" s="5">
        <v>448.94</v>
      </c>
      <c r="R1624" s="5">
        <v>380.08</v>
      </c>
      <c r="S1624" s="5">
        <v>68.86</v>
      </c>
      <c r="T1624" s="7">
        <v>0.15338352563817</v>
      </c>
      <c r="U1624" t="s">
        <v>13</v>
      </c>
      <c r="V1624" t="s">
        <v>50</v>
      </c>
      <c r="W1624" t="s">
        <v>50</v>
      </c>
      <c r="X1624" t="s">
        <v>34</v>
      </c>
      <c r="Y1624" t="s">
        <v>516</v>
      </c>
      <c r="Z1624" t="s">
        <v>101</v>
      </c>
    </row>
    <row r="1625" spans="1:26">
      <c r="A1625" t="s">
        <v>3646</v>
      </c>
      <c r="B1625" t="s">
        <v>3646</v>
      </c>
      <c r="C1625" s="4">
        <v>45974</v>
      </c>
      <c r="D1625">
        <v>2025</v>
      </c>
      <c r="E1625">
        <v>11</v>
      </c>
      <c r="F1625" t="s">
        <v>27</v>
      </c>
      <c r="G1625" t="s">
        <v>137</v>
      </c>
      <c r="H1625" t="s">
        <v>1600</v>
      </c>
      <c r="I1625" t="s">
        <v>1360</v>
      </c>
      <c r="J1625" t="s">
        <v>713</v>
      </c>
      <c r="K1625" t="s">
        <v>798</v>
      </c>
      <c r="L1625">
        <v>6</v>
      </c>
      <c r="M1625" s="5">
        <v>259.55</v>
      </c>
      <c r="N1625" s="6">
        <v>0</v>
      </c>
      <c r="O1625" s="5">
        <v>0</v>
      </c>
      <c r="P1625" s="5">
        <v>233.6</v>
      </c>
      <c r="Q1625" s="5">
        <v>1557.3</v>
      </c>
      <c r="R1625" s="5">
        <v>1249.32</v>
      </c>
      <c r="S1625" s="5">
        <v>307.98</v>
      </c>
      <c r="T1625" s="7">
        <v>0.197765363128492</v>
      </c>
      <c r="U1625" t="s">
        <v>9</v>
      </c>
      <c r="V1625" t="s">
        <v>50</v>
      </c>
      <c r="W1625" t="s">
        <v>50</v>
      </c>
      <c r="X1625" t="s">
        <v>34</v>
      </c>
      <c r="Y1625" t="s">
        <v>506</v>
      </c>
      <c r="Z1625" t="s">
        <v>101</v>
      </c>
    </row>
    <row r="1626" spans="1:26">
      <c r="A1626" t="s">
        <v>3647</v>
      </c>
      <c r="B1626" t="s">
        <v>3647</v>
      </c>
      <c r="C1626" s="4">
        <v>45760</v>
      </c>
      <c r="D1626">
        <v>2025</v>
      </c>
      <c r="E1626">
        <v>4</v>
      </c>
      <c r="F1626" t="s">
        <v>20</v>
      </c>
      <c r="G1626" t="s">
        <v>74</v>
      </c>
      <c r="H1626" t="s">
        <v>343</v>
      </c>
      <c r="I1626" t="s">
        <v>362</v>
      </c>
      <c r="J1626" t="s">
        <v>191</v>
      </c>
      <c r="K1626" t="s">
        <v>499</v>
      </c>
      <c r="L1626">
        <v>4</v>
      </c>
      <c r="M1626" s="5">
        <v>331.28</v>
      </c>
      <c r="N1626" s="6">
        <v>10</v>
      </c>
      <c r="O1626" s="5">
        <v>132.51</v>
      </c>
      <c r="P1626" s="5">
        <v>178.89</v>
      </c>
      <c r="Q1626" s="5">
        <v>1371.5</v>
      </c>
      <c r="R1626" s="5">
        <v>989</v>
      </c>
      <c r="S1626" s="5">
        <v>382.5</v>
      </c>
      <c r="T1626" s="7">
        <v>0.278891724389355</v>
      </c>
      <c r="U1626" t="s">
        <v>14</v>
      </c>
      <c r="V1626" t="s">
        <v>50</v>
      </c>
      <c r="W1626" t="s">
        <v>50</v>
      </c>
      <c r="X1626" t="s">
        <v>34</v>
      </c>
      <c r="Y1626" t="s">
        <v>2113</v>
      </c>
      <c r="Z1626" t="s">
        <v>80</v>
      </c>
    </row>
    <row r="1627" spans="1:26">
      <c r="A1627" t="s">
        <v>3648</v>
      </c>
      <c r="B1627" t="s">
        <v>3648</v>
      </c>
      <c r="C1627" s="4">
        <v>46061</v>
      </c>
      <c r="D1627">
        <v>2026</v>
      </c>
      <c r="E1627">
        <v>2</v>
      </c>
      <c r="F1627" t="s">
        <v>31</v>
      </c>
      <c r="G1627" t="s">
        <v>82</v>
      </c>
      <c r="H1627" t="s">
        <v>528</v>
      </c>
      <c r="I1627" t="s">
        <v>1367</v>
      </c>
      <c r="J1627" t="s">
        <v>246</v>
      </c>
      <c r="K1627" t="s">
        <v>709</v>
      </c>
      <c r="L1627">
        <v>2</v>
      </c>
      <c r="M1627" s="5">
        <v>55.81</v>
      </c>
      <c r="N1627" s="6">
        <v>20</v>
      </c>
      <c r="O1627" s="5">
        <v>22.32</v>
      </c>
      <c r="P1627" s="5">
        <v>13.4</v>
      </c>
      <c r="Q1627" s="5">
        <v>102.7</v>
      </c>
      <c r="R1627" s="5">
        <v>89.92</v>
      </c>
      <c r="S1627" s="5">
        <v>12.78</v>
      </c>
      <c r="T1627" s="7">
        <v>0.12444011684518</v>
      </c>
      <c r="U1627" t="s">
        <v>9</v>
      </c>
      <c r="V1627" t="s">
        <v>51</v>
      </c>
      <c r="W1627" t="s">
        <v>51</v>
      </c>
      <c r="X1627" t="s">
        <v>33</v>
      </c>
      <c r="Y1627" t="s">
        <v>950</v>
      </c>
      <c r="Z1627" t="s">
        <v>80</v>
      </c>
    </row>
    <row r="1628" spans="1:26">
      <c r="A1628" t="s">
        <v>3649</v>
      </c>
      <c r="B1628" t="s">
        <v>3649</v>
      </c>
      <c r="C1628" s="4">
        <v>45890</v>
      </c>
      <c r="D1628">
        <v>2025</v>
      </c>
      <c r="E1628">
        <v>8</v>
      </c>
      <c r="F1628" t="s">
        <v>24</v>
      </c>
      <c r="G1628" t="s">
        <v>89</v>
      </c>
      <c r="H1628" t="s">
        <v>2915</v>
      </c>
      <c r="I1628" t="s">
        <v>583</v>
      </c>
      <c r="J1628" t="s">
        <v>339</v>
      </c>
      <c r="K1628" t="s">
        <v>2229</v>
      </c>
      <c r="L1628">
        <v>4</v>
      </c>
      <c r="M1628" s="5">
        <v>251.73</v>
      </c>
      <c r="N1628" s="6">
        <v>0</v>
      </c>
      <c r="O1628" s="5">
        <v>0</v>
      </c>
      <c r="P1628" s="5">
        <v>151.04</v>
      </c>
      <c r="Q1628" s="5">
        <v>1006.92</v>
      </c>
      <c r="R1628" s="5">
        <v>842.08</v>
      </c>
      <c r="S1628" s="5">
        <v>164.84</v>
      </c>
      <c r="T1628" s="7">
        <v>0.163707146545902</v>
      </c>
      <c r="U1628" t="s">
        <v>11</v>
      </c>
      <c r="V1628" t="s">
        <v>50</v>
      </c>
      <c r="W1628" t="s">
        <v>50</v>
      </c>
      <c r="X1628" t="s">
        <v>33</v>
      </c>
      <c r="Y1628" t="s">
        <v>1644</v>
      </c>
      <c r="Z1628" t="s">
        <v>101</v>
      </c>
    </row>
    <row r="1629" spans="1:26">
      <c r="A1629" t="s">
        <v>3650</v>
      </c>
      <c r="B1629" t="s">
        <v>3650</v>
      </c>
      <c r="C1629" s="4">
        <v>45774</v>
      </c>
      <c r="D1629">
        <v>2025</v>
      </c>
      <c r="E1629">
        <v>4</v>
      </c>
      <c r="F1629" t="s">
        <v>20</v>
      </c>
      <c r="G1629" t="s">
        <v>74</v>
      </c>
      <c r="H1629" t="s">
        <v>1426</v>
      </c>
      <c r="I1629" t="s">
        <v>207</v>
      </c>
      <c r="J1629" t="s">
        <v>906</v>
      </c>
      <c r="K1629" t="s">
        <v>3311</v>
      </c>
      <c r="L1629">
        <v>1</v>
      </c>
      <c r="M1629" s="5">
        <v>306.62</v>
      </c>
      <c r="N1629" s="6">
        <v>5</v>
      </c>
      <c r="O1629" s="5">
        <v>15.33</v>
      </c>
      <c r="P1629" s="5">
        <v>43.69</v>
      </c>
      <c r="Q1629" s="5">
        <v>334.98</v>
      </c>
      <c r="R1629" s="5">
        <v>259.93</v>
      </c>
      <c r="S1629" s="5">
        <v>75.05</v>
      </c>
      <c r="T1629" s="7">
        <v>0.224043226461281</v>
      </c>
      <c r="U1629" t="s">
        <v>14</v>
      </c>
      <c r="V1629" t="s">
        <v>50</v>
      </c>
      <c r="W1629" t="s">
        <v>50</v>
      </c>
      <c r="X1629" t="s">
        <v>33</v>
      </c>
      <c r="Y1629" t="s">
        <v>3651</v>
      </c>
      <c r="Z1629" t="s">
        <v>80</v>
      </c>
    </row>
    <row r="1630" spans="1:26">
      <c r="A1630" t="s">
        <v>3652</v>
      </c>
      <c r="B1630" t="s">
        <v>3652</v>
      </c>
      <c r="C1630" s="4">
        <v>45964</v>
      </c>
      <c r="D1630">
        <v>2025</v>
      </c>
      <c r="E1630">
        <v>11</v>
      </c>
      <c r="F1630" t="s">
        <v>27</v>
      </c>
      <c r="G1630" t="s">
        <v>137</v>
      </c>
      <c r="H1630" t="s">
        <v>3653</v>
      </c>
      <c r="I1630" t="s">
        <v>1511</v>
      </c>
      <c r="J1630" t="s">
        <v>269</v>
      </c>
      <c r="K1630" t="s">
        <v>413</v>
      </c>
      <c r="L1630">
        <v>1</v>
      </c>
      <c r="M1630" s="5">
        <v>183.39</v>
      </c>
      <c r="N1630" s="6">
        <v>15</v>
      </c>
      <c r="O1630" s="5">
        <v>27.51</v>
      </c>
      <c r="P1630" s="5">
        <v>23.38</v>
      </c>
      <c r="Q1630" s="5">
        <v>155.88</v>
      </c>
      <c r="R1630" s="5">
        <v>158.43</v>
      </c>
      <c r="S1630" s="5">
        <v>-2.55</v>
      </c>
      <c r="T1630" s="7">
        <v>-0.0163587374903772</v>
      </c>
      <c r="U1630" t="s">
        <v>14</v>
      </c>
      <c r="V1630" t="s">
        <v>51</v>
      </c>
      <c r="W1630" t="s">
        <v>51</v>
      </c>
      <c r="X1630" t="s">
        <v>34</v>
      </c>
      <c r="Y1630" t="s">
        <v>500</v>
      </c>
      <c r="Z1630" t="s">
        <v>101</v>
      </c>
    </row>
    <row r="1631" spans="1:26">
      <c r="A1631" t="s">
        <v>3654</v>
      </c>
      <c r="B1631" t="s">
        <v>3654</v>
      </c>
      <c r="C1631" s="4">
        <v>45953</v>
      </c>
      <c r="D1631">
        <v>2025</v>
      </c>
      <c r="E1631">
        <v>10</v>
      </c>
      <c r="F1631" t="s">
        <v>26</v>
      </c>
      <c r="G1631" t="s">
        <v>137</v>
      </c>
      <c r="H1631" t="s">
        <v>1927</v>
      </c>
      <c r="I1631" t="s">
        <v>97</v>
      </c>
      <c r="J1631" t="s">
        <v>877</v>
      </c>
      <c r="K1631" t="s">
        <v>747</v>
      </c>
      <c r="L1631">
        <v>1</v>
      </c>
      <c r="M1631" s="5">
        <v>398.25</v>
      </c>
      <c r="N1631" s="6">
        <v>0</v>
      </c>
      <c r="O1631" s="5">
        <v>0</v>
      </c>
      <c r="P1631" s="5">
        <v>59.74</v>
      </c>
      <c r="Q1631" s="5">
        <v>398.25</v>
      </c>
      <c r="R1631" s="5">
        <v>236.54</v>
      </c>
      <c r="S1631" s="5">
        <v>161.71</v>
      </c>
      <c r="T1631" s="7">
        <v>0.406051475204018</v>
      </c>
      <c r="U1631" t="s">
        <v>10</v>
      </c>
      <c r="V1631" t="s">
        <v>50</v>
      </c>
      <c r="W1631" t="s">
        <v>50</v>
      </c>
      <c r="X1631" t="s">
        <v>34</v>
      </c>
      <c r="Y1631" t="s">
        <v>1396</v>
      </c>
      <c r="Z1631" t="s">
        <v>101</v>
      </c>
    </row>
    <row r="1632" spans="1:26">
      <c r="A1632" t="s">
        <v>3655</v>
      </c>
      <c r="B1632" t="s">
        <v>3655</v>
      </c>
      <c r="C1632" s="4">
        <v>45901</v>
      </c>
      <c r="D1632">
        <v>2025</v>
      </c>
      <c r="E1632">
        <v>9</v>
      </c>
      <c r="F1632" t="s">
        <v>25</v>
      </c>
      <c r="G1632" t="s">
        <v>89</v>
      </c>
      <c r="H1632" t="s">
        <v>349</v>
      </c>
      <c r="I1632" t="s">
        <v>774</v>
      </c>
      <c r="J1632" t="s">
        <v>240</v>
      </c>
      <c r="K1632" t="s">
        <v>2957</v>
      </c>
      <c r="L1632">
        <v>2</v>
      </c>
      <c r="M1632" s="5">
        <v>661.91</v>
      </c>
      <c r="N1632" s="6">
        <v>15</v>
      </c>
      <c r="O1632" s="5">
        <v>198.57</v>
      </c>
      <c r="P1632" s="5">
        <v>168.79</v>
      </c>
      <c r="Q1632" s="5">
        <v>1125.25</v>
      </c>
      <c r="R1632" s="5">
        <v>797.44</v>
      </c>
      <c r="S1632" s="5">
        <v>327.81</v>
      </c>
      <c r="T1632" s="7">
        <v>0.291321928460342</v>
      </c>
      <c r="U1632" t="s">
        <v>11</v>
      </c>
      <c r="V1632" t="s">
        <v>50</v>
      </c>
      <c r="W1632" t="s">
        <v>50</v>
      </c>
      <c r="X1632" t="s">
        <v>35</v>
      </c>
      <c r="Y1632" t="s">
        <v>1803</v>
      </c>
      <c r="Z1632" t="s">
        <v>101</v>
      </c>
    </row>
    <row r="1633" spans="1:26">
      <c r="A1633" t="s">
        <v>3656</v>
      </c>
      <c r="B1633" t="s">
        <v>3656</v>
      </c>
      <c r="C1633" s="4">
        <v>45914</v>
      </c>
      <c r="D1633">
        <v>2025</v>
      </c>
      <c r="E1633">
        <v>9</v>
      </c>
      <c r="F1633" t="s">
        <v>25</v>
      </c>
      <c r="G1633" t="s">
        <v>89</v>
      </c>
      <c r="H1633" t="s">
        <v>608</v>
      </c>
      <c r="I1633" t="s">
        <v>2580</v>
      </c>
      <c r="J1633" t="s">
        <v>40</v>
      </c>
      <c r="K1633" t="s">
        <v>2247</v>
      </c>
      <c r="L1633">
        <v>7</v>
      </c>
      <c r="M1633" s="5">
        <v>58.27</v>
      </c>
      <c r="N1633" s="6">
        <v>10</v>
      </c>
      <c r="O1633" s="5">
        <v>40.79</v>
      </c>
      <c r="P1633" s="5">
        <v>55.07</v>
      </c>
      <c r="Q1633" s="5">
        <v>422.17</v>
      </c>
      <c r="R1633" s="5">
        <v>339.01</v>
      </c>
      <c r="S1633" s="5">
        <v>83.16</v>
      </c>
      <c r="T1633" s="7">
        <v>0.196982258331952</v>
      </c>
      <c r="U1633" t="s">
        <v>9</v>
      </c>
      <c r="V1633" t="s">
        <v>50</v>
      </c>
      <c r="W1633" t="s">
        <v>50</v>
      </c>
      <c r="X1633" t="s">
        <v>33</v>
      </c>
      <c r="Y1633" t="s">
        <v>1024</v>
      </c>
      <c r="Z1633" t="s">
        <v>80</v>
      </c>
    </row>
    <row r="1634" spans="1:26">
      <c r="A1634" t="s">
        <v>3657</v>
      </c>
      <c r="B1634" t="s">
        <v>3657</v>
      </c>
      <c r="C1634" s="4">
        <v>46049</v>
      </c>
      <c r="D1634">
        <v>2026</v>
      </c>
      <c r="E1634">
        <v>1</v>
      </c>
      <c r="F1634" t="s">
        <v>30</v>
      </c>
      <c r="G1634" t="s">
        <v>82</v>
      </c>
      <c r="H1634" t="s">
        <v>3658</v>
      </c>
      <c r="I1634" t="s">
        <v>110</v>
      </c>
      <c r="J1634" t="s">
        <v>208</v>
      </c>
      <c r="K1634" t="s">
        <v>2835</v>
      </c>
      <c r="L1634">
        <v>4</v>
      </c>
      <c r="M1634" s="5">
        <v>342.46</v>
      </c>
      <c r="N1634" s="6">
        <v>10</v>
      </c>
      <c r="O1634" s="5">
        <v>136.98</v>
      </c>
      <c r="P1634" s="5">
        <v>184.93</v>
      </c>
      <c r="Q1634" s="5">
        <v>1232.86</v>
      </c>
      <c r="R1634" s="5">
        <v>1087.12</v>
      </c>
      <c r="S1634" s="5">
        <v>145.74</v>
      </c>
      <c r="T1634" s="7">
        <v>0.118212935775352</v>
      </c>
      <c r="U1634" t="s">
        <v>13</v>
      </c>
      <c r="V1634" t="s">
        <v>50</v>
      </c>
      <c r="W1634" t="s">
        <v>50</v>
      </c>
      <c r="X1634" t="s">
        <v>33</v>
      </c>
      <c r="Y1634" t="s">
        <v>826</v>
      </c>
      <c r="Z1634" t="s">
        <v>101</v>
      </c>
    </row>
    <row r="1635" spans="1:26">
      <c r="A1635" t="s">
        <v>3659</v>
      </c>
      <c r="B1635" t="s">
        <v>3659</v>
      </c>
      <c r="C1635" s="4">
        <v>45942</v>
      </c>
      <c r="D1635">
        <v>2025</v>
      </c>
      <c r="E1635">
        <v>10</v>
      </c>
      <c r="F1635" t="s">
        <v>26</v>
      </c>
      <c r="G1635" t="s">
        <v>137</v>
      </c>
      <c r="H1635" t="s">
        <v>1018</v>
      </c>
      <c r="I1635" t="s">
        <v>454</v>
      </c>
      <c r="J1635" t="s">
        <v>558</v>
      </c>
      <c r="K1635" t="s">
        <v>2985</v>
      </c>
      <c r="L1635">
        <v>5</v>
      </c>
      <c r="M1635" s="5">
        <v>340.64</v>
      </c>
      <c r="N1635" s="6">
        <v>0</v>
      </c>
      <c r="O1635" s="5">
        <v>0</v>
      </c>
      <c r="P1635" s="5">
        <v>255.48</v>
      </c>
      <c r="Q1635" s="5"/>
      <c r="R1635" s="5">
        <v>923.7</v>
      </c>
      <c r="S1635" s="5">
        <v>1034.98</v>
      </c>
      <c r="T1635" s="7"/>
      <c r="U1635" t="s">
        <v>9</v>
      </c>
      <c r="V1635" t="s">
        <v>50</v>
      </c>
      <c r="W1635" t="s">
        <v>50</v>
      </c>
      <c r="X1635" t="s">
        <v>33</v>
      </c>
      <c r="Y1635" t="s">
        <v>2724</v>
      </c>
      <c r="Z1635" t="s">
        <v>80</v>
      </c>
    </row>
    <row r="1636" spans="1:26">
      <c r="A1636" t="s">
        <v>3660</v>
      </c>
      <c r="B1636" t="s">
        <v>3660</v>
      </c>
      <c r="C1636" s="4">
        <v>45940</v>
      </c>
      <c r="D1636">
        <v>2025</v>
      </c>
      <c r="E1636">
        <v>10</v>
      </c>
      <c r="F1636" t="s">
        <v>26</v>
      </c>
      <c r="G1636" t="s">
        <v>137</v>
      </c>
      <c r="H1636" t="s">
        <v>410</v>
      </c>
      <c r="I1636" t="s">
        <v>110</v>
      </c>
      <c r="J1636" t="s">
        <v>252</v>
      </c>
      <c r="K1636" t="s">
        <v>253</v>
      </c>
      <c r="L1636">
        <v>5</v>
      </c>
      <c r="M1636" s="5">
        <v>370.83</v>
      </c>
      <c r="N1636" s="6">
        <v>0</v>
      </c>
      <c r="O1636" s="5">
        <v>0</v>
      </c>
      <c r="P1636" s="5">
        <v>278.12</v>
      </c>
      <c r="Q1636" s="5">
        <v>1854.15</v>
      </c>
      <c r="R1636" s="5">
        <v>1358.9</v>
      </c>
      <c r="S1636" s="5">
        <v>495.25</v>
      </c>
      <c r="T1636" s="7">
        <v>0.267103524526063</v>
      </c>
      <c r="U1636" t="s">
        <v>11</v>
      </c>
      <c r="V1636" t="s">
        <v>50</v>
      </c>
      <c r="W1636" t="s">
        <v>50</v>
      </c>
      <c r="X1636" t="s">
        <v>33</v>
      </c>
      <c r="Y1636" t="s">
        <v>1749</v>
      </c>
      <c r="Z1636" t="s">
        <v>101</v>
      </c>
    </row>
    <row r="1637" spans="1:26">
      <c r="A1637" t="s">
        <v>3661</v>
      </c>
      <c r="B1637" t="s">
        <v>3661</v>
      </c>
      <c r="C1637" s="4">
        <v>45886</v>
      </c>
      <c r="D1637">
        <v>2025</v>
      </c>
      <c r="E1637">
        <v>8</v>
      </c>
      <c r="F1637" t="s">
        <v>24</v>
      </c>
      <c r="G1637" t="s">
        <v>89</v>
      </c>
      <c r="H1637" t="s">
        <v>1267</v>
      </c>
      <c r="I1637" t="s">
        <v>145</v>
      </c>
      <c r="J1637" t="s">
        <v>291</v>
      </c>
      <c r="K1637" t="s">
        <v>270</v>
      </c>
      <c r="L1637">
        <v>3</v>
      </c>
      <c r="M1637" s="5">
        <v>568.76</v>
      </c>
      <c r="N1637" s="6">
        <v>0</v>
      </c>
      <c r="O1637" s="5">
        <v>0</v>
      </c>
      <c r="P1637" s="5">
        <v>255.94</v>
      </c>
      <c r="Q1637" s="5">
        <v>1962.22</v>
      </c>
      <c r="R1637" s="5">
        <v>1187.61</v>
      </c>
      <c r="S1637" s="5">
        <v>774.61</v>
      </c>
      <c r="T1637" s="7">
        <v>0.394762055223166</v>
      </c>
      <c r="U1637" t="s">
        <v>9</v>
      </c>
      <c r="V1637" t="s">
        <v>50</v>
      </c>
      <c r="W1637" t="s">
        <v>50</v>
      </c>
      <c r="X1637" t="s">
        <v>33</v>
      </c>
      <c r="Y1637" t="s">
        <v>1305</v>
      </c>
      <c r="Z1637" t="s">
        <v>80</v>
      </c>
    </row>
    <row r="1638" spans="1:26">
      <c r="A1638" t="s">
        <v>3662</v>
      </c>
      <c r="B1638" t="s">
        <v>3662</v>
      </c>
      <c r="C1638" s="4">
        <v>46026</v>
      </c>
      <c r="D1638">
        <v>2026</v>
      </c>
      <c r="E1638">
        <v>1</v>
      </c>
      <c r="F1638" t="s">
        <v>30</v>
      </c>
      <c r="G1638" t="s">
        <v>82</v>
      </c>
      <c r="H1638" t="s">
        <v>1876</v>
      </c>
      <c r="I1638" t="s">
        <v>1190</v>
      </c>
      <c r="J1638" t="s">
        <v>1133</v>
      </c>
      <c r="K1638" t="s">
        <v>1134</v>
      </c>
      <c r="L1638">
        <v>2</v>
      </c>
      <c r="M1638" s="5">
        <v>468.94</v>
      </c>
      <c r="N1638" s="6">
        <v>0</v>
      </c>
      <c r="O1638" s="5">
        <v>0</v>
      </c>
      <c r="P1638" s="5">
        <v>140.68</v>
      </c>
      <c r="Q1638" s="5">
        <v>1078.56</v>
      </c>
      <c r="R1638" s="5">
        <v>673.6</v>
      </c>
      <c r="S1638" s="5">
        <v>404.96</v>
      </c>
      <c r="T1638" s="7">
        <v>0.375463581071058</v>
      </c>
      <c r="U1638" t="s">
        <v>11</v>
      </c>
      <c r="V1638" t="s">
        <v>50</v>
      </c>
      <c r="W1638" t="s">
        <v>50</v>
      </c>
      <c r="X1638" t="s">
        <v>35</v>
      </c>
      <c r="Y1638" t="s">
        <v>2868</v>
      </c>
      <c r="Z1638" t="s">
        <v>80</v>
      </c>
    </row>
    <row r="1639" spans="1:26">
      <c r="A1639" t="s">
        <v>3663</v>
      </c>
      <c r="B1639" t="s">
        <v>3663</v>
      </c>
      <c r="C1639" s="4">
        <v>45788</v>
      </c>
      <c r="D1639">
        <v>2025</v>
      </c>
      <c r="E1639">
        <v>5</v>
      </c>
      <c r="F1639" t="s">
        <v>21</v>
      </c>
      <c r="G1639" t="s">
        <v>74</v>
      </c>
      <c r="H1639" t="s">
        <v>693</v>
      </c>
      <c r="I1639" t="s">
        <v>384</v>
      </c>
      <c r="J1639" t="s">
        <v>460</v>
      </c>
      <c r="K1639" t="s">
        <v>943</v>
      </c>
      <c r="L1639">
        <v>5</v>
      </c>
      <c r="M1639" s="5">
        <v>186.38</v>
      </c>
      <c r="N1639" s="6">
        <v>20</v>
      </c>
      <c r="O1639" s="5">
        <v>186.38</v>
      </c>
      <c r="P1639" s="5">
        <v>111.83</v>
      </c>
      <c r="Q1639" s="5">
        <v>857.35</v>
      </c>
      <c r="R1639" s="5">
        <v>678.3</v>
      </c>
      <c r="S1639" s="5">
        <v>179.05</v>
      </c>
      <c r="T1639" s="7">
        <v>0.208841196710795</v>
      </c>
      <c r="U1639" t="s">
        <v>12</v>
      </c>
      <c r="V1639" t="s">
        <v>50</v>
      </c>
      <c r="W1639" t="s">
        <v>50</v>
      </c>
      <c r="X1639" t="s">
        <v>33</v>
      </c>
      <c r="Y1639" t="s">
        <v>2187</v>
      </c>
      <c r="Z1639" t="s">
        <v>80</v>
      </c>
    </row>
    <row r="1640" spans="1:26">
      <c r="A1640" t="s">
        <v>3664</v>
      </c>
      <c r="B1640" t="s">
        <v>3664</v>
      </c>
      <c r="C1640" s="4">
        <v>45954</v>
      </c>
      <c r="D1640">
        <v>2025</v>
      </c>
      <c r="E1640">
        <v>10</v>
      </c>
      <c r="F1640" t="s">
        <v>26</v>
      </c>
      <c r="G1640" t="s">
        <v>137</v>
      </c>
      <c r="H1640" t="s">
        <v>3665</v>
      </c>
      <c r="I1640" t="s">
        <v>2706</v>
      </c>
      <c r="J1640" t="s">
        <v>46</v>
      </c>
      <c r="K1640" t="s">
        <v>3489</v>
      </c>
      <c r="L1640">
        <v>4</v>
      </c>
      <c r="M1640" s="5">
        <v>519.78</v>
      </c>
      <c r="N1640" s="6">
        <v>0</v>
      </c>
      <c r="O1640" s="5">
        <v>0</v>
      </c>
      <c r="P1640" s="5">
        <v>311.87</v>
      </c>
      <c r="Q1640" s="5">
        <v>2079.12</v>
      </c>
      <c r="R1640" s="5">
        <v>1591.68</v>
      </c>
      <c r="S1640" s="5">
        <v>487.44</v>
      </c>
      <c r="T1640" s="7">
        <v>0.234445342260187</v>
      </c>
      <c r="U1640" t="s">
        <v>11</v>
      </c>
      <c r="V1640" t="s">
        <v>50</v>
      </c>
      <c r="W1640" t="s">
        <v>50</v>
      </c>
      <c r="X1640" t="s">
        <v>33</v>
      </c>
      <c r="Y1640" t="s">
        <v>309</v>
      </c>
      <c r="Z1640" t="s">
        <v>101</v>
      </c>
    </row>
    <row r="1641" spans="1:26">
      <c r="A1641" t="s">
        <v>3666</v>
      </c>
      <c r="B1641" t="s">
        <v>3666</v>
      </c>
      <c r="C1641" s="4">
        <v>45812</v>
      </c>
      <c r="D1641">
        <v>2025</v>
      </c>
      <c r="E1641">
        <v>6</v>
      </c>
      <c r="F1641" t="s">
        <v>22</v>
      </c>
      <c r="G1641" t="s">
        <v>74</v>
      </c>
      <c r="H1641" t="s">
        <v>428</v>
      </c>
      <c r="I1641" t="s">
        <v>374</v>
      </c>
      <c r="J1641" t="s">
        <v>77</v>
      </c>
      <c r="K1641" t="s">
        <v>426</v>
      </c>
      <c r="L1641">
        <v>4</v>
      </c>
      <c r="M1641" s="5">
        <v>449.39</v>
      </c>
      <c r="N1641" s="6">
        <v>0</v>
      </c>
      <c r="O1641" s="5">
        <v>0</v>
      </c>
      <c r="P1641" s="5">
        <v>269.63</v>
      </c>
      <c r="Q1641" s="5">
        <v>1797.56</v>
      </c>
      <c r="R1641" s="5">
        <v>1363.6</v>
      </c>
      <c r="S1641" s="5">
        <v>433.96</v>
      </c>
      <c r="T1641" s="7">
        <v>0.241416141881217</v>
      </c>
      <c r="U1641" t="s">
        <v>12</v>
      </c>
      <c r="V1641" t="s">
        <v>50</v>
      </c>
      <c r="W1641" t="s">
        <v>50</v>
      </c>
      <c r="X1641" t="s">
        <v>35</v>
      </c>
      <c r="Y1641" t="s">
        <v>2363</v>
      </c>
      <c r="Z1641" t="s">
        <v>101</v>
      </c>
    </row>
    <row r="1642" spans="1:26">
      <c r="A1642" t="s">
        <v>3667</v>
      </c>
      <c r="B1642" t="s">
        <v>3667</v>
      </c>
      <c r="C1642" s="4">
        <v>45903</v>
      </c>
      <c r="D1642">
        <v>2025</v>
      </c>
      <c r="E1642">
        <v>9</v>
      </c>
      <c r="F1642" t="s">
        <v>25</v>
      </c>
      <c r="G1642" t="s">
        <v>89</v>
      </c>
      <c r="H1642" t="s">
        <v>2163</v>
      </c>
      <c r="I1642" t="s">
        <v>543</v>
      </c>
      <c r="J1642" t="s">
        <v>929</v>
      </c>
      <c r="K1642" t="s">
        <v>2882</v>
      </c>
      <c r="L1642">
        <v>5</v>
      </c>
      <c r="M1642" s="5">
        <v>433.04</v>
      </c>
      <c r="N1642" s="6">
        <v>0</v>
      </c>
      <c r="O1642" s="5">
        <v>0</v>
      </c>
      <c r="P1642" s="5">
        <v>324.78</v>
      </c>
      <c r="Q1642" s="5">
        <v>2165.2</v>
      </c>
      <c r="R1642" s="5">
        <v>1737.35</v>
      </c>
      <c r="S1642" s="5">
        <v>427.85</v>
      </c>
      <c r="T1642" s="7">
        <v>0.197602992795123</v>
      </c>
      <c r="U1642" t="s">
        <v>10</v>
      </c>
      <c r="V1642" t="s">
        <v>51</v>
      </c>
      <c r="W1642" t="s">
        <v>51</v>
      </c>
      <c r="X1642" t="s">
        <v>34</v>
      </c>
      <c r="Y1642" t="s">
        <v>1058</v>
      </c>
      <c r="Z1642" t="s">
        <v>101</v>
      </c>
    </row>
    <row r="1643" spans="1:26">
      <c r="A1643" t="s">
        <v>3668</v>
      </c>
      <c r="B1643" t="s">
        <v>3668</v>
      </c>
      <c r="C1643" s="4">
        <v>46085</v>
      </c>
      <c r="D1643">
        <v>2026</v>
      </c>
      <c r="E1643">
        <v>3</v>
      </c>
      <c r="F1643" t="s">
        <v>19</v>
      </c>
      <c r="G1643" t="s">
        <v>82</v>
      </c>
      <c r="H1643" t="s">
        <v>3045</v>
      </c>
      <c r="I1643" t="s">
        <v>356</v>
      </c>
      <c r="J1643" t="s">
        <v>2513</v>
      </c>
      <c r="K1643" t="s">
        <v>3573</v>
      </c>
      <c r="L1643">
        <v>6</v>
      </c>
      <c r="M1643" s="5">
        <v>460.4</v>
      </c>
      <c r="N1643" s="6">
        <v>20</v>
      </c>
      <c r="O1643" s="5">
        <v>552.48</v>
      </c>
      <c r="P1643" s="5">
        <v>331.49</v>
      </c>
      <c r="Q1643" s="5">
        <v>2209.92</v>
      </c>
      <c r="R1643" s="5">
        <v>1697.28</v>
      </c>
      <c r="S1643" s="5">
        <v>512.64</v>
      </c>
      <c r="T1643" s="7">
        <v>0.231972198088619</v>
      </c>
      <c r="U1643" t="s">
        <v>11</v>
      </c>
      <c r="V1643" t="s">
        <v>50</v>
      </c>
      <c r="W1643" t="s">
        <v>50</v>
      </c>
      <c r="X1643" t="s">
        <v>33</v>
      </c>
      <c r="Y1643" t="s">
        <v>1945</v>
      </c>
      <c r="Z1643" t="s">
        <v>101</v>
      </c>
    </row>
    <row r="1644" spans="1:26">
      <c r="A1644" t="s">
        <v>3669</v>
      </c>
      <c r="B1644" t="s">
        <v>3669</v>
      </c>
      <c r="C1644" s="4">
        <v>45952</v>
      </c>
      <c r="D1644">
        <v>2025</v>
      </c>
      <c r="E1644">
        <v>10</v>
      </c>
      <c r="F1644" t="s">
        <v>26</v>
      </c>
      <c r="G1644" t="s">
        <v>137</v>
      </c>
      <c r="H1644" t="s">
        <v>1565</v>
      </c>
      <c r="I1644" t="s">
        <v>312</v>
      </c>
      <c r="J1644" t="s">
        <v>906</v>
      </c>
      <c r="K1644" t="s">
        <v>3670</v>
      </c>
      <c r="L1644">
        <v>5</v>
      </c>
      <c r="M1644" s="5">
        <v>383.51</v>
      </c>
      <c r="N1644" s="6">
        <v>0</v>
      </c>
      <c r="O1644" s="5">
        <v>0</v>
      </c>
      <c r="P1644" s="5">
        <v>287.63</v>
      </c>
      <c r="Q1644" s="5">
        <v>1917.55</v>
      </c>
      <c r="R1644" s="5">
        <v>1429.5</v>
      </c>
      <c r="S1644" s="5">
        <v>488.05</v>
      </c>
      <c r="T1644" s="7">
        <v>0.254517483246851</v>
      </c>
      <c r="U1644" t="s">
        <v>9</v>
      </c>
      <c r="V1644" t="s">
        <v>50</v>
      </c>
      <c r="W1644" t="s">
        <v>50</v>
      </c>
      <c r="X1644" t="s">
        <v>35</v>
      </c>
      <c r="Y1644" t="s">
        <v>1451</v>
      </c>
      <c r="Z1644" t="s">
        <v>101</v>
      </c>
    </row>
    <row r="1645" spans="1:26">
      <c r="A1645" t="s">
        <v>3671</v>
      </c>
      <c r="B1645" t="s">
        <v>3671</v>
      </c>
      <c r="C1645" s="4">
        <v>45812</v>
      </c>
      <c r="D1645">
        <v>2025</v>
      </c>
      <c r="E1645">
        <v>6</v>
      </c>
      <c r="F1645" t="s">
        <v>22</v>
      </c>
      <c r="G1645" t="s">
        <v>74</v>
      </c>
      <c r="H1645" t="s">
        <v>1581</v>
      </c>
      <c r="I1645" t="s">
        <v>323</v>
      </c>
      <c r="J1645" t="s">
        <v>1009</v>
      </c>
      <c r="K1645" t="s">
        <v>1775</v>
      </c>
      <c r="L1645">
        <v>4</v>
      </c>
      <c r="M1645" s="5">
        <v>51.33</v>
      </c>
      <c r="N1645" s="6">
        <v>10</v>
      </c>
      <c r="O1645" s="5">
        <v>20.53</v>
      </c>
      <c r="P1645" s="5">
        <v>27.72</v>
      </c>
      <c r="Q1645" s="5">
        <v>184.79</v>
      </c>
      <c r="R1645" s="5">
        <v>149.92</v>
      </c>
      <c r="S1645" s="5">
        <v>34.87</v>
      </c>
      <c r="T1645" s="7">
        <v>0.188700687266627</v>
      </c>
      <c r="U1645" t="s">
        <v>12</v>
      </c>
      <c r="V1645" t="s">
        <v>50</v>
      </c>
      <c r="W1645" t="s">
        <v>50</v>
      </c>
      <c r="X1645" t="s">
        <v>35</v>
      </c>
      <c r="Y1645" t="s">
        <v>1626</v>
      </c>
      <c r="Z1645" t="s">
        <v>101</v>
      </c>
    </row>
    <row r="1646" spans="1:26">
      <c r="A1646" t="s">
        <v>3672</v>
      </c>
      <c r="B1646" t="s">
        <v>3672</v>
      </c>
      <c r="C1646" s="4">
        <v>45941</v>
      </c>
      <c r="D1646">
        <v>2025</v>
      </c>
      <c r="E1646">
        <v>10</v>
      </c>
      <c r="F1646" t="s">
        <v>26</v>
      </c>
      <c r="G1646" t="s">
        <v>137</v>
      </c>
      <c r="H1646" t="s">
        <v>3448</v>
      </c>
      <c r="I1646" t="s">
        <v>924</v>
      </c>
      <c r="J1646" t="s">
        <v>695</v>
      </c>
      <c r="K1646" t="s">
        <v>696</v>
      </c>
      <c r="L1646">
        <v>1</v>
      </c>
      <c r="M1646" s="5">
        <v>262.77</v>
      </c>
      <c r="N1646" s="6">
        <v>0</v>
      </c>
      <c r="O1646" s="5">
        <v>0</v>
      </c>
      <c r="P1646" s="5">
        <v>39.42</v>
      </c>
      <c r="Q1646" s="5">
        <v>302.19</v>
      </c>
      <c r="R1646" s="5">
        <v>194.64</v>
      </c>
      <c r="S1646" s="5">
        <v>107.55</v>
      </c>
      <c r="T1646" s="7">
        <v>0.355901916013104</v>
      </c>
      <c r="U1646" t="s">
        <v>13</v>
      </c>
      <c r="V1646" t="s">
        <v>51</v>
      </c>
      <c r="W1646" t="s">
        <v>51</v>
      </c>
      <c r="X1646" t="s">
        <v>33</v>
      </c>
      <c r="Y1646" t="s">
        <v>540</v>
      </c>
      <c r="Z1646" t="s">
        <v>80</v>
      </c>
    </row>
    <row r="1647" spans="1:26">
      <c r="A1647" t="s">
        <v>3673</v>
      </c>
      <c r="B1647" t="s">
        <v>3673</v>
      </c>
      <c r="C1647" s="4">
        <v>45837</v>
      </c>
      <c r="D1647">
        <v>2025</v>
      </c>
      <c r="E1647">
        <v>6</v>
      </c>
      <c r="F1647" t="s">
        <v>22</v>
      </c>
      <c r="G1647" t="s">
        <v>74</v>
      </c>
      <c r="H1647" t="s">
        <v>475</v>
      </c>
      <c r="I1647" t="s">
        <v>163</v>
      </c>
      <c r="J1647" t="s">
        <v>435</v>
      </c>
      <c r="K1647" t="s">
        <v>863</v>
      </c>
      <c r="L1647">
        <v>3</v>
      </c>
      <c r="M1647" s="5">
        <v>253.11</v>
      </c>
      <c r="N1647" s="6">
        <v>15</v>
      </c>
      <c r="O1647" s="5">
        <v>113.9</v>
      </c>
      <c r="P1647" s="5">
        <v>96.81</v>
      </c>
      <c r="Q1647" s="5">
        <v>742.24</v>
      </c>
      <c r="R1647" s="5">
        <v>572.22</v>
      </c>
      <c r="S1647" s="5">
        <v>170.02</v>
      </c>
      <c r="T1647" s="7">
        <v>0.229063375727527</v>
      </c>
      <c r="U1647" t="s">
        <v>10</v>
      </c>
      <c r="V1647" t="s">
        <v>50</v>
      </c>
      <c r="W1647" t="s">
        <v>50</v>
      </c>
      <c r="X1647" t="s">
        <v>35</v>
      </c>
      <c r="Y1647" t="s">
        <v>2288</v>
      </c>
      <c r="Z1647" t="s">
        <v>80</v>
      </c>
    </row>
    <row r="1648" spans="1:26">
      <c r="A1648" t="s">
        <v>3674</v>
      </c>
      <c r="B1648" t="s">
        <v>3674</v>
      </c>
      <c r="C1648" s="4">
        <v>45998</v>
      </c>
      <c r="D1648">
        <v>2025</v>
      </c>
      <c r="E1648">
        <v>12</v>
      </c>
      <c r="F1648" t="s">
        <v>28</v>
      </c>
      <c r="G1648" t="s">
        <v>137</v>
      </c>
      <c r="H1648" t="s">
        <v>1581</v>
      </c>
      <c r="I1648" t="s">
        <v>553</v>
      </c>
      <c r="J1648" t="s">
        <v>1327</v>
      </c>
      <c r="K1648" t="s">
        <v>1032</v>
      </c>
      <c r="L1648">
        <v>3</v>
      </c>
      <c r="M1648" s="5">
        <v>291.93</v>
      </c>
      <c r="N1648" s="6">
        <v>5</v>
      </c>
      <c r="O1648" s="5">
        <v>43.79</v>
      </c>
      <c r="P1648" s="5">
        <v>124.8</v>
      </c>
      <c r="Q1648" s="5">
        <v>956.8</v>
      </c>
      <c r="R1648" s="5">
        <v>761.1</v>
      </c>
      <c r="S1648" s="5">
        <v>195.7</v>
      </c>
      <c r="T1648" s="7">
        <v>0.204535953177258</v>
      </c>
      <c r="U1648" t="s">
        <v>13</v>
      </c>
      <c r="V1648" t="s">
        <v>50</v>
      </c>
      <c r="W1648" t="s">
        <v>50</v>
      </c>
      <c r="X1648" t="s">
        <v>33</v>
      </c>
      <c r="Y1648" t="s">
        <v>2015</v>
      </c>
      <c r="Z1648" t="s">
        <v>80</v>
      </c>
    </row>
    <row r="1649" spans="1:26">
      <c r="A1649" t="s">
        <v>3675</v>
      </c>
      <c r="B1649" t="s">
        <v>3675</v>
      </c>
      <c r="C1649" s="4">
        <v>45901</v>
      </c>
      <c r="D1649">
        <v>2025</v>
      </c>
      <c r="E1649">
        <v>9</v>
      </c>
      <c r="F1649" t="s">
        <v>25</v>
      </c>
      <c r="G1649" t="s">
        <v>89</v>
      </c>
      <c r="H1649" t="s">
        <v>2173</v>
      </c>
      <c r="I1649" t="s">
        <v>2426</v>
      </c>
      <c r="J1649" t="s">
        <v>39</v>
      </c>
      <c r="K1649" t="s">
        <v>3676</v>
      </c>
      <c r="L1649">
        <v>6</v>
      </c>
      <c r="M1649" s="5">
        <v>156.36</v>
      </c>
      <c r="N1649" s="6">
        <v>0</v>
      </c>
      <c r="O1649" s="5">
        <v>0</v>
      </c>
      <c r="P1649" s="5">
        <v>140.72</v>
      </c>
      <c r="Q1649" s="5">
        <v>938.16</v>
      </c>
      <c r="R1649" s="5">
        <v>767.88</v>
      </c>
      <c r="S1649" s="5">
        <v>170.28</v>
      </c>
      <c r="T1649" s="7">
        <v>0.181504221028396</v>
      </c>
      <c r="U1649" t="s">
        <v>14</v>
      </c>
      <c r="V1649" t="s">
        <v>50</v>
      </c>
      <c r="W1649" t="s">
        <v>50</v>
      </c>
      <c r="X1649" t="s">
        <v>33</v>
      </c>
      <c r="Y1649" t="s">
        <v>2462</v>
      </c>
      <c r="Z1649" t="s">
        <v>101</v>
      </c>
    </row>
    <row r="1650" spans="1:26">
      <c r="A1650" t="s">
        <v>3677</v>
      </c>
      <c r="B1650" t="s">
        <v>3677</v>
      </c>
      <c r="C1650" s="4">
        <v>45851</v>
      </c>
      <c r="D1650">
        <v>2025</v>
      </c>
      <c r="E1650">
        <v>7</v>
      </c>
      <c r="F1650" t="s">
        <v>23</v>
      </c>
      <c r="G1650" t="s">
        <v>89</v>
      </c>
      <c r="H1650" t="s">
        <v>1157</v>
      </c>
      <c r="I1650" t="s">
        <v>180</v>
      </c>
      <c r="J1650" t="s">
        <v>567</v>
      </c>
      <c r="K1650" t="s">
        <v>568</v>
      </c>
      <c r="L1650">
        <v>3</v>
      </c>
      <c r="M1650" s="5">
        <v>431</v>
      </c>
      <c r="N1650" s="6">
        <v>20</v>
      </c>
      <c r="O1650" s="5">
        <v>258.6</v>
      </c>
      <c r="P1650" s="5">
        <v>155.16</v>
      </c>
      <c r="Q1650" s="5">
        <v>1189.56</v>
      </c>
      <c r="R1650" s="5">
        <v>879.15</v>
      </c>
      <c r="S1650" s="5">
        <v>310.41</v>
      </c>
      <c r="T1650" s="7">
        <v>0.260945223443962</v>
      </c>
      <c r="U1650" t="s">
        <v>10</v>
      </c>
      <c r="V1650" t="s">
        <v>50</v>
      </c>
      <c r="W1650" t="s">
        <v>50</v>
      </c>
      <c r="X1650" t="s">
        <v>33</v>
      </c>
      <c r="Y1650" t="s">
        <v>809</v>
      </c>
      <c r="Z1650" t="s">
        <v>80</v>
      </c>
    </row>
    <row r="1651" spans="1:26">
      <c r="A1651" t="s">
        <v>3678</v>
      </c>
      <c r="B1651" t="s">
        <v>3678</v>
      </c>
      <c r="C1651" s="4">
        <v>45855</v>
      </c>
      <c r="D1651">
        <v>2025</v>
      </c>
      <c r="E1651">
        <v>7</v>
      </c>
      <c r="F1651" t="s">
        <v>23</v>
      </c>
      <c r="G1651" t="s">
        <v>89</v>
      </c>
      <c r="H1651" t="s">
        <v>1768</v>
      </c>
      <c r="I1651" t="s">
        <v>722</v>
      </c>
      <c r="J1651" t="s">
        <v>1133</v>
      </c>
      <c r="K1651" t="s">
        <v>1134</v>
      </c>
      <c r="L1651">
        <v>8</v>
      </c>
      <c r="M1651" s="5">
        <v>180.81</v>
      </c>
      <c r="N1651" s="6">
        <v>10</v>
      </c>
      <c r="O1651" s="5">
        <v>144.65</v>
      </c>
      <c r="P1651" s="5">
        <v>195.27</v>
      </c>
      <c r="Q1651" s="5">
        <v>1301.83</v>
      </c>
      <c r="R1651" s="5">
        <v>1103.6</v>
      </c>
      <c r="S1651" s="5">
        <v>198.23</v>
      </c>
      <c r="T1651" s="7">
        <v>0.152270265702895</v>
      </c>
      <c r="U1651" t="s">
        <v>12</v>
      </c>
      <c r="V1651" t="s">
        <v>50</v>
      </c>
      <c r="W1651" t="s">
        <v>50</v>
      </c>
      <c r="X1651" t="s">
        <v>33</v>
      </c>
      <c r="Y1651" t="s">
        <v>2766</v>
      </c>
      <c r="Z1651" t="s">
        <v>101</v>
      </c>
    </row>
    <row r="1652" spans="1:26">
      <c r="A1652" t="s">
        <v>3679</v>
      </c>
      <c r="B1652" t="s">
        <v>3679</v>
      </c>
      <c r="C1652" s="4">
        <v>46094</v>
      </c>
      <c r="D1652">
        <v>2026</v>
      </c>
      <c r="E1652">
        <v>3</v>
      </c>
      <c r="F1652" t="s">
        <v>19</v>
      </c>
      <c r="G1652" t="s">
        <v>82</v>
      </c>
      <c r="H1652" t="s">
        <v>2482</v>
      </c>
      <c r="I1652" t="s">
        <v>356</v>
      </c>
      <c r="J1652" t="s">
        <v>1657</v>
      </c>
      <c r="K1652" t="s">
        <v>1658</v>
      </c>
      <c r="L1652">
        <v>1</v>
      </c>
      <c r="M1652" s="5">
        <v>455.79</v>
      </c>
      <c r="N1652" s="6">
        <v>15</v>
      </c>
      <c r="O1652" s="5">
        <v>68.37</v>
      </c>
      <c r="P1652" s="5">
        <v>58.11</v>
      </c>
      <c r="Q1652" s="5">
        <v>387.42</v>
      </c>
      <c r="R1652" s="5">
        <v>282.88</v>
      </c>
      <c r="S1652" s="5">
        <v>104.54</v>
      </c>
      <c r="T1652" s="7">
        <v>0.269836353311652</v>
      </c>
      <c r="U1652" t="s">
        <v>12</v>
      </c>
      <c r="V1652" t="s">
        <v>51</v>
      </c>
      <c r="W1652" t="s">
        <v>51</v>
      </c>
      <c r="X1652" t="s">
        <v>33</v>
      </c>
      <c r="Y1652" t="s">
        <v>3440</v>
      </c>
      <c r="Z1652" t="s">
        <v>101</v>
      </c>
    </row>
    <row r="1653" spans="1:26">
      <c r="A1653" t="s">
        <v>3680</v>
      </c>
      <c r="B1653" t="s">
        <v>3680</v>
      </c>
      <c r="C1653" s="4">
        <v>45976</v>
      </c>
      <c r="D1653">
        <v>2025</v>
      </c>
      <c r="E1653">
        <v>11</v>
      </c>
      <c r="F1653" t="s">
        <v>27</v>
      </c>
      <c r="G1653" t="s">
        <v>137</v>
      </c>
      <c r="H1653" t="s">
        <v>2294</v>
      </c>
      <c r="I1653" t="s">
        <v>924</v>
      </c>
      <c r="J1653" t="s">
        <v>2646</v>
      </c>
      <c r="K1653" t="s">
        <v>2647</v>
      </c>
      <c r="L1653">
        <v>3</v>
      </c>
      <c r="M1653" s="5">
        <v>262.77</v>
      </c>
      <c r="N1653" s="6">
        <v>20</v>
      </c>
      <c r="O1653" s="5">
        <v>157.66</v>
      </c>
      <c r="P1653" s="5">
        <v>94.6</v>
      </c>
      <c r="Q1653" s="5"/>
      <c r="R1653" s="5">
        <v>583.92</v>
      </c>
      <c r="S1653" s="5">
        <v>141.33</v>
      </c>
      <c r="T1653" s="7"/>
      <c r="U1653" t="s">
        <v>11</v>
      </c>
      <c r="V1653" t="s">
        <v>50</v>
      </c>
      <c r="W1653" t="s">
        <v>50</v>
      </c>
      <c r="X1653" t="s">
        <v>35</v>
      </c>
      <c r="Y1653" t="s">
        <v>916</v>
      </c>
      <c r="Z1653" t="s">
        <v>80</v>
      </c>
    </row>
    <row r="1654" spans="1:26">
      <c r="A1654" t="s">
        <v>3681</v>
      </c>
      <c r="B1654" t="s">
        <v>3681</v>
      </c>
      <c r="C1654" s="4">
        <v>45851</v>
      </c>
      <c r="D1654">
        <v>2025</v>
      </c>
      <c r="E1654">
        <v>7</v>
      </c>
      <c r="F1654" t="s">
        <v>23</v>
      </c>
      <c r="G1654" t="s">
        <v>89</v>
      </c>
      <c r="H1654" t="s">
        <v>387</v>
      </c>
      <c r="I1654" t="s">
        <v>664</v>
      </c>
      <c r="J1654" t="s">
        <v>202</v>
      </c>
      <c r="K1654" t="s">
        <v>203</v>
      </c>
      <c r="L1654">
        <v>3</v>
      </c>
      <c r="M1654" s="5">
        <v>327.08</v>
      </c>
      <c r="N1654" s="6">
        <v>0</v>
      </c>
      <c r="O1654" s="5">
        <v>0</v>
      </c>
      <c r="P1654" s="5">
        <v>147.19</v>
      </c>
      <c r="Q1654" s="5">
        <v>1128.43</v>
      </c>
      <c r="R1654" s="5">
        <v>823.83</v>
      </c>
      <c r="S1654" s="5">
        <v>304.6</v>
      </c>
      <c r="T1654" s="7">
        <v>0.269932561169058</v>
      </c>
      <c r="U1654" t="s">
        <v>14</v>
      </c>
      <c r="V1654" t="s">
        <v>50</v>
      </c>
      <c r="W1654" t="s">
        <v>50</v>
      </c>
      <c r="X1654" t="s">
        <v>35</v>
      </c>
      <c r="Y1654" t="s">
        <v>869</v>
      </c>
      <c r="Z1654" t="s">
        <v>80</v>
      </c>
    </row>
    <row r="1655" spans="1:26">
      <c r="A1655" t="s">
        <v>3682</v>
      </c>
      <c r="B1655" t="s">
        <v>3682</v>
      </c>
      <c r="C1655" s="4">
        <v>45938</v>
      </c>
      <c r="D1655">
        <v>2025</v>
      </c>
      <c r="E1655">
        <v>10</v>
      </c>
      <c r="F1655" t="s">
        <v>26</v>
      </c>
      <c r="G1655" t="s">
        <v>137</v>
      </c>
      <c r="H1655" t="s">
        <v>2915</v>
      </c>
      <c r="I1655" t="s">
        <v>1190</v>
      </c>
      <c r="J1655" t="s">
        <v>802</v>
      </c>
      <c r="K1655" t="s">
        <v>803</v>
      </c>
      <c r="L1655">
        <v>2</v>
      </c>
      <c r="M1655" s="5">
        <v>468.94</v>
      </c>
      <c r="N1655" s="6">
        <v>10</v>
      </c>
      <c r="O1655" s="5">
        <v>93.79</v>
      </c>
      <c r="P1655" s="5">
        <v>126.61</v>
      </c>
      <c r="Q1655" s="5">
        <v>844.09</v>
      </c>
      <c r="R1655" s="5">
        <v>673.6</v>
      </c>
      <c r="S1655" s="5">
        <v>170.49</v>
      </c>
      <c r="T1655" s="7">
        <v>0.201980831427928</v>
      </c>
      <c r="U1655" t="s">
        <v>12</v>
      </c>
      <c r="V1655" t="s">
        <v>50</v>
      </c>
      <c r="W1655" t="s">
        <v>50</v>
      </c>
      <c r="X1655" t="s">
        <v>33</v>
      </c>
      <c r="Y1655" t="s">
        <v>644</v>
      </c>
      <c r="Z1655" t="s">
        <v>101</v>
      </c>
    </row>
    <row r="1656" spans="1:26">
      <c r="A1656" t="s">
        <v>3683</v>
      </c>
      <c r="B1656" t="s">
        <v>3683</v>
      </c>
      <c r="C1656" s="4">
        <v>46034</v>
      </c>
      <c r="D1656">
        <v>2026</v>
      </c>
      <c r="E1656">
        <v>1</v>
      </c>
      <c r="F1656" t="s">
        <v>30</v>
      </c>
      <c r="G1656" t="s">
        <v>82</v>
      </c>
      <c r="H1656" t="s">
        <v>1018</v>
      </c>
      <c r="I1656" t="s">
        <v>470</v>
      </c>
      <c r="J1656" t="s">
        <v>1100</v>
      </c>
      <c r="K1656" t="s">
        <v>352</v>
      </c>
      <c r="L1656">
        <v>5</v>
      </c>
      <c r="M1656" s="5">
        <v>310.07</v>
      </c>
      <c r="N1656" s="6">
        <v>20</v>
      </c>
      <c r="O1656" s="5">
        <v>310.07</v>
      </c>
      <c r="P1656" s="5">
        <v>186.04</v>
      </c>
      <c r="Q1656" s="5">
        <v>1240.28</v>
      </c>
      <c r="R1656" s="5">
        <v>1189.45</v>
      </c>
      <c r="S1656" s="5">
        <v>50.83</v>
      </c>
      <c r="T1656" s="7">
        <v>0.0409826813300223</v>
      </c>
      <c r="U1656" t="s">
        <v>10</v>
      </c>
      <c r="V1656" t="s">
        <v>50</v>
      </c>
      <c r="W1656" t="s">
        <v>50</v>
      </c>
      <c r="X1656" t="s">
        <v>33</v>
      </c>
      <c r="Y1656" t="s">
        <v>2752</v>
      </c>
      <c r="Z1656" t="s">
        <v>101</v>
      </c>
    </row>
    <row r="1657" spans="1:26">
      <c r="A1657" t="s">
        <v>3684</v>
      </c>
      <c r="B1657" t="s">
        <v>3684</v>
      </c>
      <c r="C1657" s="4">
        <v>46098</v>
      </c>
      <c r="D1657">
        <v>2026</v>
      </c>
      <c r="E1657">
        <v>3</v>
      </c>
      <c r="F1657" t="s">
        <v>19</v>
      </c>
      <c r="G1657" t="s">
        <v>82</v>
      </c>
      <c r="H1657" t="s">
        <v>3685</v>
      </c>
      <c r="I1657" t="s">
        <v>145</v>
      </c>
      <c r="J1657" t="s">
        <v>593</v>
      </c>
      <c r="K1657" t="s">
        <v>1204</v>
      </c>
      <c r="L1657">
        <v>2</v>
      </c>
      <c r="M1657" s="5">
        <v>522.78</v>
      </c>
      <c r="N1657" s="6">
        <v>0</v>
      </c>
      <c r="O1657" s="5">
        <v>0</v>
      </c>
      <c r="P1657" s="5">
        <v>156.83</v>
      </c>
      <c r="Q1657" s="5">
        <v>1045.56</v>
      </c>
      <c r="R1657" s="5">
        <v>791.74</v>
      </c>
      <c r="S1657" s="5">
        <v>253.82</v>
      </c>
      <c r="T1657" s="7">
        <v>0.242759860744481</v>
      </c>
      <c r="U1657" t="s">
        <v>14</v>
      </c>
      <c r="V1657" t="s">
        <v>51</v>
      </c>
      <c r="W1657" t="s">
        <v>51</v>
      </c>
      <c r="X1657" t="s">
        <v>35</v>
      </c>
      <c r="Y1657" t="s">
        <v>1783</v>
      </c>
      <c r="Z1657" t="s">
        <v>101</v>
      </c>
    </row>
    <row r="1658" spans="1:26">
      <c r="A1658" t="s">
        <v>3686</v>
      </c>
      <c r="B1658" t="s">
        <v>3686</v>
      </c>
      <c r="C1658" s="4">
        <v>45834</v>
      </c>
      <c r="D1658">
        <v>2025</v>
      </c>
      <c r="E1658">
        <v>6</v>
      </c>
      <c r="F1658" t="s">
        <v>22</v>
      </c>
      <c r="G1658" t="s">
        <v>74</v>
      </c>
      <c r="H1658" t="s">
        <v>646</v>
      </c>
      <c r="I1658" t="s">
        <v>262</v>
      </c>
      <c r="J1658" t="s">
        <v>631</v>
      </c>
      <c r="K1658" t="s">
        <v>632</v>
      </c>
      <c r="L1658">
        <v>6</v>
      </c>
      <c r="M1658" s="5">
        <v>158.31</v>
      </c>
      <c r="N1658" s="6">
        <v>5</v>
      </c>
      <c r="O1658" s="5">
        <v>47.49</v>
      </c>
      <c r="P1658" s="5">
        <v>135.36</v>
      </c>
      <c r="Q1658" s="5">
        <v>902.37</v>
      </c>
      <c r="R1658" s="5">
        <v>676.8</v>
      </c>
      <c r="S1658" s="5">
        <v>225.57</v>
      </c>
      <c r="T1658" s="7">
        <v>0.249975065660427</v>
      </c>
      <c r="U1658" t="s">
        <v>9</v>
      </c>
      <c r="V1658" t="s">
        <v>50</v>
      </c>
      <c r="W1658" t="s">
        <v>50</v>
      </c>
      <c r="X1658" t="s">
        <v>33</v>
      </c>
      <c r="Y1658" t="s">
        <v>1035</v>
      </c>
      <c r="Z1658" t="s">
        <v>101</v>
      </c>
    </row>
    <row r="1659" spans="1:26">
      <c r="A1659" t="s">
        <v>3687</v>
      </c>
      <c r="B1659" t="s">
        <v>3687</v>
      </c>
      <c r="C1659" s="4">
        <v>45913</v>
      </c>
      <c r="D1659">
        <v>2025</v>
      </c>
      <c r="E1659">
        <v>9</v>
      </c>
      <c r="F1659" t="s">
        <v>25</v>
      </c>
      <c r="G1659" t="s">
        <v>89</v>
      </c>
      <c r="H1659" t="s">
        <v>218</v>
      </c>
      <c r="I1659" t="s">
        <v>1071</v>
      </c>
      <c r="J1659" t="s">
        <v>751</v>
      </c>
      <c r="K1659" t="s">
        <v>752</v>
      </c>
      <c r="L1659">
        <v>5</v>
      </c>
      <c r="M1659" s="5">
        <v>277.42</v>
      </c>
      <c r="N1659" s="6">
        <v>0</v>
      </c>
      <c r="O1659" s="5">
        <v>0</v>
      </c>
      <c r="P1659" s="5">
        <v>208.07</v>
      </c>
      <c r="Q1659" s="5">
        <v>1595.16</v>
      </c>
      <c r="R1659" s="5">
        <v>995.8</v>
      </c>
      <c r="S1659" s="5">
        <v>599.36</v>
      </c>
      <c r="T1659" s="7">
        <v>0.375736603224755</v>
      </c>
      <c r="U1659" t="s">
        <v>10</v>
      </c>
      <c r="V1659" t="s">
        <v>50</v>
      </c>
      <c r="W1659" t="s">
        <v>50</v>
      </c>
      <c r="X1659" t="s">
        <v>35</v>
      </c>
      <c r="Y1659" t="s">
        <v>2486</v>
      </c>
      <c r="Z1659" t="s">
        <v>80</v>
      </c>
    </row>
    <row r="1660" spans="1:26">
      <c r="A1660" t="s">
        <v>3688</v>
      </c>
      <c r="B1660" t="s">
        <v>3688</v>
      </c>
      <c r="C1660" s="4">
        <v>46010</v>
      </c>
      <c r="D1660">
        <v>2025</v>
      </c>
      <c r="E1660">
        <v>12</v>
      </c>
      <c r="F1660" t="s">
        <v>28</v>
      </c>
      <c r="G1660" t="s">
        <v>137</v>
      </c>
      <c r="H1660" t="s">
        <v>2422</v>
      </c>
      <c r="I1660" t="s">
        <v>924</v>
      </c>
      <c r="J1660" t="s">
        <v>345</v>
      </c>
      <c r="K1660" t="s">
        <v>346</v>
      </c>
      <c r="L1660">
        <v>3</v>
      </c>
      <c r="M1660" s="5">
        <v>262.77</v>
      </c>
      <c r="N1660" s="6">
        <v>0</v>
      </c>
      <c r="O1660" s="5">
        <v>0</v>
      </c>
      <c r="P1660" s="5">
        <v>118.25</v>
      </c>
      <c r="Q1660" s="5">
        <v>788.31</v>
      </c>
      <c r="R1660" s="5">
        <v>583.92</v>
      </c>
      <c r="S1660" s="5">
        <v>204.39</v>
      </c>
      <c r="T1660" s="7">
        <v>0.259276173079119</v>
      </c>
      <c r="U1660" t="s">
        <v>12</v>
      </c>
      <c r="V1660" t="s">
        <v>50</v>
      </c>
      <c r="W1660" t="s">
        <v>50</v>
      </c>
      <c r="X1660" t="s">
        <v>35</v>
      </c>
      <c r="Y1660" t="s">
        <v>1492</v>
      </c>
      <c r="Z1660" t="s">
        <v>101</v>
      </c>
    </row>
    <row r="1661" spans="1:26">
      <c r="A1661" t="s">
        <v>3689</v>
      </c>
      <c r="B1661" t="s">
        <v>3689</v>
      </c>
      <c r="C1661" s="4">
        <v>46002</v>
      </c>
      <c r="D1661">
        <v>2025</v>
      </c>
      <c r="E1661">
        <v>12</v>
      </c>
      <c r="F1661" t="s">
        <v>28</v>
      </c>
      <c r="G1661" t="s">
        <v>137</v>
      </c>
      <c r="H1661" t="s">
        <v>1421</v>
      </c>
      <c r="I1661" t="s">
        <v>454</v>
      </c>
      <c r="J1661" t="s">
        <v>998</v>
      </c>
      <c r="K1661" t="s">
        <v>1772</v>
      </c>
      <c r="L1661">
        <v>8</v>
      </c>
      <c r="M1661" s="5">
        <v>314.61</v>
      </c>
      <c r="N1661" s="6">
        <v>0</v>
      </c>
      <c r="O1661" s="5">
        <v>0</v>
      </c>
      <c r="P1661" s="5">
        <v>377.53</v>
      </c>
      <c r="Q1661" s="5">
        <v>2516.88</v>
      </c>
      <c r="R1661" s="5">
        <v>1477.92</v>
      </c>
      <c r="S1661" s="5">
        <v>1038.96</v>
      </c>
      <c r="T1661" s="7">
        <v>0.412796796033184</v>
      </c>
      <c r="U1661" t="s">
        <v>11</v>
      </c>
      <c r="V1661" t="s">
        <v>50</v>
      </c>
      <c r="W1661" t="s">
        <v>50</v>
      </c>
      <c r="X1661" t="s">
        <v>33</v>
      </c>
      <c r="Y1661" t="s">
        <v>2204</v>
      </c>
      <c r="Z1661" t="s">
        <v>101</v>
      </c>
    </row>
    <row r="1662" spans="1:26">
      <c r="A1662" t="s">
        <v>3690</v>
      </c>
      <c r="B1662" t="s">
        <v>3690</v>
      </c>
      <c r="C1662" s="4">
        <v>45939</v>
      </c>
      <c r="D1662">
        <v>2025</v>
      </c>
      <c r="E1662">
        <v>10</v>
      </c>
      <c r="F1662" t="s">
        <v>26</v>
      </c>
      <c r="G1662" t="s">
        <v>137</v>
      </c>
      <c r="H1662" t="s">
        <v>2872</v>
      </c>
      <c r="I1662" t="s">
        <v>623</v>
      </c>
      <c r="J1662" t="s">
        <v>2681</v>
      </c>
      <c r="K1662" t="s">
        <v>3691</v>
      </c>
      <c r="L1662">
        <v>1</v>
      </c>
      <c r="M1662" s="5">
        <v>139.21</v>
      </c>
      <c r="N1662" s="6">
        <v>0</v>
      </c>
      <c r="O1662" s="5">
        <v>0</v>
      </c>
      <c r="P1662" s="5">
        <v>20.88</v>
      </c>
      <c r="Q1662" s="5">
        <v>139.21</v>
      </c>
      <c r="R1662" s="5">
        <v>106.99</v>
      </c>
      <c r="S1662" s="5">
        <v>32.22</v>
      </c>
      <c r="T1662" s="7">
        <v>0.231448890165936</v>
      </c>
      <c r="U1662" t="s">
        <v>13</v>
      </c>
      <c r="V1662" t="s">
        <v>50</v>
      </c>
      <c r="W1662" t="s">
        <v>50</v>
      </c>
      <c r="X1662" t="s">
        <v>33</v>
      </c>
      <c r="Y1662" t="s">
        <v>2568</v>
      </c>
      <c r="Z1662" t="s">
        <v>101</v>
      </c>
    </row>
    <row r="1663" spans="1:26">
      <c r="A1663" t="s">
        <v>3692</v>
      </c>
      <c r="B1663" t="s">
        <v>3692</v>
      </c>
      <c r="C1663" s="4">
        <v>45984</v>
      </c>
      <c r="D1663">
        <v>2025</v>
      </c>
      <c r="E1663">
        <v>11</v>
      </c>
      <c r="F1663" t="s">
        <v>27</v>
      </c>
      <c r="G1663" t="s">
        <v>137</v>
      </c>
      <c r="H1663" t="s">
        <v>1062</v>
      </c>
      <c r="I1663" t="s">
        <v>1694</v>
      </c>
      <c r="J1663" t="s">
        <v>2044</v>
      </c>
      <c r="K1663" t="s">
        <v>2171</v>
      </c>
      <c r="L1663">
        <v>4</v>
      </c>
      <c r="M1663" s="5">
        <v>233.47</v>
      </c>
      <c r="N1663" s="6">
        <v>0</v>
      </c>
      <c r="O1663" s="5">
        <v>0</v>
      </c>
      <c r="P1663" s="5">
        <v>140.08</v>
      </c>
      <c r="Q1663" s="5">
        <v>1073.96</v>
      </c>
      <c r="R1663" s="5">
        <v>755.92</v>
      </c>
      <c r="S1663" s="5">
        <v>318.04</v>
      </c>
      <c r="T1663" s="7">
        <v>0.296137658758241</v>
      </c>
      <c r="U1663" t="s">
        <v>10</v>
      </c>
      <c r="V1663" t="s">
        <v>51</v>
      </c>
      <c r="W1663" t="s">
        <v>51</v>
      </c>
      <c r="X1663" t="s">
        <v>33</v>
      </c>
      <c r="Y1663" t="s">
        <v>3693</v>
      </c>
      <c r="Z1663" t="s">
        <v>80</v>
      </c>
    </row>
    <row r="1664" spans="1:26">
      <c r="A1664" t="s">
        <v>3694</v>
      </c>
      <c r="B1664" t="s">
        <v>3694</v>
      </c>
      <c r="C1664" s="4">
        <v>45960</v>
      </c>
      <c r="D1664">
        <v>2025</v>
      </c>
      <c r="E1664">
        <v>10</v>
      </c>
      <c r="F1664" t="s">
        <v>26</v>
      </c>
      <c r="G1664" t="s">
        <v>137</v>
      </c>
      <c r="H1664" t="s">
        <v>1121</v>
      </c>
      <c r="I1664" t="s">
        <v>1367</v>
      </c>
      <c r="J1664" t="s">
        <v>226</v>
      </c>
      <c r="K1664" t="s">
        <v>380</v>
      </c>
      <c r="L1664">
        <v>3</v>
      </c>
      <c r="M1664" s="5">
        <v>55.81</v>
      </c>
      <c r="N1664" s="6">
        <v>10</v>
      </c>
      <c r="O1664" s="5">
        <v>16.74</v>
      </c>
      <c r="P1664" s="5">
        <v>22.6</v>
      </c>
      <c r="Q1664" s="5">
        <v>150.69</v>
      </c>
      <c r="R1664" s="5">
        <v>134.88</v>
      </c>
      <c r="S1664" s="5">
        <v>15.81</v>
      </c>
      <c r="T1664" s="7">
        <v>0.104917380051762</v>
      </c>
      <c r="U1664" t="s">
        <v>11</v>
      </c>
      <c r="V1664" t="s">
        <v>50</v>
      </c>
      <c r="W1664" t="s">
        <v>50</v>
      </c>
      <c r="X1664" t="s">
        <v>35</v>
      </c>
      <c r="Y1664" t="s">
        <v>2029</v>
      </c>
      <c r="Z1664" t="s">
        <v>101</v>
      </c>
    </row>
    <row r="1665" spans="1:26">
      <c r="A1665" t="s">
        <v>3695</v>
      </c>
      <c r="B1665" t="s">
        <v>3695</v>
      </c>
      <c r="C1665" s="4">
        <v>45829</v>
      </c>
      <c r="D1665">
        <v>2025</v>
      </c>
      <c r="E1665">
        <v>6</v>
      </c>
      <c r="F1665" t="s">
        <v>22</v>
      </c>
      <c r="G1665" t="s">
        <v>74</v>
      </c>
      <c r="H1665" t="s">
        <v>3059</v>
      </c>
      <c r="I1665" t="s">
        <v>1704</v>
      </c>
      <c r="J1665" t="s">
        <v>919</v>
      </c>
      <c r="K1665" t="s">
        <v>920</v>
      </c>
      <c r="L1665">
        <v>2</v>
      </c>
      <c r="M1665" s="5">
        <v>242.22</v>
      </c>
      <c r="N1665" s="6">
        <v>5</v>
      </c>
      <c r="O1665" s="5">
        <v>24.22</v>
      </c>
      <c r="P1665" s="5">
        <v>69.03</v>
      </c>
      <c r="Q1665" s="5">
        <v>529.25</v>
      </c>
      <c r="R1665" s="5">
        <v>372.08</v>
      </c>
      <c r="S1665" s="5">
        <v>157.17</v>
      </c>
      <c r="T1665" s="7">
        <v>0.296967406707605</v>
      </c>
      <c r="U1665" t="s">
        <v>14</v>
      </c>
      <c r="V1665" t="s">
        <v>50</v>
      </c>
      <c r="W1665" t="s">
        <v>50</v>
      </c>
      <c r="X1665" t="s">
        <v>35</v>
      </c>
      <c r="Y1665" t="s">
        <v>851</v>
      </c>
      <c r="Z1665" t="s">
        <v>80</v>
      </c>
    </row>
    <row r="1666" spans="1:26">
      <c r="A1666" t="s">
        <v>3696</v>
      </c>
      <c r="B1666" t="s">
        <v>3696</v>
      </c>
      <c r="C1666" s="4">
        <v>45875</v>
      </c>
      <c r="D1666">
        <v>2025</v>
      </c>
      <c r="E1666">
        <v>8</v>
      </c>
      <c r="F1666" t="s">
        <v>24</v>
      </c>
      <c r="G1666" t="s">
        <v>89</v>
      </c>
      <c r="H1666" t="s">
        <v>1587</v>
      </c>
      <c r="I1666" t="s">
        <v>503</v>
      </c>
      <c r="J1666" t="s">
        <v>412</v>
      </c>
      <c r="K1666" t="s">
        <v>1177</v>
      </c>
      <c r="L1666">
        <v>7</v>
      </c>
      <c r="M1666" s="5">
        <v>78.23</v>
      </c>
      <c r="N1666" s="6">
        <v>15</v>
      </c>
      <c r="O1666" s="5">
        <v>82.14</v>
      </c>
      <c r="P1666" s="5">
        <v>69.82</v>
      </c>
      <c r="Q1666" s="5">
        <v>465.47</v>
      </c>
      <c r="R1666" s="5">
        <v>415.59</v>
      </c>
      <c r="S1666" s="5">
        <v>49.88</v>
      </c>
      <c r="T1666" s="7">
        <v>0.107160504436376</v>
      </c>
      <c r="U1666" t="s">
        <v>14</v>
      </c>
      <c r="V1666" t="s">
        <v>50</v>
      </c>
      <c r="W1666" t="s">
        <v>50</v>
      </c>
      <c r="X1666" t="s">
        <v>33</v>
      </c>
      <c r="Y1666" t="s">
        <v>2595</v>
      </c>
      <c r="Z1666" t="s">
        <v>101</v>
      </c>
    </row>
    <row r="1667" spans="1:26">
      <c r="A1667" t="s">
        <v>3697</v>
      </c>
      <c r="B1667" t="s">
        <v>3697</v>
      </c>
      <c r="C1667" s="4">
        <v>45759</v>
      </c>
      <c r="D1667">
        <v>2025</v>
      </c>
      <c r="E1667">
        <v>4</v>
      </c>
      <c r="F1667" t="s">
        <v>20</v>
      </c>
      <c r="G1667" t="s">
        <v>74</v>
      </c>
      <c r="H1667" t="s">
        <v>3665</v>
      </c>
      <c r="I1667" t="s">
        <v>157</v>
      </c>
      <c r="J1667" t="s">
        <v>751</v>
      </c>
      <c r="K1667" t="s">
        <v>752</v>
      </c>
      <c r="L1667">
        <v>3</v>
      </c>
      <c r="M1667" s="5">
        <v>59.92</v>
      </c>
      <c r="N1667" s="6">
        <v>20</v>
      </c>
      <c r="O1667" s="5">
        <v>35.95</v>
      </c>
      <c r="P1667" s="5">
        <v>21.57</v>
      </c>
      <c r="Q1667" s="5">
        <v>165.38</v>
      </c>
      <c r="R1667" s="5">
        <v>144.45</v>
      </c>
      <c r="S1667" s="5">
        <v>20.93</v>
      </c>
      <c r="T1667" s="7">
        <v>0.126557020195912</v>
      </c>
      <c r="U1667" t="s">
        <v>11</v>
      </c>
      <c r="V1667" t="s">
        <v>50</v>
      </c>
      <c r="W1667" t="s">
        <v>50</v>
      </c>
      <c r="X1667" t="s">
        <v>33</v>
      </c>
      <c r="Y1667" t="s">
        <v>1463</v>
      </c>
      <c r="Z1667" t="s">
        <v>80</v>
      </c>
    </row>
    <row r="1668" spans="1:26">
      <c r="A1668" t="s">
        <v>3698</v>
      </c>
      <c r="B1668" t="s">
        <v>3698</v>
      </c>
      <c r="C1668" s="4">
        <v>46097</v>
      </c>
      <c r="D1668">
        <v>2026</v>
      </c>
      <c r="E1668">
        <v>3</v>
      </c>
      <c r="F1668" t="s">
        <v>19</v>
      </c>
      <c r="G1668" t="s">
        <v>82</v>
      </c>
      <c r="H1668" t="s">
        <v>1805</v>
      </c>
      <c r="I1668" t="s">
        <v>898</v>
      </c>
      <c r="J1668" t="s">
        <v>713</v>
      </c>
      <c r="K1668" t="s">
        <v>287</v>
      </c>
      <c r="L1668">
        <v>5</v>
      </c>
      <c r="M1668" s="5">
        <v>275.71</v>
      </c>
      <c r="N1668" s="6">
        <v>20</v>
      </c>
      <c r="O1668" s="5">
        <v>275.71</v>
      </c>
      <c r="P1668" s="5">
        <v>165.43</v>
      </c>
      <c r="Q1668" s="5">
        <v>1102.84</v>
      </c>
      <c r="R1668" s="5">
        <v>1031.5</v>
      </c>
      <c r="S1668" s="5">
        <v>71.34</v>
      </c>
      <c r="T1668" s="7">
        <v>0.0646875340031192</v>
      </c>
      <c r="U1668" t="s">
        <v>14</v>
      </c>
      <c r="V1668" t="s">
        <v>50</v>
      </c>
      <c r="W1668" t="s">
        <v>50</v>
      </c>
      <c r="X1668" t="s">
        <v>35</v>
      </c>
      <c r="Y1668" t="s">
        <v>2968</v>
      </c>
      <c r="Z1668" t="s">
        <v>101</v>
      </c>
    </row>
    <row r="1669" spans="1:26">
      <c r="A1669" t="s">
        <v>3699</v>
      </c>
      <c r="B1669" t="s">
        <v>3699</v>
      </c>
      <c r="C1669" s="4">
        <v>45919</v>
      </c>
      <c r="D1669">
        <v>2025</v>
      </c>
      <c r="E1669">
        <v>9</v>
      </c>
      <c r="F1669" t="s">
        <v>25</v>
      </c>
      <c r="G1669" t="s">
        <v>89</v>
      </c>
      <c r="H1669" t="s">
        <v>3109</v>
      </c>
      <c r="I1669" t="s">
        <v>1742</v>
      </c>
      <c r="J1669" t="s">
        <v>1377</v>
      </c>
      <c r="K1669" t="s">
        <v>1348</v>
      </c>
      <c r="L1669">
        <v>1</v>
      </c>
      <c r="M1669" s="5">
        <v>268.32</v>
      </c>
      <c r="N1669" s="6">
        <v>0</v>
      </c>
      <c r="O1669" s="5">
        <v>0</v>
      </c>
      <c r="P1669" s="5">
        <v>40.25</v>
      </c>
      <c r="Q1669" s="5">
        <v>268.32</v>
      </c>
      <c r="R1669" s="5">
        <v>241.44</v>
      </c>
      <c r="S1669" s="5">
        <v>26.88</v>
      </c>
      <c r="T1669" s="7">
        <v>0.100178890876565</v>
      </c>
      <c r="U1669" t="s">
        <v>14</v>
      </c>
      <c r="V1669" t="s">
        <v>50</v>
      </c>
      <c r="W1669" t="s">
        <v>50</v>
      </c>
      <c r="X1669" t="s">
        <v>33</v>
      </c>
      <c r="Y1669" t="s">
        <v>1870</v>
      </c>
      <c r="Z1669" t="s">
        <v>101</v>
      </c>
    </row>
    <row r="1670" spans="1:26">
      <c r="A1670" t="s">
        <v>3700</v>
      </c>
      <c r="B1670" t="s">
        <v>3700</v>
      </c>
      <c r="C1670" s="4">
        <v>46015</v>
      </c>
      <c r="D1670">
        <v>2025</v>
      </c>
      <c r="E1670">
        <v>12</v>
      </c>
      <c r="F1670" t="s">
        <v>28</v>
      </c>
      <c r="G1670" t="s">
        <v>137</v>
      </c>
      <c r="H1670" t="s">
        <v>1637</v>
      </c>
      <c r="I1670" t="s">
        <v>756</v>
      </c>
      <c r="J1670" t="s">
        <v>889</v>
      </c>
      <c r="K1670" t="s">
        <v>890</v>
      </c>
      <c r="L1670">
        <v>2</v>
      </c>
      <c r="M1670" s="5">
        <v>161.03</v>
      </c>
      <c r="N1670" s="6">
        <v>5</v>
      </c>
      <c r="O1670" s="5">
        <v>16.1</v>
      </c>
      <c r="P1670" s="5">
        <v>45.89</v>
      </c>
      <c r="Q1670" s="5">
        <v>305.96</v>
      </c>
      <c r="R1670" s="5">
        <v>248.48</v>
      </c>
      <c r="S1670" s="5">
        <v>57.48</v>
      </c>
      <c r="T1670" s="7">
        <v>0.187867695123546</v>
      </c>
      <c r="U1670" t="s">
        <v>12</v>
      </c>
      <c r="V1670" t="s">
        <v>51</v>
      </c>
      <c r="W1670" t="s">
        <v>51</v>
      </c>
      <c r="X1670" t="s">
        <v>34</v>
      </c>
      <c r="Y1670" t="s">
        <v>1960</v>
      </c>
      <c r="Z1670" t="s">
        <v>101</v>
      </c>
    </row>
    <row r="1671" spans="1:26">
      <c r="A1671" t="s">
        <v>3701</v>
      </c>
      <c r="B1671" t="s">
        <v>3701</v>
      </c>
      <c r="C1671" s="4">
        <v>45983</v>
      </c>
      <c r="D1671">
        <v>2025</v>
      </c>
      <c r="E1671">
        <v>11</v>
      </c>
      <c r="F1671" t="s">
        <v>27</v>
      </c>
      <c r="G1671" t="s">
        <v>137</v>
      </c>
      <c r="H1671" t="s">
        <v>3104</v>
      </c>
      <c r="I1671" t="s">
        <v>174</v>
      </c>
      <c r="J1671" t="s">
        <v>477</v>
      </c>
      <c r="K1671" t="s">
        <v>478</v>
      </c>
      <c r="L1671">
        <v>3</v>
      </c>
      <c r="M1671" s="5">
        <v>421.08</v>
      </c>
      <c r="N1671" s="6">
        <v>5</v>
      </c>
      <c r="O1671" s="5">
        <v>63.16</v>
      </c>
      <c r="P1671" s="5">
        <v>180.01</v>
      </c>
      <c r="Q1671" s="5">
        <v>1380.09</v>
      </c>
      <c r="R1671" s="5">
        <v>958.11</v>
      </c>
      <c r="S1671" s="5">
        <v>421.98</v>
      </c>
      <c r="T1671" s="7">
        <v>0.30576266765211</v>
      </c>
      <c r="U1671" t="s">
        <v>12</v>
      </c>
      <c r="V1671" t="s">
        <v>51</v>
      </c>
      <c r="W1671" t="s">
        <v>51</v>
      </c>
      <c r="X1671" t="s">
        <v>33</v>
      </c>
      <c r="Y1671" t="s">
        <v>1116</v>
      </c>
      <c r="Z1671" t="s">
        <v>80</v>
      </c>
    </row>
    <row r="1672" spans="1:26">
      <c r="A1672" t="s">
        <v>3702</v>
      </c>
      <c r="B1672" t="s">
        <v>3702</v>
      </c>
      <c r="C1672" s="4">
        <v>45815</v>
      </c>
      <c r="D1672">
        <v>2025</v>
      </c>
      <c r="E1672">
        <v>6</v>
      </c>
      <c r="F1672" t="s">
        <v>22</v>
      </c>
      <c r="G1672" t="s">
        <v>74</v>
      </c>
      <c r="H1672" t="s">
        <v>2493</v>
      </c>
      <c r="I1672" t="s">
        <v>647</v>
      </c>
      <c r="J1672" t="s">
        <v>46</v>
      </c>
      <c r="K1672" t="s">
        <v>2311</v>
      </c>
      <c r="L1672">
        <v>7</v>
      </c>
      <c r="M1672" s="5">
        <v>85.31</v>
      </c>
      <c r="N1672" s="6">
        <v>0</v>
      </c>
      <c r="O1672" s="5">
        <v>0</v>
      </c>
      <c r="P1672" s="5">
        <v>89.58</v>
      </c>
      <c r="Q1672" s="5">
        <v>686.75</v>
      </c>
      <c r="R1672" s="5">
        <v>434.98</v>
      </c>
      <c r="S1672" s="5">
        <v>251.77</v>
      </c>
      <c r="T1672" s="7">
        <v>0.366610848198034</v>
      </c>
      <c r="U1672" t="s">
        <v>11</v>
      </c>
      <c r="V1672" t="s">
        <v>50</v>
      </c>
      <c r="W1672" t="s">
        <v>50</v>
      </c>
      <c r="X1672" t="s">
        <v>33</v>
      </c>
      <c r="Y1672" t="s">
        <v>815</v>
      </c>
      <c r="Z1672" t="s">
        <v>80</v>
      </c>
    </row>
    <row r="1673" spans="1:26">
      <c r="A1673" t="s">
        <v>3703</v>
      </c>
      <c r="B1673" t="s">
        <v>3703</v>
      </c>
      <c r="C1673" s="4">
        <v>45795</v>
      </c>
      <c r="D1673">
        <v>2025</v>
      </c>
      <c r="E1673">
        <v>5</v>
      </c>
      <c r="F1673" t="s">
        <v>21</v>
      </c>
      <c r="G1673" t="s">
        <v>74</v>
      </c>
      <c r="H1673" t="s">
        <v>3704</v>
      </c>
      <c r="I1673" t="s">
        <v>1714</v>
      </c>
      <c r="J1673" t="s">
        <v>296</v>
      </c>
      <c r="K1673" t="s">
        <v>297</v>
      </c>
      <c r="L1673">
        <v>2</v>
      </c>
      <c r="M1673" s="5">
        <v>342.27</v>
      </c>
      <c r="N1673" s="6">
        <v>15</v>
      </c>
      <c r="O1673" s="5">
        <v>102.68</v>
      </c>
      <c r="P1673" s="5">
        <v>87.28</v>
      </c>
      <c r="Q1673" s="5">
        <v>669.14</v>
      </c>
      <c r="R1673" s="5">
        <v>532.2</v>
      </c>
      <c r="S1673" s="5">
        <v>136.94</v>
      </c>
      <c r="T1673" s="7">
        <v>0.204650745733329</v>
      </c>
      <c r="U1673" t="s">
        <v>10</v>
      </c>
      <c r="V1673" t="s">
        <v>50</v>
      </c>
      <c r="W1673" t="s">
        <v>50</v>
      </c>
      <c r="X1673" t="s">
        <v>35</v>
      </c>
      <c r="Y1673" t="s">
        <v>879</v>
      </c>
      <c r="Z1673" t="s">
        <v>80</v>
      </c>
    </row>
    <row r="1674" spans="1:26">
      <c r="A1674" t="s">
        <v>3705</v>
      </c>
      <c r="B1674" t="s">
        <v>3705</v>
      </c>
      <c r="C1674" s="4">
        <v>45888</v>
      </c>
      <c r="D1674">
        <v>2025</v>
      </c>
      <c r="E1674">
        <v>8</v>
      </c>
      <c r="F1674" t="s">
        <v>24</v>
      </c>
      <c r="G1674" t="s">
        <v>89</v>
      </c>
      <c r="H1674" t="s">
        <v>2150</v>
      </c>
      <c r="I1674" t="s">
        <v>169</v>
      </c>
      <c r="J1674" t="s">
        <v>390</v>
      </c>
      <c r="K1674" t="s">
        <v>391</v>
      </c>
      <c r="L1674">
        <v>8</v>
      </c>
      <c r="M1674" s="5">
        <v>154.01</v>
      </c>
      <c r="N1674" s="6">
        <v>0</v>
      </c>
      <c r="O1674" s="5">
        <v>0</v>
      </c>
      <c r="P1674" s="5">
        <v>184.81</v>
      </c>
      <c r="Q1674" s="5">
        <v>1232.08</v>
      </c>
      <c r="R1674" s="5">
        <v>927.28</v>
      </c>
      <c r="S1674" s="5">
        <v>304.8</v>
      </c>
      <c r="T1674" s="7">
        <v>0.247386533341991</v>
      </c>
      <c r="U1674" t="s">
        <v>9</v>
      </c>
      <c r="V1674" t="s">
        <v>50</v>
      </c>
      <c r="W1674" t="s">
        <v>50</v>
      </c>
      <c r="X1674" t="s">
        <v>33</v>
      </c>
      <c r="Y1674" t="s">
        <v>1087</v>
      </c>
      <c r="Z1674" t="s">
        <v>101</v>
      </c>
    </row>
    <row r="1675" spans="1:26">
      <c r="A1675" t="s">
        <v>3706</v>
      </c>
      <c r="B1675" t="s">
        <v>3706</v>
      </c>
      <c r="C1675" s="4">
        <v>45806</v>
      </c>
      <c r="D1675">
        <v>2025</v>
      </c>
      <c r="E1675">
        <v>5</v>
      </c>
      <c r="F1675" t="s">
        <v>21</v>
      </c>
      <c r="G1675" t="s">
        <v>74</v>
      </c>
      <c r="H1675" t="s">
        <v>3582</v>
      </c>
      <c r="I1675" t="s">
        <v>937</v>
      </c>
      <c r="J1675" t="s">
        <v>648</v>
      </c>
      <c r="K1675" t="s">
        <v>649</v>
      </c>
      <c r="L1675">
        <v>2</v>
      </c>
      <c r="M1675" s="5">
        <v>438.7</v>
      </c>
      <c r="N1675" s="6">
        <v>10</v>
      </c>
      <c r="O1675" s="5">
        <v>87.74</v>
      </c>
      <c r="P1675" s="5">
        <v>118.45</v>
      </c>
      <c r="Q1675" s="5">
        <v>789.66</v>
      </c>
      <c r="R1675" s="5">
        <v>740.36</v>
      </c>
      <c r="S1675" s="5">
        <v>49.3</v>
      </c>
      <c r="T1675" s="7">
        <v>0.0624319327305422</v>
      </c>
      <c r="U1675" t="s">
        <v>10</v>
      </c>
      <c r="V1675" t="s">
        <v>50</v>
      </c>
      <c r="W1675" t="s">
        <v>50</v>
      </c>
      <c r="X1675" t="s">
        <v>33</v>
      </c>
      <c r="Y1675" t="s">
        <v>2066</v>
      </c>
      <c r="Z1675" t="s">
        <v>101</v>
      </c>
    </row>
    <row r="1676" spans="1:26">
      <c r="A1676" t="s">
        <v>3707</v>
      </c>
      <c r="B1676" t="s">
        <v>3707</v>
      </c>
      <c r="C1676" s="4">
        <v>45977</v>
      </c>
      <c r="D1676">
        <v>2025</v>
      </c>
      <c r="E1676">
        <v>11</v>
      </c>
      <c r="F1676" t="s">
        <v>27</v>
      </c>
      <c r="G1676" t="s">
        <v>137</v>
      </c>
      <c r="H1676" t="s">
        <v>735</v>
      </c>
      <c r="I1676" t="s">
        <v>498</v>
      </c>
      <c r="J1676" t="s">
        <v>929</v>
      </c>
      <c r="K1676" t="s">
        <v>930</v>
      </c>
      <c r="L1676">
        <v>5</v>
      </c>
      <c r="M1676" s="5">
        <v>365.92</v>
      </c>
      <c r="N1676" s="6">
        <v>10</v>
      </c>
      <c r="O1676" s="5">
        <v>182.96</v>
      </c>
      <c r="P1676" s="5">
        <v>247</v>
      </c>
      <c r="Q1676" s="5">
        <v>1893.64</v>
      </c>
      <c r="R1676" s="5">
        <v>1551.9</v>
      </c>
      <c r="S1676" s="5">
        <v>341.74</v>
      </c>
      <c r="T1676" s="7">
        <v>0.180467248262605</v>
      </c>
      <c r="U1676" t="s">
        <v>13</v>
      </c>
      <c r="V1676" t="s">
        <v>50</v>
      </c>
      <c r="W1676" t="s">
        <v>50</v>
      </c>
      <c r="X1676" t="s">
        <v>35</v>
      </c>
      <c r="Y1676" t="s">
        <v>1710</v>
      </c>
      <c r="Z1676" t="s">
        <v>80</v>
      </c>
    </row>
    <row r="1677" spans="1:26">
      <c r="A1677" t="s">
        <v>3708</v>
      </c>
      <c r="B1677" t="s">
        <v>3708</v>
      </c>
      <c r="C1677" s="4">
        <v>45750</v>
      </c>
      <c r="D1677">
        <v>2025</v>
      </c>
      <c r="E1677">
        <v>4</v>
      </c>
      <c r="F1677" t="s">
        <v>20</v>
      </c>
      <c r="G1677" t="s">
        <v>74</v>
      </c>
      <c r="H1677" t="s">
        <v>1236</v>
      </c>
      <c r="I1677" t="s">
        <v>417</v>
      </c>
      <c r="J1677" t="s">
        <v>837</v>
      </c>
      <c r="K1677" t="s">
        <v>838</v>
      </c>
      <c r="L1677">
        <v>4</v>
      </c>
      <c r="M1677" s="5">
        <v>404.15</v>
      </c>
      <c r="N1677" s="6">
        <v>10</v>
      </c>
      <c r="O1677" s="5">
        <v>161.66</v>
      </c>
      <c r="P1677" s="5">
        <v>218.24</v>
      </c>
      <c r="Q1677" s="5">
        <v>1454.94</v>
      </c>
      <c r="R1677" s="5">
        <v>1239.92</v>
      </c>
      <c r="S1677" s="5">
        <v>215.02</v>
      </c>
      <c r="T1677" s="7">
        <v>0.147786163003285</v>
      </c>
      <c r="U1677" t="s">
        <v>12</v>
      </c>
      <c r="V1677" t="s">
        <v>50</v>
      </c>
      <c r="W1677" t="s">
        <v>50</v>
      </c>
      <c r="X1677" t="s">
        <v>33</v>
      </c>
      <c r="Y1677" t="s">
        <v>1024</v>
      </c>
      <c r="Z1677" t="s">
        <v>101</v>
      </c>
    </row>
    <row r="1678" spans="1:26">
      <c r="A1678" t="s">
        <v>3709</v>
      </c>
      <c r="B1678" t="s">
        <v>3709</v>
      </c>
      <c r="C1678" s="4">
        <v>45946</v>
      </c>
      <c r="D1678">
        <v>2025</v>
      </c>
      <c r="E1678">
        <v>10</v>
      </c>
      <c r="F1678" t="s">
        <v>26</v>
      </c>
      <c r="G1678" t="s">
        <v>137</v>
      </c>
      <c r="H1678" t="s">
        <v>3051</v>
      </c>
      <c r="I1678" t="s">
        <v>157</v>
      </c>
      <c r="J1678" t="s">
        <v>226</v>
      </c>
      <c r="K1678" t="s">
        <v>380</v>
      </c>
      <c r="L1678">
        <v>5</v>
      </c>
      <c r="M1678" s="5">
        <v>59.92</v>
      </c>
      <c r="N1678" s="6">
        <v>5</v>
      </c>
      <c r="O1678" s="5">
        <v>14.98</v>
      </c>
      <c r="P1678" s="5">
        <v>42.69</v>
      </c>
      <c r="Q1678" s="5">
        <v>284.62</v>
      </c>
      <c r="R1678" s="5">
        <v>240.75</v>
      </c>
      <c r="S1678" s="5">
        <v>43.87</v>
      </c>
      <c r="T1678" s="7">
        <v>0.154135338345865</v>
      </c>
      <c r="U1678" t="s">
        <v>14</v>
      </c>
      <c r="V1678" t="s">
        <v>50</v>
      </c>
      <c r="W1678" t="s">
        <v>50</v>
      </c>
      <c r="X1678" t="s">
        <v>33</v>
      </c>
      <c r="Y1678" t="s">
        <v>2526</v>
      </c>
      <c r="Z1678" t="s">
        <v>101</v>
      </c>
    </row>
    <row r="1679" spans="1:26">
      <c r="A1679" t="s">
        <v>3710</v>
      </c>
      <c r="B1679" t="s">
        <v>3710</v>
      </c>
      <c r="C1679" s="4">
        <v>45967</v>
      </c>
      <c r="D1679">
        <v>2025</v>
      </c>
      <c r="E1679">
        <v>11</v>
      </c>
      <c r="F1679" t="s">
        <v>27</v>
      </c>
      <c r="G1679" t="s">
        <v>137</v>
      </c>
      <c r="H1679" t="s">
        <v>1354</v>
      </c>
      <c r="I1679" t="s">
        <v>2120</v>
      </c>
      <c r="J1679" t="s">
        <v>872</v>
      </c>
      <c r="K1679" t="s">
        <v>873</v>
      </c>
      <c r="L1679">
        <v>2</v>
      </c>
      <c r="M1679" s="5">
        <v>392.68</v>
      </c>
      <c r="N1679" s="6">
        <v>5</v>
      </c>
      <c r="O1679" s="5">
        <v>39.27</v>
      </c>
      <c r="P1679" s="5">
        <v>111.91</v>
      </c>
      <c r="Q1679" s="5">
        <v>746.09</v>
      </c>
      <c r="R1679" s="5">
        <v>638.1</v>
      </c>
      <c r="S1679" s="5">
        <v>107.99</v>
      </c>
      <c r="T1679" s="7">
        <v>0.144741251055503</v>
      </c>
      <c r="U1679" t="s">
        <v>12</v>
      </c>
      <c r="V1679" t="s">
        <v>50</v>
      </c>
      <c r="W1679" t="s">
        <v>50</v>
      </c>
      <c r="X1679" t="s">
        <v>33</v>
      </c>
      <c r="Y1679" t="s">
        <v>3076</v>
      </c>
      <c r="Z1679" t="s">
        <v>101</v>
      </c>
    </row>
    <row r="1680" spans="1:26">
      <c r="A1680" t="s">
        <v>3711</v>
      </c>
      <c r="B1680" t="s">
        <v>3711</v>
      </c>
      <c r="C1680" s="4">
        <v>46054</v>
      </c>
      <c r="D1680">
        <v>2026</v>
      </c>
      <c r="E1680">
        <v>2</v>
      </c>
      <c r="F1680" t="s">
        <v>31</v>
      </c>
      <c r="G1680" t="s">
        <v>82</v>
      </c>
      <c r="H1680" t="s">
        <v>531</v>
      </c>
      <c r="I1680" t="s">
        <v>1839</v>
      </c>
      <c r="J1680" t="s">
        <v>46</v>
      </c>
      <c r="K1680" t="s">
        <v>1540</v>
      </c>
      <c r="L1680">
        <v>8</v>
      </c>
      <c r="M1680" s="5">
        <v>47.48</v>
      </c>
      <c r="N1680" s="6">
        <v>0</v>
      </c>
      <c r="O1680" s="5">
        <v>0</v>
      </c>
      <c r="P1680" s="5">
        <v>56.98</v>
      </c>
      <c r="Q1680" s="5">
        <v>436.82</v>
      </c>
      <c r="R1680" s="5">
        <v>292.72</v>
      </c>
      <c r="S1680" s="5">
        <v>144.1</v>
      </c>
      <c r="T1680" s="7">
        <v>0.329884162813058</v>
      </c>
      <c r="U1680" t="s">
        <v>13</v>
      </c>
      <c r="V1680" t="s">
        <v>50</v>
      </c>
      <c r="W1680" t="s">
        <v>50</v>
      </c>
      <c r="X1680" t="s">
        <v>33</v>
      </c>
      <c r="Y1680" t="s">
        <v>3712</v>
      </c>
      <c r="Z1680" t="s">
        <v>80</v>
      </c>
    </row>
    <row r="1681" spans="1:26">
      <c r="A1681" t="s">
        <v>3713</v>
      </c>
      <c r="B1681" t="s">
        <v>3713</v>
      </c>
      <c r="C1681" s="4">
        <v>45813</v>
      </c>
      <c r="D1681">
        <v>2025</v>
      </c>
      <c r="E1681">
        <v>6</v>
      </c>
      <c r="F1681" t="s">
        <v>22</v>
      </c>
      <c r="G1681" t="s">
        <v>74</v>
      </c>
      <c r="H1681" t="s">
        <v>3456</v>
      </c>
      <c r="I1681" t="s">
        <v>434</v>
      </c>
      <c r="J1681" t="s">
        <v>833</v>
      </c>
      <c r="K1681" t="s">
        <v>1080</v>
      </c>
      <c r="L1681">
        <v>4</v>
      </c>
      <c r="M1681" s="5">
        <v>83.13</v>
      </c>
      <c r="N1681" s="6">
        <v>0</v>
      </c>
      <c r="O1681" s="5">
        <v>0</v>
      </c>
      <c r="P1681" s="5">
        <v>49.88</v>
      </c>
      <c r="Q1681" s="5">
        <v>332.52</v>
      </c>
      <c r="R1681" s="5">
        <v>276.36</v>
      </c>
      <c r="S1681" s="5">
        <v>56.16</v>
      </c>
      <c r="T1681" s="7">
        <v>0.168892096715987</v>
      </c>
      <c r="U1681" t="s">
        <v>12</v>
      </c>
      <c r="V1681" t="s">
        <v>50</v>
      </c>
      <c r="W1681" t="s">
        <v>50</v>
      </c>
      <c r="X1681" t="s">
        <v>33</v>
      </c>
      <c r="Y1681" t="s">
        <v>714</v>
      </c>
      <c r="Z1681" t="s">
        <v>101</v>
      </c>
    </row>
    <row r="1682" spans="1:26">
      <c r="A1682" t="s">
        <v>3714</v>
      </c>
      <c r="B1682" t="s">
        <v>3714</v>
      </c>
      <c r="C1682" s="4">
        <v>45867</v>
      </c>
      <c r="D1682">
        <v>2025</v>
      </c>
      <c r="E1682">
        <v>7</v>
      </c>
      <c r="F1682" t="s">
        <v>23</v>
      </c>
      <c r="G1682" t="s">
        <v>89</v>
      </c>
      <c r="H1682" t="s">
        <v>2713</v>
      </c>
      <c r="I1682" t="s">
        <v>132</v>
      </c>
      <c r="J1682" t="s">
        <v>1327</v>
      </c>
      <c r="K1682" t="s">
        <v>1357</v>
      </c>
      <c r="L1682">
        <v>8</v>
      </c>
      <c r="M1682" s="5">
        <v>263.72</v>
      </c>
      <c r="N1682" s="6">
        <v>15</v>
      </c>
      <c r="O1682" s="5">
        <v>316.46</v>
      </c>
      <c r="P1682" s="5">
        <v>269</v>
      </c>
      <c r="Q1682" s="5">
        <v>1793.3</v>
      </c>
      <c r="R1682" s="5">
        <v>1552.48</v>
      </c>
      <c r="S1682" s="5">
        <v>240.82</v>
      </c>
      <c r="T1682" s="7">
        <v>0.134288741426421</v>
      </c>
      <c r="U1682" t="s">
        <v>13</v>
      </c>
      <c r="V1682" t="s">
        <v>50</v>
      </c>
      <c r="W1682" t="s">
        <v>50</v>
      </c>
      <c r="X1682" t="s">
        <v>33</v>
      </c>
      <c r="Y1682" t="s">
        <v>2042</v>
      </c>
      <c r="Z1682" t="s">
        <v>101</v>
      </c>
    </row>
    <row r="1683" spans="1:26">
      <c r="A1683" t="s">
        <v>3715</v>
      </c>
      <c r="B1683" t="s">
        <v>3715</v>
      </c>
      <c r="C1683" s="4">
        <v>46024</v>
      </c>
      <c r="D1683">
        <v>2026</v>
      </c>
      <c r="E1683">
        <v>1</v>
      </c>
      <c r="F1683" t="s">
        <v>30</v>
      </c>
      <c r="G1683" t="s">
        <v>82</v>
      </c>
      <c r="H1683" t="s">
        <v>2360</v>
      </c>
      <c r="I1683" t="s">
        <v>138</v>
      </c>
      <c r="J1683" t="s">
        <v>43</v>
      </c>
      <c r="K1683" t="s">
        <v>934</v>
      </c>
      <c r="L1683">
        <v>4</v>
      </c>
      <c r="M1683" s="5">
        <v>221.61</v>
      </c>
      <c r="N1683" s="6">
        <v>10</v>
      </c>
      <c r="O1683" s="5">
        <v>88.64</v>
      </c>
      <c r="P1683" s="5">
        <v>119.67</v>
      </c>
      <c r="Q1683" s="5">
        <v>797.8</v>
      </c>
      <c r="R1683" s="5">
        <v>728.68</v>
      </c>
      <c r="S1683" s="5">
        <v>69.12</v>
      </c>
      <c r="T1683" s="7">
        <v>0.086638255201805</v>
      </c>
      <c r="U1683" t="s">
        <v>12</v>
      </c>
      <c r="V1683" t="s">
        <v>51</v>
      </c>
      <c r="W1683" t="s">
        <v>51</v>
      </c>
      <c r="X1683" t="s">
        <v>33</v>
      </c>
      <c r="Y1683" t="s">
        <v>3275</v>
      </c>
      <c r="Z1683" t="s">
        <v>101</v>
      </c>
    </row>
    <row r="1684" spans="1:26">
      <c r="A1684" t="s">
        <v>3716</v>
      </c>
      <c r="B1684" t="s">
        <v>3716</v>
      </c>
      <c r="C1684" s="4">
        <v>46109</v>
      </c>
      <c r="D1684">
        <v>2026</v>
      </c>
      <c r="E1684">
        <v>3</v>
      </c>
      <c r="F1684" t="s">
        <v>19</v>
      </c>
      <c r="G1684" t="s">
        <v>82</v>
      </c>
      <c r="H1684" t="s">
        <v>1386</v>
      </c>
      <c r="I1684" t="s">
        <v>598</v>
      </c>
      <c r="J1684" t="s">
        <v>369</v>
      </c>
      <c r="K1684" t="s">
        <v>1545</v>
      </c>
      <c r="L1684">
        <v>5</v>
      </c>
      <c r="M1684" s="5">
        <v>491.81</v>
      </c>
      <c r="N1684" s="6">
        <v>20</v>
      </c>
      <c r="O1684" s="5">
        <v>491.81</v>
      </c>
      <c r="P1684" s="5">
        <v>295.09</v>
      </c>
      <c r="Q1684" s="5">
        <v>2262.33</v>
      </c>
      <c r="R1684" s="5">
        <v>1827.85</v>
      </c>
      <c r="S1684" s="5">
        <v>434.48</v>
      </c>
      <c r="T1684" s="7">
        <v>0.192049789376439</v>
      </c>
      <c r="U1684" t="s">
        <v>11</v>
      </c>
      <c r="V1684" t="s">
        <v>50</v>
      </c>
      <c r="W1684" t="s">
        <v>50</v>
      </c>
      <c r="X1684" t="s">
        <v>33</v>
      </c>
      <c r="Y1684" t="s">
        <v>2000</v>
      </c>
      <c r="Z1684" t="s">
        <v>80</v>
      </c>
    </row>
    <row r="1685" spans="1:26">
      <c r="A1685" t="s">
        <v>3717</v>
      </c>
      <c r="B1685" t="s">
        <v>3717</v>
      </c>
      <c r="C1685" s="4">
        <v>45935</v>
      </c>
      <c r="D1685">
        <v>2025</v>
      </c>
      <c r="E1685">
        <v>10</v>
      </c>
      <c r="F1685" t="s">
        <v>26</v>
      </c>
      <c r="G1685" t="s">
        <v>137</v>
      </c>
      <c r="H1685" t="s">
        <v>294</v>
      </c>
      <c r="I1685" t="s">
        <v>1714</v>
      </c>
      <c r="J1685" t="s">
        <v>263</v>
      </c>
      <c r="K1685" t="s">
        <v>264</v>
      </c>
      <c r="L1685">
        <v>7</v>
      </c>
      <c r="M1685" s="5">
        <v>377.42</v>
      </c>
      <c r="N1685" s="6">
        <v>0</v>
      </c>
      <c r="O1685" s="5">
        <v>0</v>
      </c>
      <c r="P1685" s="5">
        <v>396.29</v>
      </c>
      <c r="Q1685" s="5">
        <v>3038.23</v>
      </c>
      <c r="R1685" s="5">
        <v>1862.7</v>
      </c>
      <c r="S1685" s="5">
        <v>1175.53</v>
      </c>
      <c r="T1685" s="7">
        <v>0.386912774872212</v>
      </c>
      <c r="U1685" t="s">
        <v>11</v>
      </c>
      <c r="V1685" t="s">
        <v>50</v>
      </c>
      <c r="W1685" t="s">
        <v>50</v>
      </c>
      <c r="X1685" t="s">
        <v>33</v>
      </c>
      <c r="Y1685" t="s">
        <v>3718</v>
      </c>
      <c r="Z1685" t="s">
        <v>80</v>
      </c>
    </row>
    <row r="1686" spans="1:26">
      <c r="A1686" t="s">
        <v>3719</v>
      </c>
      <c r="B1686" t="s">
        <v>3719</v>
      </c>
      <c r="C1686" s="4">
        <v>45948</v>
      </c>
      <c r="D1686">
        <v>2025</v>
      </c>
      <c r="E1686">
        <v>10</v>
      </c>
      <c r="F1686" t="s">
        <v>26</v>
      </c>
      <c r="G1686" t="s">
        <v>137</v>
      </c>
      <c r="H1686" t="s">
        <v>2186</v>
      </c>
      <c r="I1686" t="s">
        <v>756</v>
      </c>
      <c r="J1686" t="s">
        <v>302</v>
      </c>
      <c r="K1686" t="s">
        <v>303</v>
      </c>
      <c r="L1686">
        <v>1</v>
      </c>
      <c r="M1686" s="5">
        <v>161.03</v>
      </c>
      <c r="N1686" s="6">
        <v>10</v>
      </c>
      <c r="O1686" s="5">
        <v>16.1</v>
      </c>
      <c r="P1686" s="5">
        <v>21.74</v>
      </c>
      <c r="Q1686" s="5">
        <v>166.67</v>
      </c>
      <c r="R1686" s="5">
        <v>124.24</v>
      </c>
      <c r="S1686" s="5">
        <v>42.43</v>
      </c>
      <c r="T1686" s="7">
        <v>0.25457490850183</v>
      </c>
      <c r="U1686" t="s">
        <v>13</v>
      </c>
      <c r="V1686" t="s">
        <v>51</v>
      </c>
      <c r="W1686" t="s">
        <v>51</v>
      </c>
      <c r="X1686" t="s">
        <v>35</v>
      </c>
      <c r="Y1686" t="s">
        <v>516</v>
      </c>
      <c r="Z1686" t="s">
        <v>80</v>
      </c>
    </row>
    <row r="1687" spans="1:26">
      <c r="A1687" t="s">
        <v>3720</v>
      </c>
      <c r="B1687" t="s">
        <v>3720</v>
      </c>
      <c r="C1687" s="4">
        <v>46007</v>
      </c>
      <c r="D1687">
        <v>2025</v>
      </c>
      <c r="E1687">
        <v>12</v>
      </c>
      <c r="F1687" t="s">
        <v>28</v>
      </c>
      <c r="G1687" t="s">
        <v>137</v>
      </c>
      <c r="H1687" t="s">
        <v>355</v>
      </c>
      <c r="I1687" t="s">
        <v>609</v>
      </c>
      <c r="J1687" t="s">
        <v>170</v>
      </c>
      <c r="K1687" t="s">
        <v>1943</v>
      </c>
      <c r="L1687">
        <v>3</v>
      </c>
      <c r="M1687" s="5">
        <v>346.68</v>
      </c>
      <c r="N1687" s="6">
        <v>0</v>
      </c>
      <c r="O1687" s="5">
        <v>0</v>
      </c>
      <c r="P1687" s="5">
        <v>156.01</v>
      </c>
      <c r="Q1687" s="5">
        <v>1040.04</v>
      </c>
      <c r="R1687" s="5">
        <v>766.47</v>
      </c>
      <c r="S1687" s="5">
        <v>273.57</v>
      </c>
      <c r="T1687" s="7">
        <v>0.263037960078458</v>
      </c>
      <c r="U1687" t="s">
        <v>13</v>
      </c>
      <c r="V1687" t="s">
        <v>50</v>
      </c>
      <c r="W1687" t="s">
        <v>50</v>
      </c>
      <c r="X1687" t="s">
        <v>33</v>
      </c>
      <c r="Y1687" t="s">
        <v>1644</v>
      </c>
      <c r="Z1687" t="s">
        <v>101</v>
      </c>
    </row>
    <row r="1688" spans="1:26">
      <c r="A1688" t="s">
        <v>3721</v>
      </c>
      <c r="B1688" t="s">
        <v>3721</v>
      </c>
      <c r="C1688" s="4">
        <v>45914</v>
      </c>
      <c r="D1688">
        <v>2025</v>
      </c>
      <c r="E1688">
        <v>9</v>
      </c>
      <c r="F1688" t="s">
        <v>25</v>
      </c>
      <c r="G1688" t="s">
        <v>89</v>
      </c>
      <c r="H1688" t="s">
        <v>886</v>
      </c>
      <c r="I1688" t="s">
        <v>328</v>
      </c>
      <c r="J1688" t="s">
        <v>257</v>
      </c>
      <c r="K1688" t="s">
        <v>258</v>
      </c>
      <c r="L1688">
        <v>5</v>
      </c>
      <c r="M1688" s="5">
        <v>124.84</v>
      </c>
      <c r="N1688" s="6">
        <v>10</v>
      </c>
      <c r="O1688" s="5">
        <v>62.42</v>
      </c>
      <c r="P1688" s="5">
        <v>84.27</v>
      </c>
      <c r="Q1688" s="5">
        <v>646.05</v>
      </c>
      <c r="R1688" s="5">
        <v>486.75</v>
      </c>
      <c r="S1688" s="5">
        <v>159.3</v>
      </c>
      <c r="T1688" s="7">
        <v>0.246575342465753</v>
      </c>
      <c r="U1688" t="s">
        <v>11</v>
      </c>
      <c r="V1688" t="s">
        <v>50</v>
      </c>
      <c r="W1688" t="s">
        <v>50</v>
      </c>
      <c r="X1688" t="s">
        <v>33</v>
      </c>
      <c r="Y1688" t="s">
        <v>3722</v>
      </c>
      <c r="Z1688" t="s">
        <v>80</v>
      </c>
    </row>
    <row r="1689" spans="1:26">
      <c r="A1689" t="s">
        <v>3723</v>
      </c>
      <c r="B1689" t="s">
        <v>3723</v>
      </c>
      <c r="C1689" s="4">
        <v>45788</v>
      </c>
      <c r="D1689">
        <v>2025</v>
      </c>
      <c r="E1689">
        <v>5</v>
      </c>
      <c r="F1689" t="s">
        <v>21</v>
      </c>
      <c r="G1689" t="s">
        <v>74</v>
      </c>
      <c r="H1689" t="s">
        <v>3665</v>
      </c>
      <c r="I1689" t="s">
        <v>2587</v>
      </c>
      <c r="J1689" t="s">
        <v>1971</v>
      </c>
      <c r="K1689" t="s">
        <v>1416</v>
      </c>
      <c r="L1689">
        <v>1</v>
      </c>
      <c r="M1689" s="5">
        <v>72.93</v>
      </c>
      <c r="N1689" s="6">
        <v>0</v>
      </c>
      <c r="O1689" s="5">
        <v>0</v>
      </c>
      <c r="P1689" s="5">
        <v>10.94</v>
      </c>
      <c r="Q1689" s="5">
        <v>83.87</v>
      </c>
      <c r="R1689" s="5">
        <v>54.25</v>
      </c>
      <c r="S1689" s="5">
        <v>29.62</v>
      </c>
      <c r="T1689" s="7">
        <v>0.353165613449386</v>
      </c>
      <c r="U1689" t="s">
        <v>9</v>
      </c>
      <c r="V1689" t="s">
        <v>50</v>
      </c>
      <c r="W1689" t="s">
        <v>50</v>
      </c>
      <c r="X1689" t="s">
        <v>33</v>
      </c>
      <c r="Y1689" t="s">
        <v>939</v>
      </c>
      <c r="Z1689" t="s">
        <v>80</v>
      </c>
    </row>
    <row r="1690" spans="1:26">
      <c r="A1690" t="s">
        <v>3724</v>
      </c>
      <c r="B1690" t="s">
        <v>3724</v>
      </c>
      <c r="C1690" s="4">
        <v>45824</v>
      </c>
      <c r="D1690">
        <v>2025</v>
      </c>
      <c r="E1690">
        <v>6</v>
      </c>
      <c r="F1690" t="s">
        <v>22</v>
      </c>
      <c r="G1690" t="s">
        <v>74</v>
      </c>
      <c r="H1690" t="s">
        <v>646</v>
      </c>
      <c r="I1690" t="s">
        <v>350</v>
      </c>
      <c r="J1690" t="s">
        <v>723</v>
      </c>
      <c r="K1690" t="s">
        <v>1486</v>
      </c>
      <c r="L1690">
        <v>5</v>
      </c>
      <c r="M1690" s="5">
        <v>345.01</v>
      </c>
      <c r="N1690" s="6">
        <v>0</v>
      </c>
      <c r="O1690" s="5">
        <v>0</v>
      </c>
      <c r="P1690" s="5">
        <v>258.76</v>
      </c>
      <c r="Q1690" s="5">
        <v>1725.05</v>
      </c>
      <c r="R1690" s="5">
        <v>1081.6</v>
      </c>
      <c r="S1690" s="5">
        <v>643.45</v>
      </c>
      <c r="T1690" s="7">
        <v>0.373003681052723</v>
      </c>
      <c r="U1690" t="s">
        <v>9</v>
      </c>
      <c r="V1690" t="s">
        <v>50</v>
      </c>
      <c r="W1690" t="s">
        <v>50</v>
      </c>
      <c r="X1690" t="s">
        <v>33</v>
      </c>
      <c r="Y1690" t="s">
        <v>1881</v>
      </c>
      <c r="Z1690" t="s">
        <v>101</v>
      </c>
    </row>
    <row r="1691" spans="1:26">
      <c r="A1691" t="s">
        <v>3725</v>
      </c>
      <c r="B1691" t="s">
        <v>3725</v>
      </c>
      <c r="C1691" s="4">
        <v>45923</v>
      </c>
      <c r="D1691">
        <v>2025</v>
      </c>
      <c r="E1691">
        <v>9</v>
      </c>
      <c r="F1691" t="s">
        <v>25</v>
      </c>
      <c r="G1691" t="s">
        <v>89</v>
      </c>
      <c r="H1691" t="s">
        <v>828</v>
      </c>
      <c r="I1691" t="s">
        <v>186</v>
      </c>
      <c r="J1691" t="s">
        <v>1107</v>
      </c>
      <c r="K1691" t="s">
        <v>1108</v>
      </c>
      <c r="L1691">
        <v>2</v>
      </c>
      <c r="M1691" s="5">
        <v>93.47</v>
      </c>
      <c r="N1691" s="6">
        <v>0</v>
      </c>
      <c r="O1691" s="5">
        <v>0</v>
      </c>
      <c r="P1691" s="5">
        <v>28.04</v>
      </c>
      <c r="Q1691" s="5">
        <v>186.94</v>
      </c>
      <c r="R1691" s="5">
        <v>144.58</v>
      </c>
      <c r="S1691" s="5">
        <v>42.36</v>
      </c>
      <c r="T1691" s="7">
        <v>0.226596769016797</v>
      </c>
      <c r="U1691" t="s">
        <v>9</v>
      </c>
      <c r="V1691" t="s">
        <v>51</v>
      </c>
      <c r="W1691" t="s">
        <v>51</v>
      </c>
      <c r="X1691" t="s">
        <v>33</v>
      </c>
      <c r="Y1691" t="s">
        <v>1945</v>
      </c>
      <c r="Z1691" t="s">
        <v>101</v>
      </c>
    </row>
    <row r="1692" spans="1:26">
      <c r="A1692" t="s">
        <v>3726</v>
      </c>
      <c r="B1692" t="s">
        <v>3726</v>
      </c>
      <c r="C1692" s="4">
        <v>46090</v>
      </c>
      <c r="D1692">
        <v>2026</v>
      </c>
      <c r="E1692">
        <v>3</v>
      </c>
      <c r="F1692" t="s">
        <v>19</v>
      </c>
      <c r="G1692" t="s">
        <v>82</v>
      </c>
      <c r="H1692" t="s">
        <v>1018</v>
      </c>
      <c r="I1692" t="s">
        <v>543</v>
      </c>
      <c r="J1692" t="s">
        <v>460</v>
      </c>
      <c r="K1692" t="s">
        <v>461</v>
      </c>
      <c r="L1692">
        <v>8</v>
      </c>
      <c r="M1692" s="5">
        <v>442.74</v>
      </c>
      <c r="N1692" s="6">
        <v>15</v>
      </c>
      <c r="O1692" s="5">
        <v>531.29</v>
      </c>
      <c r="P1692" s="5">
        <v>451.59</v>
      </c>
      <c r="Q1692" s="5">
        <v>3010.63</v>
      </c>
      <c r="R1692" s="5">
        <v>2779.76</v>
      </c>
      <c r="S1692" s="5">
        <v>230.87</v>
      </c>
      <c r="T1692" s="7">
        <v>0.0766849463401348</v>
      </c>
      <c r="U1692" t="s">
        <v>11</v>
      </c>
      <c r="V1692" t="s">
        <v>50</v>
      </c>
      <c r="W1692" t="s">
        <v>50</v>
      </c>
      <c r="X1692" t="s">
        <v>35</v>
      </c>
      <c r="Y1692" t="s">
        <v>851</v>
      </c>
      <c r="Z1692" t="s">
        <v>101</v>
      </c>
    </row>
    <row r="1693" spans="1:26">
      <c r="A1693" t="s">
        <v>3727</v>
      </c>
      <c r="B1693" t="s">
        <v>3727</v>
      </c>
      <c r="C1693" s="4">
        <v>45957</v>
      </c>
      <c r="D1693">
        <v>2025</v>
      </c>
      <c r="E1693">
        <v>10</v>
      </c>
      <c r="F1693" t="s">
        <v>26</v>
      </c>
      <c r="G1693" t="s">
        <v>137</v>
      </c>
      <c r="H1693" t="s">
        <v>2178</v>
      </c>
      <c r="I1693" t="s">
        <v>338</v>
      </c>
      <c r="J1693" t="s">
        <v>445</v>
      </c>
      <c r="K1693" t="s">
        <v>1262</v>
      </c>
      <c r="L1693">
        <v>3</v>
      </c>
      <c r="M1693" s="5">
        <v>210.36</v>
      </c>
      <c r="N1693" s="6">
        <v>0</v>
      </c>
      <c r="O1693" s="5">
        <v>0</v>
      </c>
      <c r="P1693" s="5">
        <v>94.66</v>
      </c>
      <c r="Q1693" s="5">
        <v>631.08</v>
      </c>
      <c r="R1693" s="5">
        <v>466.95</v>
      </c>
      <c r="S1693" s="5">
        <v>164.13</v>
      </c>
      <c r="T1693" s="7">
        <v>0.260077961589656</v>
      </c>
      <c r="U1693" t="s">
        <v>13</v>
      </c>
      <c r="V1693" t="s">
        <v>50</v>
      </c>
      <c r="W1693" t="s">
        <v>50</v>
      </c>
      <c r="X1693" t="s">
        <v>33</v>
      </c>
      <c r="Y1693" t="s">
        <v>320</v>
      </c>
      <c r="Z1693" t="s">
        <v>101</v>
      </c>
    </row>
    <row r="1694" spans="1:26">
      <c r="A1694" t="s">
        <v>3728</v>
      </c>
      <c r="B1694" t="s">
        <v>3728</v>
      </c>
      <c r="C1694" s="4">
        <v>45933</v>
      </c>
      <c r="D1694">
        <v>2025</v>
      </c>
      <c r="E1694">
        <v>10</v>
      </c>
      <c r="F1694" t="s">
        <v>26</v>
      </c>
      <c r="G1694" t="s">
        <v>137</v>
      </c>
      <c r="H1694" t="s">
        <v>1018</v>
      </c>
      <c r="I1694" t="s">
        <v>362</v>
      </c>
      <c r="J1694" t="s">
        <v>665</v>
      </c>
      <c r="K1694" t="s">
        <v>666</v>
      </c>
      <c r="L1694">
        <v>3</v>
      </c>
      <c r="M1694" s="5">
        <v>346.96</v>
      </c>
      <c r="N1694" s="6">
        <v>15</v>
      </c>
      <c r="O1694" s="5">
        <v>156.13</v>
      </c>
      <c r="P1694" s="5">
        <v>132.71</v>
      </c>
      <c r="Q1694" s="5">
        <v>884.75</v>
      </c>
      <c r="R1694" s="5">
        <v>741.75</v>
      </c>
      <c r="S1694" s="5">
        <v>143</v>
      </c>
      <c r="T1694" s="7">
        <v>0.161627578411981</v>
      </c>
      <c r="U1694" t="s">
        <v>10</v>
      </c>
      <c r="V1694" t="s">
        <v>50</v>
      </c>
      <c r="W1694" t="s">
        <v>50</v>
      </c>
      <c r="X1694" t="s">
        <v>33</v>
      </c>
      <c r="Y1694" t="s">
        <v>804</v>
      </c>
      <c r="Z1694" t="s">
        <v>101</v>
      </c>
    </row>
    <row r="1695" spans="1:26">
      <c r="A1695" t="s">
        <v>3729</v>
      </c>
      <c r="B1695" t="s">
        <v>3729</v>
      </c>
      <c r="C1695" s="4">
        <v>45837</v>
      </c>
      <c r="D1695">
        <v>2025</v>
      </c>
      <c r="E1695">
        <v>6</v>
      </c>
      <c r="F1695" t="s">
        <v>22</v>
      </c>
      <c r="G1695" t="s">
        <v>74</v>
      </c>
      <c r="H1695" t="s">
        <v>2823</v>
      </c>
      <c r="I1695" t="s">
        <v>787</v>
      </c>
      <c r="J1695" t="s">
        <v>39</v>
      </c>
      <c r="K1695" t="s">
        <v>313</v>
      </c>
      <c r="L1695">
        <v>2</v>
      </c>
      <c r="M1695" s="5">
        <v>168.36</v>
      </c>
      <c r="N1695" s="6">
        <v>0</v>
      </c>
      <c r="O1695" s="5">
        <v>0</v>
      </c>
      <c r="P1695" s="5">
        <v>50.51</v>
      </c>
      <c r="Q1695" s="5">
        <v>387.23</v>
      </c>
      <c r="R1695" s="5">
        <v>204.46</v>
      </c>
      <c r="S1695" s="5">
        <v>182.77</v>
      </c>
      <c r="T1695" s="7">
        <v>0.471993388941973</v>
      </c>
      <c r="U1695" t="s">
        <v>13</v>
      </c>
      <c r="V1695" t="s">
        <v>50</v>
      </c>
      <c r="W1695" t="s">
        <v>50</v>
      </c>
      <c r="X1695" t="s">
        <v>34</v>
      </c>
      <c r="Y1695" t="s">
        <v>483</v>
      </c>
      <c r="Z1695" t="s">
        <v>80</v>
      </c>
    </row>
    <row r="1696" spans="1:26">
      <c r="A1696" t="s">
        <v>3730</v>
      </c>
      <c r="B1696" t="s">
        <v>3730</v>
      </c>
      <c r="C1696" s="4">
        <v>46015</v>
      </c>
      <c r="D1696">
        <v>2025</v>
      </c>
      <c r="E1696">
        <v>12</v>
      </c>
      <c r="F1696" t="s">
        <v>28</v>
      </c>
      <c r="G1696" t="s">
        <v>137</v>
      </c>
      <c r="H1696" t="s">
        <v>693</v>
      </c>
      <c r="I1696" t="s">
        <v>362</v>
      </c>
      <c r="J1696" t="s">
        <v>2044</v>
      </c>
      <c r="K1696" t="s">
        <v>2171</v>
      </c>
      <c r="L1696">
        <v>5</v>
      </c>
      <c r="M1696" s="5">
        <v>329.69</v>
      </c>
      <c r="N1696" s="6">
        <v>5</v>
      </c>
      <c r="O1696" s="5">
        <v>82.42</v>
      </c>
      <c r="P1696" s="5">
        <v>234.9</v>
      </c>
      <c r="Q1696" s="5">
        <v>1566.03</v>
      </c>
      <c r="R1696" s="5">
        <v>1236.25</v>
      </c>
      <c r="S1696" s="5">
        <v>329.78</v>
      </c>
      <c r="T1696" s="7">
        <v>0.210583449870054</v>
      </c>
      <c r="U1696" t="s">
        <v>13</v>
      </c>
      <c r="V1696" t="s">
        <v>50</v>
      </c>
      <c r="W1696" t="s">
        <v>50</v>
      </c>
      <c r="X1696" t="s">
        <v>35</v>
      </c>
      <c r="Y1696" t="s">
        <v>3245</v>
      </c>
      <c r="Z1696" t="s">
        <v>101</v>
      </c>
    </row>
    <row r="1697" spans="1:26">
      <c r="A1697" t="s">
        <v>3731</v>
      </c>
      <c r="B1697" t="s">
        <v>3731</v>
      </c>
      <c r="C1697" s="4">
        <v>45972</v>
      </c>
      <c r="D1697">
        <v>2025</v>
      </c>
      <c r="E1697">
        <v>11</v>
      </c>
      <c r="F1697" t="s">
        <v>27</v>
      </c>
      <c r="G1697" t="s">
        <v>137</v>
      </c>
      <c r="H1697" t="s">
        <v>234</v>
      </c>
      <c r="I1697" t="s">
        <v>225</v>
      </c>
      <c r="J1697" t="s">
        <v>746</v>
      </c>
      <c r="K1697" t="s">
        <v>3691</v>
      </c>
      <c r="L1697">
        <v>3</v>
      </c>
      <c r="M1697" s="5">
        <v>398.76</v>
      </c>
      <c r="N1697" s="6">
        <v>5</v>
      </c>
      <c r="O1697" s="5">
        <v>59.81</v>
      </c>
      <c r="P1697" s="5">
        <v>170.47</v>
      </c>
      <c r="Q1697" s="5">
        <v>1136.47</v>
      </c>
      <c r="R1697" s="5">
        <v>910.23</v>
      </c>
      <c r="S1697" s="5">
        <v>226.24</v>
      </c>
      <c r="T1697" s="7">
        <v>0.199072566807747</v>
      </c>
      <c r="U1697" t="s">
        <v>11</v>
      </c>
      <c r="V1697" t="s">
        <v>50</v>
      </c>
      <c r="W1697" t="s">
        <v>50</v>
      </c>
      <c r="X1697" t="s">
        <v>33</v>
      </c>
      <c r="Y1697" t="s">
        <v>540</v>
      </c>
      <c r="Z1697" t="s">
        <v>101</v>
      </c>
    </row>
    <row r="1698" spans="1:26">
      <c r="A1698" t="s">
        <v>3732</v>
      </c>
      <c r="B1698" t="s">
        <v>3732</v>
      </c>
      <c r="C1698" s="4">
        <v>45815</v>
      </c>
      <c r="D1698">
        <v>2025</v>
      </c>
      <c r="E1698">
        <v>6</v>
      </c>
      <c r="F1698" t="s">
        <v>22</v>
      </c>
      <c r="G1698" t="s">
        <v>74</v>
      </c>
      <c r="H1698" t="s">
        <v>2717</v>
      </c>
      <c r="I1698" t="s">
        <v>157</v>
      </c>
      <c r="J1698" t="s">
        <v>47</v>
      </c>
      <c r="K1698" t="s">
        <v>1197</v>
      </c>
      <c r="L1698">
        <v>3</v>
      </c>
      <c r="M1698" s="5">
        <v>59.92</v>
      </c>
      <c r="N1698" s="6">
        <v>10</v>
      </c>
      <c r="O1698" s="5">
        <v>17.98</v>
      </c>
      <c r="P1698" s="5">
        <v>24.27</v>
      </c>
      <c r="Q1698" s="5">
        <v>186.05</v>
      </c>
      <c r="R1698" s="5">
        <v>144.45</v>
      </c>
      <c r="S1698" s="5">
        <v>41.6</v>
      </c>
      <c r="T1698" s="7">
        <v>0.223595807578608</v>
      </c>
      <c r="U1698" t="s">
        <v>13</v>
      </c>
      <c r="V1698" t="s">
        <v>50</v>
      </c>
      <c r="W1698" t="s">
        <v>50</v>
      </c>
      <c r="X1698" t="s">
        <v>35</v>
      </c>
      <c r="Y1698" t="s">
        <v>1615</v>
      </c>
      <c r="Z1698" t="s">
        <v>80</v>
      </c>
    </row>
    <row r="1699" spans="1:26">
      <c r="A1699" t="s">
        <v>3733</v>
      </c>
      <c r="B1699" t="s">
        <v>3733</v>
      </c>
      <c r="C1699" s="4">
        <v>45962</v>
      </c>
      <c r="D1699">
        <v>2025</v>
      </c>
      <c r="E1699">
        <v>11</v>
      </c>
      <c r="F1699" t="s">
        <v>27</v>
      </c>
      <c r="G1699" t="s">
        <v>137</v>
      </c>
      <c r="H1699" t="s">
        <v>712</v>
      </c>
      <c r="I1699" t="s">
        <v>1228</v>
      </c>
      <c r="J1699" t="s">
        <v>92</v>
      </c>
      <c r="K1699" t="s">
        <v>907</v>
      </c>
      <c r="L1699">
        <v>5</v>
      </c>
      <c r="M1699" s="5">
        <v>188.64</v>
      </c>
      <c r="N1699" s="6">
        <v>10</v>
      </c>
      <c r="O1699" s="5">
        <v>94.32</v>
      </c>
      <c r="P1699" s="5">
        <v>127.33</v>
      </c>
      <c r="Q1699" s="5">
        <v>976.21</v>
      </c>
      <c r="R1699" s="5">
        <v>791.4</v>
      </c>
      <c r="S1699" s="5">
        <v>184.81</v>
      </c>
      <c r="T1699" s="7">
        <v>0.189313774700116</v>
      </c>
      <c r="U1699" t="s">
        <v>12</v>
      </c>
      <c r="V1699" t="s">
        <v>50</v>
      </c>
      <c r="W1699" t="s">
        <v>50</v>
      </c>
      <c r="X1699" t="s">
        <v>33</v>
      </c>
      <c r="Y1699" t="s">
        <v>2550</v>
      </c>
      <c r="Z1699" t="s">
        <v>80</v>
      </c>
    </row>
    <row r="1700" spans="1:26">
      <c r="A1700" t="s">
        <v>3734</v>
      </c>
      <c r="B1700" t="s">
        <v>3734</v>
      </c>
      <c r="C1700" s="4">
        <v>46077</v>
      </c>
      <c r="D1700">
        <v>2026</v>
      </c>
      <c r="E1700">
        <v>2</v>
      </c>
      <c r="F1700" t="s">
        <v>31</v>
      </c>
      <c r="G1700" t="s">
        <v>82</v>
      </c>
      <c r="H1700" t="s">
        <v>1768</v>
      </c>
      <c r="I1700" t="s">
        <v>609</v>
      </c>
      <c r="J1700" t="s">
        <v>850</v>
      </c>
      <c r="K1700" t="s">
        <v>441</v>
      </c>
      <c r="L1700">
        <v>3</v>
      </c>
      <c r="M1700" s="5">
        <v>373.02</v>
      </c>
      <c r="N1700" s="6">
        <v>0</v>
      </c>
      <c r="O1700" s="5">
        <v>0</v>
      </c>
      <c r="P1700" s="5">
        <v>167.86</v>
      </c>
      <c r="Q1700" s="5">
        <v>1119.06</v>
      </c>
      <c r="R1700" s="5">
        <v>766.47</v>
      </c>
      <c r="S1700" s="5">
        <v>352.59</v>
      </c>
      <c r="T1700" s="7">
        <v>0.315076939574286</v>
      </c>
      <c r="U1700" t="s">
        <v>14</v>
      </c>
      <c r="V1700" t="s">
        <v>50</v>
      </c>
      <c r="W1700" t="s">
        <v>50</v>
      </c>
      <c r="X1700" t="s">
        <v>34</v>
      </c>
      <c r="Y1700" t="s">
        <v>3229</v>
      </c>
      <c r="Z1700" t="s">
        <v>101</v>
      </c>
    </row>
    <row r="1701" spans="1:26">
      <c r="A1701" t="s">
        <v>3735</v>
      </c>
      <c r="B1701" t="s">
        <v>3735</v>
      </c>
      <c r="C1701" s="4">
        <v>45944</v>
      </c>
      <c r="D1701">
        <v>2025</v>
      </c>
      <c r="E1701">
        <v>10</v>
      </c>
      <c r="F1701" t="s">
        <v>26</v>
      </c>
      <c r="G1701" t="s">
        <v>137</v>
      </c>
      <c r="H1701" t="s">
        <v>1421</v>
      </c>
      <c r="I1701" t="s">
        <v>323</v>
      </c>
      <c r="J1701" t="s">
        <v>45</v>
      </c>
      <c r="K1701" t="s">
        <v>1351</v>
      </c>
      <c r="L1701">
        <v>7</v>
      </c>
      <c r="M1701" s="5">
        <v>56.02</v>
      </c>
      <c r="N1701" s="6">
        <v>15</v>
      </c>
      <c r="O1701" s="5">
        <v>58.82</v>
      </c>
      <c r="P1701" s="5">
        <v>50</v>
      </c>
      <c r="Q1701" s="5">
        <v>333.32</v>
      </c>
      <c r="R1701" s="5">
        <v>262.36</v>
      </c>
      <c r="S1701" s="5">
        <v>70.96</v>
      </c>
      <c r="T1701" s="7">
        <v>0.212888515540622</v>
      </c>
      <c r="U1701" t="s">
        <v>14</v>
      </c>
      <c r="V1701" t="s">
        <v>50</v>
      </c>
      <c r="W1701" t="s">
        <v>50</v>
      </c>
      <c r="X1701" t="s">
        <v>33</v>
      </c>
      <c r="Y1701" t="s">
        <v>1000</v>
      </c>
      <c r="Z1701" t="s">
        <v>101</v>
      </c>
    </row>
    <row r="1702" spans="1:26">
      <c r="A1702" t="s">
        <v>3736</v>
      </c>
      <c r="B1702" t="s">
        <v>3736</v>
      </c>
      <c r="C1702" s="4">
        <v>45902</v>
      </c>
      <c r="D1702">
        <v>2025</v>
      </c>
      <c r="E1702">
        <v>9</v>
      </c>
      <c r="F1702" t="s">
        <v>25</v>
      </c>
      <c r="G1702" t="s">
        <v>89</v>
      </c>
      <c r="H1702" t="s">
        <v>1057</v>
      </c>
      <c r="I1702" t="s">
        <v>493</v>
      </c>
      <c r="J1702" t="s">
        <v>1409</v>
      </c>
      <c r="K1702" t="s">
        <v>2665</v>
      </c>
      <c r="L1702">
        <v>6</v>
      </c>
      <c r="M1702" s="5">
        <v>438.58</v>
      </c>
      <c r="N1702" s="6">
        <v>0</v>
      </c>
      <c r="O1702" s="5">
        <v>0</v>
      </c>
      <c r="P1702" s="5">
        <v>394.72</v>
      </c>
      <c r="Q1702" s="5">
        <v>2631.48</v>
      </c>
      <c r="R1702" s="5">
        <v>1921.14</v>
      </c>
      <c r="S1702" s="5">
        <v>710.34</v>
      </c>
      <c r="T1702" s="7">
        <v>0.26993934971955</v>
      </c>
      <c r="U1702" t="s">
        <v>14</v>
      </c>
      <c r="V1702" t="s">
        <v>50</v>
      </c>
      <c r="W1702" t="s">
        <v>50</v>
      </c>
      <c r="X1702" t="s">
        <v>34</v>
      </c>
      <c r="Y1702" t="s">
        <v>2934</v>
      </c>
      <c r="Z1702" t="s">
        <v>101</v>
      </c>
    </row>
    <row r="1703" spans="1:26">
      <c r="A1703" t="s">
        <v>3737</v>
      </c>
      <c r="B1703" t="s">
        <v>3737</v>
      </c>
      <c r="C1703" s="4">
        <v>45860</v>
      </c>
      <c r="D1703">
        <v>2025</v>
      </c>
      <c r="E1703">
        <v>7</v>
      </c>
      <c r="F1703" t="s">
        <v>23</v>
      </c>
      <c r="G1703" t="s">
        <v>89</v>
      </c>
      <c r="H1703" t="s">
        <v>2823</v>
      </c>
      <c r="I1703" t="s">
        <v>169</v>
      </c>
      <c r="J1703" t="s">
        <v>1107</v>
      </c>
      <c r="K1703" t="s">
        <v>1240</v>
      </c>
      <c r="L1703">
        <v>3</v>
      </c>
      <c r="M1703" s="5">
        <v>141.11</v>
      </c>
      <c r="N1703" s="6">
        <v>0</v>
      </c>
      <c r="O1703" s="5">
        <v>0</v>
      </c>
      <c r="P1703" s="5">
        <v>63.5</v>
      </c>
      <c r="Q1703" s="5">
        <v>423.33</v>
      </c>
      <c r="R1703" s="5">
        <v>347.73</v>
      </c>
      <c r="S1703" s="5">
        <v>75.6</v>
      </c>
      <c r="T1703" s="7">
        <v>0.178584083339239</v>
      </c>
      <c r="U1703" t="s">
        <v>11</v>
      </c>
      <c r="V1703" t="s">
        <v>50</v>
      </c>
      <c r="W1703" t="s">
        <v>50</v>
      </c>
      <c r="X1703" t="s">
        <v>34</v>
      </c>
      <c r="Y1703" t="s">
        <v>1674</v>
      </c>
      <c r="Z1703" t="s">
        <v>101</v>
      </c>
    </row>
    <row r="1704" spans="1:26">
      <c r="A1704" t="s">
        <v>3738</v>
      </c>
      <c r="B1704" t="s">
        <v>3738</v>
      </c>
      <c r="C1704" s="4">
        <v>45971</v>
      </c>
      <c r="D1704">
        <v>2025</v>
      </c>
      <c r="E1704">
        <v>11</v>
      </c>
      <c r="F1704" t="s">
        <v>27</v>
      </c>
      <c r="G1704" t="s">
        <v>137</v>
      </c>
      <c r="H1704" t="s">
        <v>3525</v>
      </c>
      <c r="I1704" t="s">
        <v>151</v>
      </c>
      <c r="J1704" t="s">
        <v>339</v>
      </c>
      <c r="K1704" t="s">
        <v>287</v>
      </c>
      <c r="L1704">
        <v>2</v>
      </c>
      <c r="M1704" s="5">
        <v>434.65</v>
      </c>
      <c r="N1704" s="6">
        <v>20</v>
      </c>
      <c r="O1704" s="5">
        <v>173.86</v>
      </c>
      <c r="P1704" s="5">
        <v>104.32</v>
      </c>
      <c r="Q1704" s="5">
        <v>695.44</v>
      </c>
      <c r="R1704" s="5">
        <v>703.26</v>
      </c>
      <c r="S1704" s="5">
        <v>-7.82</v>
      </c>
      <c r="T1704" s="7">
        <v>-0.0112446796272863</v>
      </c>
      <c r="U1704" t="s">
        <v>12</v>
      </c>
      <c r="V1704" t="s">
        <v>50</v>
      </c>
      <c r="W1704" t="s">
        <v>50</v>
      </c>
      <c r="X1704" t="s">
        <v>35</v>
      </c>
      <c r="Y1704" t="s">
        <v>2441</v>
      </c>
      <c r="Z1704" t="s">
        <v>101</v>
      </c>
    </row>
    <row r="1705" spans="1:26">
      <c r="A1705" t="s">
        <v>3739</v>
      </c>
      <c r="B1705" t="s">
        <v>3739</v>
      </c>
      <c r="C1705" s="4">
        <v>45864</v>
      </c>
      <c r="D1705">
        <v>2025</v>
      </c>
      <c r="E1705">
        <v>7</v>
      </c>
      <c r="F1705" t="s">
        <v>23</v>
      </c>
      <c r="G1705" t="s">
        <v>89</v>
      </c>
      <c r="H1705" t="s">
        <v>1838</v>
      </c>
      <c r="I1705" t="s">
        <v>338</v>
      </c>
      <c r="J1705" t="s">
        <v>1122</v>
      </c>
      <c r="K1705" t="s">
        <v>1123</v>
      </c>
      <c r="L1705">
        <v>5</v>
      </c>
      <c r="M1705" s="5">
        <v>225.21</v>
      </c>
      <c r="N1705" s="6">
        <v>15</v>
      </c>
      <c r="O1705" s="5">
        <v>168.91</v>
      </c>
      <c r="P1705" s="5">
        <v>143.57</v>
      </c>
      <c r="Q1705" s="5">
        <v>1100.71</v>
      </c>
      <c r="R1705" s="5">
        <v>778.25</v>
      </c>
      <c r="S1705" s="5">
        <v>322.46</v>
      </c>
      <c r="T1705" s="7">
        <v>0.29295636452835</v>
      </c>
      <c r="U1705" t="s">
        <v>11</v>
      </c>
      <c r="V1705" t="s">
        <v>50</v>
      </c>
      <c r="W1705" t="s">
        <v>50</v>
      </c>
      <c r="X1705" t="s">
        <v>33</v>
      </c>
      <c r="Y1705" t="s">
        <v>3740</v>
      </c>
      <c r="Z1705" t="s">
        <v>80</v>
      </c>
    </row>
    <row r="1706" spans="1:26">
      <c r="A1706" t="s">
        <v>3741</v>
      </c>
      <c r="B1706" t="s">
        <v>3741</v>
      </c>
      <c r="C1706" s="4">
        <v>45960</v>
      </c>
      <c r="D1706">
        <v>2025</v>
      </c>
      <c r="E1706">
        <v>10</v>
      </c>
      <c r="F1706" t="s">
        <v>26</v>
      </c>
      <c r="G1706" t="s">
        <v>137</v>
      </c>
      <c r="H1706" t="s">
        <v>1054</v>
      </c>
      <c r="I1706" t="s">
        <v>844</v>
      </c>
      <c r="J1706" t="s">
        <v>1834</v>
      </c>
      <c r="K1706" t="s">
        <v>1835</v>
      </c>
      <c r="L1706">
        <v>3</v>
      </c>
      <c r="M1706" s="5">
        <v>320.26</v>
      </c>
      <c r="N1706" s="6">
        <v>10</v>
      </c>
      <c r="O1706" s="5">
        <v>96.08</v>
      </c>
      <c r="P1706" s="5">
        <v>129.7</v>
      </c>
      <c r="Q1706" s="5">
        <v>864.7</v>
      </c>
      <c r="R1706" s="5">
        <v>752.07</v>
      </c>
      <c r="S1706" s="5">
        <v>112.63</v>
      </c>
      <c r="T1706" s="7">
        <v>0.130253267029027</v>
      </c>
      <c r="U1706" t="s">
        <v>11</v>
      </c>
      <c r="V1706" t="s">
        <v>50</v>
      </c>
      <c r="W1706" t="s">
        <v>50</v>
      </c>
      <c r="X1706" t="s">
        <v>34</v>
      </c>
      <c r="Y1706" t="s">
        <v>1483</v>
      </c>
      <c r="Z1706" t="s">
        <v>101</v>
      </c>
    </row>
    <row r="1707" spans="1:26">
      <c r="A1707" t="s">
        <v>3742</v>
      </c>
      <c r="B1707" t="s">
        <v>3742</v>
      </c>
      <c r="C1707" s="4">
        <v>46092</v>
      </c>
      <c r="D1707">
        <v>2026</v>
      </c>
      <c r="E1707">
        <v>3</v>
      </c>
      <c r="F1707" t="s">
        <v>19</v>
      </c>
      <c r="G1707" t="s">
        <v>82</v>
      </c>
      <c r="H1707" t="s">
        <v>2377</v>
      </c>
      <c r="I1707" t="s">
        <v>854</v>
      </c>
      <c r="J1707" t="s">
        <v>296</v>
      </c>
      <c r="K1707" t="s">
        <v>297</v>
      </c>
      <c r="L1707">
        <v>3</v>
      </c>
      <c r="M1707" s="5">
        <v>530.16</v>
      </c>
      <c r="N1707" s="6">
        <v>0</v>
      </c>
      <c r="O1707" s="5">
        <v>0</v>
      </c>
      <c r="P1707" s="5">
        <v>238.57</v>
      </c>
      <c r="Q1707" s="5">
        <v>1590.48</v>
      </c>
      <c r="R1707" s="5">
        <v>1137.57</v>
      </c>
      <c r="S1707" s="5">
        <v>452.91</v>
      </c>
      <c r="T1707" s="7">
        <v>0.284763090387807</v>
      </c>
      <c r="U1707" t="s">
        <v>10</v>
      </c>
      <c r="V1707" t="s">
        <v>50</v>
      </c>
      <c r="W1707" t="s">
        <v>50</v>
      </c>
      <c r="X1707" t="s">
        <v>35</v>
      </c>
      <c r="Y1707" t="s">
        <v>2468</v>
      </c>
      <c r="Z1707" t="s">
        <v>101</v>
      </c>
    </row>
    <row r="1708" spans="1:26">
      <c r="A1708" t="s">
        <v>3743</v>
      </c>
      <c r="B1708" t="s">
        <v>3743</v>
      </c>
      <c r="C1708" s="4">
        <v>46098</v>
      </c>
      <c r="D1708">
        <v>2026</v>
      </c>
      <c r="E1708">
        <v>3</v>
      </c>
      <c r="F1708" t="s">
        <v>19</v>
      </c>
      <c r="G1708" t="s">
        <v>82</v>
      </c>
      <c r="H1708" t="s">
        <v>306</v>
      </c>
      <c r="I1708" t="s">
        <v>196</v>
      </c>
      <c r="J1708" t="s">
        <v>742</v>
      </c>
      <c r="K1708" t="s">
        <v>743</v>
      </c>
      <c r="L1708">
        <v>6</v>
      </c>
      <c r="M1708" s="5">
        <v>362.16</v>
      </c>
      <c r="N1708" s="6">
        <v>10</v>
      </c>
      <c r="O1708" s="5">
        <v>217.3</v>
      </c>
      <c r="P1708" s="5">
        <v>293.35</v>
      </c>
      <c r="Q1708" s="5">
        <v>1955.66</v>
      </c>
      <c r="R1708" s="5">
        <v>1567.32</v>
      </c>
      <c r="S1708" s="5">
        <v>388.34</v>
      </c>
      <c r="T1708" s="7">
        <v>0.198572348976816</v>
      </c>
      <c r="U1708" t="s">
        <v>12</v>
      </c>
      <c r="V1708" t="s">
        <v>50</v>
      </c>
      <c r="W1708" t="s">
        <v>50</v>
      </c>
      <c r="X1708" t="s">
        <v>33</v>
      </c>
      <c r="Y1708" t="s">
        <v>2501</v>
      </c>
      <c r="Z1708" t="s">
        <v>101</v>
      </c>
    </row>
    <row r="1709" spans="1:26">
      <c r="A1709" t="s">
        <v>3744</v>
      </c>
      <c r="B1709" t="s">
        <v>3744</v>
      </c>
      <c r="C1709" s="4">
        <v>45934</v>
      </c>
      <c r="D1709">
        <v>2025</v>
      </c>
      <c r="E1709">
        <v>10</v>
      </c>
      <c r="F1709" t="s">
        <v>26</v>
      </c>
      <c r="G1709" t="s">
        <v>137</v>
      </c>
      <c r="H1709" t="s">
        <v>2420</v>
      </c>
      <c r="I1709" t="s">
        <v>774</v>
      </c>
      <c r="J1709" t="s">
        <v>1971</v>
      </c>
      <c r="K1709" t="s">
        <v>1416</v>
      </c>
      <c r="L1709">
        <v>5</v>
      </c>
      <c r="M1709" s="5">
        <v>661.91</v>
      </c>
      <c r="N1709" s="6">
        <v>0</v>
      </c>
      <c r="O1709" s="5">
        <v>0</v>
      </c>
      <c r="P1709" s="5">
        <v>496.43</v>
      </c>
      <c r="Q1709" s="5">
        <v>3805.98</v>
      </c>
      <c r="R1709" s="5">
        <v>1993.6</v>
      </c>
      <c r="S1709" s="5">
        <v>1812.38</v>
      </c>
      <c r="T1709" s="7">
        <v>0.476192728285488</v>
      </c>
      <c r="U1709" t="s">
        <v>14</v>
      </c>
      <c r="V1709" t="s">
        <v>50</v>
      </c>
      <c r="W1709" t="s">
        <v>50</v>
      </c>
      <c r="X1709" t="s">
        <v>34</v>
      </c>
      <c r="Y1709" t="s">
        <v>739</v>
      </c>
      <c r="Z1709" t="s">
        <v>80</v>
      </c>
    </row>
    <row r="1710" spans="1:26">
      <c r="A1710" t="s">
        <v>3745</v>
      </c>
      <c r="B1710" t="s">
        <v>3745</v>
      </c>
      <c r="C1710" s="4">
        <v>46059</v>
      </c>
      <c r="D1710">
        <v>2026</v>
      </c>
      <c r="E1710">
        <v>2</v>
      </c>
      <c r="F1710" t="s">
        <v>31</v>
      </c>
      <c r="G1710" t="s">
        <v>82</v>
      </c>
      <c r="H1710" t="s">
        <v>2778</v>
      </c>
      <c r="I1710" t="s">
        <v>928</v>
      </c>
      <c r="J1710" t="s">
        <v>558</v>
      </c>
      <c r="K1710" t="s">
        <v>1402</v>
      </c>
      <c r="L1710">
        <v>3</v>
      </c>
      <c r="M1710" s="5">
        <v>232.92</v>
      </c>
      <c r="N1710" s="6">
        <v>15</v>
      </c>
      <c r="O1710" s="5">
        <v>104.81</v>
      </c>
      <c r="P1710" s="5">
        <v>89.09</v>
      </c>
      <c r="Q1710" s="5">
        <v>593.95</v>
      </c>
      <c r="R1710" s="5">
        <v>577.23</v>
      </c>
      <c r="S1710" s="5">
        <v>16.72</v>
      </c>
      <c r="T1710" s="7">
        <v>0.0281505177203468</v>
      </c>
      <c r="U1710" t="s">
        <v>9</v>
      </c>
      <c r="V1710" t="s">
        <v>50</v>
      </c>
      <c r="W1710" t="s">
        <v>50</v>
      </c>
      <c r="X1710" t="s">
        <v>33</v>
      </c>
      <c r="Y1710" t="s">
        <v>2239</v>
      </c>
      <c r="Z1710" t="s">
        <v>101</v>
      </c>
    </row>
    <row r="1711" spans="1:26">
      <c r="A1711" t="s">
        <v>3746</v>
      </c>
      <c r="B1711" t="s">
        <v>3746</v>
      </c>
      <c r="C1711" s="4">
        <v>45813</v>
      </c>
      <c r="D1711">
        <v>2025</v>
      </c>
      <c r="E1711">
        <v>6</v>
      </c>
      <c r="F1711" t="s">
        <v>22</v>
      </c>
      <c r="G1711" t="s">
        <v>74</v>
      </c>
      <c r="H1711" t="s">
        <v>918</v>
      </c>
      <c r="I1711" t="s">
        <v>328</v>
      </c>
      <c r="J1711" t="s">
        <v>280</v>
      </c>
      <c r="K1711" t="s">
        <v>1702</v>
      </c>
      <c r="L1711">
        <v>7</v>
      </c>
      <c r="M1711" s="5">
        <v>130.2</v>
      </c>
      <c r="N1711" s="6">
        <v>0</v>
      </c>
      <c r="O1711" s="5">
        <v>0</v>
      </c>
      <c r="P1711" s="5">
        <v>136.71</v>
      </c>
      <c r="Q1711" s="5">
        <v>911.4</v>
      </c>
      <c r="R1711" s="5">
        <v>681.45</v>
      </c>
      <c r="S1711" s="5">
        <v>229.95</v>
      </c>
      <c r="T1711" s="7">
        <v>0.252304147465438</v>
      </c>
      <c r="U1711" t="s">
        <v>13</v>
      </c>
      <c r="V1711" t="s">
        <v>50</v>
      </c>
      <c r="W1711" t="s">
        <v>50</v>
      </c>
      <c r="X1711" t="s">
        <v>33</v>
      </c>
      <c r="Y1711" t="s">
        <v>193</v>
      </c>
      <c r="Z1711" t="s">
        <v>101</v>
      </c>
    </row>
    <row r="1712" spans="1:26">
      <c r="A1712" t="s">
        <v>3747</v>
      </c>
      <c r="B1712" t="s">
        <v>3747</v>
      </c>
      <c r="C1712" s="4">
        <v>45789</v>
      </c>
      <c r="D1712">
        <v>2025</v>
      </c>
      <c r="E1712">
        <v>5</v>
      </c>
      <c r="F1712" t="s">
        <v>21</v>
      </c>
      <c r="G1712" t="s">
        <v>74</v>
      </c>
      <c r="H1712" t="s">
        <v>3238</v>
      </c>
      <c r="I1712" t="s">
        <v>332</v>
      </c>
      <c r="J1712" t="s">
        <v>257</v>
      </c>
      <c r="K1712" t="s">
        <v>258</v>
      </c>
      <c r="L1712">
        <v>6</v>
      </c>
      <c r="M1712" s="5">
        <v>75.34</v>
      </c>
      <c r="N1712" s="6">
        <v>0</v>
      </c>
      <c r="O1712" s="5">
        <v>0</v>
      </c>
      <c r="P1712" s="5">
        <v>67.81</v>
      </c>
      <c r="Q1712" s="5">
        <v>452.04</v>
      </c>
      <c r="R1712" s="5">
        <v>325.92</v>
      </c>
      <c r="S1712" s="5">
        <v>126.12</v>
      </c>
      <c r="T1712" s="7">
        <v>0.279001858242633</v>
      </c>
      <c r="U1712" t="s">
        <v>14</v>
      </c>
      <c r="V1712" t="s">
        <v>50</v>
      </c>
      <c r="W1712" t="s">
        <v>50</v>
      </c>
      <c r="X1712" t="s">
        <v>35</v>
      </c>
      <c r="Y1712" t="s">
        <v>87</v>
      </c>
      <c r="Z1712" t="s">
        <v>101</v>
      </c>
    </row>
    <row r="1713" spans="1:26">
      <c r="A1713" t="s">
        <v>3748</v>
      </c>
      <c r="B1713" t="s">
        <v>3748</v>
      </c>
      <c r="C1713" s="4">
        <v>45941</v>
      </c>
      <c r="D1713">
        <v>2025</v>
      </c>
      <c r="E1713">
        <v>10</v>
      </c>
      <c r="F1713" t="s">
        <v>26</v>
      </c>
      <c r="G1713" t="s">
        <v>137</v>
      </c>
      <c r="H1713" t="s">
        <v>2576</v>
      </c>
      <c r="I1713" t="s">
        <v>615</v>
      </c>
      <c r="J1713" t="s">
        <v>396</v>
      </c>
      <c r="K1713" t="s">
        <v>1297</v>
      </c>
      <c r="L1713">
        <v>4</v>
      </c>
      <c r="M1713" s="5">
        <v>47.48</v>
      </c>
      <c r="N1713" s="6">
        <v>0</v>
      </c>
      <c r="O1713" s="5">
        <v>0</v>
      </c>
      <c r="P1713" s="5">
        <v>28.49</v>
      </c>
      <c r="Q1713" s="5">
        <v>218.41</v>
      </c>
      <c r="R1713" s="5">
        <v>146.6</v>
      </c>
      <c r="S1713" s="5">
        <v>71.81</v>
      </c>
      <c r="T1713" s="7">
        <v>0.328785312027838</v>
      </c>
      <c r="U1713" t="s">
        <v>10</v>
      </c>
      <c r="V1713" t="s">
        <v>50</v>
      </c>
      <c r="W1713" t="s">
        <v>50</v>
      </c>
      <c r="X1713" t="s">
        <v>33</v>
      </c>
      <c r="Y1713" t="s">
        <v>1647</v>
      </c>
      <c r="Z1713" t="s">
        <v>80</v>
      </c>
    </row>
    <row r="1714" spans="1:26">
      <c r="A1714" t="s">
        <v>3749</v>
      </c>
      <c r="B1714" t="s">
        <v>3749</v>
      </c>
      <c r="C1714" s="4">
        <v>45895</v>
      </c>
      <c r="D1714">
        <v>2025</v>
      </c>
      <c r="E1714">
        <v>8</v>
      </c>
      <c r="F1714" t="s">
        <v>24</v>
      </c>
      <c r="G1714" t="s">
        <v>89</v>
      </c>
      <c r="H1714" t="s">
        <v>3194</v>
      </c>
      <c r="I1714" t="s">
        <v>285</v>
      </c>
      <c r="J1714" t="s">
        <v>1834</v>
      </c>
      <c r="K1714" t="s">
        <v>1835</v>
      </c>
      <c r="L1714">
        <v>8</v>
      </c>
      <c r="M1714" s="5">
        <v>599.45</v>
      </c>
      <c r="N1714" s="6">
        <v>5</v>
      </c>
      <c r="O1714" s="5">
        <v>239.78</v>
      </c>
      <c r="P1714" s="5">
        <v>683.37</v>
      </c>
      <c r="Q1714" s="5"/>
      <c r="R1714" s="5">
        <v>2691.2</v>
      </c>
      <c r="S1714" s="5">
        <v>1864.62</v>
      </c>
      <c r="T1714" s="7"/>
      <c r="U1714" t="s">
        <v>9</v>
      </c>
      <c r="V1714" t="s">
        <v>50</v>
      </c>
      <c r="W1714" t="s">
        <v>50</v>
      </c>
      <c r="X1714" t="s">
        <v>33</v>
      </c>
      <c r="Y1714" t="s">
        <v>183</v>
      </c>
      <c r="Z1714" t="s">
        <v>101</v>
      </c>
    </row>
    <row r="1715" spans="1:26">
      <c r="A1715" t="s">
        <v>3750</v>
      </c>
      <c r="B1715" t="s">
        <v>3750</v>
      </c>
      <c r="C1715" s="4">
        <v>45803</v>
      </c>
      <c r="D1715">
        <v>2025</v>
      </c>
      <c r="E1715">
        <v>5</v>
      </c>
      <c r="F1715" t="s">
        <v>21</v>
      </c>
      <c r="G1715" t="s">
        <v>74</v>
      </c>
      <c r="H1715" t="s">
        <v>1227</v>
      </c>
      <c r="I1715" t="s">
        <v>493</v>
      </c>
      <c r="J1715" t="s">
        <v>1781</v>
      </c>
      <c r="K1715" t="s">
        <v>1782</v>
      </c>
      <c r="L1715">
        <v>4</v>
      </c>
      <c r="M1715" s="5">
        <v>432.79</v>
      </c>
      <c r="N1715" s="6">
        <v>0</v>
      </c>
      <c r="O1715" s="5">
        <v>0</v>
      </c>
      <c r="P1715" s="5">
        <v>259.67</v>
      </c>
      <c r="Q1715" s="5">
        <v>1731.16</v>
      </c>
      <c r="R1715" s="5">
        <v>1280.76</v>
      </c>
      <c r="S1715" s="5">
        <v>450.4</v>
      </c>
      <c r="T1715" s="7">
        <v>0.26017236997158</v>
      </c>
      <c r="U1715" t="s">
        <v>12</v>
      </c>
      <c r="V1715" t="s">
        <v>50</v>
      </c>
      <c r="W1715" t="s">
        <v>50</v>
      </c>
      <c r="X1715" t="s">
        <v>33</v>
      </c>
      <c r="Y1715" t="s">
        <v>1202</v>
      </c>
      <c r="Z1715" t="s">
        <v>101</v>
      </c>
    </row>
    <row r="1716" spans="1:26">
      <c r="A1716" t="s">
        <v>3751</v>
      </c>
      <c r="B1716" t="s">
        <v>3751</v>
      </c>
      <c r="C1716" s="4">
        <v>46025</v>
      </c>
      <c r="D1716">
        <v>2026</v>
      </c>
      <c r="E1716">
        <v>1</v>
      </c>
      <c r="F1716" t="s">
        <v>30</v>
      </c>
      <c r="G1716" t="s">
        <v>82</v>
      </c>
      <c r="H1716" t="s">
        <v>3069</v>
      </c>
      <c r="I1716" t="s">
        <v>225</v>
      </c>
      <c r="J1716" t="s">
        <v>47</v>
      </c>
      <c r="K1716" t="s">
        <v>1197</v>
      </c>
      <c r="L1716">
        <v>3</v>
      </c>
      <c r="M1716" s="5">
        <v>355.64</v>
      </c>
      <c r="N1716" s="6">
        <v>15</v>
      </c>
      <c r="O1716" s="5">
        <v>160.04</v>
      </c>
      <c r="P1716" s="5">
        <v>136.03</v>
      </c>
      <c r="Q1716" s="5">
        <v>1042.91</v>
      </c>
      <c r="R1716" s="5">
        <v>910.23</v>
      </c>
      <c r="S1716" s="5">
        <v>132.68</v>
      </c>
      <c r="T1716" s="7">
        <v>0.127220949075184</v>
      </c>
      <c r="U1716" t="s">
        <v>11</v>
      </c>
      <c r="V1716" t="s">
        <v>50</v>
      </c>
      <c r="W1716" t="s">
        <v>50</v>
      </c>
      <c r="X1716" t="s">
        <v>35</v>
      </c>
      <c r="Y1716" t="s">
        <v>3752</v>
      </c>
      <c r="Z1716" t="s">
        <v>80</v>
      </c>
    </row>
    <row r="1717" spans="1:26">
      <c r="A1717" t="s">
        <v>3753</v>
      </c>
      <c r="B1717" t="s">
        <v>3753</v>
      </c>
      <c r="C1717" s="4">
        <v>45984</v>
      </c>
      <c r="D1717">
        <v>2025</v>
      </c>
      <c r="E1717">
        <v>11</v>
      </c>
      <c r="F1717" t="s">
        <v>27</v>
      </c>
      <c r="G1717" t="s">
        <v>137</v>
      </c>
      <c r="H1717" t="s">
        <v>443</v>
      </c>
      <c r="I1717" t="s">
        <v>503</v>
      </c>
      <c r="J1717" t="s">
        <v>2513</v>
      </c>
      <c r="K1717" t="s">
        <v>1916</v>
      </c>
      <c r="L1717">
        <v>3</v>
      </c>
      <c r="M1717" s="5">
        <v>71.29</v>
      </c>
      <c r="N1717" s="6">
        <v>0</v>
      </c>
      <c r="O1717" s="5">
        <v>0</v>
      </c>
      <c r="P1717" s="5">
        <v>32.08</v>
      </c>
      <c r="Q1717" s="5">
        <v>245.95</v>
      </c>
      <c r="R1717" s="5">
        <v>178.11</v>
      </c>
      <c r="S1717" s="5">
        <v>67.84</v>
      </c>
      <c r="T1717" s="7">
        <v>0.275828420410653</v>
      </c>
      <c r="U1717" t="s">
        <v>12</v>
      </c>
      <c r="V1717" t="s">
        <v>50</v>
      </c>
      <c r="W1717" t="s">
        <v>50</v>
      </c>
      <c r="X1717" t="s">
        <v>33</v>
      </c>
      <c r="Y1717" t="s">
        <v>1986</v>
      </c>
      <c r="Z1717" t="s">
        <v>80</v>
      </c>
    </row>
    <row r="1718" spans="1:26">
      <c r="A1718" t="s">
        <v>3754</v>
      </c>
      <c r="B1718" t="s">
        <v>3754</v>
      </c>
      <c r="C1718" s="4">
        <v>45899</v>
      </c>
      <c r="D1718">
        <v>2025</v>
      </c>
      <c r="E1718">
        <v>8</v>
      </c>
      <c r="F1718" t="s">
        <v>24</v>
      </c>
      <c r="G1718" t="s">
        <v>89</v>
      </c>
      <c r="H1718" t="s">
        <v>1651</v>
      </c>
      <c r="I1718" t="s">
        <v>947</v>
      </c>
      <c r="J1718" t="s">
        <v>38</v>
      </c>
      <c r="K1718" t="s">
        <v>236</v>
      </c>
      <c r="L1718">
        <v>5</v>
      </c>
      <c r="M1718" s="5">
        <v>464.41</v>
      </c>
      <c r="N1718" s="6">
        <v>15</v>
      </c>
      <c r="O1718" s="5">
        <v>348.31</v>
      </c>
      <c r="P1718" s="5">
        <v>296.06</v>
      </c>
      <c r="Q1718" s="5">
        <v>2269.8</v>
      </c>
      <c r="R1718" s="5">
        <v>1988.45</v>
      </c>
      <c r="S1718" s="5">
        <v>281.35</v>
      </c>
      <c r="T1718" s="7">
        <v>0.123953652304168</v>
      </c>
      <c r="U1718" t="s">
        <v>12</v>
      </c>
      <c r="V1718" t="s">
        <v>50</v>
      </c>
      <c r="W1718" t="s">
        <v>50</v>
      </c>
      <c r="X1718" t="s">
        <v>33</v>
      </c>
      <c r="Y1718" t="s">
        <v>3755</v>
      </c>
      <c r="Z1718" t="s">
        <v>80</v>
      </c>
    </row>
    <row r="1719" spans="1:26">
      <c r="A1719" t="s">
        <v>3756</v>
      </c>
      <c r="B1719" t="s">
        <v>3756</v>
      </c>
      <c r="C1719" s="4">
        <v>45967</v>
      </c>
      <c r="D1719">
        <v>2025</v>
      </c>
      <c r="E1719">
        <v>11</v>
      </c>
      <c r="F1719" t="s">
        <v>27</v>
      </c>
      <c r="G1719" t="s">
        <v>137</v>
      </c>
      <c r="H1719" t="s">
        <v>250</v>
      </c>
      <c r="I1719" t="s">
        <v>163</v>
      </c>
      <c r="J1719" t="s">
        <v>998</v>
      </c>
      <c r="K1719" t="s">
        <v>999</v>
      </c>
      <c r="L1719">
        <v>2</v>
      </c>
      <c r="M1719" s="5">
        <v>253.11</v>
      </c>
      <c r="N1719" s="6">
        <v>15</v>
      </c>
      <c r="O1719" s="5">
        <v>75.93</v>
      </c>
      <c r="P1719" s="5">
        <v>64.54</v>
      </c>
      <c r="Q1719" s="5">
        <v>430.29</v>
      </c>
      <c r="R1719" s="5">
        <v>381.48</v>
      </c>
      <c r="S1719" s="5">
        <v>48.81</v>
      </c>
      <c r="T1719" s="7">
        <v>0.113435125148156</v>
      </c>
      <c r="U1719" t="s">
        <v>12</v>
      </c>
      <c r="V1719" t="s">
        <v>50</v>
      </c>
      <c r="W1719" t="s">
        <v>50</v>
      </c>
      <c r="X1719" t="s">
        <v>33</v>
      </c>
      <c r="Y1719" t="s">
        <v>2042</v>
      </c>
      <c r="Z1719" t="s">
        <v>101</v>
      </c>
    </row>
    <row r="1720" spans="1:26">
      <c r="A1720" t="s">
        <v>3757</v>
      </c>
      <c r="B1720" t="s">
        <v>3757</v>
      </c>
      <c r="C1720" s="4">
        <v>45927</v>
      </c>
      <c r="D1720">
        <v>2025</v>
      </c>
      <c r="E1720">
        <v>9</v>
      </c>
      <c r="F1720" t="s">
        <v>25</v>
      </c>
      <c r="G1720" t="s">
        <v>89</v>
      </c>
      <c r="H1720" t="s">
        <v>103</v>
      </c>
      <c r="I1720" t="s">
        <v>110</v>
      </c>
      <c r="J1720" t="s">
        <v>2646</v>
      </c>
      <c r="K1720" t="s">
        <v>2647</v>
      </c>
      <c r="L1720">
        <v>8</v>
      </c>
      <c r="M1720" s="5">
        <v>351.07</v>
      </c>
      <c r="N1720" s="6">
        <v>10</v>
      </c>
      <c r="O1720" s="5">
        <v>280.86</v>
      </c>
      <c r="P1720" s="5">
        <v>379.16</v>
      </c>
      <c r="Q1720" s="5">
        <v>2906.85</v>
      </c>
      <c r="R1720" s="5">
        <v>2174.24</v>
      </c>
      <c r="S1720" s="5">
        <v>732.61</v>
      </c>
      <c r="T1720" s="7">
        <v>0.252028828456921</v>
      </c>
      <c r="U1720" t="s">
        <v>12</v>
      </c>
      <c r="V1720" t="s">
        <v>50</v>
      </c>
      <c r="W1720" t="s">
        <v>50</v>
      </c>
      <c r="X1720" t="s">
        <v>34</v>
      </c>
      <c r="Y1720" t="s">
        <v>2052</v>
      </c>
      <c r="Z1720" t="s">
        <v>80</v>
      </c>
    </row>
    <row r="1721" spans="1:26">
      <c r="A1721" t="s">
        <v>3758</v>
      </c>
      <c r="B1721" t="s">
        <v>3758</v>
      </c>
      <c r="C1721" s="4">
        <v>45899</v>
      </c>
      <c r="D1721">
        <v>2025</v>
      </c>
      <c r="E1721">
        <v>8</v>
      </c>
      <c r="F1721" t="s">
        <v>24</v>
      </c>
      <c r="G1721" t="s">
        <v>89</v>
      </c>
      <c r="H1721" t="s">
        <v>394</v>
      </c>
      <c r="I1721" t="s">
        <v>986</v>
      </c>
      <c r="J1721" t="s">
        <v>742</v>
      </c>
      <c r="K1721" t="s">
        <v>1517</v>
      </c>
      <c r="L1721">
        <v>3</v>
      </c>
      <c r="M1721" s="5">
        <v>343.95</v>
      </c>
      <c r="N1721" s="6">
        <v>5</v>
      </c>
      <c r="O1721" s="5">
        <v>51.59</v>
      </c>
      <c r="P1721" s="5">
        <v>147.04</v>
      </c>
      <c r="Q1721" s="5">
        <v>1127.3</v>
      </c>
      <c r="R1721" s="5">
        <v>715.29</v>
      </c>
      <c r="S1721" s="5">
        <v>412.01</v>
      </c>
      <c r="T1721" s="7">
        <v>0.365483899583075</v>
      </c>
      <c r="U1721" t="s">
        <v>13</v>
      </c>
      <c r="V1721" t="s">
        <v>50</v>
      </c>
      <c r="W1721" t="s">
        <v>50</v>
      </c>
      <c r="X1721" t="s">
        <v>34</v>
      </c>
      <c r="Y1721" t="s">
        <v>3759</v>
      </c>
      <c r="Z1721" t="s">
        <v>80</v>
      </c>
    </row>
    <row r="1722" spans="1:26">
      <c r="A1722" t="s">
        <v>3760</v>
      </c>
      <c r="B1722" t="s">
        <v>3760</v>
      </c>
      <c r="C1722" s="4">
        <v>45996</v>
      </c>
      <c r="D1722">
        <v>2025</v>
      </c>
      <c r="E1722">
        <v>12</v>
      </c>
      <c r="F1722" t="s">
        <v>28</v>
      </c>
      <c r="G1722" t="s">
        <v>137</v>
      </c>
      <c r="H1722" t="s">
        <v>3344</v>
      </c>
      <c r="I1722" t="s">
        <v>350</v>
      </c>
      <c r="J1722" t="s">
        <v>665</v>
      </c>
      <c r="K1722" t="s">
        <v>666</v>
      </c>
      <c r="L1722">
        <v>5</v>
      </c>
      <c r="M1722" s="5">
        <v>343.56</v>
      </c>
      <c r="N1722" s="6">
        <v>15</v>
      </c>
      <c r="O1722" s="5">
        <v>257.67</v>
      </c>
      <c r="P1722" s="5">
        <v>219.02</v>
      </c>
      <c r="Q1722" s="5">
        <v>1460.13</v>
      </c>
      <c r="R1722" s="5">
        <v>1081.6</v>
      </c>
      <c r="S1722" s="5">
        <v>378.53</v>
      </c>
      <c r="T1722" s="7">
        <v>0.259244039914254</v>
      </c>
      <c r="U1722" t="s">
        <v>14</v>
      </c>
      <c r="V1722" t="s">
        <v>50</v>
      </c>
      <c r="W1722" t="s">
        <v>50</v>
      </c>
      <c r="X1722" t="s">
        <v>33</v>
      </c>
      <c r="Y1722" t="s">
        <v>785</v>
      </c>
      <c r="Z1722" t="s">
        <v>101</v>
      </c>
    </row>
    <row r="1723" spans="1:26">
      <c r="A1723" t="s">
        <v>3761</v>
      </c>
      <c r="B1723" t="s">
        <v>3761</v>
      </c>
      <c r="C1723" s="4">
        <v>45935</v>
      </c>
      <c r="D1723">
        <v>2025</v>
      </c>
      <c r="E1723">
        <v>10</v>
      </c>
      <c r="F1723" t="s">
        <v>26</v>
      </c>
      <c r="G1723" t="s">
        <v>137</v>
      </c>
      <c r="H1723" t="s">
        <v>1338</v>
      </c>
      <c r="I1723" t="s">
        <v>537</v>
      </c>
      <c r="J1723" t="s">
        <v>906</v>
      </c>
      <c r="K1723" t="s">
        <v>1924</v>
      </c>
      <c r="L1723">
        <v>1</v>
      </c>
      <c r="M1723" s="5">
        <v>232.58</v>
      </c>
      <c r="N1723" s="6">
        <v>10</v>
      </c>
      <c r="O1723" s="5">
        <v>23.26</v>
      </c>
      <c r="P1723" s="5">
        <v>31.4</v>
      </c>
      <c r="Q1723" s="5">
        <v>240.72</v>
      </c>
      <c r="R1723" s="5">
        <v>191.2</v>
      </c>
      <c r="S1723" s="5">
        <v>49.52</v>
      </c>
      <c r="T1723" s="7">
        <v>0.205716184778996</v>
      </c>
      <c r="U1723" t="s">
        <v>13</v>
      </c>
      <c r="V1723" t="s">
        <v>50</v>
      </c>
      <c r="W1723" t="s">
        <v>50</v>
      </c>
      <c r="X1723" t="s">
        <v>33</v>
      </c>
      <c r="Y1723" t="s">
        <v>2526</v>
      </c>
      <c r="Z1723" t="s">
        <v>80</v>
      </c>
    </row>
    <row r="1724" spans="1:26">
      <c r="A1724" t="s">
        <v>3762</v>
      </c>
      <c r="B1724" t="s">
        <v>3762</v>
      </c>
      <c r="C1724" s="4">
        <v>45774</v>
      </c>
      <c r="D1724">
        <v>2025</v>
      </c>
      <c r="E1724">
        <v>4</v>
      </c>
      <c r="F1724" t="s">
        <v>20</v>
      </c>
      <c r="G1724" t="s">
        <v>74</v>
      </c>
      <c r="H1724" t="s">
        <v>3763</v>
      </c>
      <c r="I1724" t="s">
        <v>947</v>
      </c>
      <c r="J1724" t="s">
        <v>955</v>
      </c>
      <c r="K1724" t="s">
        <v>1625</v>
      </c>
      <c r="L1724">
        <v>2</v>
      </c>
      <c r="M1724" s="5">
        <v>464.41</v>
      </c>
      <c r="N1724" s="6">
        <v>0</v>
      </c>
      <c r="O1724" s="5">
        <v>0</v>
      </c>
      <c r="P1724" s="5">
        <v>139.32</v>
      </c>
      <c r="Q1724" s="5">
        <v>1068.14</v>
      </c>
      <c r="R1724" s="5">
        <v>795.38</v>
      </c>
      <c r="S1724" s="5">
        <v>272.76</v>
      </c>
      <c r="T1724" s="7">
        <v>0.255359784297938</v>
      </c>
      <c r="U1724" t="s">
        <v>14</v>
      </c>
      <c r="V1724" t="s">
        <v>50</v>
      </c>
      <c r="W1724" t="s">
        <v>50</v>
      </c>
      <c r="X1724" t="s">
        <v>35</v>
      </c>
      <c r="Y1724" t="s">
        <v>259</v>
      </c>
      <c r="Z1724" t="s">
        <v>80</v>
      </c>
    </row>
    <row r="1725" spans="1:26">
      <c r="A1725" t="s">
        <v>3764</v>
      </c>
      <c r="B1725" t="s">
        <v>3764</v>
      </c>
      <c r="C1725" s="4">
        <v>46089</v>
      </c>
      <c r="D1725">
        <v>2026</v>
      </c>
      <c r="E1725">
        <v>3</v>
      </c>
      <c r="F1725" t="s">
        <v>19</v>
      </c>
      <c r="G1725" t="s">
        <v>82</v>
      </c>
      <c r="H1725" t="s">
        <v>1207</v>
      </c>
      <c r="I1725" t="s">
        <v>262</v>
      </c>
      <c r="J1725" t="s">
        <v>919</v>
      </c>
      <c r="K1725" t="s">
        <v>3676</v>
      </c>
      <c r="L1725">
        <v>5</v>
      </c>
      <c r="M1725" s="5">
        <v>167.74</v>
      </c>
      <c r="N1725" s="6">
        <v>0</v>
      </c>
      <c r="O1725" s="5">
        <v>0</v>
      </c>
      <c r="P1725" s="5">
        <v>125.8</v>
      </c>
      <c r="Q1725" s="5">
        <v>964.5</v>
      </c>
      <c r="R1725" s="5">
        <v>564</v>
      </c>
      <c r="S1725" s="5">
        <v>400.5</v>
      </c>
      <c r="T1725" s="7">
        <v>0.415241057542768</v>
      </c>
      <c r="U1725" t="s">
        <v>10</v>
      </c>
      <c r="V1725" t="s">
        <v>50</v>
      </c>
      <c r="W1725" t="s">
        <v>50</v>
      </c>
      <c r="X1725" t="s">
        <v>33</v>
      </c>
      <c r="Y1725" t="s">
        <v>2958</v>
      </c>
      <c r="Z1725" t="s">
        <v>80</v>
      </c>
    </row>
    <row r="1726" spans="1:26">
      <c r="A1726" t="s">
        <v>3765</v>
      </c>
      <c r="B1726" t="s">
        <v>3765</v>
      </c>
      <c r="C1726" s="4">
        <v>45759</v>
      </c>
      <c r="D1726">
        <v>2025</v>
      </c>
      <c r="E1726">
        <v>4</v>
      </c>
      <c r="F1726" t="s">
        <v>20</v>
      </c>
      <c r="G1726" t="s">
        <v>74</v>
      </c>
      <c r="H1726" t="s">
        <v>1745</v>
      </c>
      <c r="I1726" t="s">
        <v>350</v>
      </c>
      <c r="J1726" t="s">
        <v>396</v>
      </c>
      <c r="K1726" t="s">
        <v>1297</v>
      </c>
      <c r="L1726">
        <v>8</v>
      </c>
      <c r="M1726" s="5">
        <v>373.66</v>
      </c>
      <c r="N1726" s="6">
        <v>0</v>
      </c>
      <c r="O1726" s="5">
        <v>0</v>
      </c>
      <c r="P1726" s="5">
        <v>448.39</v>
      </c>
      <c r="Q1726" s="5">
        <v>3437.67</v>
      </c>
      <c r="R1726" s="5">
        <v>1730.56</v>
      </c>
      <c r="S1726" s="5">
        <v>1707.11</v>
      </c>
      <c r="T1726" s="7">
        <v>0.496589259585708</v>
      </c>
      <c r="U1726" t="s">
        <v>9</v>
      </c>
      <c r="V1726" t="s">
        <v>50</v>
      </c>
      <c r="W1726" t="s">
        <v>50</v>
      </c>
      <c r="X1726" t="s">
        <v>35</v>
      </c>
      <c r="Y1726" t="s">
        <v>1194</v>
      </c>
      <c r="Z1726" t="s">
        <v>80</v>
      </c>
    </row>
    <row r="1727" spans="1:26">
      <c r="A1727" t="s">
        <v>3766</v>
      </c>
      <c r="B1727" t="s">
        <v>3766</v>
      </c>
      <c r="C1727" s="4">
        <v>45988</v>
      </c>
      <c r="D1727">
        <v>2025</v>
      </c>
      <c r="E1727">
        <v>11</v>
      </c>
      <c r="F1727" t="s">
        <v>27</v>
      </c>
      <c r="G1727" t="s">
        <v>137</v>
      </c>
      <c r="H1727" t="s">
        <v>591</v>
      </c>
      <c r="I1727" t="s">
        <v>1511</v>
      </c>
      <c r="J1727" t="s">
        <v>713</v>
      </c>
      <c r="K1727" t="s">
        <v>704</v>
      </c>
      <c r="L1727">
        <v>6</v>
      </c>
      <c r="M1727" s="5">
        <v>208.77</v>
      </c>
      <c r="N1727" s="6">
        <v>0</v>
      </c>
      <c r="O1727" s="5">
        <v>0</v>
      </c>
      <c r="P1727" s="5">
        <v>187.89</v>
      </c>
      <c r="Q1727" s="5">
        <v>1252.62</v>
      </c>
      <c r="R1727" s="5">
        <v>950.58</v>
      </c>
      <c r="S1727" s="5">
        <v>302.04</v>
      </c>
      <c r="T1727" s="7">
        <v>0.241126598649231</v>
      </c>
      <c r="U1727" t="s">
        <v>11</v>
      </c>
      <c r="V1727" t="s">
        <v>50</v>
      </c>
      <c r="W1727" t="s">
        <v>50</v>
      </c>
      <c r="X1727" t="s">
        <v>35</v>
      </c>
      <c r="Y1727" t="s">
        <v>3493</v>
      </c>
      <c r="Z1727" t="s">
        <v>101</v>
      </c>
    </row>
    <row r="1728" spans="1:26">
      <c r="A1728" t="s">
        <v>3767</v>
      </c>
      <c r="B1728" t="s">
        <v>3767</v>
      </c>
      <c r="C1728" s="4">
        <v>45971</v>
      </c>
      <c r="D1728">
        <v>2025</v>
      </c>
      <c r="E1728">
        <v>11</v>
      </c>
      <c r="F1728" t="s">
        <v>27</v>
      </c>
      <c r="G1728" t="s">
        <v>137</v>
      </c>
      <c r="H1728" t="s">
        <v>2644</v>
      </c>
      <c r="I1728" t="s">
        <v>1343</v>
      </c>
      <c r="J1728" t="s">
        <v>872</v>
      </c>
      <c r="K1728" t="s">
        <v>873</v>
      </c>
      <c r="L1728">
        <v>5</v>
      </c>
      <c r="M1728" s="5">
        <v>490.22</v>
      </c>
      <c r="N1728" s="6">
        <v>10</v>
      </c>
      <c r="O1728" s="5">
        <v>245.11</v>
      </c>
      <c r="P1728" s="5">
        <v>330.9</v>
      </c>
      <c r="Q1728" s="5">
        <v>2205.99</v>
      </c>
      <c r="R1728" s="5">
        <v>1867.9</v>
      </c>
      <c r="S1728" s="5">
        <v>338.09</v>
      </c>
      <c r="T1728" s="7">
        <v>0.153259987579273</v>
      </c>
      <c r="U1728" t="s">
        <v>14</v>
      </c>
      <c r="V1728" t="s">
        <v>50</v>
      </c>
      <c r="W1728" t="s">
        <v>50</v>
      </c>
      <c r="X1728" t="s">
        <v>33</v>
      </c>
      <c r="Y1728" t="s">
        <v>1277</v>
      </c>
      <c r="Z1728" t="s">
        <v>101</v>
      </c>
    </row>
    <row r="1729" spans="1:26">
      <c r="A1729" t="s">
        <v>3768</v>
      </c>
      <c r="B1729" t="s">
        <v>3768</v>
      </c>
      <c r="C1729" s="4">
        <v>45934</v>
      </c>
      <c r="D1729">
        <v>2025</v>
      </c>
      <c r="E1729">
        <v>10</v>
      </c>
      <c r="F1729" t="s">
        <v>26</v>
      </c>
      <c r="G1729" t="s">
        <v>137</v>
      </c>
      <c r="H1729" t="s">
        <v>1218</v>
      </c>
      <c r="I1729" t="s">
        <v>947</v>
      </c>
      <c r="J1729" t="s">
        <v>1440</v>
      </c>
      <c r="K1729" t="s">
        <v>1441</v>
      </c>
      <c r="L1729">
        <v>3</v>
      </c>
      <c r="M1729" s="5">
        <v>493.36</v>
      </c>
      <c r="N1729" s="6">
        <v>10</v>
      </c>
      <c r="O1729" s="5">
        <v>148.01</v>
      </c>
      <c r="P1729" s="5">
        <v>199.81</v>
      </c>
      <c r="Q1729" s="5">
        <v>1531.88</v>
      </c>
      <c r="R1729" s="5">
        <v>1193.07</v>
      </c>
      <c r="S1729" s="5">
        <v>338.81</v>
      </c>
      <c r="T1729" s="7">
        <v>0.221172676710969</v>
      </c>
      <c r="U1729" t="s">
        <v>12</v>
      </c>
      <c r="V1729" t="s">
        <v>50</v>
      </c>
      <c r="W1729" t="s">
        <v>50</v>
      </c>
      <c r="X1729" t="s">
        <v>33</v>
      </c>
      <c r="Y1729" t="s">
        <v>3769</v>
      </c>
      <c r="Z1729" t="s">
        <v>80</v>
      </c>
    </row>
    <row r="1730" spans="1:26">
      <c r="A1730" t="s">
        <v>3770</v>
      </c>
      <c r="B1730" t="s">
        <v>3770</v>
      </c>
      <c r="C1730" s="4">
        <v>46061</v>
      </c>
      <c r="D1730">
        <v>2026</v>
      </c>
      <c r="E1730">
        <v>2</v>
      </c>
      <c r="F1730" t="s">
        <v>31</v>
      </c>
      <c r="G1730" t="s">
        <v>82</v>
      </c>
      <c r="H1730" t="s">
        <v>389</v>
      </c>
      <c r="I1730" t="s">
        <v>689</v>
      </c>
      <c r="J1730" t="s">
        <v>802</v>
      </c>
      <c r="K1730" t="s">
        <v>803</v>
      </c>
      <c r="L1730">
        <v>7</v>
      </c>
      <c r="M1730" s="5">
        <v>130.33</v>
      </c>
      <c r="N1730" s="6">
        <v>20</v>
      </c>
      <c r="O1730" s="5">
        <v>182.46</v>
      </c>
      <c r="P1730" s="5">
        <v>109.48</v>
      </c>
      <c r="Q1730" s="5">
        <v>839.33</v>
      </c>
      <c r="R1730" s="5">
        <v>638.26</v>
      </c>
      <c r="S1730" s="5">
        <v>201.07</v>
      </c>
      <c r="T1730" s="7">
        <v>0.239560125338067</v>
      </c>
      <c r="U1730" t="s">
        <v>11</v>
      </c>
      <c r="V1730" t="s">
        <v>50</v>
      </c>
      <c r="W1730" t="s">
        <v>50</v>
      </c>
      <c r="X1730" t="s">
        <v>33</v>
      </c>
      <c r="Y1730" t="s">
        <v>3771</v>
      </c>
      <c r="Z1730" t="s">
        <v>80</v>
      </c>
    </row>
    <row r="1731" spans="1:26">
      <c r="A1731" t="s">
        <v>3772</v>
      </c>
      <c r="B1731" t="s">
        <v>3772</v>
      </c>
      <c r="C1731" s="4">
        <v>45954</v>
      </c>
      <c r="D1731">
        <v>2025</v>
      </c>
      <c r="E1731">
        <v>10</v>
      </c>
      <c r="F1731" t="s">
        <v>26</v>
      </c>
      <c r="G1731" t="s">
        <v>137</v>
      </c>
      <c r="H1731" t="s">
        <v>2429</v>
      </c>
      <c r="I1731" t="s">
        <v>180</v>
      </c>
      <c r="J1731" t="s">
        <v>339</v>
      </c>
      <c r="K1731" t="s">
        <v>564</v>
      </c>
      <c r="L1731">
        <v>6</v>
      </c>
      <c r="M1731" s="5">
        <v>421.55</v>
      </c>
      <c r="N1731" s="6">
        <v>0</v>
      </c>
      <c r="O1731" s="5">
        <v>0</v>
      </c>
      <c r="P1731" s="5">
        <v>379.4</v>
      </c>
      <c r="Q1731" s="5">
        <v>2529.3</v>
      </c>
      <c r="R1731" s="5">
        <v>1758.3</v>
      </c>
      <c r="S1731" s="5">
        <v>771</v>
      </c>
      <c r="T1731" s="7">
        <v>0.304827422607045</v>
      </c>
      <c r="U1731" t="s">
        <v>10</v>
      </c>
      <c r="V1731" t="s">
        <v>50</v>
      </c>
      <c r="W1731" t="s">
        <v>50</v>
      </c>
      <c r="X1731" t="s">
        <v>33</v>
      </c>
      <c r="Y1731" t="s">
        <v>1368</v>
      </c>
      <c r="Z1731" t="s">
        <v>101</v>
      </c>
    </row>
    <row r="1732" spans="1:26">
      <c r="A1732" t="s">
        <v>3773</v>
      </c>
      <c r="B1732" t="s">
        <v>3773</v>
      </c>
      <c r="C1732" s="4">
        <v>46076</v>
      </c>
      <c r="D1732">
        <v>2026</v>
      </c>
      <c r="E1732">
        <v>2</v>
      </c>
      <c r="F1732" t="s">
        <v>31</v>
      </c>
      <c r="G1732" t="s">
        <v>82</v>
      </c>
      <c r="H1732" t="s">
        <v>2068</v>
      </c>
      <c r="I1732" t="s">
        <v>844</v>
      </c>
      <c r="J1732" t="s">
        <v>1107</v>
      </c>
      <c r="K1732" t="s">
        <v>2176</v>
      </c>
      <c r="L1732">
        <v>3</v>
      </c>
      <c r="M1732" s="5">
        <v>328.22</v>
      </c>
      <c r="N1732" s="6">
        <v>5</v>
      </c>
      <c r="O1732" s="5">
        <v>49.23</v>
      </c>
      <c r="P1732" s="5">
        <v>140.31</v>
      </c>
      <c r="Q1732" s="5">
        <v>935.43</v>
      </c>
      <c r="R1732" s="5">
        <v>752.07</v>
      </c>
      <c r="S1732" s="5">
        <v>183.36</v>
      </c>
      <c r="T1732" s="7">
        <v>0.196016805105673</v>
      </c>
      <c r="U1732" t="s">
        <v>10</v>
      </c>
      <c r="V1732" t="s">
        <v>50</v>
      </c>
      <c r="W1732" t="s">
        <v>50</v>
      </c>
      <c r="X1732" t="s">
        <v>33</v>
      </c>
      <c r="Y1732" t="s">
        <v>365</v>
      </c>
      <c r="Z1732" t="s">
        <v>101</v>
      </c>
    </row>
    <row r="1733" spans="1:26">
      <c r="A1733" t="s">
        <v>3774</v>
      </c>
      <c r="B1733" t="s">
        <v>3774</v>
      </c>
      <c r="C1733" s="4">
        <v>46040</v>
      </c>
      <c r="D1733">
        <v>2026</v>
      </c>
      <c r="E1733">
        <v>1</v>
      </c>
      <c r="F1733" t="s">
        <v>30</v>
      </c>
      <c r="G1733" t="s">
        <v>82</v>
      </c>
      <c r="H1733" t="s">
        <v>1819</v>
      </c>
      <c r="I1733" t="s">
        <v>104</v>
      </c>
      <c r="J1733" t="s">
        <v>1085</v>
      </c>
      <c r="K1733" t="s">
        <v>1086</v>
      </c>
      <c r="L1733">
        <v>3</v>
      </c>
      <c r="M1733" s="5">
        <v>313.47</v>
      </c>
      <c r="N1733" s="6">
        <v>0</v>
      </c>
      <c r="O1733" s="5">
        <v>0</v>
      </c>
      <c r="P1733" s="5">
        <v>141.06</v>
      </c>
      <c r="Q1733" s="5">
        <v>1081.47</v>
      </c>
      <c r="R1733" s="5">
        <v>738.36</v>
      </c>
      <c r="S1733" s="5">
        <v>343.11</v>
      </c>
      <c r="T1733" s="7">
        <v>0.317262614774335</v>
      </c>
      <c r="U1733" t="s">
        <v>9</v>
      </c>
      <c r="V1733" t="s">
        <v>50</v>
      </c>
      <c r="W1733" t="s">
        <v>50</v>
      </c>
      <c r="X1733" t="s">
        <v>34</v>
      </c>
      <c r="Y1733" t="s">
        <v>2369</v>
      </c>
      <c r="Z1733" t="s">
        <v>80</v>
      </c>
    </row>
    <row r="1734" spans="1:26">
      <c r="A1734" t="s">
        <v>3775</v>
      </c>
      <c r="B1734" t="s">
        <v>3775</v>
      </c>
      <c r="C1734" s="4">
        <v>45770</v>
      </c>
      <c r="D1734">
        <v>2025</v>
      </c>
      <c r="E1734">
        <v>4</v>
      </c>
      <c r="F1734" t="s">
        <v>20</v>
      </c>
      <c r="G1734" t="s">
        <v>74</v>
      </c>
      <c r="H1734" t="s">
        <v>2644</v>
      </c>
      <c r="I1734" t="s">
        <v>1264</v>
      </c>
      <c r="J1734" t="s">
        <v>723</v>
      </c>
      <c r="K1734" t="s">
        <v>2636</v>
      </c>
      <c r="L1734">
        <v>4</v>
      </c>
      <c r="M1734" s="5">
        <v>182.3</v>
      </c>
      <c r="N1734" s="6">
        <v>0</v>
      </c>
      <c r="O1734" s="5">
        <v>0</v>
      </c>
      <c r="P1734" s="5">
        <v>109.38</v>
      </c>
      <c r="Q1734" s="5">
        <v>729.2</v>
      </c>
      <c r="R1734" s="5">
        <v>430.4</v>
      </c>
      <c r="S1734" s="5">
        <v>298.8</v>
      </c>
      <c r="T1734" s="7">
        <v>0.409764125068568</v>
      </c>
      <c r="U1734" t="s">
        <v>12</v>
      </c>
      <c r="V1734" t="s">
        <v>50</v>
      </c>
      <c r="W1734" t="s">
        <v>50</v>
      </c>
      <c r="X1734" t="s">
        <v>33</v>
      </c>
      <c r="Y1734" t="s">
        <v>2335</v>
      </c>
      <c r="Z1734" t="s">
        <v>101</v>
      </c>
    </row>
    <row r="1735" spans="1:26">
      <c r="A1735" t="s">
        <v>3776</v>
      </c>
      <c r="B1735" t="s">
        <v>3776</v>
      </c>
      <c r="C1735" s="4">
        <v>45779</v>
      </c>
      <c r="D1735">
        <v>2025</v>
      </c>
      <c r="E1735">
        <v>5</v>
      </c>
      <c r="F1735" t="s">
        <v>21</v>
      </c>
      <c r="G1735" t="s">
        <v>74</v>
      </c>
      <c r="H1735" t="s">
        <v>3777</v>
      </c>
      <c r="I1735" t="s">
        <v>110</v>
      </c>
      <c r="J1735" t="s">
        <v>351</v>
      </c>
      <c r="K1735" t="s">
        <v>1080</v>
      </c>
      <c r="L1735">
        <v>1</v>
      </c>
      <c r="M1735" s="5">
        <v>342.46</v>
      </c>
      <c r="N1735" s="6">
        <v>0</v>
      </c>
      <c r="O1735" s="5">
        <v>0</v>
      </c>
      <c r="P1735" s="5">
        <v>51.37</v>
      </c>
      <c r="Q1735" s="5">
        <v>342.46</v>
      </c>
      <c r="R1735" s="5">
        <v>271.78</v>
      </c>
      <c r="S1735" s="5">
        <v>70.68</v>
      </c>
      <c r="T1735" s="7">
        <v>0.206389067336331</v>
      </c>
      <c r="U1735" t="s">
        <v>11</v>
      </c>
      <c r="V1735" t="s">
        <v>50</v>
      </c>
      <c r="W1735" t="s">
        <v>50</v>
      </c>
      <c r="X1735" t="s">
        <v>33</v>
      </c>
      <c r="Y1735" t="s">
        <v>1554</v>
      </c>
      <c r="Z1735" t="s">
        <v>101</v>
      </c>
    </row>
    <row r="1736" spans="1:26">
      <c r="A1736" t="s">
        <v>3778</v>
      </c>
      <c r="B1736" t="s">
        <v>3778</v>
      </c>
      <c r="C1736" s="4">
        <v>45752</v>
      </c>
      <c r="D1736">
        <v>2025</v>
      </c>
      <c r="E1736">
        <v>4</v>
      </c>
      <c r="F1736" t="s">
        <v>20</v>
      </c>
      <c r="G1736" t="s">
        <v>74</v>
      </c>
      <c r="H1736" t="s">
        <v>1811</v>
      </c>
      <c r="I1736" t="s">
        <v>251</v>
      </c>
      <c r="J1736" t="s">
        <v>246</v>
      </c>
      <c r="K1736" t="s">
        <v>247</v>
      </c>
      <c r="L1736">
        <v>8</v>
      </c>
      <c r="M1736" s="5">
        <v>226.19</v>
      </c>
      <c r="N1736" s="6">
        <v>5</v>
      </c>
      <c r="O1736" s="5">
        <v>90.48</v>
      </c>
      <c r="P1736" s="5">
        <v>257.86</v>
      </c>
      <c r="Q1736" s="5">
        <v>1976.9</v>
      </c>
      <c r="R1736" s="5">
        <v>1361.6</v>
      </c>
      <c r="S1736" s="5">
        <v>615.3</v>
      </c>
      <c r="T1736" s="7">
        <v>0.311244878344883</v>
      </c>
      <c r="U1736" t="s">
        <v>10</v>
      </c>
      <c r="V1736" t="s">
        <v>50</v>
      </c>
      <c r="W1736" t="s">
        <v>50</v>
      </c>
      <c r="X1736" t="s">
        <v>33</v>
      </c>
      <c r="Y1736" t="s">
        <v>1859</v>
      </c>
      <c r="Z1736" t="s">
        <v>80</v>
      </c>
    </row>
    <row r="1737" spans="1:26">
      <c r="A1737" t="s">
        <v>3779</v>
      </c>
      <c r="B1737" t="s">
        <v>3779</v>
      </c>
      <c r="C1737" s="4">
        <v>46006</v>
      </c>
      <c r="D1737">
        <v>2025</v>
      </c>
      <c r="E1737">
        <v>12</v>
      </c>
      <c r="F1737" t="s">
        <v>28</v>
      </c>
      <c r="G1737" t="s">
        <v>137</v>
      </c>
      <c r="H1737" t="s">
        <v>2160</v>
      </c>
      <c r="I1737" t="s">
        <v>207</v>
      </c>
      <c r="J1737" t="s">
        <v>894</v>
      </c>
      <c r="K1737" t="s">
        <v>895</v>
      </c>
      <c r="L1737">
        <v>5</v>
      </c>
      <c r="M1737" s="5">
        <v>306.62</v>
      </c>
      <c r="N1737" s="6">
        <v>15</v>
      </c>
      <c r="O1737" s="5">
        <v>229.97</v>
      </c>
      <c r="P1737" s="5">
        <v>195.47</v>
      </c>
      <c r="Q1737" s="5">
        <v>1303.13</v>
      </c>
      <c r="R1737" s="5">
        <v>1299.65</v>
      </c>
      <c r="S1737" s="5">
        <v>3.48</v>
      </c>
      <c r="T1737" s="7">
        <v>0.00267049335062503</v>
      </c>
      <c r="U1737" t="s">
        <v>11</v>
      </c>
      <c r="V1737" t="s">
        <v>50</v>
      </c>
      <c r="W1737" t="s">
        <v>50</v>
      </c>
      <c r="X1737" t="s">
        <v>33</v>
      </c>
      <c r="Y1737" t="s">
        <v>1932</v>
      </c>
      <c r="Z1737" t="s">
        <v>101</v>
      </c>
    </row>
    <row r="1738" spans="1:26">
      <c r="A1738" t="s">
        <v>3780</v>
      </c>
      <c r="B1738" t="s">
        <v>3780</v>
      </c>
      <c r="C1738" s="4">
        <v>45776</v>
      </c>
      <c r="D1738">
        <v>2025</v>
      </c>
      <c r="E1738">
        <v>4</v>
      </c>
      <c r="F1738" t="s">
        <v>20</v>
      </c>
      <c r="G1738" t="s">
        <v>74</v>
      </c>
      <c r="H1738" t="s">
        <v>3130</v>
      </c>
      <c r="I1738" t="s">
        <v>139</v>
      </c>
      <c r="J1738" t="s">
        <v>889</v>
      </c>
      <c r="K1738" t="s">
        <v>1727</v>
      </c>
      <c r="L1738">
        <v>2</v>
      </c>
      <c r="M1738" s="5">
        <v>38.66</v>
      </c>
      <c r="N1738" s="6">
        <v>15</v>
      </c>
      <c r="O1738" s="5">
        <v>11.6</v>
      </c>
      <c r="P1738" s="5">
        <v>9.86</v>
      </c>
      <c r="Q1738" s="5">
        <v>65.72</v>
      </c>
      <c r="R1738" s="5">
        <v>64.8</v>
      </c>
      <c r="S1738" s="5">
        <v>0.92</v>
      </c>
      <c r="T1738" s="7">
        <v>0.0139987827145466</v>
      </c>
      <c r="U1738" t="s">
        <v>14</v>
      </c>
      <c r="V1738" t="s">
        <v>50</v>
      </c>
      <c r="W1738" t="s">
        <v>50</v>
      </c>
      <c r="X1738" t="s">
        <v>33</v>
      </c>
      <c r="Y1738" t="s">
        <v>3781</v>
      </c>
      <c r="Z1738" t="s">
        <v>101</v>
      </c>
    </row>
    <row r="1739" spans="1:26">
      <c r="A1739" t="s">
        <v>3782</v>
      </c>
      <c r="B1739" t="s">
        <v>3782</v>
      </c>
      <c r="C1739" s="4">
        <v>45942</v>
      </c>
      <c r="D1739">
        <v>2025</v>
      </c>
      <c r="E1739">
        <v>10</v>
      </c>
      <c r="F1739" t="s">
        <v>26</v>
      </c>
      <c r="G1739" t="s">
        <v>137</v>
      </c>
      <c r="H1739" t="s">
        <v>3783</v>
      </c>
      <c r="I1739" t="s">
        <v>235</v>
      </c>
      <c r="J1739" t="s">
        <v>593</v>
      </c>
      <c r="K1739" t="s">
        <v>1480</v>
      </c>
      <c r="L1739">
        <v>4</v>
      </c>
      <c r="M1739" s="5">
        <v>239.91</v>
      </c>
      <c r="N1739" s="6">
        <v>0</v>
      </c>
      <c r="O1739" s="5">
        <v>0</v>
      </c>
      <c r="P1739" s="5">
        <v>143.95</v>
      </c>
      <c r="Q1739" s="5">
        <v>1103.59</v>
      </c>
      <c r="R1739" s="5">
        <v>708.12</v>
      </c>
      <c r="S1739" s="5">
        <v>395.47</v>
      </c>
      <c r="T1739" s="7">
        <v>0.358348662093712</v>
      </c>
      <c r="U1739" t="s">
        <v>14</v>
      </c>
      <c r="V1739" t="s">
        <v>50</v>
      </c>
      <c r="W1739" t="s">
        <v>50</v>
      </c>
      <c r="X1739" t="s">
        <v>35</v>
      </c>
      <c r="Y1739" t="s">
        <v>2225</v>
      </c>
      <c r="Z1739" t="s">
        <v>80</v>
      </c>
    </row>
    <row r="1740" spans="1:26">
      <c r="A1740" t="s">
        <v>3784</v>
      </c>
      <c r="B1740" t="s">
        <v>3784</v>
      </c>
      <c r="C1740" s="4">
        <v>46087</v>
      </c>
      <c r="D1740">
        <v>2026</v>
      </c>
      <c r="E1740">
        <v>3</v>
      </c>
      <c r="F1740" t="s">
        <v>19</v>
      </c>
      <c r="G1740" t="s">
        <v>82</v>
      </c>
      <c r="H1740" t="s">
        <v>1745</v>
      </c>
      <c r="I1740" t="s">
        <v>928</v>
      </c>
      <c r="J1740" t="s">
        <v>1657</v>
      </c>
      <c r="K1740" t="s">
        <v>1658</v>
      </c>
      <c r="L1740">
        <v>3</v>
      </c>
      <c r="M1740" s="5">
        <v>246.7</v>
      </c>
      <c r="N1740" s="6">
        <v>0</v>
      </c>
      <c r="O1740" s="5">
        <v>0</v>
      </c>
      <c r="P1740" s="5">
        <v>111.01</v>
      </c>
      <c r="Q1740" s="5">
        <v>740.1</v>
      </c>
      <c r="R1740" s="5">
        <v>577.23</v>
      </c>
      <c r="S1740" s="5">
        <v>162.87</v>
      </c>
      <c r="T1740" s="7">
        <v>0.220064856100527</v>
      </c>
      <c r="U1740" t="s">
        <v>9</v>
      </c>
      <c r="V1740" t="s">
        <v>50</v>
      </c>
      <c r="W1740" t="s">
        <v>50</v>
      </c>
      <c r="X1740" t="s">
        <v>33</v>
      </c>
      <c r="Y1740" t="s">
        <v>1492</v>
      </c>
      <c r="Z1740" t="s">
        <v>101</v>
      </c>
    </row>
    <row r="1741" spans="1:26">
      <c r="A1741" t="s">
        <v>3785</v>
      </c>
      <c r="B1741" t="s">
        <v>3785</v>
      </c>
      <c r="C1741" s="4">
        <v>45941</v>
      </c>
      <c r="D1741">
        <v>2025</v>
      </c>
      <c r="E1741">
        <v>10</v>
      </c>
      <c r="F1741" t="s">
        <v>26</v>
      </c>
      <c r="G1741" t="s">
        <v>137</v>
      </c>
      <c r="H1741" t="s">
        <v>1506</v>
      </c>
      <c r="I1741" t="s">
        <v>362</v>
      </c>
      <c r="J1741" t="s">
        <v>1133</v>
      </c>
      <c r="K1741" t="s">
        <v>1134</v>
      </c>
      <c r="L1741">
        <v>4</v>
      </c>
      <c r="M1741" s="5">
        <v>332.66</v>
      </c>
      <c r="N1741" s="6">
        <v>0</v>
      </c>
      <c r="O1741" s="5">
        <v>0</v>
      </c>
      <c r="P1741" s="5">
        <v>199.6</v>
      </c>
      <c r="Q1741" s="5">
        <v>1530.24</v>
      </c>
      <c r="R1741" s="5">
        <v>989</v>
      </c>
      <c r="S1741" s="5">
        <v>541.24</v>
      </c>
      <c r="T1741" s="7">
        <v>0.353696152237558</v>
      </c>
      <c r="U1741" t="s">
        <v>9</v>
      </c>
      <c r="V1741" t="s">
        <v>50</v>
      </c>
      <c r="W1741" t="s">
        <v>50</v>
      </c>
      <c r="X1741" t="s">
        <v>33</v>
      </c>
      <c r="Y1741" t="s">
        <v>2187</v>
      </c>
      <c r="Z1741" t="s">
        <v>80</v>
      </c>
    </row>
    <row r="1742" spans="1:26">
      <c r="A1742" t="s">
        <v>3786</v>
      </c>
      <c r="B1742" t="s">
        <v>3786</v>
      </c>
      <c r="C1742" s="4">
        <v>45764</v>
      </c>
      <c r="D1742">
        <v>2025</v>
      </c>
      <c r="E1742">
        <v>4</v>
      </c>
      <c r="F1742" t="s">
        <v>20</v>
      </c>
      <c r="G1742" t="s">
        <v>74</v>
      </c>
      <c r="H1742" t="s">
        <v>1888</v>
      </c>
      <c r="I1742" t="s">
        <v>986</v>
      </c>
      <c r="J1742" t="s">
        <v>1150</v>
      </c>
      <c r="K1742" t="s">
        <v>2062</v>
      </c>
      <c r="L1742">
        <v>2</v>
      </c>
      <c r="M1742" s="5">
        <v>333.54</v>
      </c>
      <c r="N1742" s="6">
        <v>0</v>
      </c>
      <c r="O1742" s="5">
        <v>0</v>
      </c>
      <c r="P1742" s="5">
        <v>100.06</v>
      </c>
      <c r="Q1742" s="5">
        <v>667.08</v>
      </c>
      <c r="R1742" s="5">
        <v>476.86</v>
      </c>
      <c r="S1742" s="5">
        <v>190.22</v>
      </c>
      <c r="T1742" s="7">
        <v>0.285153205012892</v>
      </c>
      <c r="U1742" t="s">
        <v>9</v>
      </c>
      <c r="V1742" t="s">
        <v>50</v>
      </c>
      <c r="W1742" t="s">
        <v>50</v>
      </c>
      <c r="X1742" t="s">
        <v>35</v>
      </c>
      <c r="Y1742" t="s">
        <v>1329</v>
      </c>
      <c r="Z1742" t="s">
        <v>101</v>
      </c>
    </row>
    <row r="1743" spans="1:26">
      <c r="A1743" t="s">
        <v>3787</v>
      </c>
      <c r="B1743" t="s">
        <v>3787</v>
      </c>
      <c r="C1743" s="4">
        <v>45959</v>
      </c>
      <c r="D1743">
        <v>2025</v>
      </c>
      <c r="E1743">
        <v>10</v>
      </c>
      <c r="F1743" t="s">
        <v>26</v>
      </c>
      <c r="G1743" t="s">
        <v>137</v>
      </c>
      <c r="H1743" t="s">
        <v>3788</v>
      </c>
      <c r="I1743" t="s">
        <v>1196</v>
      </c>
      <c r="J1743" t="s">
        <v>202</v>
      </c>
      <c r="K1743" t="s">
        <v>203</v>
      </c>
      <c r="L1743">
        <v>1</v>
      </c>
      <c r="M1743" s="5">
        <v>147.72</v>
      </c>
      <c r="N1743" s="6">
        <v>15</v>
      </c>
      <c r="O1743" s="5">
        <v>22.16</v>
      </c>
      <c r="P1743" s="5">
        <v>18.83</v>
      </c>
      <c r="Q1743" s="5">
        <v>125.56</v>
      </c>
      <c r="R1743" s="5">
        <v>109.21</v>
      </c>
      <c r="S1743" s="5">
        <v>16.35</v>
      </c>
      <c r="T1743" s="7">
        <v>0.130216629499841</v>
      </c>
      <c r="U1743" t="s">
        <v>14</v>
      </c>
      <c r="V1743" t="s">
        <v>50</v>
      </c>
      <c r="W1743" t="s">
        <v>50</v>
      </c>
      <c r="X1743" t="s">
        <v>33</v>
      </c>
      <c r="Y1743" t="s">
        <v>3789</v>
      </c>
      <c r="Z1743" t="s">
        <v>101</v>
      </c>
    </row>
    <row r="1744" spans="1:26">
      <c r="A1744" t="s">
        <v>3790</v>
      </c>
      <c r="B1744" t="s">
        <v>3790</v>
      </c>
      <c r="C1744" s="4">
        <v>45814</v>
      </c>
      <c r="D1744">
        <v>2025</v>
      </c>
      <c r="E1744">
        <v>6</v>
      </c>
      <c r="F1744" t="s">
        <v>22</v>
      </c>
      <c r="G1744" t="s">
        <v>74</v>
      </c>
      <c r="H1744" t="s">
        <v>1936</v>
      </c>
      <c r="I1744" t="s">
        <v>1511</v>
      </c>
      <c r="J1744" t="s">
        <v>47</v>
      </c>
      <c r="K1744" t="s">
        <v>1197</v>
      </c>
      <c r="L1744">
        <v>3</v>
      </c>
      <c r="M1744" s="5">
        <v>206.02</v>
      </c>
      <c r="N1744" s="6">
        <v>0</v>
      </c>
      <c r="O1744" s="5">
        <v>0</v>
      </c>
      <c r="P1744" s="5">
        <v>92.71</v>
      </c>
      <c r="Q1744" s="5">
        <v>618.06</v>
      </c>
      <c r="R1744" s="5">
        <v>475.29</v>
      </c>
      <c r="S1744" s="5">
        <v>142.77</v>
      </c>
      <c r="T1744" s="7">
        <v>0.230996990583439</v>
      </c>
      <c r="U1744" t="s">
        <v>11</v>
      </c>
      <c r="V1744" t="s">
        <v>50</v>
      </c>
      <c r="W1744" t="s">
        <v>50</v>
      </c>
      <c r="X1744" t="s">
        <v>33</v>
      </c>
      <c r="Y1744" t="s">
        <v>925</v>
      </c>
      <c r="Z1744" t="s">
        <v>101</v>
      </c>
    </row>
    <row r="1745" spans="1:26">
      <c r="A1745" t="s">
        <v>3791</v>
      </c>
      <c r="B1745" t="s">
        <v>3791</v>
      </c>
      <c r="C1745" s="4">
        <v>45960</v>
      </c>
      <c r="D1745">
        <v>2025</v>
      </c>
      <c r="E1745">
        <v>10</v>
      </c>
      <c r="F1745" t="s">
        <v>26</v>
      </c>
      <c r="G1745" t="s">
        <v>137</v>
      </c>
      <c r="H1745" t="s">
        <v>2407</v>
      </c>
      <c r="I1745" t="s">
        <v>937</v>
      </c>
      <c r="J1745" t="s">
        <v>85</v>
      </c>
      <c r="K1745" t="s">
        <v>86</v>
      </c>
      <c r="L1745">
        <v>3</v>
      </c>
      <c r="M1745" s="5">
        <v>438.7</v>
      </c>
      <c r="N1745" s="6">
        <v>0</v>
      </c>
      <c r="O1745" s="5">
        <v>0</v>
      </c>
      <c r="P1745" s="5">
        <v>197.42</v>
      </c>
      <c r="Q1745" s="5">
        <v>1316.1</v>
      </c>
      <c r="R1745" s="5">
        <v>1110.54</v>
      </c>
      <c r="S1745" s="5">
        <v>205.56</v>
      </c>
      <c r="T1745" s="7">
        <v>0.156188739457488</v>
      </c>
      <c r="U1745" t="s">
        <v>10</v>
      </c>
      <c r="V1745" t="s">
        <v>50</v>
      </c>
      <c r="W1745" t="s">
        <v>50</v>
      </c>
      <c r="X1745" t="s">
        <v>33</v>
      </c>
      <c r="Y1745" t="s">
        <v>2892</v>
      </c>
      <c r="Z1745" t="s">
        <v>101</v>
      </c>
    </row>
    <row r="1746" spans="1:26">
      <c r="A1746" t="s">
        <v>3792</v>
      </c>
      <c r="B1746" t="s">
        <v>3792</v>
      </c>
      <c r="C1746" s="4">
        <v>45816</v>
      </c>
      <c r="D1746">
        <v>2025</v>
      </c>
      <c r="E1746">
        <v>6</v>
      </c>
      <c r="F1746" t="s">
        <v>22</v>
      </c>
      <c r="G1746" t="s">
        <v>74</v>
      </c>
      <c r="H1746" t="s">
        <v>1983</v>
      </c>
      <c r="I1746" t="s">
        <v>279</v>
      </c>
      <c r="J1746" t="s">
        <v>717</v>
      </c>
      <c r="K1746" t="s">
        <v>643</v>
      </c>
      <c r="L1746">
        <v>5</v>
      </c>
      <c r="M1746" s="5">
        <v>469.11</v>
      </c>
      <c r="N1746" s="6">
        <v>15</v>
      </c>
      <c r="O1746" s="5">
        <v>351.83</v>
      </c>
      <c r="P1746" s="5">
        <v>299.06</v>
      </c>
      <c r="Q1746" s="5">
        <v>2292.78</v>
      </c>
      <c r="R1746" s="5">
        <v>1544.7</v>
      </c>
      <c r="S1746" s="5">
        <v>748.08</v>
      </c>
      <c r="T1746" s="7">
        <v>0.326276398084421</v>
      </c>
      <c r="U1746" t="s">
        <v>11</v>
      </c>
      <c r="V1746" t="s">
        <v>50</v>
      </c>
      <c r="W1746" t="s">
        <v>50</v>
      </c>
      <c r="X1746" t="s">
        <v>33</v>
      </c>
      <c r="Y1746" t="s">
        <v>1733</v>
      </c>
      <c r="Z1746" t="s">
        <v>80</v>
      </c>
    </row>
    <row r="1747" spans="1:26">
      <c r="A1747" t="s">
        <v>3793</v>
      </c>
      <c r="B1747" t="s">
        <v>3793</v>
      </c>
      <c r="C1747" s="4">
        <v>45898</v>
      </c>
      <c r="D1747">
        <v>2025</v>
      </c>
      <c r="E1747">
        <v>8</v>
      </c>
      <c r="F1747" t="s">
        <v>24</v>
      </c>
      <c r="G1747" t="s">
        <v>89</v>
      </c>
      <c r="H1747" t="s">
        <v>2698</v>
      </c>
      <c r="I1747" t="s">
        <v>459</v>
      </c>
      <c r="J1747" t="s">
        <v>220</v>
      </c>
      <c r="K1747" t="s">
        <v>1212</v>
      </c>
      <c r="L1747">
        <v>7</v>
      </c>
      <c r="M1747" s="5">
        <v>102.76</v>
      </c>
      <c r="N1747" s="6">
        <v>0</v>
      </c>
      <c r="O1747" s="5">
        <v>0</v>
      </c>
      <c r="P1747" s="5">
        <v>107.9</v>
      </c>
      <c r="Q1747" s="5">
        <v>719.32</v>
      </c>
      <c r="R1747" s="5">
        <v>558.74</v>
      </c>
      <c r="S1747" s="5">
        <v>160.58</v>
      </c>
      <c r="T1747" s="7">
        <v>0.223238614246789</v>
      </c>
      <c r="U1747" t="s">
        <v>13</v>
      </c>
      <c r="V1747" t="s">
        <v>50</v>
      </c>
      <c r="W1747" t="s">
        <v>50</v>
      </c>
      <c r="X1747" t="s">
        <v>35</v>
      </c>
      <c r="Y1747" t="s">
        <v>2029</v>
      </c>
      <c r="Z1747" t="s">
        <v>101</v>
      </c>
    </row>
    <row r="1748" spans="1:26">
      <c r="A1748" t="s">
        <v>3794</v>
      </c>
      <c r="B1748" t="s">
        <v>3794</v>
      </c>
      <c r="C1748" s="4">
        <v>45837</v>
      </c>
      <c r="D1748">
        <v>2025</v>
      </c>
      <c r="E1748">
        <v>6</v>
      </c>
      <c r="F1748" t="s">
        <v>22</v>
      </c>
      <c r="G1748" t="s">
        <v>74</v>
      </c>
      <c r="H1748" t="s">
        <v>973</v>
      </c>
      <c r="I1748" t="s">
        <v>379</v>
      </c>
      <c r="J1748" t="s">
        <v>390</v>
      </c>
      <c r="K1748" t="s">
        <v>391</v>
      </c>
      <c r="L1748">
        <v>8</v>
      </c>
      <c r="M1748" s="5">
        <v>271.36</v>
      </c>
      <c r="N1748" s="6">
        <v>10</v>
      </c>
      <c r="O1748" s="5">
        <v>217.09</v>
      </c>
      <c r="P1748" s="5">
        <v>293.07</v>
      </c>
      <c r="Q1748" s="5">
        <v>2246.86</v>
      </c>
      <c r="R1748" s="5">
        <v>1675.04</v>
      </c>
      <c r="S1748" s="5">
        <v>571.82</v>
      </c>
      <c r="T1748" s="7">
        <v>0.254497387465174</v>
      </c>
      <c r="U1748" t="s">
        <v>9</v>
      </c>
      <c r="V1748" t="s">
        <v>50</v>
      </c>
      <c r="W1748" t="s">
        <v>50</v>
      </c>
      <c r="X1748" t="s">
        <v>33</v>
      </c>
      <c r="Y1748" t="s">
        <v>2724</v>
      </c>
      <c r="Z1748" t="s">
        <v>80</v>
      </c>
    </row>
    <row r="1749" spans="1:26">
      <c r="A1749" t="s">
        <v>3795</v>
      </c>
      <c r="B1749" t="s">
        <v>3795</v>
      </c>
      <c r="C1749" s="4">
        <v>45889</v>
      </c>
      <c r="D1749">
        <v>2025</v>
      </c>
      <c r="E1749">
        <v>8</v>
      </c>
      <c r="F1749" t="s">
        <v>24</v>
      </c>
      <c r="G1749" t="s">
        <v>89</v>
      </c>
      <c r="H1749" t="s">
        <v>3796</v>
      </c>
      <c r="I1749" t="s">
        <v>2587</v>
      </c>
      <c r="J1749" t="s">
        <v>1219</v>
      </c>
      <c r="K1749" t="s">
        <v>1262</v>
      </c>
      <c r="L1749">
        <v>1</v>
      </c>
      <c r="M1749" s="5">
        <v>72.93</v>
      </c>
      <c r="N1749" s="6">
        <v>10</v>
      </c>
      <c r="O1749" s="5">
        <v>7.29</v>
      </c>
      <c r="P1749" s="5">
        <v>9.85</v>
      </c>
      <c r="Q1749" s="5">
        <v>65.64</v>
      </c>
      <c r="R1749" s="5">
        <v>54.25</v>
      </c>
      <c r="S1749" s="5">
        <v>11.39</v>
      </c>
      <c r="T1749" s="7">
        <v>0.17352224253504</v>
      </c>
      <c r="U1749" t="s">
        <v>12</v>
      </c>
      <c r="V1749" t="s">
        <v>50</v>
      </c>
      <c r="W1749" t="s">
        <v>50</v>
      </c>
      <c r="X1749" t="s">
        <v>35</v>
      </c>
      <c r="Y1749" t="s">
        <v>2262</v>
      </c>
      <c r="Z1749" t="s">
        <v>101</v>
      </c>
    </row>
    <row r="1750" spans="1:26">
      <c r="A1750" t="s">
        <v>3797</v>
      </c>
      <c r="B1750" t="s">
        <v>3797</v>
      </c>
      <c r="C1750" s="4">
        <v>45876</v>
      </c>
      <c r="D1750">
        <v>2025</v>
      </c>
      <c r="E1750">
        <v>8</v>
      </c>
      <c r="F1750" t="s">
        <v>24</v>
      </c>
      <c r="G1750" t="s">
        <v>89</v>
      </c>
      <c r="H1750" t="s">
        <v>1819</v>
      </c>
      <c r="I1750" t="s">
        <v>819</v>
      </c>
      <c r="J1750" t="s">
        <v>1290</v>
      </c>
      <c r="K1750" t="s">
        <v>2783</v>
      </c>
      <c r="L1750">
        <v>1</v>
      </c>
      <c r="M1750" s="5">
        <v>86.11</v>
      </c>
      <c r="N1750" s="6">
        <v>10</v>
      </c>
      <c r="O1750" s="5">
        <v>8.61</v>
      </c>
      <c r="P1750" s="5">
        <v>11.62</v>
      </c>
      <c r="Q1750" s="5">
        <v>77.5</v>
      </c>
      <c r="R1750" s="5">
        <v>68.17</v>
      </c>
      <c r="S1750" s="5">
        <v>9.33</v>
      </c>
      <c r="T1750" s="7">
        <v>0.120387096774194</v>
      </c>
      <c r="U1750" t="s">
        <v>10</v>
      </c>
      <c r="V1750" t="s">
        <v>50</v>
      </c>
      <c r="W1750" t="s">
        <v>50</v>
      </c>
      <c r="X1750" t="s">
        <v>33</v>
      </c>
      <c r="Y1750" t="s">
        <v>1424</v>
      </c>
      <c r="Z1750" t="s">
        <v>101</v>
      </c>
    </row>
    <row r="1751" spans="1:26">
      <c r="A1751" t="s">
        <v>3798</v>
      </c>
      <c r="B1751" t="s">
        <v>3798</v>
      </c>
      <c r="C1751" s="4">
        <v>45846</v>
      </c>
      <c r="D1751">
        <v>2025</v>
      </c>
      <c r="E1751">
        <v>7</v>
      </c>
      <c r="F1751" t="s">
        <v>23</v>
      </c>
      <c r="G1751" t="s">
        <v>89</v>
      </c>
      <c r="H1751" t="s">
        <v>646</v>
      </c>
      <c r="I1751" t="s">
        <v>854</v>
      </c>
      <c r="J1751" t="s">
        <v>1435</v>
      </c>
      <c r="K1751" t="s">
        <v>138</v>
      </c>
      <c r="L1751">
        <v>8</v>
      </c>
      <c r="M1751" s="5">
        <v>561.87</v>
      </c>
      <c r="N1751" s="6">
        <v>0</v>
      </c>
      <c r="O1751" s="5">
        <v>0</v>
      </c>
      <c r="P1751" s="5">
        <v>674.24</v>
      </c>
      <c r="Q1751" s="5">
        <v>4494.96</v>
      </c>
      <c r="R1751" s="5">
        <v>3033.52</v>
      </c>
      <c r="S1751" s="5">
        <v>1461.44</v>
      </c>
      <c r="T1751" s="7">
        <v>0.325128588463524</v>
      </c>
      <c r="U1751" t="s">
        <v>11</v>
      </c>
      <c r="V1751" t="s">
        <v>50</v>
      </c>
      <c r="W1751" t="s">
        <v>50</v>
      </c>
      <c r="X1751" t="s">
        <v>35</v>
      </c>
      <c r="Y1751" t="s">
        <v>864</v>
      </c>
      <c r="Z1751" t="s">
        <v>101</v>
      </c>
    </row>
    <row r="1752" spans="1:26">
      <c r="A1752" t="s">
        <v>3799</v>
      </c>
      <c r="B1752" t="s">
        <v>3799</v>
      </c>
      <c r="C1752" s="4">
        <v>45923</v>
      </c>
      <c r="D1752">
        <v>2025</v>
      </c>
      <c r="E1752">
        <v>9</v>
      </c>
      <c r="F1752" t="s">
        <v>25</v>
      </c>
      <c r="G1752" t="s">
        <v>89</v>
      </c>
      <c r="H1752" t="s">
        <v>138</v>
      </c>
      <c r="I1752" t="s">
        <v>145</v>
      </c>
      <c r="J1752" t="s">
        <v>197</v>
      </c>
      <c r="K1752" t="s">
        <v>287</v>
      </c>
      <c r="L1752">
        <v>1</v>
      </c>
      <c r="M1752" s="5">
        <v>522.78</v>
      </c>
      <c r="N1752" s="6">
        <v>10</v>
      </c>
      <c r="O1752" s="5">
        <v>52.28</v>
      </c>
      <c r="P1752" s="5">
        <v>70.58</v>
      </c>
      <c r="Q1752" s="5">
        <v>470.5</v>
      </c>
      <c r="R1752" s="5">
        <v>395.87</v>
      </c>
      <c r="S1752" s="5">
        <v>74.63</v>
      </c>
      <c r="T1752" s="7">
        <v>0.158618490967056</v>
      </c>
      <c r="U1752" t="s">
        <v>9</v>
      </c>
      <c r="V1752" t="s">
        <v>50</v>
      </c>
      <c r="W1752" t="s">
        <v>50</v>
      </c>
      <c r="X1752" t="s">
        <v>35</v>
      </c>
      <c r="Y1752" t="s">
        <v>398</v>
      </c>
      <c r="Z1752" t="s">
        <v>101</v>
      </c>
    </row>
    <row r="1753" spans="1:26">
      <c r="A1753" t="s">
        <v>3800</v>
      </c>
      <c r="B1753" t="s">
        <v>3800</v>
      </c>
      <c r="C1753" s="4">
        <v>45926</v>
      </c>
      <c r="D1753">
        <v>2025</v>
      </c>
      <c r="E1753">
        <v>9</v>
      </c>
      <c r="F1753" t="s">
        <v>25</v>
      </c>
      <c r="G1753" t="s">
        <v>89</v>
      </c>
      <c r="H1753" t="s">
        <v>1663</v>
      </c>
      <c r="I1753" t="s">
        <v>91</v>
      </c>
      <c r="J1753" t="s">
        <v>445</v>
      </c>
      <c r="K1753" t="s">
        <v>446</v>
      </c>
      <c r="L1753">
        <v>3</v>
      </c>
      <c r="M1753" s="5">
        <v>234.86</v>
      </c>
      <c r="N1753" s="6">
        <v>10</v>
      </c>
      <c r="O1753" s="5">
        <v>70.46</v>
      </c>
      <c r="P1753" s="5">
        <v>95.12</v>
      </c>
      <c r="Q1753" s="5">
        <v>634.12</v>
      </c>
      <c r="R1753" s="5">
        <v>639.69</v>
      </c>
      <c r="S1753" s="5">
        <v>-5.57</v>
      </c>
      <c r="T1753" s="7">
        <v>-0.00878382640509683</v>
      </c>
      <c r="U1753" t="s">
        <v>11</v>
      </c>
      <c r="V1753" t="s">
        <v>50</v>
      </c>
      <c r="W1753" t="s">
        <v>50</v>
      </c>
      <c r="X1753" t="s">
        <v>34</v>
      </c>
      <c r="Y1753" t="s">
        <v>2488</v>
      </c>
      <c r="Z1753" t="s">
        <v>101</v>
      </c>
    </row>
    <row r="1754" spans="1:26">
      <c r="A1754" t="s">
        <v>3801</v>
      </c>
      <c r="B1754" t="s">
        <v>3801</v>
      </c>
      <c r="C1754" s="4">
        <v>45963</v>
      </c>
      <c r="D1754">
        <v>2025</v>
      </c>
      <c r="E1754">
        <v>11</v>
      </c>
      <c r="F1754" t="s">
        <v>27</v>
      </c>
      <c r="G1754" t="s">
        <v>137</v>
      </c>
      <c r="H1754" t="s">
        <v>1489</v>
      </c>
      <c r="I1754" t="s">
        <v>1694</v>
      </c>
      <c r="J1754" t="s">
        <v>676</v>
      </c>
      <c r="K1754" t="s">
        <v>677</v>
      </c>
      <c r="L1754">
        <v>4</v>
      </c>
      <c r="M1754" s="5">
        <v>233.47</v>
      </c>
      <c r="N1754" s="6">
        <v>5</v>
      </c>
      <c r="O1754" s="5">
        <v>46.69</v>
      </c>
      <c r="P1754" s="5">
        <v>133.08</v>
      </c>
      <c r="Q1754" s="5">
        <v>1020.27</v>
      </c>
      <c r="R1754" s="5">
        <v>755.92</v>
      </c>
      <c r="S1754" s="5">
        <v>264.35</v>
      </c>
      <c r="T1754" s="7">
        <v>0.259098081880287</v>
      </c>
      <c r="U1754" t="s">
        <v>11</v>
      </c>
      <c r="V1754" t="s">
        <v>50</v>
      </c>
      <c r="W1754" t="s">
        <v>50</v>
      </c>
      <c r="X1754" t="s">
        <v>33</v>
      </c>
      <c r="Y1754" t="s">
        <v>644</v>
      </c>
      <c r="Z1754" t="s">
        <v>80</v>
      </c>
    </row>
    <row r="1755" spans="1:26">
      <c r="A1755" t="s">
        <v>3802</v>
      </c>
      <c r="B1755" t="s">
        <v>3802</v>
      </c>
      <c r="C1755" s="4">
        <v>46016</v>
      </c>
      <c r="D1755">
        <v>2025</v>
      </c>
      <c r="E1755">
        <v>12</v>
      </c>
      <c r="F1755" t="s">
        <v>28</v>
      </c>
      <c r="G1755" t="s">
        <v>137</v>
      </c>
      <c r="H1755" t="s">
        <v>2287</v>
      </c>
      <c r="I1755" t="s">
        <v>104</v>
      </c>
      <c r="J1755" t="s">
        <v>418</v>
      </c>
      <c r="K1755" t="s">
        <v>419</v>
      </c>
      <c r="L1755">
        <v>1</v>
      </c>
      <c r="M1755" s="5">
        <v>313.47</v>
      </c>
      <c r="N1755" s="6">
        <v>5</v>
      </c>
      <c r="O1755" s="5">
        <v>15.67</v>
      </c>
      <c r="P1755" s="5">
        <v>44.67</v>
      </c>
      <c r="Q1755" s="5">
        <v>297.8</v>
      </c>
      <c r="R1755" s="5">
        <v>246.12</v>
      </c>
      <c r="S1755" s="5">
        <v>51.68</v>
      </c>
      <c r="T1755" s="7">
        <v>0.173539288112827</v>
      </c>
      <c r="U1755" t="s">
        <v>9</v>
      </c>
      <c r="V1755" t="s">
        <v>50</v>
      </c>
      <c r="W1755" t="s">
        <v>50</v>
      </c>
      <c r="X1755" t="s">
        <v>33</v>
      </c>
      <c r="Y1755" t="s">
        <v>2015</v>
      </c>
      <c r="Z1755" t="s">
        <v>101</v>
      </c>
    </row>
    <row r="1756" spans="1:26">
      <c r="A1756" t="s">
        <v>3803</v>
      </c>
      <c r="B1756" t="s">
        <v>3803</v>
      </c>
      <c r="C1756" s="4">
        <v>45788</v>
      </c>
      <c r="D1756">
        <v>2025</v>
      </c>
      <c r="E1756">
        <v>5</v>
      </c>
      <c r="F1756" t="s">
        <v>21</v>
      </c>
      <c r="G1756" t="s">
        <v>74</v>
      </c>
      <c r="H1756" t="s">
        <v>1740</v>
      </c>
      <c r="I1756" t="s">
        <v>774</v>
      </c>
      <c r="J1756" t="s">
        <v>257</v>
      </c>
      <c r="K1756" t="s">
        <v>258</v>
      </c>
      <c r="L1756">
        <v>4</v>
      </c>
      <c r="M1756" s="5">
        <v>661.91</v>
      </c>
      <c r="N1756" s="6">
        <v>20</v>
      </c>
      <c r="O1756" s="5">
        <v>529.53</v>
      </c>
      <c r="P1756" s="5">
        <v>317.72</v>
      </c>
      <c r="Q1756" s="5">
        <v>2435.83</v>
      </c>
      <c r="R1756" s="5">
        <v>1594.88</v>
      </c>
      <c r="S1756" s="5">
        <v>840.95</v>
      </c>
      <c r="T1756" s="7">
        <v>0.345241663006039</v>
      </c>
      <c r="U1756" t="s">
        <v>9</v>
      </c>
      <c r="V1756" t="s">
        <v>50</v>
      </c>
      <c r="W1756" t="s">
        <v>50</v>
      </c>
      <c r="X1756" t="s">
        <v>35</v>
      </c>
      <c r="Y1756" t="s">
        <v>447</v>
      </c>
      <c r="Z1756" t="s">
        <v>80</v>
      </c>
    </row>
    <row r="1757" spans="1:26">
      <c r="A1757" t="s">
        <v>3804</v>
      </c>
      <c r="B1757" t="s">
        <v>3804</v>
      </c>
      <c r="C1757" s="4">
        <v>46019</v>
      </c>
      <c r="D1757">
        <v>2025</v>
      </c>
      <c r="E1757">
        <v>12</v>
      </c>
      <c r="F1757" t="s">
        <v>28</v>
      </c>
      <c r="G1757" t="s">
        <v>137</v>
      </c>
      <c r="H1757" t="s">
        <v>2337</v>
      </c>
      <c r="I1757" t="s">
        <v>116</v>
      </c>
      <c r="J1757" t="s">
        <v>133</v>
      </c>
      <c r="K1757" t="s">
        <v>1748</v>
      </c>
      <c r="L1757">
        <v>4</v>
      </c>
      <c r="M1757" s="5">
        <v>172.63</v>
      </c>
      <c r="N1757" s="6">
        <v>0</v>
      </c>
      <c r="O1757" s="5">
        <v>0</v>
      </c>
      <c r="P1757" s="5">
        <v>103.58</v>
      </c>
      <c r="Q1757" s="5">
        <v>794.1</v>
      </c>
      <c r="R1757" s="5">
        <v>568</v>
      </c>
      <c r="S1757" s="5">
        <v>226.1</v>
      </c>
      <c r="T1757" s="7">
        <v>0.284724845737313</v>
      </c>
      <c r="U1757" t="s">
        <v>9</v>
      </c>
      <c r="V1757" t="s">
        <v>50</v>
      </c>
      <c r="W1757" t="s">
        <v>50</v>
      </c>
      <c r="X1757" t="s">
        <v>33</v>
      </c>
      <c r="Y1757" t="s">
        <v>3805</v>
      </c>
      <c r="Z1757" t="s">
        <v>80</v>
      </c>
    </row>
    <row r="1758" spans="1:26">
      <c r="A1758" t="s">
        <v>3806</v>
      </c>
      <c r="B1758" t="s">
        <v>3806</v>
      </c>
      <c r="C1758" s="4">
        <v>45958</v>
      </c>
      <c r="D1758">
        <v>2025</v>
      </c>
      <c r="E1758">
        <v>10</v>
      </c>
      <c r="F1758" t="s">
        <v>26</v>
      </c>
      <c r="G1758" t="s">
        <v>137</v>
      </c>
      <c r="H1758" t="s">
        <v>3807</v>
      </c>
      <c r="I1758" t="s">
        <v>110</v>
      </c>
      <c r="J1758" t="s">
        <v>138</v>
      </c>
      <c r="K1758" t="s">
        <v>649</v>
      </c>
      <c r="L1758">
        <v>2</v>
      </c>
      <c r="M1758" s="5">
        <v>342.46</v>
      </c>
      <c r="N1758" s="6">
        <v>0</v>
      </c>
      <c r="O1758" s="5">
        <v>0</v>
      </c>
      <c r="P1758" s="5">
        <v>102.74</v>
      </c>
      <c r="Q1758" s="5">
        <v>684.92</v>
      </c>
      <c r="R1758" s="5">
        <v>543.56</v>
      </c>
      <c r="S1758" s="5">
        <v>141.36</v>
      </c>
      <c r="T1758" s="7">
        <v>0.206389067336331</v>
      </c>
      <c r="U1758" t="s">
        <v>14</v>
      </c>
      <c r="V1758" t="s">
        <v>50</v>
      </c>
      <c r="W1758" t="s">
        <v>50</v>
      </c>
      <c r="X1758" t="s">
        <v>33</v>
      </c>
      <c r="Y1758" t="s">
        <v>3808</v>
      </c>
      <c r="Z1758" t="s">
        <v>101</v>
      </c>
    </row>
    <row r="1759" spans="1:26">
      <c r="A1759" t="s">
        <v>3809</v>
      </c>
      <c r="B1759" t="s">
        <v>3809</v>
      </c>
      <c r="C1759" s="4">
        <v>46109</v>
      </c>
      <c r="D1759">
        <v>2026</v>
      </c>
      <c r="E1759">
        <v>3</v>
      </c>
      <c r="F1759" t="s">
        <v>19</v>
      </c>
      <c r="G1759" t="s">
        <v>82</v>
      </c>
      <c r="H1759" t="s">
        <v>1883</v>
      </c>
      <c r="I1759" t="s">
        <v>110</v>
      </c>
      <c r="J1759" t="s">
        <v>41</v>
      </c>
      <c r="K1759" t="s">
        <v>588</v>
      </c>
      <c r="L1759">
        <v>1</v>
      </c>
      <c r="M1759" s="5">
        <v>342.46</v>
      </c>
      <c r="N1759" s="6">
        <v>0</v>
      </c>
      <c r="O1759" s="5">
        <v>0</v>
      </c>
      <c r="P1759" s="5">
        <v>51.37</v>
      </c>
      <c r="Q1759" s="5">
        <v>393.83</v>
      </c>
      <c r="R1759" s="5">
        <v>271.78</v>
      </c>
      <c r="S1759" s="5">
        <v>122.05</v>
      </c>
      <c r="T1759" s="7">
        <v>0.309905289084123</v>
      </c>
      <c r="U1759" t="s">
        <v>14</v>
      </c>
      <c r="V1759" t="s">
        <v>50</v>
      </c>
      <c r="W1759" t="s">
        <v>50</v>
      </c>
      <c r="X1759" t="s">
        <v>33</v>
      </c>
      <c r="Y1759" t="s">
        <v>691</v>
      </c>
      <c r="Z1759" t="s">
        <v>80</v>
      </c>
    </row>
    <row r="1760" spans="1:26">
      <c r="A1760" t="s">
        <v>3810</v>
      </c>
      <c r="B1760" t="s">
        <v>3810</v>
      </c>
      <c r="C1760" s="4">
        <v>46002</v>
      </c>
      <c r="D1760">
        <v>2025</v>
      </c>
      <c r="E1760">
        <v>12</v>
      </c>
      <c r="F1760" t="s">
        <v>28</v>
      </c>
      <c r="G1760" t="s">
        <v>137</v>
      </c>
      <c r="H1760" t="s">
        <v>2662</v>
      </c>
      <c r="I1760" t="s">
        <v>312</v>
      </c>
      <c r="J1760" t="s">
        <v>906</v>
      </c>
      <c r="K1760" t="s">
        <v>907</v>
      </c>
      <c r="L1760">
        <v>4</v>
      </c>
      <c r="M1760" s="5">
        <v>383.51</v>
      </c>
      <c r="N1760" s="6">
        <v>0</v>
      </c>
      <c r="O1760" s="5">
        <v>0</v>
      </c>
      <c r="P1760" s="5">
        <v>230.11</v>
      </c>
      <c r="Q1760" s="5">
        <v>1534.04</v>
      </c>
      <c r="R1760" s="5">
        <v>1143.6</v>
      </c>
      <c r="S1760" s="5">
        <v>390.44</v>
      </c>
      <c r="T1760" s="7">
        <v>0.254517483246851</v>
      </c>
      <c r="U1760" t="s">
        <v>11</v>
      </c>
      <c r="V1760" t="s">
        <v>50</v>
      </c>
      <c r="W1760" t="s">
        <v>50</v>
      </c>
      <c r="X1760" t="s">
        <v>33</v>
      </c>
      <c r="Y1760" t="s">
        <v>1925</v>
      </c>
      <c r="Z1760" t="s">
        <v>101</v>
      </c>
    </row>
    <row r="1761" spans="1:26">
      <c r="A1761" t="s">
        <v>3811</v>
      </c>
      <c r="B1761" t="s">
        <v>3811</v>
      </c>
      <c r="C1761" s="4">
        <v>45981</v>
      </c>
      <c r="D1761">
        <v>2025</v>
      </c>
      <c r="E1761">
        <v>11</v>
      </c>
      <c r="F1761" t="s">
        <v>27</v>
      </c>
      <c r="G1761" t="s">
        <v>137</v>
      </c>
      <c r="H1761" t="s">
        <v>3653</v>
      </c>
      <c r="I1761" t="s">
        <v>180</v>
      </c>
      <c r="J1761" t="s">
        <v>1107</v>
      </c>
      <c r="K1761" t="s">
        <v>1108</v>
      </c>
      <c r="L1761">
        <v>5</v>
      </c>
      <c r="M1761" s="5">
        <v>379.12</v>
      </c>
      <c r="N1761" s="6">
        <v>5</v>
      </c>
      <c r="O1761" s="5">
        <v>94.78</v>
      </c>
      <c r="P1761" s="5">
        <v>270.12</v>
      </c>
      <c r="Q1761" s="5">
        <v>1800.82</v>
      </c>
      <c r="R1761" s="5">
        <v>1465.25</v>
      </c>
      <c r="S1761" s="5">
        <v>335.57</v>
      </c>
      <c r="T1761" s="7">
        <v>0.186342888239802</v>
      </c>
      <c r="U1761" t="s">
        <v>10</v>
      </c>
      <c r="V1761" t="s">
        <v>50</v>
      </c>
      <c r="W1761" t="s">
        <v>50</v>
      </c>
      <c r="X1761" t="s">
        <v>35</v>
      </c>
      <c r="Y1761" t="s">
        <v>1826</v>
      </c>
      <c r="Z1761" t="s">
        <v>101</v>
      </c>
    </row>
    <row r="1762" spans="1:26">
      <c r="A1762" t="s">
        <v>3812</v>
      </c>
      <c r="B1762" t="s">
        <v>3812</v>
      </c>
      <c r="C1762" s="4">
        <v>46009</v>
      </c>
      <c r="D1762">
        <v>2025</v>
      </c>
      <c r="E1762">
        <v>12</v>
      </c>
      <c r="F1762" t="s">
        <v>28</v>
      </c>
      <c r="G1762" t="s">
        <v>137</v>
      </c>
      <c r="H1762" t="s">
        <v>2782</v>
      </c>
      <c r="I1762" t="s">
        <v>1419</v>
      </c>
      <c r="J1762" t="s">
        <v>1422</v>
      </c>
      <c r="K1762" t="s">
        <v>1900</v>
      </c>
      <c r="L1762">
        <v>3</v>
      </c>
      <c r="M1762" s="5">
        <v>317.99</v>
      </c>
      <c r="N1762" s="6">
        <v>0</v>
      </c>
      <c r="O1762" s="5">
        <v>0</v>
      </c>
      <c r="P1762" s="5">
        <v>143.1</v>
      </c>
      <c r="Q1762" s="5">
        <v>953.97</v>
      </c>
      <c r="R1762" s="5">
        <v>705.15</v>
      </c>
      <c r="S1762" s="5">
        <v>248.82</v>
      </c>
      <c r="T1762" s="7">
        <v>0.260825812132457</v>
      </c>
      <c r="U1762" t="s">
        <v>11</v>
      </c>
      <c r="V1762" t="s">
        <v>50</v>
      </c>
      <c r="W1762" t="s">
        <v>50</v>
      </c>
      <c r="X1762" t="s">
        <v>33</v>
      </c>
      <c r="Y1762" t="s">
        <v>1733</v>
      </c>
      <c r="Z1762" t="s">
        <v>101</v>
      </c>
    </row>
    <row r="1763" spans="1:26">
      <c r="A1763" t="s">
        <v>3813</v>
      </c>
      <c r="B1763" t="s">
        <v>3813</v>
      </c>
      <c r="C1763" s="4">
        <v>45754</v>
      </c>
      <c r="D1763">
        <v>2025</v>
      </c>
      <c r="E1763">
        <v>4</v>
      </c>
      <c r="F1763" t="s">
        <v>20</v>
      </c>
      <c r="G1763" t="s">
        <v>74</v>
      </c>
      <c r="H1763" t="s">
        <v>3814</v>
      </c>
      <c r="I1763" t="s">
        <v>854</v>
      </c>
      <c r="J1763" t="s">
        <v>489</v>
      </c>
      <c r="K1763" t="s">
        <v>490</v>
      </c>
      <c r="L1763">
        <v>7</v>
      </c>
      <c r="M1763" s="5">
        <v>598.7</v>
      </c>
      <c r="N1763" s="6">
        <v>20</v>
      </c>
      <c r="O1763" s="5">
        <v>838.18</v>
      </c>
      <c r="P1763" s="5">
        <v>502.91</v>
      </c>
      <c r="Q1763" s="5">
        <v>3352.72</v>
      </c>
      <c r="R1763" s="5">
        <v>2654.33</v>
      </c>
      <c r="S1763" s="5">
        <v>698.39</v>
      </c>
      <c r="T1763" s="7">
        <v>0.208305495239686</v>
      </c>
      <c r="U1763" t="s">
        <v>10</v>
      </c>
      <c r="V1763" t="s">
        <v>50</v>
      </c>
      <c r="W1763" t="s">
        <v>50</v>
      </c>
      <c r="X1763" t="s">
        <v>33</v>
      </c>
      <c r="Y1763" t="s">
        <v>3365</v>
      </c>
      <c r="Z1763" t="s">
        <v>101</v>
      </c>
    </row>
    <row r="1764" spans="1:26">
      <c r="A1764" t="s">
        <v>3815</v>
      </c>
      <c r="B1764" t="s">
        <v>3815</v>
      </c>
      <c r="C1764" s="4">
        <v>45905</v>
      </c>
      <c r="D1764">
        <v>2025</v>
      </c>
      <c r="E1764">
        <v>9</v>
      </c>
      <c r="F1764" t="s">
        <v>25</v>
      </c>
      <c r="G1764" t="s">
        <v>89</v>
      </c>
      <c r="H1764" t="s">
        <v>1930</v>
      </c>
      <c r="I1764" t="s">
        <v>356</v>
      </c>
      <c r="J1764" t="s">
        <v>1229</v>
      </c>
      <c r="K1764" t="s">
        <v>3816</v>
      </c>
      <c r="L1764">
        <v>5</v>
      </c>
      <c r="M1764" s="5">
        <v>455.79</v>
      </c>
      <c r="N1764" s="6">
        <v>0</v>
      </c>
      <c r="O1764" s="5">
        <v>0</v>
      </c>
      <c r="P1764" s="5">
        <v>341.84</v>
      </c>
      <c r="Q1764" s="5">
        <v>2278.95</v>
      </c>
      <c r="R1764" s="5">
        <v>1414.4</v>
      </c>
      <c r="S1764" s="5">
        <v>864.55</v>
      </c>
      <c r="T1764" s="7">
        <v>0.379363303275631</v>
      </c>
      <c r="U1764" t="s">
        <v>9</v>
      </c>
      <c r="V1764" t="s">
        <v>50</v>
      </c>
      <c r="W1764" t="s">
        <v>50</v>
      </c>
      <c r="X1764" t="s">
        <v>33</v>
      </c>
      <c r="Y1764" t="s">
        <v>2526</v>
      </c>
      <c r="Z1764" t="s">
        <v>101</v>
      </c>
    </row>
    <row r="1765" spans="1:26">
      <c r="A1765" t="s">
        <v>3817</v>
      </c>
      <c r="B1765" t="s">
        <v>3817</v>
      </c>
      <c r="C1765" s="4">
        <v>45947</v>
      </c>
      <c r="D1765">
        <v>2025</v>
      </c>
      <c r="E1765">
        <v>10</v>
      </c>
      <c r="F1765" t="s">
        <v>26</v>
      </c>
      <c r="G1765" t="s">
        <v>137</v>
      </c>
      <c r="H1765" t="s">
        <v>1013</v>
      </c>
      <c r="I1765" t="s">
        <v>196</v>
      </c>
      <c r="J1765" t="s">
        <v>1185</v>
      </c>
      <c r="K1765" t="s">
        <v>1186</v>
      </c>
      <c r="L1765">
        <v>4</v>
      </c>
      <c r="M1765" s="5">
        <v>332.73</v>
      </c>
      <c r="N1765" s="6">
        <v>15</v>
      </c>
      <c r="O1765" s="5">
        <v>199.64</v>
      </c>
      <c r="P1765" s="5">
        <v>169.69</v>
      </c>
      <c r="Q1765" s="5">
        <v>1131.28</v>
      </c>
      <c r="R1765" s="5">
        <v>1044.88</v>
      </c>
      <c r="S1765" s="5">
        <v>86.4</v>
      </c>
      <c r="T1765" s="7">
        <v>0.0763736652287674</v>
      </c>
      <c r="U1765" t="s">
        <v>11</v>
      </c>
      <c r="V1765" t="s">
        <v>50</v>
      </c>
      <c r="W1765" t="s">
        <v>50</v>
      </c>
      <c r="X1765" t="s">
        <v>33</v>
      </c>
      <c r="Y1765" t="s">
        <v>1216</v>
      </c>
      <c r="Z1765" t="s">
        <v>101</v>
      </c>
    </row>
    <row r="1766" spans="1:26">
      <c r="A1766" t="s">
        <v>3818</v>
      </c>
      <c r="B1766" t="s">
        <v>3818</v>
      </c>
      <c r="C1766" s="4">
        <v>46064</v>
      </c>
      <c r="D1766">
        <v>2026</v>
      </c>
      <c r="E1766">
        <v>2</v>
      </c>
      <c r="F1766" t="s">
        <v>31</v>
      </c>
      <c r="G1766" t="s">
        <v>82</v>
      </c>
      <c r="H1766" t="s">
        <v>1271</v>
      </c>
      <c r="I1766" t="s">
        <v>97</v>
      </c>
      <c r="J1766" t="s">
        <v>390</v>
      </c>
      <c r="K1766" t="s">
        <v>391</v>
      </c>
      <c r="L1766">
        <v>2</v>
      </c>
      <c r="M1766" s="5">
        <v>398.25</v>
      </c>
      <c r="N1766" s="6">
        <v>10</v>
      </c>
      <c r="O1766" s="5">
        <v>79.65</v>
      </c>
      <c r="P1766" s="5">
        <v>107.53</v>
      </c>
      <c r="Q1766" s="5"/>
      <c r="R1766" s="5">
        <v>473.08</v>
      </c>
      <c r="S1766" s="5">
        <v>243.77</v>
      </c>
      <c r="T1766" s="7"/>
      <c r="U1766" t="s">
        <v>13</v>
      </c>
      <c r="V1766" t="s">
        <v>50</v>
      </c>
      <c r="W1766" t="s">
        <v>50</v>
      </c>
      <c r="X1766" t="s">
        <v>33</v>
      </c>
      <c r="Y1766" t="s">
        <v>1011</v>
      </c>
      <c r="Z1766" t="s">
        <v>101</v>
      </c>
    </row>
    <row r="1767" spans="1:26">
      <c r="A1767" t="s">
        <v>3819</v>
      </c>
      <c r="B1767" t="s">
        <v>3819</v>
      </c>
      <c r="C1767" s="4">
        <v>45832</v>
      </c>
      <c r="D1767">
        <v>2025</v>
      </c>
      <c r="E1767">
        <v>6</v>
      </c>
      <c r="F1767" t="s">
        <v>22</v>
      </c>
      <c r="G1767" t="s">
        <v>74</v>
      </c>
      <c r="H1767" t="s">
        <v>1060</v>
      </c>
      <c r="I1767" t="s">
        <v>574</v>
      </c>
      <c r="J1767" t="s">
        <v>121</v>
      </c>
      <c r="K1767" t="s">
        <v>2021</v>
      </c>
      <c r="L1767">
        <v>3</v>
      </c>
      <c r="M1767" s="5">
        <v>125.15</v>
      </c>
      <c r="N1767" s="6">
        <v>20</v>
      </c>
      <c r="O1767" s="5">
        <v>75.09</v>
      </c>
      <c r="P1767" s="5">
        <v>45.05</v>
      </c>
      <c r="Q1767" s="5">
        <v>300.36</v>
      </c>
      <c r="R1767" s="5">
        <v>287.1</v>
      </c>
      <c r="S1767" s="5">
        <v>13.26</v>
      </c>
      <c r="T1767" s="7">
        <v>0.0441470235717139</v>
      </c>
      <c r="U1767" t="s">
        <v>9</v>
      </c>
      <c r="V1767" t="s">
        <v>50</v>
      </c>
      <c r="W1767" t="s">
        <v>50</v>
      </c>
      <c r="X1767" t="s">
        <v>33</v>
      </c>
      <c r="Y1767" t="s">
        <v>3820</v>
      </c>
      <c r="Z1767" t="s">
        <v>101</v>
      </c>
    </row>
    <row r="1768" spans="1:26">
      <c r="A1768" t="s">
        <v>3821</v>
      </c>
      <c r="B1768" t="s">
        <v>3821</v>
      </c>
      <c r="C1768" s="4">
        <v>46005</v>
      </c>
      <c r="D1768">
        <v>2025</v>
      </c>
      <c r="E1768">
        <v>12</v>
      </c>
      <c r="F1768" t="s">
        <v>28</v>
      </c>
      <c r="G1768" t="s">
        <v>137</v>
      </c>
      <c r="H1768" t="s">
        <v>3533</v>
      </c>
      <c r="I1768" t="s">
        <v>97</v>
      </c>
      <c r="J1768" t="s">
        <v>39</v>
      </c>
      <c r="K1768" t="s">
        <v>1967</v>
      </c>
      <c r="L1768">
        <v>4</v>
      </c>
      <c r="M1768" s="5">
        <v>398.25</v>
      </c>
      <c r="N1768" s="6">
        <v>0</v>
      </c>
      <c r="O1768" s="5">
        <v>0</v>
      </c>
      <c r="P1768" s="5">
        <v>238.95</v>
      </c>
      <c r="Q1768" s="5">
        <v>1831.95</v>
      </c>
      <c r="R1768" s="5">
        <v>946.16</v>
      </c>
      <c r="S1768" s="5">
        <v>885.79</v>
      </c>
      <c r="T1768" s="7">
        <v>0.483523021916537</v>
      </c>
      <c r="U1768" t="s">
        <v>9</v>
      </c>
      <c r="V1768" t="s">
        <v>50</v>
      </c>
      <c r="W1768" t="s">
        <v>50</v>
      </c>
      <c r="X1768" t="s">
        <v>34</v>
      </c>
      <c r="Y1768" t="s">
        <v>1052</v>
      </c>
      <c r="Z1768" t="s">
        <v>80</v>
      </c>
    </row>
    <row r="1769" spans="1:26">
      <c r="A1769" t="s">
        <v>3822</v>
      </c>
      <c r="B1769" t="s">
        <v>3822</v>
      </c>
      <c r="C1769" s="4">
        <v>45882</v>
      </c>
      <c r="D1769">
        <v>2025</v>
      </c>
      <c r="E1769">
        <v>8</v>
      </c>
      <c r="F1769" t="s">
        <v>24</v>
      </c>
      <c r="G1769" t="s">
        <v>89</v>
      </c>
      <c r="H1769" t="s">
        <v>179</v>
      </c>
      <c r="I1769" t="s">
        <v>374</v>
      </c>
      <c r="J1769" t="s">
        <v>813</v>
      </c>
      <c r="K1769" t="s">
        <v>611</v>
      </c>
      <c r="L1769">
        <v>3</v>
      </c>
      <c r="M1769" s="5">
        <v>447.33</v>
      </c>
      <c r="N1769" s="6">
        <v>0</v>
      </c>
      <c r="O1769" s="5">
        <v>0</v>
      </c>
      <c r="P1769" s="5">
        <v>201.3</v>
      </c>
      <c r="Q1769" s="5">
        <v>1341.99</v>
      </c>
      <c r="R1769" s="5">
        <v>1022.7</v>
      </c>
      <c r="S1769" s="5">
        <v>319.29</v>
      </c>
      <c r="T1769" s="7">
        <v>0.237922786309883</v>
      </c>
      <c r="U1769" t="s">
        <v>11</v>
      </c>
      <c r="V1769" t="s">
        <v>50</v>
      </c>
      <c r="W1769" t="s">
        <v>50</v>
      </c>
      <c r="X1769" t="s">
        <v>33</v>
      </c>
      <c r="Y1769" t="s">
        <v>1826</v>
      </c>
      <c r="Z1769" t="s">
        <v>101</v>
      </c>
    </row>
    <row r="1770" spans="1:26">
      <c r="A1770" t="s">
        <v>3823</v>
      </c>
      <c r="B1770" t="s">
        <v>3823</v>
      </c>
      <c r="C1770" s="4">
        <v>46008</v>
      </c>
      <c r="D1770">
        <v>2025</v>
      </c>
      <c r="E1770">
        <v>12</v>
      </c>
      <c r="F1770" t="s">
        <v>28</v>
      </c>
      <c r="G1770" t="s">
        <v>137</v>
      </c>
      <c r="H1770" t="s">
        <v>2545</v>
      </c>
      <c r="I1770" t="s">
        <v>384</v>
      </c>
      <c r="J1770" t="s">
        <v>39</v>
      </c>
      <c r="K1770" t="s">
        <v>287</v>
      </c>
      <c r="L1770">
        <v>4</v>
      </c>
      <c r="M1770" s="5">
        <v>186.38</v>
      </c>
      <c r="N1770" s="6">
        <v>10</v>
      </c>
      <c r="O1770" s="5">
        <v>74.55</v>
      </c>
      <c r="P1770" s="5">
        <v>100.65</v>
      </c>
      <c r="Q1770" s="5">
        <v>670.97</v>
      </c>
      <c r="R1770" s="5">
        <v>542.64</v>
      </c>
      <c r="S1770" s="5">
        <v>128.33</v>
      </c>
      <c r="T1770" s="7">
        <v>0.191260414027453</v>
      </c>
      <c r="U1770" t="s">
        <v>11</v>
      </c>
      <c r="V1770" t="s">
        <v>50</v>
      </c>
      <c r="W1770" t="s">
        <v>50</v>
      </c>
      <c r="X1770" t="s">
        <v>34</v>
      </c>
      <c r="Y1770" t="s">
        <v>3440</v>
      </c>
      <c r="Z1770" t="s">
        <v>101</v>
      </c>
    </row>
    <row r="1771" spans="1:26">
      <c r="A1771" t="s">
        <v>3824</v>
      </c>
      <c r="B1771" t="s">
        <v>3824</v>
      </c>
      <c r="C1771" s="4">
        <v>45910</v>
      </c>
      <c r="D1771">
        <v>2025</v>
      </c>
      <c r="E1771">
        <v>9</v>
      </c>
      <c r="F1771" t="s">
        <v>25</v>
      </c>
      <c r="G1771" t="s">
        <v>89</v>
      </c>
      <c r="H1771" t="s">
        <v>179</v>
      </c>
      <c r="I1771" t="s">
        <v>245</v>
      </c>
      <c r="J1771" t="s">
        <v>197</v>
      </c>
      <c r="K1771" t="s">
        <v>407</v>
      </c>
      <c r="L1771">
        <v>8</v>
      </c>
      <c r="M1771" s="5">
        <v>126.89</v>
      </c>
      <c r="N1771" s="6">
        <v>15</v>
      </c>
      <c r="O1771" s="5">
        <v>152.27</v>
      </c>
      <c r="P1771" s="5">
        <v>129.43</v>
      </c>
      <c r="Q1771" s="5">
        <v>862.85</v>
      </c>
      <c r="R1771" s="5">
        <v>871.36</v>
      </c>
      <c r="S1771" s="5">
        <v>-8.51</v>
      </c>
      <c r="T1771" s="7">
        <v>-0.00986266442603002</v>
      </c>
      <c r="U1771" t="s">
        <v>11</v>
      </c>
      <c r="V1771" t="s">
        <v>50</v>
      </c>
      <c r="W1771" t="s">
        <v>50</v>
      </c>
      <c r="X1771" t="s">
        <v>33</v>
      </c>
      <c r="Y1771" t="s">
        <v>3825</v>
      </c>
      <c r="Z1771" t="s">
        <v>101</v>
      </c>
    </row>
    <row r="1772" spans="1:26">
      <c r="A1772" t="s">
        <v>3826</v>
      </c>
      <c r="B1772" t="s">
        <v>3826</v>
      </c>
      <c r="C1772" s="4">
        <v>45901</v>
      </c>
      <c r="D1772">
        <v>2025</v>
      </c>
      <c r="E1772">
        <v>9</v>
      </c>
      <c r="F1772" t="s">
        <v>25</v>
      </c>
      <c r="G1772" t="s">
        <v>89</v>
      </c>
      <c r="H1772" t="s">
        <v>513</v>
      </c>
      <c r="I1772" t="s">
        <v>933</v>
      </c>
      <c r="J1772" t="s">
        <v>1107</v>
      </c>
      <c r="K1772" t="s">
        <v>515</v>
      </c>
      <c r="L1772">
        <v>3</v>
      </c>
      <c r="M1772" s="5">
        <v>464.27</v>
      </c>
      <c r="N1772" s="6">
        <v>5</v>
      </c>
      <c r="O1772" s="5">
        <v>69.64</v>
      </c>
      <c r="P1772" s="5">
        <v>198.48</v>
      </c>
      <c r="Q1772" s="5">
        <v>1323.17</v>
      </c>
      <c r="R1772" s="5">
        <v>1072.41</v>
      </c>
      <c r="S1772" s="5">
        <v>250.76</v>
      </c>
      <c r="T1772" s="7">
        <v>0.18951457484677</v>
      </c>
      <c r="U1772" t="s">
        <v>14</v>
      </c>
      <c r="V1772" t="s">
        <v>50</v>
      </c>
      <c r="W1772" t="s">
        <v>50</v>
      </c>
      <c r="X1772" t="s">
        <v>33</v>
      </c>
      <c r="Y1772" t="s">
        <v>3827</v>
      </c>
      <c r="Z1772" t="s">
        <v>101</v>
      </c>
    </row>
    <row r="1773" spans="1:26">
      <c r="A1773" t="s">
        <v>3828</v>
      </c>
      <c r="B1773" t="s">
        <v>3828</v>
      </c>
      <c r="C1773" s="4">
        <v>46102</v>
      </c>
      <c r="D1773">
        <v>2026</v>
      </c>
      <c r="E1773">
        <v>3</v>
      </c>
      <c r="F1773" t="s">
        <v>19</v>
      </c>
      <c r="G1773" t="s">
        <v>82</v>
      </c>
      <c r="H1773" t="s">
        <v>1778</v>
      </c>
      <c r="I1773" t="s">
        <v>274</v>
      </c>
      <c r="J1773" t="s">
        <v>695</v>
      </c>
      <c r="K1773" t="s">
        <v>1259</v>
      </c>
      <c r="L1773">
        <v>8</v>
      </c>
      <c r="M1773" s="5">
        <v>364.78</v>
      </c>
      <c r="N1773" s="6">
        <v>5</v>
      </c>
      <c r="O1773" s="5">
        <v>145.91</v>
      </c>
      <c r="P1773" s="5">
        <v>415.85</v>
      </c>
      <c r="Q1773" s="5">
        <v>3188.18</v>
      </c>
      <c r="R1773" s="5">
        <v>1773.76</v>
      </c>
      <c r="S1773" s="5">
        <v>1414.42</v>
      </c>
      <c r="T1773" s="7">
        <v>0.443644963584239</v>
      </c>
      <c r="U1773" t="s">
        <v>14</v>
      </c>
      <c r="V1773" t="s">
        <v>50</v>
      </c>
      <c r="W1773" t="s">
        <v>50</v>
      </c>
      <c r="X1773" t="s">
        <v>33</v>
      </c>
      <c r="Y1773" t="s">
        <v>3138</v>
      </c>
      <c r="Z1773" t="s">
        <v>80</v>
      </c>
    </row>
    <row r="1774" spans="1:26">
      <c r="A1774" t="s">
        <v>3829</v>
      </c>
      <c r="B1774" t="s">
        <v>3829</v>
      </c>
      <c r="C1774" s="4">
        <v>45808</v>
      </c>
      <c r="D1774">
        <v>2025</v>
      </c>
      <c r="E1774">
        <v>5</v>
      </c>
      <c r="F1774" t="s">
        <v>21</v>
      </c>
      <c r="G1774" t="s">
        <v>74</v>
      </c>
      <c r="H1774" t="s">
        <v>2290</v>
      </c>
      <c r="I1774" t="s">
        <v>2026</v>
      </c>
      <c r="J1774" t="s">
        <v>858</v>
      </c>
      <c r="K1774" t="s">
        <v>859</v>
      </c>
      <c r="L1774">
        <v>5</v>
      </c>
      <c r="M1774" s="5">
        <v>352.51</v>
      </c>
      <c r="N1774" s="6">
        <v>0</v>
      </c>
      <c r="O1774" s="5">
        <v>0</v>
      </c>
      <c r="P1774" s="5">
        <v>264.38</v>
      </c>
      <c r="Q1774" s="5">
        <v>2026.93</v>
      </c>
      <c r="R1774" s="5">
        <v>1300.3</v>
      </c>
      <c r="S1774" s="5">
        <v>726.63</v>
      </c>
      <c r="T1774" s="7">
        <v>0.358487959623667</v>
      </c>
      <c r="U1774" t="s">
        <v>14</v>
      </c>
      <c r="V1774" t="s">
        <v>50</v>
      </c>
      <c r="W1774" t="s">
        <v>50</v>
      </c>
      <c r="X1774" t="s">
        <v>33</v>
      </c>
      <c r="Y1774" t="s">
        <v>3769</v>
      </c>
      <c r="Z1774" t="s">
        <v>80</v>
      </c>
    </row>
    <row r="1775" spans="1:26">
      <c r="A1775" t="s">
        <v>3830</v>
      </c>
      <c r="B1775" t="s">
        <v>3830</v>
      </c>
      <c r="C1775" s="4">
        <v>45822</v>
      </c>
      <c r="D1775">
        <v>2025</v>
      </c>
      <c r="E1775">
        <v>6</v>
      </c>
      <c r="F1775" t="s">
        <v>22</v>
      </c>
      <c r="G1775" t="s">
        <v>74</v>
      </c>
      <c r="H1775" t="s">
        <v>355</v>
      </c>
      <c r="I1775" t="s">
        <v>196</v>
      </c>
      <c r="J1775" t="s">
        <v>47</v>
      </c>
      <c r="K1775" t="s">
        <v>1197</v>
      </c>
      <c r="L1775">
        <v>8</v>
      </c>
      <c r="M1775" s="5">
        <v>378.58</v>
      </c>
      <c r="N1775" s="6">
        <v>0</v>
      </c>
      <c r="O1775" s="5">
        <v>0</v>
      </c>
      <c r="P1775" s="5">
        <v>454.3</v>
      </c>
      <c r="Q1775" s="5">
        <v>3482.94</v>
      </c>
      <c r="R1775" s="5">
        <v>2089.76</v>
      </c>
      <c r="S1775" s="5">
        <v>1393.18</v>
      </c>
      <c r="T1775" s="7">
        <v>0.400001148455041</v>
      </c>
      <c r="U1775" t="s">
        <v>9</v>
      </c>
      <c r="V1775" t="s">
        <v>50</v>
      </c>
      <c r="W1775" t="s">
        <v>50</v>
      </c>
      <c r="X1775" t="s">
        <v>33</v>
      </c>
      <c r="Y1775" t="s">
        <v>667</v>
      </c>
      <c r="Z1775" t="s">
        <v>80</v>
      </c>
    </row>
    <row r="1776" spans="1:26">
      <c r="A1776" t="s">
        <v>3831</v>
      </c>
      <c r="B1776" t="s">
        <v>3831</v>
      </c>
      <c r="C1776" s="4">
        <v>45755</v>
      </c>
      <c r="D1776">
        <v>2025</v>
      </c>
      <c r="E1776">
        <v>4</v>
      </c>
      <c r="F1776" t="s">
        <v>20</v>
      </c>
      <c r="G1776" t="s">
        <v>74</v>
      </c>
      <c r="H1776" t="s">
        <v>1236</v>
      </c>
      <c r="I1776" t="s">
        <v>913</v>
      </c>
      <c r="J1776" t="s">
        <v>948</v>
      </c>
      <c r="K1776" t="s">
        <v>949</v>
      </c>
      <c r="L1776">
        <v>4</v>
      </c>
      <c r="M1776" s="5">
        <v>242.02</v>
      </c>
      <c r="N1776" s="6">
        <v>5</v>
      </c>
      <c r="O1776" s="5">
        <v>48.4</v>
      </c>
      <c r="P1776" s="5">
        <v>137.95</v>
      </c>
      <c r="Q1776" s="5">
        <v>919.68</v>
      </c>
      <c r="R1776" s="5">
        <v>632.24</v>
      </c>
      <c r="S1776" s="5">
        <v>287.44</v>
      </c>
      <c r="T1776" s="7">
        <v>0.312543493389005</v>
      </c>
      <c r="U1776" t="s">
        <v>13</v>
      </c>
      <c r="V1776" t="s">
        <v>51</v>
      </c>
      <c r="W1776" t="s">
        <v>51</v>
      </c>
      <c r="X1776" t="s">
        <v>33</v>
      </c>
      <c r="Y1776" t="s">
        <v>2225</v>
      </c>
      <c r="Z1776" t="s">
        <v>101</v>
      </c>
    </row>
    <row r="1777" spans="1:26">
      <c r="A1777" t="s">
        <v>3832</v>
      </c>
      <c r="B1777" t="s">
        <v>3832</v>
      </c>
      <c r="C1777" s="4">
        <v>45990</v>
      </c>
      <c r="D1777">
        <v>2025</v>
      </c>
      <c r="E1777">
        <v>11</v>
      </c>
      <c r="F1777" t="s">
        <v>27</v>
      </c>
      <c r="G1777" t="s">
        <v>137</v>
      </c>
      <c r="H1777" t="s">
        <v>1099</v>
      </c>
      <c r="I1777" t="s">
        <v>756</v>
      </c>
      <c r="J1777" t="s">
        <v>47</v>
      </c>
      <c r="K1777" t="s">
        <v>1197</v>
      </c>
      <c r="L1777">
        <v>1</v>
      </c>
      <c r="M1777" s="5">
        <v>161.03</v>
      </c>
      <c r="N1777" s="6">
        <v>0</v>
      </c>
      <c r="O1777" s="5">
        <v>0</v>
      </c>
      <c r="P1777" s="5">
        <v>24.15</v>
      </c>
      <c r="Q1777" s="5">
        <v>185.18</v>
      </c>
      <c r="R1777" s="5">
        <v>124.24</v>
      </c>
      <c r="S1777" s="5">
        <v>60.94</v>
      </c>
      <c r="T1777" s="7">
        <v>0.329085214386003</v>
      </c>
      <c r="U1777" t="s">
        <v>10</v>
      </c>
      <c r="V1777" t="s">
        <v>50</v>
      </c>
      <c r="W1777" t="s">
        <v>50</v>
      </c>
      <c r="X1777" t="s">
        <v>33</v>
      </c>
      <c r="Y1777" t="s">
        <v>314</v>
      </c>
      <c r="Z1777" t="s">
        <v>80</v>
      </c>
    </row>
    <row r="1778" spans="1:26">
      <c r="A1778" t="s">
        <v>3833</v>
      </c>
      <c r="B1778" t="s">
        <v>3833</v>
      </c>
      <c r="C1778" s="4">
        <v>45935</v>
      </c>
      <c r="D1778">
        <v>2025</v>
      </c>
      <c r="E1778">
        <v>10</v>
      </c>
      <c r="F1778" t="s">
        <v>26</v>
      </c>
      <c r="G1778" t="s">
        <v>137</v>
      </c>
      <c r="H1778" t="s">
        <v>162</v>
      </c>
      <c r="I1778" t="s">
        <v>395</v>
      </c>
      <c r="J1778" t="s">
        <v>158</v>
      </c>
      <c r="K1778" t="s">
        <v>778</v>
      </c>
      <c r="L1778">
        <v>1</v>
      </c>
      <c r="M1778" s="5">
        <v>446.17</v>
      </c>
      <c r="N1778" s="6">
        <v>15</v>
      </c>
      <c r="O1778" s="5">
        <v>66.93</v>
      </c>
      <c r="P1778" s="5">
        <v>56.89</v>
      </c>
      <c r="Q1778" s="5">
        <v>436.13</v>
      </c>
      <c r="R1778" s="5">
        <v>325.61</v>
      </c>
      <c r="S1778" s="5">
        <v>110.52</v>
      </c>
      <c r="T1778" s="7">
        <v>0.253410680301745</v>
      </c>
      <c r="U1778" t="s">
        <v>14</v>
      </c>
      <c r="V1778" t="s">
        <v>50</v>
      </c>
      <c r="W1778" t="s">
        <v>50</v>
      </c>
      <c r="X1778" t="s">
        <v>33</v>
      </c>
      <c r="Y1778" t="s">
        <v>673</v>
      </c>
      <c r="Z1778" t="s">
        <v>80</v>
      </c>
    </row>
    <row r="1779" spans="1:26">
      <c r="A1779" t="s">
        <v>3834</v>
      </c>
      <c r="B1779" t="s">
        <v>3834</v>
      </c>
      <c r="C1779" s="4">
        <v>46082</v>
      </c>
      <c r="D1779">
        <v>2026</v>
      </c>
      <c r="E1779">
        <v>3</v>
      </c>
      <c r="F1779" t="s">
        <v>19</v>
      </c>
      <c r="G1779" t="s">
        <v>82</v>
      </c>
      <c r="H1779" t="s">
        <v>3051</v>
      </c>
      <c r="I1779" t="s">
        <v>756</v>
      </c>
      <c r="J1779" t="s">
        <v>240</v>
      </c>
      <c r="K1779" t="s">
        <v>275</v>
      </c>
      <c r="L1779">
        <v>1</v>
      </c>
      <c r="M1779" s="5">
        <v>161.03</v>
      </c>
      <c r="N1779" s="6">
        <v>0</v>
      </c>
      <c r="O1779" s="5">
        <v>0</v>
      </c>
      <c r="P1779" s="5">
        <v>24.15</v>
      </c>
      <c r="Q1779" s="5">
        <v>185.18</v>
      </c>
      <c r="R1779" s="5">
        <v>124.24</v>
      </c>
      <c r="S1779" s="5">
        <v>60.94</v>
      </c>
      <c r="T1779" s="7">
        <v>0.329085214386003</v>
      </c>
      <c r="U1779" t="s">
        <v>13</v>
      </c>
      <c r="V1779" t="s">
        <v>50</v>
      </c>
      <c r="W1779" t="s">
        <v>50</v>
      </c>
      <c r="X1779" t="s">
        <v>35</v>
      </c>
      <c r="Y1779" t="s">
        <v>644</v>
      </c>
      <c r="Z1779" t="s">
        <v>80</v>
      </c>
    </row>
    <row r="1780" spans="1:26">
      <c r="A1780" t="s">
        <v>3835</v>
      </c>
      <c r="B1780" t="s">
        <v>3835</v>
      </c>
      <c r="C1780" s="4">
        <v>45945</v>
      </c>
      <c r="D1780">
        <v>2025</v>
      </c>
      <c r="E1780">
        <v>10</v>
      </c>
      <c r="F1780" t="s">
        <v>26</v>
      </c>
      <c r="G1780" t="s">
        <v>137</v>
      </c>
      <c r="H1780" t="s">
        <v>1386</v>
      </c>
      <c r="I1780" t="s">
        <v>689</v>
      </c>
      <c r="J1780" t="s">
        <v>1512</v>
      </c>
      <c r="K1780" t="s">
        <v>3084</v>
      </c>
      <c r="L1780">
        <v>3</v>
      </c>
      <c r="M1780" s="5">
        <v>123.11</v>
      </c>
      <c r="N1780" s="6">
        <v>15</v>
      </c>
      <c r="O1780" s="5">
        <v>55.4</v>
      </c>
      <c r="P1780" s="5">
        <v>47.09</v>
      </c>
      <c r="Q1780" s="5">
        <v>313.93</v>
      </c>
      <c r="R1780" s="5">
        <v>273.54</v>
      </c>
      <c r="S1780" s="5">
        <v>40.39</v>
      </c>
      <c r="T1780" s="7">
        <v>0.128659255247985</v>
      </c>
      <c r="U1780" t="s">
        <v>11</v>
      </c>
      <c r="V1780" t="s">
        <v>50</v>
      </c>
      <c r="W1780" t="s">
        <v>50</v>
      </c>
      <c r="X1780" t="s">
        <v>33</v>
      </c>
      <c r="Y1780" t="s">
        <v>2574</v>
      </c>
      <c r="Z1780" t="s">
        <v>101</v>
      </c>
    </row>
    <row r="1781" spans="1:26">
      <c r="A1781" t="s">
        <v>3836</v>
      </c>
      <c r="B1781" t="s">
        <v>3836</v>
      </c>
      <c r="C1781" s="4">
        <v>45893</v>
      </c>
      <c r="D1781">
        <v>2025</v>
      </c>
      <c r="E1781">
        <v>8</v>
      </c>
      <c r="F1781" t="s">
        <v>24</v>
      </c>
      <c r="G1781" t="s">
        <v>89</v>
      </c>
      <c r="H1781" t="s">
        <v>316</v>
      </c>
      <c r="I1781" t="s">
        <v>163</v>
      </c>
      <c r="J1781" t="s">
        <v>532</v>
      </c>
      <c r="K1781" t="s">
        <v>533</v>
      </c>
      <c r="L1781">
        <v>5</v>
      </c>
      <c r="M1781" s="5">
        <v>253.11</v>
      </c>
      <c r="N1781" s="6">
        <v>10</v>
      </c>
      <c r="O1781" s="5">
        <v>126.56</v>
      </c>
      <c r="P1781" s="5">
        <v>170.85</v>
      </c>
      <c r="Q1781" s="5">
        <v>1309.84</v>
      </c>
      <c r="R1781" s="5">
        <v>953.7</v>
      </c>
      <c r="S1781" s="5">
        <v>356.14</v>
      </c>
      <c r="T1781" s="7">
        <v>0.271895804067672</v>
      </c>
      <c r="U1781" t="s">
        <v>13</v>
      </c>
      <c r="V1781" t="s">
        <v>50</v>
      </c>
      <c r="W1781" t="s">
        <v>50</v>
      </c>
      <c r="X1781" t="s">
        <v>33</v>
      </c>
      <c r="Y1781" t="s">
        <v>1329</v>
      </c>
      <c r="Z1781" t="s">
        <v>80</v>
      </c>
    </row>
    <row r="1782" spans="1:26">
      <c r="A1782" t="s">
        <v>3837</v>
      </c>
      <c r="B1782" t="s">
        <v>3837</v>
      </c>
      <c r="C1782" s="4">
        <v>46071</v>
      </c>
      <c r="D1782">
        <v>2026</v>
      </c>
      <c r="E1782">
        <v>2</v>
      </c>
      <c r="F1782" t="s">
        <v>31</v>
      </c>
      <c r="G1782" t="s">
        <v>82</v>
      </c>
      <c r="H1782" t="s">
        <v>383</v>
      </c>
      <c r="I1782" t="s">
        <v>797</v>
      </c>
      <c r="J1782" t="s">
        <v>307</v>
      </c>
      <c r="K1782" t="s">
        <v>554</v>
      </c>
      <c r="L1782">
        <v>1</v>
      </c>
      <c r="M1782" s="5">
        <v>442.14</v>
      </c>
      <c r="N1782" s="6">
        <v>0</v>
      </c>
      <c r="O1782" s="5">
        <v>0</v>
      </c>
      <c r="P1782" s="5">
        <v>66.32</v>
      </c>
      <c r="Q1782" s="5">
        <v>442.14</v>
      </c>
      <c r="R1782" s="5">
        <v>351.87</v>
      </c>
      <c r="S1782" s="5">
        <v>90.27</v>
      </c>
      <c r="T1782" s="7">
        <v>0.204166101234903</v>
      </c>
      <c r="U1782" t="s">
        <v>14</v>
      </c>
      <c r="V1782" t="s">
        <v>50</v>
      </c>
      <c r="W1782" t="s">
        <v>50</v>
      </c>
      <c r="X1782" t="s">
        <v>33</v>
      </c>
      <c r="Y1782" t="s">
        <v>779</v>
      </c>
      <c r="Z1782" t="s">
        <v>101</v>
      </c>
    </row>
    <row r="1783" spans="1:26">
      <c r="A1783" t="s">
        <v>3838</v>
      </c>
      <c r="B1783" t="s">
        <v>3838</v>
      </c>
      <c r="C1783" s="4">
        <v>45932</v>
      </c>
      <c r="D1783">
        <v>2025</v>
      </c>
      <c r="E1783">
        <v>10</v>
      </c>
      <c r="F1783" t="s">
        <v>26</v>
      </c>
      <c r="G1783" t="s">
        <v>137</v>
      </c>
      <c r="H1783" t="s">
        <v>300</v>
      </c>
      <c r="I1783" t="s">
        <v>2026</v>
      </c>
      <c r="J1783" t="s">
        <v>291</v>
      </c>
      <c r="K1783" t="s">
        <v>1204</v>
      </c>
      <c r="L1783">
        <v>7</v>
      </c>
      <c r="M1783" s="5">
        <v>368.46</v>
      </c>
      <c r="N1783" s="6">
        <v>0</v>
      </c>
      <c r="O1783" s="5">
        <v>0</v>
      </c>
      <c r="P1783" s="5">
        <v>386.88</v>
      </c>
      <c r="Q1783" s="5">
        <v>2579.22</v>
      </c>
      <c r="R1783" s="5">
        <v>1820.42</v>
      </c>
      <c r="S1783" s="5">
        <v>758.8</v>
      </c>
      <c r="T1783" s="7">
        <v>0.294197470553113</v>
      </c>
      <c r="U1783" t="s">
        <v>9</v>
      </c>
      <c r="V1783" t="s">
        <v>50</v>
      </c>
      <c r="W1783" t="s">
        <v>50</v>
      </c>
      <c r="X1783" t="s">
        <v>35</v>
      </c>
      <c r="Y1783" t="s">
        <v>2207</v>
      </c>
      <c r="Z1783" t="s">
        <v>101</v>
      </c>
    </row>
    <row r="1784" spans="1:26">
      <c r="A1784" t="s">
        <v>3839</v>
      </c>
      <c r="B1784" t="s">
        <v>3839</v>
      </c>
      <c r="C1784" s="4">
        <v>45941</v>
      </c>
      <c r="D1784">
        <v>2025</v>
      </c>
      <c r="E1784">
        <v>10</v>
      </c>
      <c r="F1784" t="s">
        <v>26</v>
      </c>
      <c r="G1784" t="s">
        <v>137</v>
      </c>
      <c r="H1784" t="s">
        <v>2011</v>
      </c>
      <c r="I1784" t="s">
        <v>417</v>
      </c>
      <c r="J1784" t="s">
        <v>813</v>
      </c>
      <c r="K1784" t="s">
        <v>814</v>
      </c>
      <c r="L1784">
        <v>3</v>
      </c>
      <c r="M1784" s="5">
        <v>380.12</v>
      </c>
      <c r="N1784" s="6">
        <v>20</v>
      </c>
      <c r="O1784" s="5">
        <v>228.07</v>
      </c>
      <c r="P1784" s="5">
        <v>136.84</v>
      </c>
      <c r="Q1784" s="5">
        <v>1049.13</v>
      </c>
      <c r="R1784" s="5">
        <v>929.94</v>
      </c>
      <c r="S1784" s="5">
        <v>119.19</v>
      </c>
      <c r="T1784" s="7">
        <v>0.11360841840382</v>
      </c>
      <c r="U1784" t="s">
        <v>10</v>
      </c>
      <c r="V1784" t="s">
        <v>50</v>
      </c>
      <c r="W1784" t="s">
        <v>50</v>
      </c>
      <c r="X1784" t="s">
        <v>35</v>
      </c>
      <c r="Y1784" t="s">
        <v>107</v>
      </c>
      <c r="Z1784" t="s">
        <v>80</v>
      </c>
    </row>
    <row r="1785" spans="1:26">
      <c r="A1785" t="s">
        <v>3840</v>
      </c>
      <c r="B1785" t="s">
        <v>3840</v>
      </c>
      <c r="C1785" s="4">
        <v>46104</v>
      </c>
      <c r="D1785">
        <v>2026</v>
      </c>
      <c r="E1785">
        <v>3</v>
      </c>
      <c r="F1785" t="s">
        <v>19</v>
      </c>
      <c r="G1785" t="s">
        <v>82</v>
      </c>
      <c r="H1785" t="s">
        <v>1993</v>
      </c>
      <c r="I1785" t="s">
        <v>434</v>
      </c>
      <c r="J1785" t="s">
        <v>42</v>
      </c>
      <c r="K1785" t="s">
        <v>1191</v>
      </c>
      <c r="L1785">
        <v>4</v>
      </c>
      <c r="M1785" s="5">
        <v>83.13</v>
      </c>
      <c r="N1785" s="6">
        <v>15</v>
      </c>
      <c r="O1785" s="5">
        <v>49.88</v>
      </c>
      <c r="P1785" s="5">
        <v>42.4</v>
      </c>
      <c r="Q1785" s="5">
        <v>282.64</v>
      </c>
      <c r="R1785" s="5">
        <v>276.36</v>
      </c>
      <c r="S1785" s="5">
        <v>6.28</v>
      </c>
      <c r="T1785" s="7">
        <v>0.0222190772714407</v>
      </c>
      <c r="U1785" t="s">
        <v>13</v>
      </c>
      <c r="V1785" t="s">
        <v>50</v>
      </c>
      <c r="W1785" t="s">
        <v>50</v>
      </c>
      <c r="X1785" t="s">
        <v>33</v>
      </c>
      <c r="Y1785" t="s">
        <v>3149</v>
      </c>
      <c r="Z1785" t="s">
        <v>101</v>
      </c>
    </row>
    <row r="1786" spans="1:26">
      <c r="A1786" t="s">
        <v>3841</v>
      </c>
      <c r="B1786" t="s">
        <v>3841</v>
      </c>
      <c r="C1786" s="4">
        <v>46051</v>
      </c>
      <c r="D1786">
        <v>2026</v>
      </c>
      <c r="E1786">
        <v>1</v>
      </c>
      <c r="F1786" t="s">
        <v>30</v>
      </c>
      <c r="G1786" t="s">
        <v>82</v>
      </c>
      <c r="H1786" t="s">
        <v>2493</v>
      </c>
      <c r="I1786" t="s">
        <v>1686</v>
      </c>
      <c r="J1786" t="s">
        <v>351</v>
      </c>
      <c r="K1786" t="s">
        <v>2679</v>
      </c>
      <c r="L1786">
        <v>5</v>
      </c>
      <c r="M1786" s="5">
        <v>254.39</v>
      </c>
      <c r="N1786" s="6">
        <v>15</v>
      </c>
      <c r="O1786" s="5">
        <v>190.79</v>
      </c>
      <c r="P1786" s="5">
        <v>162.17</v>
      </c>
      <c r="Q1786" s="5">
        <v>1081.16</v>
      </c>
      <c r="R1786" s="5">
        <v>804.9</v>
      </c>
      <c r="S1786" s="5">
        <v>276.26</v>
      </c>
      <c r="T1786" s="7">
        <v>0.255521846905176</v>
      </c>
      <c r="U1786" t="s">
        <v>13</v>
      </c>
      <c r="V1786" t="s">
        <v>50</v>
      </c>
      <c r="W1786" t="s">
        <v>50</v>
      </c>
      <c r="X1786" t="s">
        <v>33</v>
      </c>
      <c r="Y1786" t="s">
        <v>1925</v>
      </c>
      <c r="Z1786" t="s">
        <v>101</v>
      </c>
    </row>
    <row r="1787" spans="1:26">
      <c r="A1787" t="s">
        <v>3842</v>
      </c>
      <c r="B1787" t="s">
        <v>3842</v>
      </c>
      <c r="C1787" s="4">
        <v>46110</v>
      </c>
      <c r="D1787">
        <v>2026</v>
      </c>
      <c r="E1787">
        <v>3</v>
      </c>
      <c r="F1787" t="s">
        <v>19</v>
      </c>
      <c r="G1787" t="s">
        <v>82</v>
      </c>
      <c r="H1787" t="s">
        <v>1811</v>
      </c>
      <c r="I1787" t="s">
        <v>444</v>
      </c>
      <c r="J1787" t="s">
        <v>948</v>
      </c>
      <c r="K1787" t="s">
        <v>949</v>
      </c>
      <c r="L1787">
        <v>7</v>
      </c>
      <c r="M1787" s="5">
        <v>111.78</v>
      </c>
      <c r="N1787" s="6">
        <v>0</v>
      </c>
      <c r="O1787" s="5">
        <v>0</v>
      </c>
      <c r="P1787" s="5">
        <v>117.37</v>
      </c>
      <c r="Q1787" s="5">
        <v>899.83</v>
      </c>
      <c r="R1787" s="5">
        <v>602.35</v>
      </c>
      <c r="S1787" s="5">
        <v>297.48</v>
      </c>
      <c r="T1787" s="7">
        <v>0.330595779202738</v>
      </c>
      <c r="U1787" t="s">
        <v>9</v>
      </c>
      <c r="V1787" t="s">
        <v>50</v>
      </c>
      <c r="W1787" t="s">
        <v>50</v>
      </c>
      <c r="X1787" t="s">
        <v>34</v>
      </c>
      <c r="Y1787" t="s">
        <v>335</v>
      </c>
      <c r="Z1787" t="s">
        <v>80</v>
      </c>
    </row>
    <row r="1788" spans="1:26">
      <c r="A1788" t="s">
        <v>3843</v>
      </c>
      <c r="B1788" t="s">
        <v>3843</v>
      </c>
      <c r="C1788" s="4">
        <v>45841</v>
      </c>
      <c r="D1788">
        <v>2025</v>
      </c>
      <c r="E1788">
        <v>7</v>
      </c>
      <c r="F1788" t="s">
        <v>23</v>
      </c>
      <c r="G1788" t="s">
        <v>89</v>
      </c>
      <c r="H1788" t="s">
        <v>2813</v>
      </c>
      <c r="I1788" t="s">
        <v>344</v>
      </c>
      <c r="J1788" t="s">
        <v>522</v>
      </c>
      <c r="K1788" t="s">
        <v>523</v>
      </c>
      <c r="L1788">
        <v>4</v>
      </c>
      <c r="M1788" s="5">
        <v>507.5</v>
      </c>
      <c r="N1788" s="6">
        <v>0</v>
      </c>
      <c r="O1788" s="5">
        <v>0</v>
      </c>
      <c r="P1788" s="5">
        <v>304.5</v>
      </c>
      <c r="Q1788" s="5">
        <v>2030</v>
      </c>
      <c r="R1788" s="5">
        <v>1453.16</v>
      </c>
      <c r="S1788" s="5">
        <v>576.84</v>
      </c>
      <c r="T1788" s="7">
        <v>0.28415763546798</v>
      </c>
      <c r="U1788" t="s">
        <v>11</v>
      </c>
      <c r="V1788" t="s">
        <v>50</v>
      </c>
      <c r="W1788" t="s">
        <v>50</v>
      </c>
      <c r="X1788" t="s">
        <v>33</v>
      </c>
      <c r="Y1788" t="s">
        <v>2682</v>
      </c>
      <c r="Z1788" t="s">
        <v>101</v>
      </c>
    </row>
    <row r="1789" spans="1:26">
      <c r="A1789" t="s">
        <v>3844</v>
      </c>
      <c r="B1789" t="s">
        <v>3844</v>
      </c>
      <c r="C1789" s="4">
        <v>46065</v>
      </c>
      <c r="D1789">
        <v>2026</v>
      </c>
      <c r="E1789">
        <v>2</v>
      </c>
      <c r="F1789" t="s">
        <v>31</v>
      </c>
      <c r="G1789" t="s">
        <v>82</v>
      </c>
      <c r="H1789" t="s">
        <v>1613</v>
      </c>
      <c r="I1789" t="s">
        <v>1190</v>
      </c>
      <c r="J1789" t="s">
        <v>465</v>
      </c>
      <c r="K1789" t="s">
        <v>829</v>
      </c>
      <c r="L1789">
        <v>4</v>
      </c>
      <c r="M1789" s="5">
        <v>520.39</v>
      </c>
      <c r="N1789" s="6">
        <v>0</v>
      </c>
      <c r="O1789" s="5">
        <v>0</v>
      </c>
      <c r="P1789" s="5">
        <v>312.23</v>
      </c>
      <c r="Q1789" s="5">
        <v>2081.56</v>
      </c>
      <c r="R1789" s="5">
        <v>1347.2</v>
      </c>
      <c r="S1789" s="5">
        <v>734.36</v>
      </c>
      <c r="T1789" s="7">
        <v>0.352793097484579</v>
      </c>
      <c r="U1789" t="s">
        <v>13</v>
      </c>
      <c r="V1789" t="s">
        <v>50</v>
      </c>
      <c r="W1789" t="s">
        <v>50</v>
      </c>
      <c r="X1789" t="s">
        <v>35</v>
      </c>
      <c r="Y1789" t="s">
        <v>193</v>
      </c>
      <c r="Z1789" t="s">
        <v>101</v>
      </c>
    </row>
    <row r="1790" spans="1:26">
      <c r="A1790" t="s">
        <v>3845</v>
      </c>
      <c r="B1790" t="s">
        <v>3845</v>
      </c>
      <c r="C1790" s="4">
        <v>45984</v>
      </c>
      <c r="D1790">
        <v>2025</v>
      </c>
      <c r="E1790">
        <v>11</v>
      </c>
      <c r="F1790" t="s">
        <v>27</v>
      </c>
      <c r="G1790" t="s">
        <v>137</v>
      </c>
      <c r="H1790" t="s">
        <v>1096</v>
      </c>
      <c r="I1790" t="s">
        <v>1904</v>
      </c>
      <c r="J1790" t="s">
        <v>133</v>
      </c>
      <c r="K1790" t="s">
        <v>324</v>
      </c>
      <c r="L1790">
        <v>2</v>
      </c>
      <c r="M1790" s="5">
        <v>108.97</v>
      </c>
      <c r="N1790" s="6">
        <v>0</v>
      </c>
      <c r="O1790" s="5">
        <v>0</v>
      </c>
      <c r="P1790" s="5">
        <v>32.69</v>
      </c>
      <c r="Q1790" s="5">
        <v>250.63</v>
      </c>
      <c r="R1790" s="5">
        <v>166.66</v>
      </c>
      <c r="S1790" s="5">
        <v>83.97</v>
      </c>
      <c r="T1790" s="7">
        <v>0.335035710010773</v>
      </c>
      <c r="U1790" t="s">
        <v>13</v>
      </c>
      <c r="V1790" t="s">
        <v>50</v>
      </c>
      <c r="W1790" t="s">
        <v>50</v>
      </c>
      <c r="X1790" t="s">
        <v>33</v>
      </c>
      <c r="Y1790" t="s">
        <v>524</v>
      </c>
      <c r="Z1790" t="s">
        <v>80</v>
      </c>
    </row>
    <row r="1791" spans="1:26">
      <c r="A1791" t="s">
        <v>3846</v>
      </c>
      <c r="B1791" t="s">
        <v>3846</v>
      </c>
      <c r="C1791" s="4">
        <v>46096</v>
      </c>
      <c r="D1791">
        <v>2026</v>
      </c>
      <c r="E1791">
        <v>3</v>
      </c>
      <c r="F1791" t="s">
        <v>19</v>
      </c>
      <c r="G1791" t="s">
        <v>82</v>
      </c>
      <c r="H1791" t="s">
        <v>3107</v>
      </c>
      <c r="I1791" t="s">
        <v>213</v>
      </c>
      <c r="J1791" t="s">
        <v>77</v>
      </c>
      <c r="K1791" t="s">
        <v>903</v>
      </c>
      <c r="L1791">
        <v>1</v>
      </c>
      <c r="M1791" s="5">
        <v>191.13</v>
      </c>
      <c r="N1791" s="6">
        <v>0</v>
      </c>
      <c r="O1791" s="5">
        <v>0</v>
      </c>
      <c r="P1791" s="5">
        <v>28.67</v>
      </c>
      <c r="Q1791" s="5">
        <v>219.8</v>
      </c>
      <c r="R1791" s="5">
        <v>153.42</v>
      </c>
      <c r="S1791" s="5">
        <v>66.38</v>
      </c>
      <c r="T1791" s="7">
        <v>0.302001819836215</v>
      </c>
      <c r="U1791" t="s">
        <v>13</v>
      </c>
      <c r="V1791" t="s">
        <v>50</v>
      </c>
      <c r="W1791" t="s">
        <v>50</v>
      </c>
      <c r="X1791" t="s">
        <v>35</v>
      </c>
      <c r="Y1791" t="s">
        <v>1355</v>
      </c>
      <c r="Z1791" t="s">
        <v>80</v>
      </c>
    </row>
    <row r="1792" spans="1:26">
      <c r="A1792" t="s">
        <v>3847</v>
      </c>
      <c r="B1792" t="s">
        <v>3847</v>
      </c>
      <c r="C1792" s="4">
        <v>45829</v>
      </c>
      <c r="D1792">
        <v>2025</v>
      </c>
      <c r="E1792">
        <v>6</v>
      </c>
      <c r="F1792" t="s">
        <v>22</v>
      </c>
      <c r="G1792" t="s">
        <v>74</v>
      </c>
      <c r="H1792" t="s">
        <v>3104</v>
      </c>
      <c r="I1792" t="s">
        <v>328</v>
      </c>
      <c r="J1792" t="s">
        <v>197</v>
      </c>
      <c r="K1792" t="s">
        <v>198</v>
      </c>
      <c r="L1792">
        <v>8</v>
      </c>
      <c r="M1792" s="5">
        <v>139.28</v>
      </c>
      <c r="N1792" s="6">
        <v>20</v>
      </c>
      <c r="O1792" s="5">
        <v>222.85</v>
      </c>
      <c r="P1792" s="5">
        <v>133.71</v>
      </c>
      <c r="Q1792" s="5">
        <v>1025.1</v>
      </c>
      <c r="R1792" s="5">
        <v>778.8</v>
      </c>
      <c r="S1792" s="5">
        <v>246.3</v>
      </c>
      <c r="T1792" s="7">
        <v>0.240269242025168</v>
      </c>
      <c r="U1792" t="s">
        <v>9</v>
      </c>
      <c r="V1792" t="s">
        <v>50</v>
      </c>
      <c r="W1792" t="s">
        <v>50</v>
      </c>
      <c r="X1792" t="s">
        <v>33</v>
      </c>
      <c r="Y1792" t="s">
        <v>1877</v>
      </c>
      <c r="Z1792" t="s">
        <v>80</v>
      </c>
    </row>
    <row r="1793" spans="1:26">
      <c r="A1793" t="s">
        <v>3848</v>
      </c>
      <c r="B1793" t="s">
        <v>3848</v>
      </c>
      <c r="C1793" s="4">
        <v>46013</v>
      </c>
      <c r="D1793">
        <v>2025</v>
      </c>
      <c r="E1793">
        <v>12</v>
      </c>
      <c r="F1793" t="s">
        <v>28</v>
      </c>
      <c r="G1793" t="s">
        <v>137</v>
      </c>
      <c r="H1793" t="s">
        <v>488</v>
      </c>
      <c r="I1793" t="s">
        <v>1419</v>
      </c>
      <c r="J1793" t="s">
        <v>1507</v>
      </c>
      <c r="K1793" t="s">
        <v>2229</v>
      </c>
      <c r="L1793">
        <v>8</v>
      </c>
      <c r="M1793" s="5">
        <v>318.92</v>
      </c>
      <c r="N1793" s="6">
        <v>10</v>
      </c>
      <c r="O1793" s="5">
        <v>255.14</v>
      </c>
      <c r="P1793" s="5">
        <v>344.43</v>
      </c>
      <c r="Q1793" s="5">
        <v>2296.22</v>
      </c>
      <c r="R1793" s="5">
        <v>1880.4</v>
      </c>
      <c r="S1793" s="5">
        <v>415.82</v>
      </c>
      <c r="T1793" s="7">
        <v>0.181088920051215</v>
      </c>
      <c r="U1793" t="s">
        <v>13</v>
      </c>
      <c r="V1793" t="s">
        <v>50</v>
      </c>
      <c r="W1793" t="s">
        <v>50</v>
      </c>
      <c r="X1793" t="s">
        <v>35</v>
      </c>
      <c r="Y1793" t="s">
        <v>3365</v>
      </c>
      <c r="Z1793" t="s">
        <v>101</v>
      </c>
    </row>
    <row r="1794" spans="1:26">
      <c r="A1794" t="s">
        <v>3849</v>
      </c>
      <c r="B1794" t="s">
        <v>3849</v>
      </c>
      <c r="C1794" s="4">
        <v>46004</v>
      </c>
      <c r="D1794">
        <v>2025</v>
      </c>
      <c r="E1794">
        <v>12</v>
      </c>
      <c r="F1794" t="s">
        <v>28</v>
      </c>
      <c r="G1794" t="s">
        <v>137</v>
      </c>
      <c r="H1794" t="s">
        <v>1110</v>
      </c>
      <c r="I1794" t="s">
        <v>328</v>
      </c>
      <c r="J1794" t="s">
        <v>532</v>
      </c>
      <c r="K1794" t="s">
        <v>2780</v>
      </c>
      <c r="L1794">
        <v>8</v>
      </c>
      <c r="M1794" s="5">
        <v>134.76</v>
      </c>
      <c r="N1794" s="6">
        <v>0</v>
      </c>
      <c r="O1794" s="5">
        <v>0</v>
      </c>
      <c r="P1794" s="5">
        <v>161.71</v>
      </c>
      <c r="Q1794" s="5">
        <v>1239.79</v>
      </c>
      <c r="R1794" s="5">
        <v>778.8</v>
      </c>
      <c r="S1794" s="5">
        <v>460.99</v>
      </c>
      <c r="T1794" s="7">
        <v>0.371829100089531</v>
      </c>
      <c r="U1794" t="s">
        <v>14</v>
      </c>
      <c r="V1794" t="s">
        <v>51</v>
      </c>
      <c r="W1794" t="s">
        <v>51</v>
      </c>
      <c r="X1794" t="s">
        <v>33</v>
      </c>
      <c r="Y1794" t="s">
        <v>700</v>
      </c>
      <c r="Z1794" t="s">
        <v>80</v>
      </c>
    </row>
    <row r="1795" spans="1:26">
      <c r="A1795" t="s">
        <v>3850</v>
      </c>
      <c r="B1795" t="s">
        <v>3850</v>
      </c>
      <c r="C1795" s="4">
        <v>45762</v>
      </c>
      <c r="D1795">
        <v>2025</v>
      </c>
      <c r="E1795">
        <v>4</v>
      </c>
      <c r="F1795" t="s">
        <v>20</v>
      </c>
      <c r="G1795" t="s">
        <v>74</v>
      </c>
      <c r="H1795" t="s">
        <v>1983</v>
      </c>
      <c r="I1795" t="s">
        <v>312</v>
      </c>
      <c r="J1795" t="s">
        <v>40</v>
      </c>
      <c r="K1795" t="s">
        <v>978</v>
      </c>
      <c r="L1795">
        <v>7</v>
      </c>
      <c r="M1795" s="5">
        <v>419.84</v>
      </c>
      <c r="N1795" s="6">
        <v>20</v>
      </c>
      <c r="O1795" s="5">
        <v>587.78</v>
      </c>
      <c r="P1795" s="5">
        <v>352.66</v>
      </c>
      <c r="Q1795" s="5">
        <v>2351.1</v>
      </c>
      <c r="R1795" s="5">
        <v>2001.3</v>
      </c>
      <c r="S1795" s="5">
        <v>349.8</v>
      </c>
      <c r="T1795" s="7">
        <v>0.148781421462294</v>
      </c>
      <c r="U1795" t="s">
        <v>14</v>
      </c>
      <c r="V1795" t="s">
        <v>50</v>
      </c>
      <c r="W1795" t="s">
        <v>50</v>
      </c>
      <c r="X1795" t="s">
        <v>35</v>
      </c>
      <c r="Y1795" t="s">
        <v>3789</v>
      </c>
      <c r="Z1795" t="s">
        <v>101</v>
      </c>
    </row>
    <row r="1796" spans="1:26">
      <c r="A1796" t="s">
        <v>3851</v>
      </c>
      <c r="B1796" t="s">
        <v>3851</v>
      </c>
      <c r="C1796" s="4">
        <v>46107</v>
      </c>
      <c r="D1796">
        <v>2026</v>
      </c>
      <c r="E1796">
        <v>3</v>
      </c>
      <c r="F1796" t="s">
        <v>19</v>
      </c>
      <c r="G1796" t="s">
        <v>82</v>
      </c>
      <c r="H1796" t="s">
        <v>2549</v>
      </c>
      <c r="I1796" t="s">
        <v>450</v>
      </c>
      <c r="J1796" t="s">
        <v>45</v>
      </c>
      <c r="K1796" t="s">
        <v>1351</v>
      </c>
      <c r="L1796">
        <v>8</v>
      </c>
      <c r="M1796" s="5">
        <v>442.82</v>
      </c>
      <c r="N1796" s="6">
        <v>10</v>
      </c>
      <c r="O1796" s="5">
        <v>354.26</v>
      </c>
      <c r="P1796" s="5">
        <v>478.24</v>
      </c>
      <c r="Q1796" s="5">
        <v>3188.3</v>
      </c>
      <c r="R1796" s="5">
        <v>2032.4</v>
      </c>
      <c r="S1796" s="5">
        <v>1155.9</v>
      </c>
      <c r="T1796" s="7">
        <v>0.362544302606405</v>
      </c>
      <c r="U1796" t="s">
        <v>10</v>
      </c>
      <c r="V1796" t="s">
        <v>50</v>
      </c>
      <c r="W1796" t="s">
        <v>50</v>
      </c>
      <c r="X1796" t="s">
        <v>33</v>
      </c>
      <c r="Y1796" t="s">
        <v>2913</v>
      </c>
      <c r="Z1796" t="s">
        <v>101</v>
      </c>
    </row>
    <row r="1797" spans="1:26">
      <c r="A1797" t="s">
        <v>3852</v>
      </c>
      <c r="B1797" t="s">
        <v>3852</v>
      </c>
      <c r="C1797" s="4">
        <v>45948</v>
      </c>
      <c r="D1797">
        <v>2025</v>
      </c>
      <c r="E1797">
        <v>10</v>
      </c>
      <c r="F1797" t="s">
        <v>26</v>
      </c>
      <c r="G1797" t="s">
        <v>137</v>
      </c>
      <c r="H1797" t="s">
        <v>3853</v>
      </c>
      <c r="I1797" t="s">
        <v>924</v>
      </c>
      <c r="J1797" t="s">
        <v>133</v>
      </c>
      <c r="K1797" t="s">
        <v>340</v>
      </c>
      <c r="L1797">
        <v>4</v>
      </c>
      <c r="M1797" s="5">
        <v>262.77</v>
      </c>
      <c r="N1797" s="6">
        <v>20</v>
      </c>
      <c r="O1797" s="5">
        <v>210.22</v>
      </c>
      <c r="P1797" s="5">
        <v>126.13</v>
      </c>
      <c r="Q1797" s="5">
        <v>966.99</v>
      </c>
      <c r="R1797" s="5">
        <v>778.56</v>
      </c>
      <c r="S1797" s="5">
        <v>188.43</v>
      </c>
      <c r="T1797" s="7">
        <v>0.194862408091087</v>
      </c>
      <c r="U1797" t="s">
        <v>13</v>
      </c>
      <c r="V1797" t="s">
        <v>50</v>
      </c>
      <c r="W1797" t="s">
        <v>50</v>
      </c>
      <c r="X1797" t="s">
        <v>33</v>
      </c>
      <c r="Y1797" t="s">
        <v>3227</v>
      </c>
      <c r="Z1797" t="s">
        <v>80</v>
      </c>
    </row>
    <row r="1798" spans="1:26">
      <c r="A1798" t="s">
        <v>3854</v>
      </c>
      <c r="B1798" t="s">
        <v>3854</v>
      </c>
      <c r="C1798" s="4">
        <v>45956</v>
      </c>
      <c r="D1798">
        <v>2025</v>
      </c>
      <c r="E1798">
        <v>10</v>
      </c>
      <c r="F1798" t="s">
        <v>26</v>
      </c>
      <c r="G1798" t="s">
        <v>137</v>
      </c>
      <c r="H1798" t="s">
        <v>3855</v>
      </c>
      <c r="I1798" t="s">
        <v>91</v>
      </c>
      <c r="J1798" t="s">
        <v>532</v>
      </c>
      <c r="K1798" t="s">
        <v>533</v>
      </c>
      <c r="L1798">
        <v>3</v>
      </c>
      <c r="M1798" s="5">
        <v>234.86</v>
      </c>
      <c r="N1798" s="6">
        <v>5</v>
      </c>
      <c r="O1798" s="5">
        <v>35.23</v>
      </c>
      <c r="P1798" s="5">
        <v>100.4</v>
      </c>
      <c r="Q1798" s="5">
        <v>769.75</v>
      </c>
      <c r="R1798" s="5">
        <v>639.69</v>
      </c>
      <c r="S1798" s="5">
        <v>130.06</v>
      </c>
      <c r="T1798" s="7">
        <v>0.168963949334199</v>
      </c>
      <c r="U1798" t="s">
        <v>11</v>
      </c>
      <c r="V1798" t="s">
        <v>50</v>
      </c>
      <c r="W1798" t="s">
        <v>50</v>
      </c>
      <c r="X1798" t="s">
        <v>33</v>
      </c>
      <c r="Y1798" t="s">
        <v>3020</v>
      </c>
      <c r="Z1798" t="s">
        <v>80</v>
      </c>
    </row>
    <row r="1799" spans="1:26">
      <c r="A1799" t="s">
        <v>3856</v>
      </c>
      <c r="B1799" t="s">
        <v>3856</v>
      </c>
      <c r="C1799" s="4">
        <v>45886</v>
      </c>
      <c r="D1799">
        <v>2025</v>
      </c>
      <c r="E1799">
        <v>8</v>
      </c>
      <c r="F1799" t="s">
        <v>24</v>
      </c>
      <c r="G1799" t="s">
        <v>89</v>
      </c>
      <c r="H1799" t="s">
        <v>2085</v>
      </c>
      <c r="I1799" t="s">
        <v>1233</v>
      </c>
      <c r="J1799" t="s">
        <v>532</v>
      </c>
      <c r="K1799" t="s">
        <v>533</v>
      </c>
      <c r="L1799">
        <v>3</v>
      </c>
      <c r="M1799" s="5">
        <v>117.04</v>
      </c>
      <c r="N1799" s="6">
        <v>10</v>
      </c>
      <c r="O1799" s="5">
        <v>35.11</v>
      </c>
      <c r="P1799" s="5">
        <v>47.4</v>
      </c>
      <c r="Q1799" s="5">
        <v>363.41</v>
      </c>
      <c r="R1799" s="5">
        <v>278.88</v>
      </c>
      <c r="S1799" s="5">
        <v>84.53</v>
      </c>
      <c r="T1799" s="7">
        <v>0.232602294928593</v>
      </c>
      <c r="U1799" t="s">
        <v>11</v>
      </c>
      <c r="V1799" t="s">
        <v>50</v>
      </c>
      <c r="W1799" t="s">
        <v>50</v>
      </c>
      <c r="X1799" t="s">
        <v>33</v>
      </c>
      <c r="Y1799" t="s">
        <v>2057</v>
      </c>
      <c r="Z1799" t="s">
        <v>80</v>
      </c>
    </row>
    <row r="1800" spans="1:26">
      <c r="A1800" t="s">
        <v>3857</v>
      </c>
      <c r="B1800" t="s">
        <v>3857</v>
      </c>
      <c r="C1800" s="4">
        <v>45963</v>
      </c>
      <c r="D1800">
        <v>2025</v>
      </c>
      <c r="E1800">
        <v>11</v>
      </c>
      <c r="F1800" t="s">
        <v>27</v>
      </c>
      <c r="G1800" t="s">
        <v>137</v>
      </c>
      <c r="H1800" t="s">
        <v>2145</v>
      </c>
      <c r="I1800" t="s">
        <v>2093</v>
      </c>
      <c r="J1800" t="s">
        <v>1290</v>
      </c>
      <c r="K1800" t="s">
        <v>1373</v>
      </c>
      <c r="L1800">
        <v>4</v>
      </c>
      <c r="M1800" s="5">
        <v>418.56</v>
      </c>
      <c r="N1800" s="6">
        <v>0</v>
      </c>
      <c r="O1800" s="5">
        <v>0</v>
      </c>
      <c r="P1800" s="5">
        <v>251.14</v>
      </c>
      <c r="Q1800" s="5">
        <v>1925.38</v>
      </c>
      <c r="R1800" s="5">
        <v>1393.32</v>
      </c>
      <c r="S1800" s="5">
        <v>532.06</v>
      </c>
      <c r="T1800" s="7">
        <v>0.276340254910719</v>
      </c>
      <c r="U1800" t="s">
        <v>13</v>
      </c>
      <c r="V1800" t="s">
        <v>50</v>
      </c>
      <c r="W1800" t="s">
        <v>50</v>
      </c>
      <c r="X1800" t="s">
        <v>34</v>
      </c>
      <c r="Y1800" t="s">
        <v>656</v>
      </c>
      <c r="Z1800" t="s">
        <v>80</v>
      </c>
    </row>
    <row r="1801" spans="1:26">
      <c r="A1801" t="s">
        <v>3858</v>
      </c>
      <c r="B1801" t="s">
        <v>3858</v>
      </c>
      <c r="C1801" s="4">
        <v>46013</v>
      </c>
      <c r="D1801">
        <v>2025</v>
      </c>
      <c r="E1801">
        <v>12</v>
      </c>
      <c r="F1801" t="s">
        <v>28</v>
      </c>
      <c r="G1801" t="s">
        <v>137</v>
      </c>
      <c r="H1801" t="s">
        <v>552</v>
      </c>
      <c r="I1801" t="s">
        <v>750</v>
      </c>
      <c r="J1801" t="s">
        <v>1718</v>
      </c>
      <c r="K1801" t="s">
        <v>2905</v>
      </c>
      <c r="L1801">
        <v>5</v>
      </c>
      <c r="M1801" s="5">
        <v>498.75</v>
      </c>
      <c r="N1801" s="6">
        <v>0</v>
      </c>
      <c r="O1801" s="5">
        <v>0</v>
      </c>
      <c r="P1801" s="5">
        <v>374.06</v>
      </c>
      <c r="Q1801" s="5">
        <v>2493.75</v>
      </c>
      <c r="R1801" s="5">
        <v>1719.45</v>
      </c>
      <c r="S1801" s="5">
        <v>774.3</v>
      </c>
      <c r="T1801" s="7">
        <v>0.310496240601504</v>
      </c>
      <c r="U1801" t="s">
        <v>13</v>
      </c>
      <c r="V1801" t="s">
        <v>50</v>
      </c>
      <c r="W1801" t="s">
        <v>50</v>
      </c>
      <c r="X1801" t="s">
        <v>33</v>
      </c>
      <c r="Y1801" t="s">
        <v>1111</v>
      </c>
      <c r="Z1801" t="s">
        <v>101</v>
      </c>
    </row>
    <row r="1802" spans="1:26">
      <c r="A1802" t="s">
        <v>3859</v>
      </c>
      <c r="B1802" t="s">
        <v>3859</v>
      </c>
      <c r="C1802" s="4">
        <v>45955</v>
      </c>
      <c r="D1802">
        <v>2025</v>
      </c>
      <c r="E1802">
        <v>10</v>
      </c>
      <c r="F1802" t="s">
        <v>26</v>
      </c>
      <c r="G1802" t="s">
        <v>137</v>
      </c>
      <c r="H1802" t="s">
        <v>2654</v>
      </c>
      <c r="I1802" t="s">
        <v>145</v>
      </c>
      <c r="J1802" t="s">
        <v>280</v>
      </c>
      <c r="K1802" t="s">
        <v>281</v>
      </c>
      <c r="L1802">
        <v>1</v>
      </c>
      <c r="M1802" s="5">
        <v>522.78</v>
      </c>
      <c r="N1802" s="6">
        <v>15</v>
      </c>
      <c r="O1802" s="5">
        <v>78.42</v>
      </c>
      <c r="P1802" s="5">
        <v>66.65</v>
      </c>
      <c r="Q1802" s="5">
        <v>511.01</v>
      </c>
      <c r="R1802" s="5">
        <v>395.87</v>
      </c>
      <c r="S1802" s="5">
        <v>115.14</v>
      </c>
      <c r="T1802" s="7">
        <v>0.225318486918064</v>
      </c>
      <c r="U1802" t="s">
        <v>13</v>
      </c>
      <c r="V1802" t="s">
        <v>50</v>
      </c>
      <c r="W1802" t="s">
        <v>50</v>
      </c>
      <c r="X1802" t="s">
        <v>33</v>
      </c>
      <c r="Y1802" t="s">
        <v>2034</v>
      </c>
      <c r="Z1802" t="s">
        <v>80</v>
      </c>
    </row>
    <row r="1803" spans="1:26">
      <c r="A1803" t="s">
        <v>3860</v>
      </c>
      <c r="B1803" t="s">
        <v>3860</v>
      </c>
      <c r="C1803" s="4">
        <v>46015</v>
      </c>
      <c r="D1803">
        <v>2025</v>
      </c>
      <c r="E1803">
        <v>12</v>
      </c>
      <c r="F1803" t="s">
        <v>28</v>
      </c>
      <c r="G1803" t="s">
        <v>137</v>
      </c>
      <c r="H1803" t="s">
        <v>425</v>
      </c>
      <c r="I1803" t="s">
        <v>328</v>
      </c>
      <c r="J1803" t="s">
        <v>280</v>
      </c>
      <c r="K1803" t="s">
        <v>1172</v>
      </c>
      <c r="L1803">
        <v>3</v>
      </c>
      <c r="M1803" s="5">
        <v>127.18</v>
      </c>
      <c r="N1803" s="6">
        <v>15</v>
      </c>
      <c r="O1803" s="5">
        <v>57.23</v>
      </c>
      <c r="P1803" s="5">
        <v>48.65</v>
      </c>
      <c r="Q1803" s="5">
        <v>324.31</v>
      </c>
      <c r="R1803" s="5">
        <v>292.05</v>
      </c>
      <c r="S1803" s="5">
        <v>32.26</v>
      </c>
      <c r="T1803" s="7">
        <v>0.0994727267120964</v>
      </c>
      <c r="U1803" t="s">
        <v>12</v>
      </c>
      <c r="V1803" t="s">
        <v>50</v>
      </c>
      <c r="W1803" t="s">
        <v>50</v>
      </c>
      <c r="X1803" t="s">
        <v>35</v>
      </c>
      <c r="Y1803" t="s">
        <v>860</v>
      </c>
      <c r="Z1803" t="s">
        <v>101</v>
      </c>
    </row>
    <row r="1804" spans="1:26">
      <c r="A1804" t="s">
        <v>3861</v>
      </c>
      <c r="B1804" t="s">
        <v>3861</v>
      </c>
      <c r="C1804" s="4">
        <v>46018</v>
      </c>
      <c r="D1804">
        <v>2025</v>
      </c>
      <c r="E1804">
        <v>12</v>
      </c>
      <c r="F1804" t="s">
        <v>28</v>
      </c>
      <c r="G1804" t="s">
        <v>137</v>
      </c>
      <c r="H1804" t="s">
        <v>3580</v>
      </c>
      <c r="I1804" t="s">
        <v>609</v>
      </c>
      <c r="J1804" t="s">
        <v>1512</v>
      </c>
      <c r="K1804" t="s">
        <v>696</v>
      </c>
      <c r="L1804">
        <v>2</v>
      </c>
      <c r="M1804" s="5">
        <v>328.59</v>
      </c>
      <c r="N1804" s="6">
        <v>5</v>
      </c>
      <c r="O1804" s="5">
        <v>32.86</v>
      </c>
      <c r="P1804" s="5">
        <v>93.65</v>
      </c>
      <c r="Q1804" s="5">
        <v>717.97</v>
      </c>
      <c r="R1804" s="5">
        <v>510.98</v>
      </c>
      <c r="S1804" s="5">
        <v>206.99</v>
      </c>
      <c r="T1804" s="7">
        <v>0.288298953995292</v>
      </c>
      <c r="U1804" t="s">
        <v>14</v>
      </c>
      <c r="V1804" t="s">
        <v>50</v>
      </c>
      <c r="W1804" t="s">
        <v>50</v>
      </c>
      <c r="X1804" t="s">
        <v>33</v>
      </c>
      <c r="Y1804" t="s">
        <v>2357</v>
      </c>
      <c r="Z1804" t="s">
        <v>80</v>
      </c>
    </row>
    <row r="1805" spans="1:26">
      <c r="A1805" t="s">
        <v>3862</v>
      </c>
      <c r="B1805" t="s">
        <v>3862</v>
      </c>
      <c r="C1805" s="4">
        <v>45935</v>
      </c>
      <c r="D1805">
        <v>2025</v>
      </c>
      <c r="E1805">
        <v>10</v>
      </c>
      <c r="F1805" t="s">
        <v>26</v>
      </c>
      <c r="G1805" t="s">
        <v>137</v>
      </c>
      <c r="H1805" t="s">
        <v>905</v>
      </c>
      <c r="I1805" t="s">
        <v>459</v>
      </c>
      <c r="J1805" t="s">
        <v>837</v>
      </c>
      <c r="K1805" t="s">
        <v>1032</v>
      </c>
      <c r="L1805">
        <v>2</v>
      </c>
      <c r="M1805" s="5">
        <v>96.72</v>
      </c>
      <c r="N1805" s="6">
        <v>10</v>
      </c>
      <c r="O1805" s="5">
        <v>19.34</v>
      </c>
      <c r="P1805" s="5">
        <v>26.12</v>
      </c>
      <c r="Q1805" s="5">
        <v>200.21</v>
      </c>
      <c r="R1805" s="5">
        <v>159.64</v>
      </c>
      <c r="S1805" s="5">
        <v>40.57</v>
      </c>
      <c r="T1805" s="7">
        <v>0.202637230907547</v>
      </c>
      <c r="U1805" t="s">
        <v>11</v>
      </c>
      <c r="V1805" t="s">
        <v>50</v>
      </c>
      <c r="W1805" t="s">
        <v>50</v>
      </c>
      <c r="X1805" t="s">
        <v>33</v>
      </c>
      <c r="Y1805" t="s">
        <v>3138</v>
      </c>
      <c r="Z1805" t="s">
        <v>80</v>
      </c>
    </row>
    <row r="1806" spans="1:26">
      <c r="A1806" t="s">
        <v>3863</v>
      </c>
      <c r="B1806" t="s">
        <v>3863</v>
      </c>
      <c r="C1806" s="4">
        <v>45916</v>
      </c>
      <c r="D1806">
        <v>2025</v>
      </c>
      <c r="E1806">
        <v>9</v>
      </c>
      <c r="F1806" t="s">
        <v>25</v>
      </c>
      <c r="G1806" t="s">
        <v>89</v>
      </c>
      <c r="H1806" t="s">
        <v>2664</v>
      </c>
      <c r="I1806" t="s">
        <v>356</v>
      </c>
      <c r="J1806" t="s">
        <v>723</v>
      </c>
      <c r="K1806" t="s">
        <v>1622</v>
      </c>
      <c r="L1806">
        <v>2</v>
      </c>
      <c r="M1806" s="5">
        <v>455.79</v>
      </c>
      <c r="N1806" s="6">
        <v>0</v>
      </c>
      <c r="O1806" s="5">
        <v>0</v>
      </c>
      <c r="P1806" s="5">
        <v>136.74</v>
      </c>
      <c r="Q1806" s="5">
        <v>911.58</v>
      </c>
      <c r="R1806" s="5">
        <v>565.76</v>
      </c>
      <c r="S1806" s="5">
        <v>345.82</v>
      </c>
      <c r="T1806" s="7">
        <v>0.379363303275631</v>
      </c>
      <c r="U1806" t="s">
        <v>12</v>
      </c>
      <c r="V1806" t="s">
        <v>50</v>
      </c>
      <c r="W1806" t="s">
        <v>50</v>
      </c>
      <c r="X1806" t="s">
        <v>33</v>
      </c>
      <c r="Y1806" t="s">
        <v>483</v>
      </c>
      <c r="Z1806" t="s">
        <v>101</v>
      </c>
    </row>
    <row r="1807" spans="1:26">
      <c r="A1807" t="s">
        <v>3864</v>
      </c>
      <c r="B1807" t="s">
        <v>3864</v>
      </c>
      <c r="C1807" s="4">
        <v>45966</v>
      </c>
      <c r="D1807">
        <v>2025</v>
      </c>
      <c r="E1807">
        <v>11</v>
      </c>
      <c r="F1807" t="s">
        <v>27</v>
      </c>
      <c r="G1807" t="s">
        <v>137</v>
      </c>
      <c r="H1807" t="s">
        <v>2040</v>
      </c>
      <c r="I1807" t="s">
        <v>547</v>
      </c>
      <c r="J1807" t="s">
        <v>197</v>
      </c>
      <c r="K1807" t="s">
        <v>287</v>
      </c>
      <c r="L1807">
        <v>3</v>
      </c>
      <c r="M1807" s="5">
        <v>503.36</v>
      </c>
      <c r="N1807" s="6">
        <v>0</v>
      </c>
      <c r="O1807" s="5">
        <v>0</v>
      </c>
      <c r="P1807" s="5">
        <v>226.51</v>
      </c>
      <c r="Q1807" s="5">
        <v>1510.08</v>
      </c>
      <c r="R1807" s="5">
        <v>1169.4</v>
      </c>
      <c r="S1807" s="5">
        <v>340.68</v>
      </c>
      <c r="T1807" s="7">
        <v>0.225603941513032</v>
      </c>
      <c r="U1807" t="s">
        <v>10</v>
      </c>
      <c r="V1807" t="s">
        <v>50</v>
      </c>
      <c r="W1807" t="s">
        <v>50</v>
      </c>
      <c r="X1807" t="s">
        <v>33</v>
      </c>
      <c r="Y1807" t="s">
        <v>2357</v>
      </c>
      <c r="Z1807" t="s">
        <v>101</v>
      </c>
    </row>
    <row r="1808" spans="1:26">
      <c r="A1808" t="s">
        <v>3865</v>
      </c>
      <c r="B1808" t="s">
        <v>3865</v>
      </c>
      <c r="C1808" s="4">
        <v>45913</v>
      </c>
      <c r="D1808">
        <v>2025</v>
      </c>
      <c r="E1808">
        <v>9</v>
      </c>
      <c r="F1808" t="s">
        <v>25</v>
      </c>
      <c r="G1808" t="s">
        <v>89</v>
      </c>
      <c r="H1808" t="s">
        <v>2713</v>
      </c>
      <c r="I1808" t="s">
        <v>169</v>
      </c>
      <c r="J1808" t="s">
        <v>369</v>
      </c>
      <c r="K1808" t="s">
        <v>370</v>
      </c>
      <c r="L1808">
        <v>8</v>
      </c>
      <c r="M1808" s="5">
        <v>157.32</v>
      </c>
      <c r="N1808" s="6">
        <v>0</v>
      </c>
      <c r="O1808" s="5">
        <v>0</v>
      </c>
      <c r="P1808" s="5">
        <v>188.78</v>
      </c>
      <c r="Q1808" s="5">
        <v>1447.34</v>
      </c>
      <c r="R1808" s="5">
        <v>927.28</v>
      </c>
      <c r="S1808" s="5">
        <v>520.06</v>
      </c>
      <c r="T1808" s="7">
        <v>0.359321237580665</v>
      </c>
      <c r="U1808" t="s">
        <v>12</v>
      </c>
      <c r="V1808" t="s">
        <v>50</v>
      </c>
      <c r="W1808" t="s">
        <v>50</v>
      </c>
      <c r="X1808" t="s">
        <v>33</v>
      </c>
      <c r="Y1808" t="s">
        <v>775</v>
      </c>
      <c r="Z1808" t="s">
        <v>80</v>
      </c>
    </row>
    <row r="1809" spans="1:26">
      <c r="A1809" t="s">
        <v>3866</v>
      </c>
      <c r="B1809" t="s">
        <v>3866</v>
      </c>
      <c r="C1809" s="4">
        <v>46057</v>
      </c>
      <c r="D1809">
        <v>2026</v>
      </c>
      <c r="E1809">
        <v>2</v>
      </c>
      <c r="F1809" t="s">
        <v>31</v>
      </c>
      <c r="G1809" t="s">
        <v>82</v>
      </c>
      <c r="H1809" t="s">
        <v>1070</v>
      </c>
      <c r="I1809" t="s">
        <v>1704</v>
      </c>
      <c r="J1809" t="s">
        <v>152</v>
      </c>
      <c r="K1809" t="s">
        <v>153</v>
      </c>
      <c r="L1809">
        <v>8</v>
      </c>
      <c r="M1809" s="5">
        <v>265.54</v>
      </c>
      <c r="N1809" s="6">
        <v>0</v>
      </c>
      <c r="O1809" s="5">
        <v>0</v>
      </c>
      <c r="P1809" s="5">
        <v>318.65</v>
      </c>
      <c r="Q1809" s="5">
        <v>2124.32</v>
      </c>
      <c r="R1809" s="5">
        <v>1488.32</v>
      </c>
      <c r="S1809" s="5">
        <v>636</v>
      </c>
      <c r="T1809" s="7">
        <v>0.299389922422234</v>
      </c>
      <c r="U1809" t="s">
        <v>14</v>
      </c>
      <c r="V1809" t="s">
        <v>50</v>
      </c>
      <c r="W1809" t="s">
        <v>50</v>
      </c>
      <c r="X1809" t="s">
        <v>33</v>
      </c>
      <c r="Y1809" t="s">
        <v>166</v>
      </c>
      <c r="Z1809" t="s">
        <v>101</v>
      </c>
    </row>
    <row r="1810" spans="1:26">
      <c r="A1810" t="s">
        <v>3867</v>
      </c>
      <c r="B1810" t="s">
        <v>3867</v>
      </c>
      <c r="C1810" s="4">
        <v>46001</v>
      </c>
      <c r="D1810">
        <v>2025</v>
      </c>
      <c r="E1810">
        <v>12</v>
      </c>
      <c r="F1810" t="s">
        <v>28</v>
      </c>
      <c r="G1810" t="s">
        <v>137</v>
      </c>
      <c r="H1810" t="s">
        <v>3777</v>
      </c>
      <c r="I1810" t="s">
        <v>493</v>
      </c>
      <c r="J1810" t="s">
        <v>1409</v>
      </c>
      <c r="K1810" t="s">
        <v>1410</v>
      </c>
      <c r="L1810">
        <v>3</v>
      </c>
      <c r="M1810" s="5">
        <v>395.66</v>
      </c>
      <c r="N1810" s="6">
        <v>0</v>
      </c>
      <c r="O1810" s="5">
        <v>0</v>
      </c>
      <c r="P1810" s="5">
        <v>178.05</v>
      </c>
      <c r="Q1810" s="5">
        <v>1186.98</v>
      </c>
      <c r="R1810" s="5">
        <v>960.57</v>
      </c>
      <c r="S1810" s="5">
        <v>226.41</v>
      </c>
      <c r="T1810" s="7">
        <v>0.190744578678664</v>
      </c>
      <c r="U1810" t="s">
        <v>11</v>
      </c>
      <c r="V1810" t="s">
        <v>50</v>
      </c>
      <c r="W1810" t="s">
        <v>50</v>
      </c>
      <c r="X1810" t="s">
        <v>33</v>
      </c>
      <c r="Y1810" t="s">
        <v>3868</v>
      </c>
      <c r="Z1810" t="s">
        <v>101</v>
      </c>
    </row>
    <row r="1811" spans="1:26">
      <c r="A1811" t="s">
        <v>3869</v>
      </c>
      <c r="B1811" t="s">
        <v>3869</v>
      </c>
      <c r="C1811" s="4">
        <v>45915</v>
      </c>
      <c r="D1811">
        <v>2025</v>
      </c>
      <c r="E1811">
        <v>9</v>
      </c>
      <c r="F1811" t="s">
        <v>25</v>
      </c>
      <c r="G1811" t="s">
        <v>89</v>
      </c>
      <c r="H1811" t="s">
        <v>3685</v>
      </c>
      <c r="I1811" t="s">
        <v>703</v>
      </c>
      <c r="J1811" t="s">
        <v>40</v>
      </c>
      <c r="K1811" t="s">
        <v>978</v>
      </c>
      <c r="L1811">
        <v>2</v>
      </c>
      <c r="M1811" s="5">
        <v>224.28</v>
      </c>
      <c r="N1811" s="6">
        <v>5</v>
      </c>
      <c r="O1811" s="5">
        <v>22.43</v>
      </c>
      <c r="P1811" s="5">
        <v>63.92</v>
      </c>
      <c r="Q1811" s="5">
        <v>426.13</v>
      </c>
      <c r="R1811" s="5">
        <v>384.78</v>
      </c>
      <c r="S1811" s="5">
        <v>41.35</v>
      </c>
      <c r="T1811" s="7">
        <v>0.0970361157393284</v>
      </c>
      <c r="U1811" t="s">
        <v>11</v>
      </c>
      <c r="V1811" t="s">
        <v>51</v>
      </c>
      <c r="W1811" t="s">
        <v>51</v>
      </c>
      <c r="X1811" t="s">
        <v>33</v>
      </c>
      <c r="Y1811" t="s">
        <v>2207</v>
      </c>
      <c r="Z1811" t="s">
        <v>101</v>
      </c>
    </row>
    <row r="1812" spans="1:26">
      <c r="A1812" t="s">
        <v>3870</v>
      </c>
      <c r="B1812" t="s">
        <v>3870</v>
      </c>
      <c r="C1812" s="4">
        <v>46039</v>
      </c>
      <c r="D1812">
        <v>2026</v>
      </c>
      <c r="E1812">
        <v>1</v>
      </c>
      <c r="F1812" t="s">
        <v>30</v>
      </c>
      <c r="G1812" t="s">
        <v>82</v>
      </c>
      <c r="H1812" t="s">
        <v>389</v>
      </c>
      <c r="I1812" t="s">
        <v>756</v>
      </c>
      <c r="J1812" t="s">
        <v>140</v>
      </c>
      <c r="K1812" t="s">
        <v>141</v>
      </c>
      <c r="L1812">
        <v>7</v>
      </c>
      <c r="M1812" s="5">
        <v>169.79</v>
      </c>
      <c r="N1812" s="6">
        <v>0</v>
      </c>
      <c r="O1812" s="5">
        <v>0</v>
      </c>
      <c r="P1812" s="5">
        <v>178.28</v>
      </c>
      <c r="Q1812" s="5">
        <v>1366.81</v>
      </c>
      <c r="R1812" s="5">
        <v>869.68</v>
      </c>
      <c r="S1812" s="5">
        <v>497.13</v>
      </c>
      <c r="T1812" s="7">
        <v>0.363715512763296</v>
      </c>
      <c r="U1812" t="s">
        <v>11</v>
      </c>
      <c r="V1812" t="s">
        <v>50</v>
      </c>
      <c r="W1812" t="s">
        <v>50</v>
      </c>
      <c r="X1812" t="s">
        <v>33</v>
      </c>
      <c r="Y1812" t="s">
        <v>123</v>
      </c>
      <c r="Z1812" t="s">
        <v>80</v>
      </c>
    </row>
    <row r="1813" spans="1:26">
      <c r="A1813" t="s">
        <v>3871</v>
      </c>
      <c r="B1813" t="s">
        <v>3871</v>
      </c>
      <c r="C1813" s="4">
        <v>46073</v>
      </c>
      <c r="D1813">
        <v>2026</v>
      </c>
      <c r="E1813">
        <v>2</v>
      </c>
      <c r="F1813" t="s">
        <v>31</v>
      </c>
      <c r="G1813" t="s">
        <v>82</v>
      </c>
      <c r="H1813" t="s">
        <v>2846</v>
      </c>
      <c r="I1813" t="s">
        <v>898</v>
      </c>
      <c r="J1813" t="s">
        <v>1450</v>
      </c>
      <c r="K1813" t="s">
        <v>2838</v>
      </c>
      <c r="L1813">
        <v>4</v>
      </c>
      <c r="M1813" s="5">
        <v>275.71</v>
      </c>
      <c r="N1813" s="6">
        <v>15</v>
      </c>
      <c r="O1813" s="5">
        <v>165.43</v>
      </c>
      <c r="P1813" s="5">
        <v>140.61</v>
      </c>
      <c r="Q1813" s="5">
        <v>937.41</v>
      </c>
      <c r="R1813" s="5">
        <v>825.2</v>
      </c>
      <c r="S1813" s="5">
        <v>112.21</v>
      </c>
      <c r="T1813" s="7">
        <v>0.119702158073842</v>
      </c>
      <c r="U1813" t="s">
        <v>14</v>
      </c>
      <c r="V1813" t="s">
        <v>50</v>
      </c>
      <c r="W1813" t="s">
        <v>50</v>
      </c>
      <c r="X1813" t="s">
        <v>33</v>
      </c>
      <c r="Y1813" t="s">
        <v>529</v>
      </c>
      <c r="Z1813" t="s">
        <v>101</v>
      </c>
    </row>
    <row r="1814" spans="1:26">
      <c r="A1814" t="s">
        <v>3872</v>
      </c>
      <c r="B1814" t="s">
        <v>3872</v>
      </c>
      <c r="C1814" s="4">
        <v>45873</v>
      </c>
      <c r="D1814">
        <v>2025</v>
      </c>
      <c r="E1814">
        <v>8</v>
      </c>
      <c r="F1814" t="s">
        <v>24</v>
      </c>
      <c r="G1814" t="s">
        <v>89</v>
      </c>
      <c r="H1814" t="s">
        <v>578</v>
      </c>
      <c r="I1814" t="s">
        <v>708</v>
      </c>
      <c r="J1814" t="s">
        <v>955</v>
      </c>
      <c r="K1814" t="s">
        <v>515</v>
      </c>
      <c r="L1814">
        <v>3</v>
      </c>
      <c r="M1814" s="5">
        <v>372.61</v>
      </c>
      <c r="N1814" s="6">
        <v>20</v>
      </c>
      <c r="O1814" s="5">
        <v>223.57</v>
      </c>
      <c r="P1814" s="5">
        <v>134.14</v>
      </c>
      <c r="Q1814" s="5">
        <v>894.26</v>
      </c>
      <c r="R1814" s="5">
        <v>959.73</v>
      </c>
      <c r="S1814" s="5">
        <v>-65.47</v>
      </c>
      <c r="T1814" s="7">
        <v>-0.0732113702949925</v>
      </c>
      <c r="U1814" t="s">
        <v>12</v>
      </c>
      <c r="V1814" t="s">
        <v>50</v>
      </c>
      <c r="W1814" t="s">
        <v>50</v>
      </c>
      <c r="X1814" t="s">
        <v>33</v>
      </c>
      <c r="Y1814" t="s">
        <v>1058</v>
      </c>
      <c r="Z1814" t="s">
        <v>101</v>
      </c>
    </row>
    <row r="1815" spans="1:26">
      <c r="A1815" t="s">
        <v>3873</v>
      </c>
      <c r="B1815" t="s">
        <v>3873</v>
      </c>
      <c r="C1815" s="4">
        <v>45752</v>
      </c>
      <c r="D1815">
        <v>2025</v>
      </c>
      <c r="E1815">
        <v>4</v>
      </c>
      <c r="F1815" t="s">
        <v>20</v>
      </c>
      <c r="G1815" t="s">
        <v>74</v>
      </c>
      <c r="H1815" t="s">
        <v>1890</v>
      </c>
      <c r="I1815" t="s">
        <v>854</v>
      </c>
      <c r="J1815" t="s">
        <v>1940</v>
      </c>
      <c r="K1815" t="s">
        <v>1237</v>
      </c>
      <c r="L1815">
        <v>3</v>
      </c>
      <c r="M1815" s="5">
        <v>530.16</v>
      </c>
      <c r="N1815" s="6">
        <v>0</v>
      </c>
      <c r="O1815" s="5">
        <v>0</v>
      </c>
      <c r="P1815" s="5">
        <v>238.57</v>
      </c>
      <c r="Q1815" s="5">
        <v>1829.05</v>
      </c>
      <c r="R1815" s="5">
        <v>1137.57</v>
      </c>
      <c r="S1815" s="5">
        <v>691.48</v>
      </c>
      <c r="T1815" s="7">
        <v>0.378054181132282</v>
      </c>
      <c r="U1815" t="s">
        <v>13</v>
      </c>
      <c r="V1815" t="s">
        <v>50</v>
      </c>
      <c r="W1815" t="s">
        <v>50</v>
      </c>
      <c r="X1815" t="s">
        <v>35</v>
      </c>
      <c r="Y1815" t="s">
        <v>2832</v>
      </c>
      <c r="Z1815" t="s">
        <v>80</v>
      </c>
    </row>
    <row r="1816" spans="1:26">
      <c r="A1816" t="s">
        <v>3874</v>
      </c>
      <c r="B1816" t="s">
        <v>3874</v>
      </c>
      <c r="C1816" s="4">
        <v>46061</v>
      </c>
      <c r="D1816">
        <v>2026</v>
      </c>
      <c r="E1816">
        <v>2</v>
      </c>
      <c r="F1816" t="s">
        <v>31</v>
      </c>
      <c r="G1816" t="s">
        <v>82</v>
      </c>
      <c r="H1816" t="s">
        <v>1654</v>
      </c>
      <c r="I1816" t="s">
        <v>76</v>
      </c>
      <c r="J1816" t="s">
        <v>121</v>
      </c>
      <c r="K1816" t="s">
        <v>2021</v>
      </c>
      <c r="L1816">
        <v>3</v>
      </c>
      <c r="M1816" s="5">
        <v>416.08</v>
      </c>
      <c r="N1816" s="6">
        <v>5</v>
      </c>
      <c r="O1816" s="5">
        <v>62.41</v>
      </c>
      <c r="P1816" s="5">
        <v>177.87</v>
      </c>
      <c r="Q1816" s="5">
        <v>1363.7</v>
      </c>
      <c r="R1816" s="5">
        <v>958.92</v>
      </c>
      <c r="S1816" s="5">
        <v>404.78</v>
      </c>
      <c r="T1816" s="7">
        <v>0.296824814841974</v>
      </c>
      <c r="U1816" t="s">
        <v>13</v>
      </c>
      <c r="V1816" t="s">
        <v>50</v>
      </c>
      <c r="W1816" t="s">
        <v>50</v>
      </c>
      <c r="X1816" t="s">
        <v>35</v>
      </c>
      <c r="Y1816" t="s">
        <v>1094</v>
      </c>
      <c r="Z1816" t="s">
        <v>80</v>
      </c>
    </row>
    <row r="1817" spans="1:26">
      <c r="A1817" t="s">
        <v>3875</v>
      </c>
      <c r="B1817" t="s">
        <v>3875</v>
      </c>
      <c r="C1817" s="4">
        <v>46015</v>
      </c>
      <c r="D1817">
        <v>2025</v>
      </c>
      <c r="E1817">
        <v>12</v>
      </c>
      <c r="F1817" t="s">
        <v>28</v>
      </c>
      <c r="G1817" t="s">
        <v>137</v>
      </c>
      <c r="H1817" t="s">
        <v>853</v>
      </c>
      <c r="I1817" t="s">
        <v>328</v>
      </c>
      <c r="J1817" t="s">
        <v>191</v>
      </c>
      <c r="K1817" t="s">
        <v>192</v>
      </c>
      <c r="L1817">
        <v>1</v>
      </c>
      <c r="M1817" s="5">
        <v>124.84</v>
      </c>
      <c r="N1817" s="6">
        <v>0</v>
      </c>
      <c r="O1817" s="5">
        <v>0</v>
      </c>
      <c r="P1817" s="5">
        <v>18.73</v>
      </c>
      <c r="Q1817" s="5">
        <v>124.84</v>
      </c>
      <c r="R1817" s="5">
        <v>97.35</v>
      </c>
      <c r="S1817" s="5">
        <v>27.49</v>
      </c>
      <c r="T1817" s="7">
        <v>0.220201858378725</v>
      </c>
      <c r="U1817" t="s">
        <v>12</v>
      </c>
      <c r="V1817" t="s">
        <v>50</v>
      </c>
      <c r="W1817" t="s">
        <v>50</v>
      </c>
      <c r="X1817" t="s">
        <v>33</v>
      </c>
      <c r="Y1817" t="s">
        <v>1231</v>
      </c>
      <c r="Z1817" t="s">
        <v>101</v>
      </c>
    </row>
    <row r="1818" spans="1:26">
      <c r="A1818" t="s">
        <v>3876</v>
      </c>
      <c r="B1818" t="s">
        <v>3876</v>
      </c>
      <c r="C1818" s="4">
        <v>45999</v>
      </c>
      <c r="D1818">
        <v>2025</v>
      </c>
      <c r="E1818">
        <v>12</v>
      </c>
      <c r="F1818" t="s">
        <v>28</v>
      </c>
      <c r="G1818" t="s">
        <v>137</v>
      </c>
      <c r="H1818" t="s">
        <v>284</v>
      </c>
      <c r="I1818" t="s">
        <v>157</v>
      </c>
      <c r="J1818" t="s">
        <v>175</v>
      </c>
      <c r="K1818" t="s">
        <v>455</v>
      </c>
      <c r="L1818">
        <v>4</v>
      </c>
      <c r="M1818" s="5">
        <v>59.92</v>
      </c>
      <c r="N1818" s="6">
        <v>0</v>
      </c>
      <c r="O1818" s="5">
        <v>0</v>
      </c>
      <c r="P1818" s="5">
        <v>35.95</v>
      </c>
      <c r="Q1818" s="5">
        <v>239.68</v>
      </c>
      <c r="R1818" s="5">
        <v>192.6</v>
      </c>
      <c r="S1818" s="5">
        <v>47.08</v>
      </c>
      <c r="T1818" s="7">
        <v>0.196428571428571</v>
      </c>
      <c r="U1818" t="s">
        <v>10</v>
      </c>
      <c r="V1818" t="s">
        <v>50</v>
      </c>
      <c r="W1818" t="s">
        <v>50</v>
      </c>
      <c r="X1818" t="s">
        <v>34</v>
      </c>
      <c r="Y1818" t="s">
        <v>817</v>
      </c>
      <c r="Z1818" t="s">
        <v>101</v>
      </c>
    </row>
    <row r="1819" spans="1:26">
      <c r="A1819" t="s">
        <v>3877</v>
      </c>
      <c r="B1819" t="s">
        <v>3877</v>
      </c>
      <c r="C1819" s="4">
        <v>45949</v>
      </c>
      <c r="D1819">
        <v>2025</v>
      </c>
      <c r="E1819">
        <v>10</v>
      </c>
      <c r="F1819" t="s">
        <v>26</v>
      </c>
      <c r="G1819" t="s">
        <v>137</v>
      </c>
      <c r="H1819" t="s">
        <v>1070</v>
      </c>
      <c r="I1819" t="s">
        <v>104</v>
      </c>
      <c r="J1819" t="s">
        <v>40</v>
      </c>
      <c r="K1819" t="s">
        <v>978</v>
      </c>
      <c r="L1819">
        <v>5</v>
      </c>
      <c r="M1819" s="5">
        <v>328.53</v>
      </c>
      <c r="N1819" s="6">
        <v>15</v>
      </c>
      <c r="O1819" s="5">
        <v>246.4</v>
      </c>
      <c r="P1819" s="5">
        <v>209.44</v>
      </c>
      <c r="Q1819" s="5">
        <v>1605.69</v>
      </c>
      <c r="R1819" s="5">
        <v>1230.6</v>
      </c>
      <c r="S1819" s="5">
        <v>375.09</v>
      </c>
      <c r="T1819" s="7">
        <v>0.23360050819274</v>
      </c>
      <c r="U1819" t="s">
        <v>11</v>
      </c>
      <c r="V1819" t="s">
        <v>50</v>
      </c>
      <c r="W1819" t="s">
        <v>50</v>
      </c>
      <c r="X1819" t="s">
        <v>33</v>
      </c>
      <c r="Y1819" t="s">
        <v>3277</v>
      </c>
      <c r="Z1819" t="s">
        <v>80</v>
      </c>
    </row>
    <row r="1820" spans="1:26">
      <c r="A1820" t="s">
        <v>3878</v>
      </c>
      <c r="B1820" t="s">
        <v>3878</v>
      </c>
      <c r="C1820" s="4">
        <v>46088</v>
      </c>
      <c r="D1820">
        <v>2026</v>
      </c>
      <c r="E1820">
        <v>3</v>
      </c>
      <c r="F1820" t="s">
        <v>19</v>
      </c>
      <c r="G1820" t="s">
        <v>82</v>
      </c>
      <c r="H1820" t="s">
        <v>3879</v>
      </c>
      <c r="I1820" t="s">
        <v>312</v>
      </c>
      <c r="J1820" t="s">
        <v>548</v>
      </c>
      <c r="K1820" t="s">
        <v>1427</v>
      </c>
      <c r="L1820">
        <v>1</v>
      </c>
      <c r="M1820" s="5">
        <v>383.51</v>
      </c>
      <c r="N1820" s="6">
        <v>0</v>
      </c>
      <c r="O1820" s="5">
        <v>0</v>
      </c>
      <c r="P1820" s="5">
        <v>57.53</v>
      </c>
      <c r="Q1820" s="5">
        <v>441.04</v>
      </c>
      <c r="R1820" s="5">
        <v>285.9</v>
      </c>
      <c r="S1820" s="5">
        <v>155.14</v>
      </c>
      <c r="T1820" s="7">
        <v>0.351759477598404</v>
      </c>
      <c r="U1820" t="s">
        <v>10</v>
      </c>
      <c r="V1820" t="s">
        <v>50</v>
      </c>
      <c r="W1820" t="s">
        <v>50</v>
      </c>
      <c r="X1820" t="s">
        <v>33</v>
      </c>
      <c r="Y1820" t="s">
        <v>1355</v>
      </c>
      <c r="Z1820" t="s">
        <v>80</v>
      </c>
    </row>
    <row r="1821" spans="1:26">
      <c r="A1821" t="s">
        <v>3880</v>
      </c>
      <c r="B1821" t="s">
        <v>3880</v>
      </c>
      <c r="C1821" s="4">
        <v>46013</v>
      </c>
      <c r="D1821">
        <v>2025</v>
      </c>
      <c r="E1821">
        <v>12</v>
      </c>
      <c r="F1821" t="s">
        <v>28</v>
      </c>
      <c r="G1821" t="s">
        <v>137</v>
      </c>
      <c r="H1821" t="s">
        <v>2536</v>
      </c>
      <c r="I1821" t="s">
        <v>1704</v>
      </c>
      <c r="J1821" t="s">
        <v>197</v>
      </c>
      <c r="K1821" t="s">
        <v>407</v>
      </c>
      <c r="L1821">
        <v>2</v>
      </c>
      <c r="M1821" s="5">
        <v>242.22</v>
      </c>
      <c r="N1821" s="6">
        <v>0</v>
      </c>
      <c r="O1821" s="5">
        <v>0</v>
      </c>
      <c r="P1821" s="5">
        <v>72.67</v>
      </c>
      <c r="Q1821" s="5">
        <v>484.44</v>
      </c>
      <c r="R1821" s="5">
        <v>372.08</v>
      </c>
      <c r="S1821" s="5">
        <v>112.36</v>
      </c>
      <c r="T1821" s="7">
        <v>0.231937907687226</v>
      </c>
      <c r="U1821" t="s">
        <v>14</v>
      </c>
      <c r="V1821" t="s">
        <v>50</v>
      </c>
      <c r="W1821" t="s">
        <v>50</v>
      </c>
      <c r="X1821" t="s">
        <v>35</v>
      </c>
      <c r="Y1821" t="s">
        <v>3881</v>
      </c>
      <c r="Z1821" t="s">
        <v>101</v>
      </c>
    </row>
    <row r="1822" spans="1:26">
      <c r="A1822" t="s">
        <v>3882</v>
      </c>
      <c r="B1822" t="s">
        <v>3882</v>
      </c>
      <c r="C1822" s="4">
        <v>45910</v>
      </c>
      <c r="D1822">
        <v>2025</v>
      </c>
      <c r="E1822">
        <v>9</v>
      </c>
      <c r="F1822" t="s">
        <v>25</v>
      </c>
      <c r="G1822" t="s">
        <v>89</v>
      </c>
      <c r="H1822" t="s">
        <v>1587</v>
      </c>
      <c r="I1822" t="s">
        <v>362</v>
      </c>
      <c r="J1822" t="s">
        <v>563</v>
      </c>
      <c r="K1822" t="s">
        <v>564</v>
      </c>
      <c r="L1822">
        <v>6</v>
      </c>
      <c r="M1822" s="5">
        <v>342.94</v>
      </c>
      <c r="N1822" s="6">
        <v>0</v>
      </c>
      <c r="O1822" s="5">
        <v>0</v>
      </c>
      <c r="P1822" s="5">
        <v>308.65</v>
      </c>
      <c r="Q1822" s="5">
        <v>2057.64</v>
      </c>
      <c r="R1822" s="5">
        <v>1483.5</v>
      </c>
      <c r="S1822" s="5">
        <v>574.14</v>
      </c>
      <c r="T1822" s="7">
        <v>0.279028401469645</v>
      </c>
      <c r="U1822" t="s">
        <v>12</v>
      </c>
      <c r="V1822" t="s">
        <v>50</v>
      </c>
      <c r="W1822" t="s">
        <v>50</v>
      </c>
      <c r="X1822" t="s">
        <v>33</v>
      </c>
      <c r="Y1822" t="s">
        <v>2743</v>
      </c>
      <c r="Z1822" t="s">
        <v>101</v>
      </c>
    </row>
    <row r="1823" spans="1:26">
      <c r="A1823" t="s">
        <v>3883</v>
      </c>
      <c r="B1823" t="s">
        <v>3883</v>
      </c>
      <c r="C1823" s="4">
        <v>45757</v>
      </c>
      <c r="D1823">
        <v>2025</v>
      </c>
      <c r="E1823">
        <v>4</v>
      </c>
      <c r="F1823" t="s">
        <v>20</v>
      </c>
      <c r="G1823" t="s">
        <v>74</v>
      </c>
      <c r="H1823" t="s">
        <v>1983</v>
      </c>
      <c r="I1823" t="s">
        <v>417</v>
      </c>
      <c r="J1823" t="s">
        <v>240</v>
      </c>
      <c r="K1823" t="s">
        <v>1687</v>
      </c>
      <c r="L1823">
        <v>6</v>
      </c>
      <c r="M1823" s="5">
        <v>402.72</v>
      </c>
      <c r="N1823" s="6">
        <v>15</v>
      </c>
      <c r="O1823" s="5">
        <v>362.45</v>
      </c>
      <c r="P1823" s="5">
        <v>308.08</v>
      </c>
      <c r="Q1823" s="5">
        <v>2053.87</v>
      </c>
      <c r="R1823" s="5">
        <v>1859.88</v>
      </c>
      <c r="S1823" s="5">
        <v>193.99</v>
      </c>
      <c r="T1823" s="7">
        <v>0.0944509633034223</v>
      </c>
      <c r="U1823" t="s">
        <v>9</v>
      </c>
      <c r="V1823" t="s">
        <v>50</v>
      </c>
      <c r="W1823" t="s">
        <v>50</v>
      </c>
      <c r="X1823" t="s">
        <v>33</v>
      </c>
      <c r="Y1823" t="s">
        <v>3419</v>
      </c>
      <c r="Z1823" t="s">
        <v>101</v>
      </c>
    </row>
    <row r="1824" spans="1:26">
      <c r="A1824" t="s">
        <v>3884</v>
      </c>
      <c r="B1824" t="s">
        <v>3884</v>
      </c>
      <c r="C1824" s="4">
        <v>46078</v>
      </c>
      <c r="D1824">
        <v>2026</v>
      </c>
      <c r="E1824">
        <v>2</v>
      </c>
      <c r="F1824" t="s">
        <v>31</v>
      </c>
      <c r="G1824" t="s">
        <v>82</v>
      </c>
      <c r="H1824" t="s">
        <v>1768</v>
      </c>
      <c r="I1824" t="s">
        <v>317</v>
      </c>
      <c r="J1824" t="s">
        <v>181</v>
      </c>
      <c r="K1824" t="s">
        <v>182</v>
      </c>
      <c r="L1824">
        <v>7</v>
      </c>
      <c r="M1824" s="5">
        <v>170.2</v>
      </c>
      <c r="N1824" s="6">
        <v>0</v>
      </c>
      <c r="O1824" s="5">
        <v>0</v>
      </c>
      <c r="P1824" s="5">
        <v>178.71</v>
      </c>
      <c r="Q1824" s="5">
        <v>1191.4</v>
      </c>
      <c r="R1824" s="5">
        <v>963.48</v>
      </c>
      <c r="S1824" s="5">
        <v>227.92</v>
      </c>
      <c r="T1824" s="7">
        <v>0.191304347826087</v>
      </c>
      <c r="U1824" t="s">
        <v>14</v>
      </c>
      <c r="V1824" t="s">
        <v>50</v>
      </c>
      <c r="W1824" t="s">
        <v>50</v>
      </c>
      <c r="X1824" t="s">
        <v>33</v>
      </c>
      <c r="Y1824" t="s">
        <v>834</v>
      </c>
      <c r="Z1824" t="s">
        <v>101</v>
      </c>
    </row>
    <row r="1825" spans="1:26">
      <c r="A1825" t="s">
        <v>3885</v>
      </c>
      <c r="B1825" t="s">
        <v>3885</v>
      </c>
      <c r="C1825" s="4">
        <v>46048</v>
      </c>
      <c r="D1825">
        <v>2026</v>
      </c>
      <c r="E1825">
        <v>1</v>
      </c>
      <c r="F1825" t="s">
        <v>30</v>
      </c>
      <c r="G1825" t="s">
        <v>82</v>
      </c>
      <c r="H1825" t="s">
        <v>1168</v>
      </c>
      <c r="I1825" t="s">
        <v>703</v>
      </c>
      <c r="J1825" t="s">
        <v>202</v>
      </c>
      <c r="K1825" t="s">
        <v>203</v>
      </c>
      <c r="L1825">
        <v>4</v>
      </c>
      <c r="M1825" s="5">
        <v>240.95</v>
      </c>
      <c r="N1825" s="6">
        <v>5</v>
      </c>
      <c r="O1825" s="5">
        <v>48.19</v>
      </c>
      <c r="P1825" s="5">
        <v>137.34</v>
      </c>
      <c r="Q1825" s="5">
        <v>915.61</v>
      </c>
      <c r="R1825" s="5">
        <v>769.56</v>
      </c>
      <c r="S1825" s="5">
        <v>146.05</v>
      </c>
      <c r="T1825" s="7">
        <v>0.159511145575081</v>
      </c>
      <c r="U1825" t="s">
        <v>11</v>
      </c>
      <c r="V1825" t="s">
        <v>50</v>
      </c>
      <c r="W1825" t="s">
        <v>50</v>
      </c>
      <c r="X1825" t="s">
        <v>35</v>
      </c>
      <c r="Y1825" t="s">
        <v>1315</v>
      </c>
      <c r="Z1825" t="s">
        <v>101</v>
      </c>
    </row>
    <row r="1826" spans="1:26">
      <c r="A1826" t="s">
        <v>3886</v>
      </c>
      <c r="B1826" t="s">
        <v>3886</v>
      </c>
      <c r="C1826" s="4">
        <v>45986</v>
      </c>
      <c r="D1826">
        <v>2025</v>
      </c>
      <c r="E1826">
        <v>11</v>
      </c>
      <c r="F1826" t="s">
        <v>27</v>
      </c>
      <c r="G1826" t="s">
        <v>137</v>
      </c>
      <c r="H1826" t="s">
        <v>1670</v>
      </c>
      <c r="I1826" t="s">
        <v>844</v>
      </c>
      <c r="J1826" t="s">
        <v>1450</v>
      </c>
      <c r="K1826" t="s">
        <v>287</v>
      </c>
      <c r="L1826">
        <v>2</v>
      </c>
      <c r="M1826" s="5">
        <v>298.68</v>
      </c>
      <c r="N1826" s="6">
        <v>15</v>
      </c>
      <c r="O1826" s="5">
        <v>89.6</v>
      </c>
      <c r="P1826" s="5">
        <v>76.16</v>
      </c>
      <c r="Q1826" s="5">
        <v>507.76</v>
      </c>
      <c r="R1826" s="5">
        <v>501.38</v>
      </c>
      <c r="S1826" s="5">
        <v>6.38</v>
      </c>
      <c r="T1826" s="7">
        <v>0.0125649913344887</v>
      </c>
      <c r="U1826" t="s">
        <v>11</v>
      </c>
      <c r="V1826" t="s">
        <v>50</v>
      </c>
      <c r="W1826" t="s">
        <v>50</v>
      </c>
      <c r="X1826" t="s">
        <v>34</v>
      </c>
      <c r="Y1826" t="s">
        <v>1712</v>
      </c>
      <c r="Z1826" t="s">
        <v>101</v>
      </c>
    </row>
    <row r="1827" spans="1:26">
      <c r="A1827" t="s">
        <v>3887</v>
      </c>
      <c r="B1827" t="s">
        <v>3887</v>
      </c>
      <c r="C1827" s="4">
        <v>45948</v>
      </c>
      <c r="D1827">
        <v>2025</v>
      </c>
      <c r="E1827">
        <v>10</v>
      </c>
      <c r="F1827" t="s">
        <v>26</v>
      </c>
      <c r="G1827" t="s">
        <v>137</v>
      </c>
      <c r="H1827" t="s">
        <v>1613</v>
      </c>
      <c r="I1827" t="s">
        <v>235</v>
      </c>
      <c r="J1827" t="s">
        <v>44</v>
      </c>
      <c r="K1827" t="s">
        <v>518</v>
      </c>
      <c r="L1827">
        <v>6</v>
      </c>
      <c r="M1827" s="5">
        <v>242.47</v>
      </c>
      <c r="N1827" s="6">
        <v>0</v>
      </c>
      <c r="O1827" s="5">
        <v>0</v>
      </c>
      <c r="P1827" s="5">
        <v>218.22</v>
      </c>
      <c r="Q1827" s="5">
        <v>1673.04</v>
      </c>
      <c r="R1827" s="5">
        <v>1062.18</v>
      </c>
      <c r="S1827" s="5">
        <v>610.86</v>
      </c>
      <c r="T1827" s="7">
        <v>0.365119781953809</v>
      </c>
      <c r="U1827" t="s">
        <v>14</v>
      </c>
      <c r="V1827" t="s">
        <v>50</v>
      </c>
      <c r="W1827" t="s">
        <v>50</v>
      </c>
      <c r="X1827" t="s">
        <v>35</v>
      </c>
      <c r="Y1827" t="s">
        <v>845</v>
      </c>
      <c r="Z1827" t="s">
        <v>80</v>
      </c>
    </row>
    <row r="1828" spans="1:26">
      <c r="A1828" t="s">
        <v>3888</v>
      </c>
      <c r="B1828" t="s">
        <v>3888</v>
      </c>
      <c r="C1828" s="4">
        <v>46005</v>
      </c>
      <c r="D1828">
        <v>2025</v>
      </c>
      <c r="E1828">
        <v>12</v>
      </c>
      <c r="F1828" t="s">
        <v>28</v>
      </c>
      <c r="G1828" t="s">
        <v>137</v>
      </c>
      <c r="H1828" t="s">
        <v>1110</v>
      </c>
      <c r="I1828" t="s">
        <v>110</v>
      </c>
      <c r="J1828" t="s">
        <v>1468</v>
      </c>
      <c r="K1828" t="s">
        <v>1469</v>
      </c>
      <c r="L1828">
        <v>5</v>
      </c>
      <c r="M1828" s="5">
        <v>389.64</v>
      </c>
      <c r="N1828" s="6">
        <v>0</v>
      </c>
      <c r="O1828" s="5">
        <v>0</v>
      </c>
      <c r="P1828" s="5">
        <v>292.23</v>
      </c>
      <c r="Q1828" s="5">
        <v>2240.43</v>
      </c>
      <c r="R1828" s="5">
        <v>1358.9</v>
      </c>
      <c r="S1828" s="5">
        <v>881.53</v>
      </c>
      <c r="T1828" s="7">
        <v>0.393464647411434</v>
      </c>
      <c r="U1828" t="s">
        <v>12</v>
      </c>
      <c r="V1828" t="s">
        <v>50</v>
      </c>
      <c r="W1828" t="s">
        <v>50</v>
      </c>
      <c r="X1828" t="s">
        <v>33</v>
      </c>
      <c r="Y1828" t="s">
        <v>3009</v>
      </c>
      <c r="Z1828" t="s">
        <v>80</v>
      </c>
    </row>
    <row r="1829" spans="1:26">
      <c r="A1829" t="s">
        <v>3889</v>
      </c>
      <c r="B1829" t="s">
        <v>3889</v>
      </c>
      <c r="C1829" s="4">
        <v>46089</v>
      </c>
      <c r="D1829">
        <v>2026</v>
      </c>
      <c r="E1829">
        <v>3</v>
      </c>
      <c r="F1829" t="s">
        <v>19</v>
      </c>
      <c r="G1829" t="s">
        <v>82</v>
      </c>
      <c r="H1829" t="s">
        <v>1717</v>
      </c>
      <c r="I1829" t="s">
        <v>924</v>
      </c>
      <c r="J1829" t="s">
        <v>1100</v>
      </c>
      <c r="K1829" t="s">
        <v>352</v>
      </c>
      <c r="L1829">
        <v>4</v>
      </c>
      <c r="M1829" s="5">
        <v>262.77</v>
      </c>
      <c r="N1829" s="6">
        <v>0</v>
      </c>
      <c r="O1829" s="5">
        <v>0</v>
      </c>
      <c r="P1829" s="5">
        <v>157.66</v>
      </c>
      <c r="Q1829" s="5">
        <v>1208.74</v>
      </c>
      <c r="R1829" s="5">
        <v>778.56</v>
      </c>
      <c r="S1829" s="5">
        <v>430.18</v>
      </c>
      <c r="T1829" s="7">
        <v>0.355891258666049</v>
      </c>
      <c r="U1829" t="s">
        <v>10</v>
      </c>
      <c r="V1829" t="s">
        <v>50</v>
      </c>
      <c r="W1829" t="s">
        <v>50</v>
      </c>
      <c r="X1829" t="s">
        <v>33</v>
      </c>
      <c r="Y1829" t="s">
        <v>341</v>
      </c>
      <c r="Z1829" t="s">
        <v>80</v>
      </c>
    </row>
    <row r="1830" spans="1:26">
      <c r="A1830" t="s">
        <v>3890</v>
      </c>
      <c r="B1830" t="s">
        <v>3890</v>
      </c>
      <c r="C1830" s="4">
        <v>46083</v>
      </c>
      <c r="D1830">
        <v>2026</v>
      </c>
      <c r="E1830">
        <v>3</v>
      </c>
      <c r="F1830" t="s">
        <v>19</v>
      </c>
      <c r="G1830" t="s">
        <v>82</v>
      </c>
      <c r="H1830" t="s">
        <v>394</v>
      </c>
      <c r="I1830" t="s">
        <v>368</v>
      </c>
      <c r="J1830" t="s">
        <v>42</v>
      </c>
      <c r="K1830" t="s">
        <v>1191</v>
      </c>
      <c r="L1830">
        <v>8</v>
      </c>
      <c r="M1830" s="5">
        <v>70.64</v>
      </c>
      <c r="N1830" s="6">
        <v>0</v>
      </c>
      <c r="O1830" s="5">
        <v>0</v>
      </c>
      <c r="P1830" s="5">
        <v>84.77</v>
      </c>
      <c r="Q1830" s="5">
        <v>565.12</v>
      </c>
      <c r="R1830" s="5">
        <v>403.44</v>
      </c>
      <c r="S1830" s="5">
        <v>161.68</v>
      </c>
      <c r="T1830" s="7">
        <v>0.286098527746319</v>
      </c>
      <c r="U1830" t="s">
        <v>10</v>
      </c>
      <c r="V1830" t="s">
        <v>50</v>
      </c>
      <c r="W1830" t="s">
        <v>50</v>
      </c>
      <c r="X1830" t="s">
        <v>35</v>
      </c>
      <c r="Y1830" t="s">
        <v>1719</v>
      </c>
      <c r="Z1830" t="s">
        <v>101</v>
      </c>
    </row>
    <row r="1831" spans="1:26">
      <c r="A1831" t="s">
        <v>3891</v>
      </c>
      <c r="B1831" t="s">
        <v>3891</v>
      </c>
      <c r="C1831" s="4">
        <v>46017</v>
      </c>
      <c r="D1831">
        <v>2025</v>
      </c>
      <c r="E1831">
        <v>12</v>
      </c>
      <c r="F1831" t="s">
        <v>28</v>
      </c>
      <c r="G1831" t="s">
        <v>137</v>
      </c>
      <c r="H1831" t="s">
        <v>508</v>
      </c>
      <c r="I1831" t="s">
        <v>928</v>
      </c>
      <c r="J1831" t="s">
        <v>170</v>
      </c>
      <c r="K1831" t="s">
        <v>2343</v>
      </c>
      <c r="L1831">
        <v>8</v>
      </c>
      <c r="M1831" s="5">
        <v>238.7</v>
      </c>
      <c r="N1831" s="6">
        <v>0</v>
      </c>
      <c r="O1831" s="5">
        <v>0</v>
      </c>
      <c r="P1831" s="5">
        <v>286.44</v>
      </c>
      <c r="Q1831" s="5">
        <v>1909.6</v>
      </c>
      <c r="R1831" s="5">
        <v>1539.28</v>
      </c>
      <c r="S1831" s="5">
        <v>370.32</v>
      </c>
      <c r="T1831" s="7">
        <v>0.1939254294093</v>
      </c>
      <c r="U1831" t="s">
        <v>11</v>
      </c>
      <c r="V1831" t="s">
        <v>50</v>
      </c>
      <c r="W1831" t="s">
        <v>50</v>
      </c>
      <c r="X1831" t="s">
        <v>33</v>
      </c>
      <c r="Y1831" t="s">
        <v>1729</v>
      </c>
      <c r="Z1831" t="s">
        <v>101</v>
      </c>
    </row>
    <row r="1832" spans="1:26">
      <c r="A1832" t="s">
        <v>3892</v>
      </c>
      <c r="B1832" t="s">
        <v>3892</v>
      </c>
      <c r="C1832" s="4">
        <v>45814</v>
      </c>
      <c r="D1832">
        <v>2025</v>
      </c>
      <c r="E1832">
        <v>6</v>
      </c>
      <c r="F1832" t="s">
        <v>22</v>
      </c>
      <c r="G1832" t="s">
        <v>74</v>
      </c>
      <c r="H1832" t="s">
        <v>475</v>
      </c>
      <c r="I1832" t="s">
        <v>728</v>
      </c>
      <c r="J1832" t="s">
        <v>291</v>
      </c>
      <c r="K1832" t="s">
        <v>270</v>
      </c>
      <c r="L1832">
        <v>3</v>
      </c>
      <c r="M1832" s="5">
        <v>451.89</v>
      </c>
      <c r="N1832" s="6">
        <v>5</v>
      </c>
      <c r="O1832" s="5">
        <v>67.78</v>
      </c>
      <c r="P1832" s="5">
        <v>193.18</v>
      </c>
      <c r="Q1832" s="5">
        <v>1287.89</v>
      </c>
      <c r="R1832" s="5">
        <v>1161.48</v>
      </c>
      <c r="S1832" s="5">
        <v>126.41</v>
      </c>
      <c r="T1832" s="7">
        <v>0.0981527925521589</v>
      </c>
      <c r="U1832" t="s">
        <v>9</v>
      </c>
      <c r="V1832" t="s">
        <v>50</v>
      </c>
      <c r="W1832" t="s">
        <v>50</v>
      </c>
      <c r="X1832" t="s">
        <v>33</v>
      </c>
      <c r="Y1832" t="s">
        <v>2432</v>
      </c>
      <c r="Z1832" t="s">
        <v>101</v>
      </c>
    </row>
    <row r="1833" spans="1:26">
      <c r="A1833" t="s">
        <v>3893</v>
      </c>
      <c r="B1833" t="s">
        <v>3893</v>
      </c>
      <c r="C1833" s="4">
        <v>45975</v>
      </c>
      <c r="D1833">
        <v>2025</v>
      </c>
      <c r="E1833">
        <v>11</v>
      </c>
      <c r="F1833" t="s">
        <v>27</v>
      </c>
      <c r="G1833" t="s">
        <v>137</v>
      </c>
      <c r="H1833" t="s">
        <v>2924</v>
      </c>
      <c r="I1833" t="s">
        <v>986</v>
      </c>
      <c r="J1833" t="s">
        <v>858</v>
      </c>
      <c r="K1833" t="s">
        <v>138</v>
      </c>
      <c r="L1833">
        <v>4</v>
      </c>
      <c r="M1833" s="5">
        <v>333.54</v>
      </c>
      <c r="N1833" s="6">
        <v>5</v>
      </c>
      <c r="O1833" s="5">
        <v>66.71</v>
      </c>
      <c r="P1833" s="5">
        <v>190.12</v>
      </c>
      <c r="Q1833" s="5">
        <v>1267.45</v>
      </c>
      <c r="R1833" s="5">
        <v>953.72</v>
      </c>
      <c r="S1833" s="5">
        <v>313.73</v>
      </c>
      <c r="T1833" s="7">
        <v>0.247528502110537</v>
      </c>
      <c r="U1833" t="s">
        <v>9</v>
      </c>
      <c r="V1833" t="s">
        <v>50</v>
      </c>
      <c r="W1833" t="s">
        <v>50</v>
      </c>
      <c r="X1833" t="s">
        <v>33</v>
      </c>
      <c r="Y1833" t="s">
        <v>656</v>
      </c>
      <c r="Z1833" t="s">
        <v>101</v>
      </c>
    </row>
    <row r="1834" spans="1:26">
      <c r="A1834" t="s">
        <v>3894</v>
      </c>
      <c r="B1834" t="s">
        <v>3894</v>
      </c>
      <c r="C1834" s="4">
        <v>46067</v>
      </c>
      <c r="D1834">
        <v>2026</v>
      </c>
      <c r="E1834">
        <v>2</v>
      </c>
      <c r="F1834" t="s">
        <v>31</v>
      </c>
      <c r="G1834" t="s">
        <v>82</v>
      </c>
      <c r="H1834" t="s">
        <v>475</v>
      </c>
      <c r="I1834" t="s">
        <v>245</v>
      </c>
      <c r="J1834" t="s">
        <v>47</v>
      </c>
      <c r="K1834" t="s">
        <v>1197</v>
      </c>
      <c r="L1834">
        <v>5</v>
      </c>
      <c r="M1834" s="5">
        <v>121.9</v>
      </c>
      <c r="N1834" s="6">
        <v>0</v>
      </c>
      <c r="O1834" s="5">
        <v>0</v>
      </c>
      <c r="P1834" s="5">
        <v>91.42</v>
      </c>
      <c r="Q1834" s="5">
        <v>700.92</v>
      </c>
      <c r="R1834" s="5">
        <v>544.6</v>
      </c>
      <c r="S1834" s="5">
        <v>156.32</v>
      </c>
      <c r="T1834" s="7">
        <v>0.223021172173715</v>
      </c>
      <c r="U1834" t="s">
        <v>14</v>
      </c>
      <c r="V1834" t="s">
        <v>50</v>
      </c>
      <c r="W1834" t="s">
        <v>50</v>
      </c>
      <c r="X1834" t="s">
        <v>33</v>
      </c>
      <c r="Y1834" t="s">
        <v>1243</v>
      </c>
      <c r="Z1834" t="s">
        <v>80</v>
      </c>
    </row>
    <row r="1835" spans="1:26">
      <c r="A1835" t="s">
        <v>3895</v>
      </c>
      <c r="B1835" t="s">
        <v>3895</v>
      </c>
      <c r="C1835" s="4">
        <v>45954</v>
      </c>
      <c r="D1835">
        <v>2025</v>
      </c>
      <c r="E1835">
        <v>10</v>
      </c>
      <c r="F1835" t="s">
        <v>26</v>
      </c>
      <c r="G1835" t="s">
        <v>137</v>
      </c>
      <c r="H1835" t="s">
        <v>1103</v>
      </c>
      <c r="I1835" t="s">
        <v>332</v>
      </c>
      <c r="J1835" t="s">
        <v>296</v>
      </c>
      <c r="K1835" t="s">
        <v>297</v>
      </c>
      <c r="L1835">
        <v>8</v>
      </c>
      <c r="M1835" s="5">
        <v>78.32</v>
      </c>
      <c r="N1835" s="6">
        <v>0</v>
      </c>
      <c r="O1835" s="5">
        <v>0</v>
      </c>
      <c r="P1835" s="5">
        <v>93.98</v>
      </c>
      <c r="Q1835" s="5">
        <v>626.56</v>
      </c>
      <c r="R1835" s="5">
        <v>434.56</v>
      </c>
      <c r="S1835" s="5">
        <v>192</v>
      </c>
      <c r="T1835" s="7">
        <v>0.306435137895812</v>
      </c>
      <c r="U1835" t="s">
        <v>11</v>
      </c>
      <c r="V1835" t="s">
        <v>50</v>
      </c>
      <c r="W1835" t="s">
        <v>50</v>
      </c>
      <c r="X1835" t="s">
        <v>33</v>
      </c>
      <c r="Y1835" t="s">
        <v>2520</v>
      </c>
      <c r="Z1835" t="s">
        <v>101</v>
      </c>
    </row>
    <row r="1836" spans="1:26">
      <c r="A1836" t="s">
        <v>3896</v>
      </c>
      <c r="B1836" t="s">
        <v>3896</v>
      </c>
      <c r="C1836" s="4">
        <v>45779</v>
      </c>
      <c r="D1836">
        <v>2025</v>
      </c>
      <c r="E1836">
        <v>5</v>
      </c>
      <c r="F1836" t="s">
        <v>21</v>
      </c>
      <c r="G1836" t="s">
        <v>74</v>
      </c>
      <c r="H1836" t="s">
        <v>1651</v>
      </c>
      <c r="I1836" t="s">
        <v>653</v>
      </c>
      <c r="J1836" t="s">
        <v>286</v>
      </c>
      <c r="K1836" t="s">
        <v>594</v>
      </c>
      <c r="L1836">
        <v>3</v>
      </c>
      <c r="M1836" s="5">
        <v>339.13</v>
      </c>
      <c r="N1836" s="6">
        <v>0</v>
      </c>
      <c r="O1836" s="5">
        <v>0</v>
      </c>
      <c r="P1836" s="5">
        <v>152.61</v>
      </c>
      <c r="Q1836" s="5">
        <v>1017.39</v>
      </c>
      <c r="R1836" s="5">
        <v>752.04</v>
      </c>
      <c r="S1836" s="5">
        <v>265.35</v>
      </c>
      <c r="T1836" s="7">
        <v>0.260814436941586</v>
      </c>
      <c r="U1836" t="s">
        <v>11</v>
      </c>
      <c r="V1836" t="s">
        <v>50</v>
      </c>
      <c r="W1836" t="s">
        <v>50</v>
      </c>
      <c r="X1836" t="s">
        <v>33</v>
      </c>
      <c r="Y1836" t="s">
        <v>3158</v>
      </c>
      <c r="Z1836" t="s">
        <v>101</v>
      </c>
    </row>
    <row r="1837" spans="1:26">
      <c r="A1837" t="s">
        <v>3897</v>
      </c>
      <c r="B1837" t="s">
        <v>3897</v>
      </c>
      <c r="C1837" s="4">
        <v>45992</v>
      </c>
      <c r="D1837">
        <v>2025</v>
      </c>
      <c r="E1837">
        <v>12</v>
      </c>
      <c r="F1837" t="s">
        <v>28</v>
      </c>
      <c r="G1837" t="s">
        <v>137</v>
      </c>
      <c r="H1837" t="s">
        <v>1037</v>
      </c>
      <c r="I1837" t="s">
        <v>2587</v>
      </c>
      <c r="J1837" t="s">
        <v>111</v>
      </c>
      <c r="K1837" t="s">
        <v>729</v>
      </c>
      <c r="L1837">
        <v>3</v>
      </c>
      <c r="M1837" s="5">
        <v>81.31</v>
      </c>
      <c r="N1837" s="6">
        <v>0</v>
      </c>
      <c r="O1837" s="5">
        <v>0</v>
      </c>
      <c r="P1837" s="5">
        <v>36.59</v>
      </c>
      <c r="Q1837" s="5">
        <v>243.93</v>
      </c>
      <c r="R1837" s="5">
        <v>162.75</v>
      </c>
      <c r="S1837" s="5">
        <v>81.18</v>
      </c>
      <c r="T1837" s="7">
        <v>0.332800393555528</v>
      </c>
      <c r="U1837" t="s">
        <v>10</v>
      </c>
      <c r="V1837" t="s">
        <v>50</v>
      </c>
      <c r="W1837" t="s">
        <v>50</v>
      </c>
      <c r="X1837" t="s">
        <v>35</v>
      </c>
      <c r="Y1837" t="s">
        <v>1148</v>
      </c>
      <c r="Z1837" t="s">
        <v>101</v>
      </c>
    </row>
    <row r="1838" spans="1:26">
      <c r="A1838" t="s">
        <v>3898</v>
      </c>
      <c r="B1838" t="s">
        <v>3898</v>
      </c>
      <c r="C1838" s="4">
        <v>45773</v>
      </c>
      <c r="D1838">
        <v>2025</v>
      </c>
      <c r="E1838">
        <v>4</v>
      </c>
      <c r="F1838" t="s">
        <v>20</v>
      </c>
      <c r="G1838" t="s">
        <v>74</v>
      </c>
      <c r="H1838" t="s">
        <v>3347</v>
      </c>
      <c r="I1838" t="s">
        <v>574</v>
      </c>
      <c r="J1838" t="s">
        <v>345</v>
      </c>
      <c r="K1838" t="s">
        <v>346</v>
      </c>
      <c r="L1838">
        <v>3</v>
      </c>
      <c r="M1838" s="5">
        <v>125.15</v>
      </c>
      <c r="N1838" s="6">
        <v>20</v>
      </c>
      <c r="O1838" s="5">
        <v>75.09</v>
      </c>
      <c r="P1838" s="5">
        <v>45.05</v>
      </c>
      <c r="Q1838" s="5">
        <v>345.41</v>
      </c>
      <c r="R1838" s="5">
        <v>287.1</v>
      </c>
      <c r="S1838" s="5">
        <v>58.31</v>
      </c>
      <c r="T1838" s="7">
        <v>0.168813873367882</v>
      </c>
      <c r="U1838" t="s">
        <v>13</v>
      </c>
      <c r="V1838" t="s">
        <v>50</v>
      </c>
      <c r="W1838" t="s">
        <v>50</v>
      </c>
      <c r="X1838" t="s">
        <v>33</v>
      </c>
      <c r="Y1838" t="s">
        <v>1301</v>
      </c>
      <c r="Z1838" t="s">
        <v>80</v>
      </c>
    </row>
    <row r="1839" spans="1:26">
      <c r="A1839" t="s">
        <v>3899</v>
      </c>
      <c r="B1839" t="s">
        <v>3899</v>
      </c>
      <c r="C1839" s="4">
        <v>45845</v>
      </c>
      <c r="D1839">
        <v>2025</v>
      </c>
      <c r="E1839">
        <v>7</v>
      </c>
      <c r="F1839" t="s">
        <v>23</v>
      </c>
      <c r="G1839" t="s">
        <v>89</v>
      </c>
      <c r="H1839" t="s">
        <v>218</v>
      </c>
      <c r="I1839" t="s">
        <v>1233</v>
      </c>
      <c r="J1839" t="s">
        <v>1224</v>
      </c>
      <c r="K1839" t="s">
        <v>2690</v>
      </c>
      <c r="L1839">
        <v>3</v>
      </c>
      <c r="M1839" s="5">
        <v>109.69</v>
      </c>
      <c r="N1839" s="6">
        <v>0</v>
      </c>
      <c r="O1839" s="5">
        <v>0</v>
      </c>
      <c r="P1839" s="5">
        <v>49.36</v>
      </c>
      <c r="Q1839" s="5">
        <v>329.07</v>
      </c>
      <c r="R1839" s="5">
        <v>278.88</v>
      </c>
      <c r="S1839" s="5">
        <v>50.19</v>
      </c>
      <c r="T1839" s="7">
        <v>0.152520740268028</v>
      </c>
      <c r="U1839" t="s">
        <v>11</v>
      </c>
      <c r="V1839" t="s">
        <v>50</v>
      </c>
      <c r="W1839" t="s">
        <v>50</v>
      </c>
      <c r="X1839" t="s">
        <v>33</v>
      </c>
      <c r="Y1839" t="s">
        <v>3316</v>
      </c>
      <c r="Z1839" t="s">
        <v>101</v>
      </c>
    </row>
    <row r="1840" spans="1:26">
      <c r="A1840" t="s">
        <v>3900</v>
      </c>
      <c r="B1840" t="s">
        <v>3900</v>
      </c>
      <c r="C1840" s="4">
        <v>46009</v>
      </c>
      <c r="D1840">
        <v>2025</v>
      </c>
      <c r="E1840">
        <v>12</v>
      </c>
      <c r="F1840" t="s">
        <v>28</v>
      </c>
      <c r="G1840" t="s">
        <v>137</v>
      </c>
      <c r="H1840" t="s">
        <v>727</v>
      </c>
      <c r="I1840" t="s">
        <v>213</v>
      </c>
      <c r="J1840" t="s">
        <v>269</v>
      </c>
      <c r="K1840" t="s">
        <v>1545</v>
      </c>
      <c r="L1840">
        <v>7</v>
      </c>
      <c r="M1840" s="5">
        <v>203.55</v>
      </c>
      <c r="N1840" s="6">
        <v>15</v>
      </c>
      <c r="O1840" s="5">
        <v>213.73</v>
      </c>
      <c r="P1840" s="5">
        <v>181.67</v>
      </c>
      <c r="Q1840" s="5">
        <v>1211.12</v>
      </c>
      <c r="R1840" s="5">
        <v>1073.94</v>
      </c>
      <c r="S1840" s="5">
        <v>137.18</v>
      </c>
      <c r="T1840" s="7">
        <v>0.113267058590396</v>
      </c>
      <c r="U1840" t="s">
        <v>13</v>
      </c>
      <c r="V1840" t="s">
        <v>50</v>
      </c>
      <c r="W1840" t="s">
        <v>50</v>
      </c>
      <c r="X1840" t="s">
        <v>33</v>
      </c>
      <c r="Y1840" t="s">
        <v>1305</v>
      </c>
      <c r="Z1840" t="s">
        <v>101</v>
      </c>
    </row>
    <row r="1841" spans="1:26">
      <c r="A1841" t="s">
        <v>3901</v>
      </c>
      <c r="B1841" t="s">
        <v>3901</v>
      </c>
      <c r="C1841" s="4">
        <v>45927</v>
      </c>
      <c r="D1841">
        <v>2025</v>
      </c>
      <c r="E1841">
        <v>9</v>
      </c>
      <c r="F1841" t="s">
        <v>25</v>
      </c>
      <c r="G1841" t="s">
        <v>89</v>
      </c>
      <c r="H1841" t="s">
        <v>1282</v>
      </c>
      <c r="I1841" t="s">
        <v>411</v>
      </c>
      <c r="J1841" t="s">
        <v>1468</v>
      </c>
      <c r="K1841" t="s">
        <v>1469</v>
      </c>
      <c r="L1841">
        <v>3</v>
      </c>
      <c r="M1841" s="5">
        <v>459.58</v>
      </c>
      <c r="N1841" s="6">
        <v>0</v>
      </c>
      <c r="O1841" s="5">
        <v>0</v>
      </c>
      <c r="P1841" s="5">
        <v>206.81</v>
      </c>
      <c r="Q1841" s="5">
        <v>1585.55</v>
      </c>
      <c r="R1841" s="5">
        <v>1160.67</v>
      </c>
      <c r="S1841" s="5">
        <v>424.88</v>
      </c>
      <c r="T1841" s="7">
        <v>0.267970105010879</v>
      </c>
      <c r="U1841" t="s">
        <v>13</v>
      </c>
      <c r="V1841" t="s">
        <v>50</v>
      </c>
      <c r="W1841" t="s">
        <v>50</v>
      </c>
      <c r="X1841" t="s">
        <v>35</v>
      </c>
      <c r="Y1841" t="s">
        <v>983</v>
      </c>
      <c r="Z1841" t="s">
        <v>80</v>
      </c>
    </row>
    <row r="1842" spans="1:26">
      <c r="A1842" t="s">
        <v>3902</v>
      </c>
      <c r="B1842" t="s">
        <v>3902</v>
      </c>
      <c r="C1842" s="4">
        <v>45907</v>
      </c>
      <c r="D1842">
        <v>2025</v>
      </c>
      <c r="E1842">
        <v>9</v>
      </c>
      <c r="F1842" t="s">
        <v>25</v>
      </c>
      <c r="G1842" t="s">
        <v>89</v>
      </c>
      <c r="H1842" t="s">
        <v>2549</v>
      </c>
      <c r="I1842" t="s">
        <v>493</v>
      </c>
      <c r="J1842" t="s">
        <v>105</v>
      </c>
      <c r="K1842" t="s">
        <v>539</v>
      </c>
      <c r="L1842">
        <v>4</v>
      </c>
      <c r="M1842" s="5">
        <v>400.07</v>
      </c>
      <c r="N1842" s="6">
        <v>0</v>
      </c>
      <c r="O1842" s="5">
        <v>0</v>
      </c>
      <c r="P1842" s="5">
        <v>240.04</v>
      </c>
      <c r="Q1842" s="5">
        <v>1840.32</v>
      </c>
      <c r="R1842" s="5">
        <v>1280.76</v>
      </c>
      <c r="S1842" s="5">
        <v>559.56</v>
      </c>
      <c r="T1842" s="7">
        <v>0.30405581637976</v>
      </c>
      <c r="U1842" t="s">
        <v>11</v>
      </c>
      <c r="V1842" t="s">
        <v>50</v>
      </c>
      <c r="W1842" t="s">
        <v>50</v>
      </c>
      <c r="X1842" t="s">
        <v>33</v>
      </c>
      <c r="Y1842" t="s">
        <v>2194</v>
      </c>
      <c r="Z1842" t="s">
        <v>80</v>
      </c>
    </row>
    <row r="1843" spans="1:26">
      <c r="A1843" t="s">
        <v>3903</v>
      </c>
      <c r="B1843" t="s">
        <v>3903</v>
      </c>
      <c r="C1843" s="4">
        <v>45932</v>
      </c>
      <c r="D1843">
        <v>2025</v>
      </c>
      <c r="E1843">
        <v>10</v>
      </c>
      <c r="F1843" t="s">
        <v>26</v>
      </c>
      <c r="G1843" t="s">
        <v>137</v>
      </c>
      <c r="H1843" t="s">
        <v>1171</v>
      </c>
      <c r="I1843" t="s">
        <v>598</v>
      </c>
      <c r="J1843" t="s">
        <v>1718</v>
      </c>
      <c r="K1843" t="s">
        <v>855</v>
      </c>
      <c r="L1843">
        <v>2</v>
      </c>
      <c r="M1843" s="5">
        <v>491.81</v>
      </c>
      <c r="N1843" s="6">
        <v>5</v>
      </c>
      <c r="O1843" s="5">
        <v>49.18</v>
      </c>
      <c r="P1843" s="5">
        <v>140.17</v>
      </c>
      <c r="Q1843" s="5">
        <v>934.44</v>
      </c>
      <c r="R1843" s="5">
        <v>731.14</v>
      </c>
      <c r="S1843" s="5">
        <v>203.3</v>
      </c>
      <c r="T1843" s="7">
        <v>0.217563460468302</v>
      </c>
      <c r="U1843" t="s">
        <v>14</v>
      </c>
      <c r="V1843" t="s">
        <v>50</v>
      </c>
      <c r="W1843" t="s">
        <v>50</v>
      </c>
      <c r="X1843" t="s">
        <v>34</v>
      </c>
      <c r="Y1843" t="s">
        <v>683</v>
      </c>
      <c r="Z1843" t="s">
        <v>101</v>
      </c>
    </row>
    <row r="1844" spans="1:26">
      <c r="A1844" t="s">
        <v>3904</v>
      </c>
      <c r="B1844" t="s">
        <v>2642</v>
      </c>
      <c r="C1844" s="4">
        <v>46062</v>
      </c>
      <c r="D1844">
        <v>2026</v>
      </c>
      <c r="E1844">
        <v>2</v>
      </c>
      <c r="F1844" t="s">
        <v>31</v>
      </c>
      <c r="G1844" t="s">
        <v>82</v>
      </c>
      <c r="H1844" t="s">
        <v>2160</v>
      </c>
      <c r="I1844" t="s">
        <v>285</v>
      </c>
      <c r="J1844" t="s">
        <v>246</v>
      </c>
      <c r="K1844" t="s">
        <v>247</v>
      </c>
      <c r="L1844">
        <v>4</v>
      </c>
      <c r="M1844" s="5">
        <v>541.35</v>
      </c>
      <c r="N1844" s="6">
        <v>5</v>
      </c>
      <c r="O1844" s="5">
        <v>108.27</v>
      </c>
      <c r="P1844" s="5">
        <v>308.57</v>
      </c>
      <c r="Q1844" s="5">
        <v>2057.13</v>
      </c>
      <c r="R1844" s="5">
        <v>1345.6</v>
      </c>
      <c r="S1844" s="5">
        <v>711.53</v>
      </c>
      <c r="T1844" s="7">
        <v>0.345884800668893</v>
      </c>
      <c r="U1844" t="s">
        <v>9</v>
      </c>
      <c r="V1844" t="s">
        <v>50</v>
      </c>
      <c r="W1844" t="s">
        <v>50</v>
      </c>
      <c r="X1844" t="s">
        <v>34</v>
      </c>
      <c r="Y1844" t="s">
        <v>1856</v>
      </c>
      <c r="Z1844" t="s">
        <v>101</v>
      </c>
    </row>
    <row r="1845" spans="1:26">
      <c r="A1845" t="s">
        <v>3905</v>
      </c>
      <c r="B1845" t="s">
        <v>3905</v>
      </c>
      <c r="C1845" s="4">
        <v>45913</v>
      </c>
      <c r="D1845">
        <v>2025</v>
      </c>
      <c r="E1845">
        <v>9</v>
      </c>
      <c r="F1845" t="s">
        <v>25</v>
      </c>
      <c r="G1845" t="s">
        <v>89</v>
      </c>
      <c r="H1845" t="s">
        <v>3347</v>
      </c>
      <c r="I1845" t="s">
        <v>1190</v>
      </c>
      <c r="J1845" t="s">
        <v>1100</v>
      </c>
      <c r="K1845" t="s">
        <v>352</v>
      </c>
      <c r="L1845">
        <v>3</v>
      </c>
      <c r="M1845" s="5">
        <v>468.94</v>
      </c>
      <c r="N1845" s="6">
        <v>0</v>
      </c>
      <c r="O1845" s="5">
        <v>0</v>
      </c>
      <c r="P1845" s="5">
        <v>211.02</v>
      </c>
      <c r="Q1845" s="5">
        <v>1617.84</v>
      </c>
      <c r="R1845" s="5">
        <v>1010.4</v>
      </c>
      <c r="S1845" s="5">
        <v>607.44</v>
      </c>
      <c r="T1845" s="7">
        <v>0.375463581071058</v>
      </c>
      <c r="U1845" t="s">
        <v>13</v>
      </c>
      <c r="V1845" t="s">
        <v>50</v>
      </c>
      <c r="W1845" t="s">
        <v>50</v>
      </c>
      <c r="X1845" t="s">
        <v>33</v>
      </c>
      <c r="Y1845" t="s">
        <v>3474</v>
      </c>
      <c r="Z1845" t="s">
        <v>80</v>
      </c>
    </row>
    <row r="1846" spans="1:26">
      <c r="A1846" t="s">
        <v>3906</v>
      </c>
      <c r="B1846" t="s">
        <v>3906</v>
      </c>
      <c r="C1846" s="4">
        <v>45795</v>
      </c>
      <c r="D1846">
        <v>2025</v>
      </c>
      <c r="E1846">
        <v>5</v>
      </c>
      <c r="F1846" t="s">
        <v>21</v>
      </c>
      <c r="G1846" t="s">
        <v>74</v>
      </c>
      <c r="H1846" t="s">
        <v>671</v>
      </c>
      <c r="I1846" t="s">
        <v>1137</v>
      </c>
      <c r="J1846" t="s">
        <v>1003</v>
      </c>
      <c r="K1846" t="s">
        <v>1004</v>
      </c>
      <c r="L1846">
        <v>3</v>
      </c>
      <c r="M1846" s="5">
        <v>459.74</v>
      </c>
      <c r="N1846" s="6">
        <v>15</v>
      </c>
      <c r="O1846" s="5">
        <v>206.88</v>
      </c>
      <c r="P1846" s="5">
        <v>175.85</v>
      </c>
      <c r="Q1846" s="5">
        <v>1348.19</v>
      </c>
      <c r="R1846" s="5">
        <v>1045.23</v>
      </c>
      <c r="S1846" s="5">
        <v>302.96</v>
      </c>
      <c r="T1846" s="7">
        <v>0.22471610084632</v>
      </c>
      <c r="U1846" t="s">
        <v>14</v>
      </c>
      <c r="V1846" t="s">
        <v>50</v>
      </c>
      <c r="W1846" t="s">
        <v>50</v>
      </c>
      <c r="X1846" t="s">
        <v>33</v>
      </c>
      <c r="Y1846" t="s">
        <v>3907</v>
      </c>
      <c r="Z1846" t="s">
        <v>80</v>
      </c>
    </row>
    <row r="1847" spans="1:26">
      <c r="A1847" t="s">
        <v>3908</v>
      </c>
      <c r="B1847" t="s">
        <v>3908</v>
      </c>
      <c r="C1847" s="4">
        <v>45907</v>
      </c>
      <c r="D1847">
        <v>2025</v>
      </c>
      <c r="E1847">
        <v>9</v>
      </c>
      <c r="F1847" t="s">
        <v>25</v>
      </c>
      <c r="G1847" t="s">
        <v>89</v>
      </c>
      <c r="H1847" t="s">
        <v>716</v>
      </c>
      <c r="I1847" t="s">
        <v>537</v>
      </c>
      <c r="J1847" t="s">
        <v>269</v>
      </c>
      <c r="K1847" t="s">
        <v>2105</v>
      </c>
      <c r="L1847">
        <v>1</v>
      </c>
      <c r="M1847" s="5">
        <v>232.58</v>
      </c>
      <c r="N1847" s="6">
        <v>0</v>
      </c>
      <c r="O1847" s="5">
        <v>0</v>
      </c>
      <c r="P1847" s="5">
        <v>34.89</v>
      </c>
      <c r="Q1847" s="5">
        <v>267.47</v>
      </c>
      <c r="R1847" s="5">
        <v>191.2</v>
      </c>
      <c r="S1847" s="5">
        <v>76.27</v>
      </c>
      <c r="T1847" s="7">
        <v>0.285153475156092</v>
      </c>
      <c r="U1847" t="s">
        <v>11</v>
      </c>
      <c r="V1847" t="s">
        <v>50</v>
      </c>
      <c r="W1847" t="s">
        <v>50</v>
      </c>
      <c r="X1847" t="s">
        <v>35</v>
      </c>
      <c r="Y1847" t="s">
        <v>1620</v>
      </c>
      <c r="Z1847" t="s">
        <v>80</v>
      </c>
    </row>
    <row r="1848" spans="1:26">
      <c r="A1848" t="s">
        <v>3909</v>
      </c>
      <c r="B1848" t="s">
        <v>3909</v>
      </c>
      <c r="C1848" s="4">
        <v>45865</v>
      </c>
      <c r="D1848">
        <v>2025</v>
      </c>
      <c r="E1848">
        <v>7</v>
      </c>
      <c r="F1848" t="s">
        <v>23</v>
      </c>
      <c r="G1848" t="s">
        <v>89</v>
      </c>
      <c r="H1848" t="s">
        <v>1867</v>
      </c>
      <c r="I1848" t="s">
        <v>574</v>
      </c>
      <c r="J1848" t="s">
        <v>837</v>
      </c>
      <c r="K1848" t="s">
        <v>838</v>
      </c>
      <c r="L1848">
        <v>3</v>
      </c>
      <c r="M1848" s="5">
        <v>125.15</v>
      </c>
      <c r="N1848" s="6">
        <v>10</v>
      </c>
      <c r="O1848" s="5">
        <v>37.55</v>
      </c>
      <c r="P1848" s="5">
        <v>50.68</v>
      </c>
      <c r="Q1848" s="5">
        <v>388.59</v>
      </c>
      <c r="R1848" s="5">
        <v>287.1</v>
      </c>
      <c r="S1848" s="5">
        <v>101.49</v>
      </c>
      <c r="T1848" s="7">
        <v>0.261175017370493</v>
      </c>
      <c r="U1848" t="s">
        <v>13</v>
      </c>
      <c r="V1848" t="s">
        <v>50</v>
      </c>
      <c r="W1848" t="s">
        <v>50</v>
      </c>
      <c r="X1848" t="s">
        <v>33</v>
      </c>
      <c r="Y1848" t="s">
        <v>2116</v>
      </c>
      <c r="Z1848" t="s">
        <v>80</v>
      </c>
    </row>
    <row r="1849" spans="1:26">
      <c r="A1849" t="s">
        <v>3910</v>
      </c>
      <c r="B1849" t="s">
        <v>3910</v>
      </c>
      <c r="C1849" s="4">
        <v>46012</v>
      </c>
      <c r="D1849">
        <v>2025</v>
      </c>
      <c r="E1849">
        <v>12</v>
      </c>
      <c r="F1849" t="s">
        <v>28</v>
      </c>
      <c r="G1849" t="s">
        <v>137</v>
      </c>
      <c r="H1849" t="s">
        <v>195</v>
      </c>
      <c r="I1849" t="s">
        <v>1233</v>
      </c>
      <c r="J1849" t="s">
        <v>401</v>
      </c>
      <c r="K1849" t="s">
        <v>3911</v>
      </c>
      <c r="L1849">
        <v>1</v>
      </c>
      <c r="M1849" s="5">
        <v>109.69</v>
      </c>
      <c r="N1849" s="6">
        <v>10</v>
      </c>
      <c r="O1849" s="5">
        <v>10.97</v>
      </c>
      <c r="P1849" s="5">
        <v>14.81</v>
      </c>
      <c r="Q1849" s="5">
        <v>113.53</v>
      </c>
      <c r="R1849" s="5">
        <v>92.96</v>
      </c>
      <c r="S1849" s="5">
        <v>20.57</v>
      </c>
      <c r="T1849" s="7">
        <v>0.18118558971197</v>
      </c>
      <c r="U1849" t="s">
        <v>13</v>
      </c>
      <c r="V1849" t="s">
        <v>50</v>
      </c>
      <c r="W1849" t="s">
        <v>50</v>
      </c>
      <c r="X1849" t="s">
        <v>33</v>
      </c>
      <c r="Y1849" t="s">
        <v>1011</v>
      </c>
      <c r="Z1849" t="s">
        <v>80</v>
      </c>
    </row>
    <row r="1850" spans="1:26">
      <c r="A1850" t="s">
        <v>3912</v>
      </c>
      <c r="B1850" t="s">
        <v>3912</v>
      </c>
      <c r="C1850" s="4">
        <v>45864</v>
      </c>
      <c r="D1850">
        <v>2025</v>
      </c>
      <c r="E1850">
        <v>7</v>
      </c>
      <c r="F1850" t="s">
        <v>23</v>
      </c>
      <c r="G1850" t="s">
        <v>89</v>
      </c>
      <c r="H1850" t="s">
        <v>1223</v>
      </c>
      <c r="I1850" t="s">
        <v>285</v>
      </c>
      <c r="J1850" t="s">
        <v>38</v>
      </c>
      <c r="K1850" t="s">
        <v>236</v>
      </c>
      <c r="L1850">
        <v>6</v>
      </c>
      <c r="M1850" s="5">
        <v>541.83</v>
      </c>
      <c r="N1850" s="6">
        <v>0</v>
      </c>
      <c r="O1850" s="5">
        <v>0</v>
      </c>
      <c r="P1850" s="5">
        <v>487.65</v>
      </c>
      <c r="Q1850" s="5">
        <v>3738.63</v>
      </c>
      <c r="R1850" s="5">
        <v>2018.4</v>
      </c>
      <c r="S1850" s="5">
        <v>1720.23</v>
      </c>
      <c r="T1850" s="7">
        <v>0.460123093218639</v>
      </c>
      <c r="U1850" t="s">
        <v>13</v>
      </c>
      <c r="V1850" t="s">
        <v>50</v>
      </c>
      <c r="W1850" t="s">
        <v>50</v>
      </c>
      <c r="X1850" t="s">
        <v>35</v>
      </c>
      <c r="Y1850" t="s">
        <v>2231</v>
      </c>
      <c r="Z1850" t="s">
        <v>80</v>
      </c>
    </row>
    <row r="1851" spans="1:26">
      <c r="A1851" t="s">
        <v>3913</v>
      </c>
      <c r="B1851" t="s">
        <v>3913</v>
      </c>
      <c r="C1851" s="4">
        <v>45939</v>
      </c>
      <c r="D1851">
        <v>2025</v>
      </c>
      <c r="E1851">
        <v>10</v>
      </c>
      <c r="F1851" t="s">
        <v>26</v>
      </c>
      <c r="G1851" t="s">
        <v>137</v>
      </c>
      <c r="H1851" t="s">
        <v>1978</v>
      </c>
      <c r="I1851" t="s">
        <v>417</v>
      </c>
      <c r="J1851" t="s">
        <v>850</v>
      </c>
      <c r="K1851" t="s">
        <v>1755</v>
      </c>
      <c r="L1851">
        <v>4</v>
      </c>
      <c r="M1851" s="5">
        <v>380.12</v>
      </c>
      <c r="N1851" s="6">
        <v>20</v>
      </c>
      <c r="O1851" s="5">
        <v>304.1</v>
      </c>
      <c r="P1851" s="5">
        <v>182.46</v>
      </c>
      <c r="Q1851" s="5">
        <v>1216.38</v>
      </c>
      <c r="R1851" s="5">
        <v>1239.92</v>
      </c>
      <c r="S1851" s="5">
        <v>-23.54</v>
      </c>
      <c r="T1851" s="7">
        <v>-0.0193525049737746</v>
      </c>
      <c r="U1851" t="s">
        <v>9</v>
      </c>
      <c r="V1851" t="s">
        <v>50</v>
      </c>
      <c r="W1851" t="s">
        <v>50</v>
      </c>
      <c r="X1851" t="s">
        <v>35</v>
      </c>
      <c r="Y1851" t="s">
        <v>2937</v>
      </c>
      <c r="Z1851" t="s">
        <v>101</v>
      </c>
    </row>
    <row r="1852" spans="1:26">
      <c r="A1852" t="s">
        <v>3914</v>
      </c>
      <c r="B1852" t="s">
        <v>3914</v>
      </c>
      <c r="C1852" s="4">
        <v>45939</v>
      </c>
      <c r="D1852">
        <v>2025</v>
      </c>
      <c r="E1852">
        <v>10</v>
      </c>
      <c r="F1852" t="s">
        <v>26</v>
      </c>
      <c r="G1852" t="s">
        <v>137</v>
      </c>
      <c r="H1852" t="s">
        <v>1619</v>
      </c>
      <c r="I1852" t="s">
        <v>2170</v>
      </c>
      <c r="J1852" t="s">
        <v>45</v>
      </c>
      <c r="K1852" t="s">
        <v>1351</v>
      </c>
      <c r="L1852">
        <v>3</v>
      </c>
      <c r="M1852" s="5">
        <v>68.95</v>
      </c>
      <c r="N1852" s="6">
        <v>0</v>
      </c>
      <c r="O1852" s="5">
        <v>0</v>
      </c>
      <c r="P1852" s="5">
        <v>31.03</v>
      </c>
      <c r="Q1852" s="5">
        <v>206.85</v>
      </c>
      <c r="R1852" s="5">
        <v>173.67</v>
      </c>
      <c r="S1852" s="5">
        <v>33.18</v>
      </c>
      <c r="T1852" s="7">
        <v>0.160406091370558</v>
      </c>
      <c r="U1852" t="s">
        <v>11</v>
      </c>
      <c r="V1852" t="s">
        <v>50</v>
      </c>
      <c r="W1852" t="s">
        <v>50</v>
      </c>
      <c r="X1852" t="s">
        <v>33</v>
      </c>
      <c r="Y1852" t="s">
        <v>2743</v>
      </c>
      <c r="Z1852" t="s">
        <v>101</v>
      </c>
    </row>
    <row r="1853" spans="1:26">
      <c r="A1853" t="s">
        <v>3915</v>
      </c>
      <c r="B1853" t="s">
        <v>3915</v>
      </c>
      <c r="C1853" s="4">
        <v>46083</v>
      </c>
      <c r="D1853">
        <v>2026</v>
      </c>
      <c r="E1853">
        <v>3</v>
      </c>
      <c r="F1853" t="s">
        <v>19</v>
      </c>
      <c r="G1853" t="s">
        <v>82</v>
      </c>
      <c r="H1853" t="s">
        <v>3814</v>
      </c>
      <c r="I1853" t="s">
        <v>1228</v>
      </c>
      <c r="J1853" t="s">
        <v>140</v>
      </c>
      <c r="K1853" t="s">
        <v>141</v>
      </c>
      <c r="L1853">
        <v>4</v>
      </c>
      <c r="M1853" s="5">
        <v>208.23</v>
      </c>
      <c r="N1853" s="6">
        <v>5</v>
      </c>
      <c r="O1853" s="5">
        <v>41.65</v>
      </c>
      <c r="P1853" s="5">
        <v>118.69</v>
      </c>
      <c r="Q1853" s="5">
        <v>791.27</v>
      </c>
      <c r="R1853" s="5">
        <v>633.12</v>
      </c>
      <c r="S1853" s="5">
        <v>158.15</v>
      </c>
      <c r="T1853" s="7">
        <v>0.199868565723457</v>
      </c>
      <c r="U1853" t="s">
        <v>11</v>
      </c>
      <c r="V1853" t="s">
        <v>50</v>
      </c>
      <c r="W1853" t="s">
        <v>50</v>
      </c>
      <c r="X1853" t="s">
        <v>33</v>
      </c>
      <c r="Y1853" t="s">
        <v>1595</v>
      </c>
      <c r="Z1853" t="s">
        <v>101</v>
      </c>
    </row>
    <row r="1854" spans="1:26">
      <c r="A1854" t="s">
        <v>3916</v>
      </c>
      <c r="B1854" t="s">
        <v>3916</v>
      </c>
      <c r="C1854" s="4">
        <v>45980</v>
      </c>
      <c r="D1854">
        <v>2025</v>
      </c>
      <c r="E1854">
        <v>11</v>
      </c>
      <c r="F1854" t="s">
        <v>27</v>
      </c>
      <c r="G1854" t="s">
        <v>137</v>
      </c>
      <c r="H1854" t="s">
        <v>2429</v>
      </c>
      <c r="I1854" t="s">
        <v>543</v>
      </c>
      <c r="J1854" t="s">
        <v>642</v>
      </c>
      <c r="K1854" t="s">
        <v>2838</v>
      </c>
      <c r="L1854">
        <v>6</v>
      </c>
      <c r="M1854" s="5">
        <v>416.57</v>
      </c>
      <c r="N1854" s="6">
        <v>10</v>
      </c>
      <c r="O1854" s="5">
        <v>249.94</v>
      </c>
      <c r="P1854" s="5">
        <v>337.42</v>
      </c>
      <c r="Q1854" s="5">
        <v>2249.48</v>
      </c>
      <c r="R1854" s="5">
        <v>2084.82</v>
      </c>
      <c r="S1854" s="5">
        <v>164.66</v>
      </c>
      <c r="T1854" s="7">
        <v>0.0731991393566513</v>
      </c>
      <c r="U1854" t="s">
        <v>11</v>
      </c>
      <c r="V1854" t="s">
        <v>50</v>
      </c>
      <c r="W1854" t="s">
        <v>50</v>
      </c>
      <c r="X1854" t="s">
        <v>33</v>
      </c>
      <c r="Y1854" t="s">
        <v>956</v>
      </c>
      <c r="Z1854" t="s">
        <v>101</v>
      </c>
    </row>
    <row r="1855" spans="1:26">
      <c r="A1855" t="s">
        <v>3917</v>
      </c>
      <c r="B1855" t="s">
        <v>3917</v>
      </c>
      <c r="C1855" s="4">
        <v>46067</v>
      </c>
      <c r="D1855">
        <v>2026</v>
      </c>
      <c r="E1855">
        <v>2</v>
      </c>
      <c r="F1855" t="s">
        <v>31</v>
      </c>
      <c r="G1855" t="s">
        <v>82</v>
      </c>
      <c r="H1855" t="s">
        <v>2002</v>
      </c>
      <c r="I1855" t="s">
        <v>328</v>
      </c>
      <c r="J1855" t="s">
        <v>246</v>
      </c>
      <c r="K1855" t="s">
        <v>247</v>
      </c>
      <c r="L1855">
        <v>4</v>
      </c>
      <c r="M1855" s="5">
        <v>130.76</v>
      </c>
      <c r="N1855" s="6">
        <v>0</v>
      </c>
      <c r="O1855" s="5">
        <v>0</v>
      </c>
      <c r="P1855" s="5">
        <v>78.46</v>
      </c>
      <c r="Q1855" s="5">
        <v>601.5</v>
      </c>
      <c r="R1855" s="5">
        <v>389.4</v>
      </c>
      <c r="S1855" s="5">
        <v>212.1</v>
      </c>
      <c r="T1855" s="7">
        <v>0.352618453865337</v>
      </c>
      <c r="U1855" t="s">
        <v>14</v>
      </c>
      <c r="V1855" t="s">
        <v>50</v>
      </c>
      <c r="W1855" t="s">
        <v>50</v>
      </c>
      <c r="X1855" t="s">
        <v>33</v>
      </c>
      <c r="Y1855" t="s">
        <v>1403</v>
      </c>
      <c r="Z1855" t="s">
        <v>80</v>
      </c>
    </row>
    <row r="1856" spans="1:26">
      <c r="A1856" t="s">
        <v>3918</v>
      </c>
      <c r="B1856" t="s">
        <v>3918</v>
      </c>
      <c r="C1856" s="4">
        <v>45977</v>
      </c>
      <c r="D1856">
        <v>2025</v>
      </c>
      <c r="E1856">
        <v>11</v>
      </c>
      <c r="F1856" t="s">
        <v>27</v>
      </c>
      <c r="G1856" t="s">
        <v>137</v>
      </c>
      <c r="H1856" t="s">
        <v>735</v>
      </c>
      <c r="I1856" t="s">
        <v>196</v>
      </c>
      <c r="J1856" t="s">
        <v>45</v>
      </c>
      <c r="K1856" t="s">
        <v>1351</v>
      </c>
      <c r="L1856">
        <v>2</v>
      </c>
      <c r="M1856" s="5">
        <v>332.73</v>
      </c>
      <c r="N1856" s="6">
        <v>10</v>
      </c>
      <c r="O1856" s="5">
        <v>66.55</v>
      </c>
      <c r="P1856" s="5">
        <v>89.84</v>
      </c>
      <c r="Q1856" s="5">
        <v>688.75</v>
      </c>
      <c r="R1856" s="5">
        <v>522.44</v>
      </c>
      <c r="S1856" s="5">
        <v>166.31</v>
      </c>
      <c r="T1856" s="7">
        <v>0.241466424682396</v>
      </c>
      <c r="U1856" t="s">
        <v>14</v>
      </c>
      <c r="V1856" t="s">
        <v>50</v>
      </c>
      <c r="W1856" t="s">
        <v>50</v>
      </c>
      <c r="X1856" t="s">
        <v>33</v>
      </c>
      <c r="Y1856" t="s">
        <v>2191</v>
      </c>
      <c r="Z1856" t="s">
        <v>80</v>
      </c>
    </row>
    <row r="1857" spans="1:26">
      <c r="A1857" t="s">
        <v>3919</v>
      </c>
      <c r="B1857" t="s">
        <v>3919</v>
      </c>
      <c r="C1857" s="4">
        <v>45752</v>
      </c>
      <c r="D1857">
        <v>2025</v>
      </c>
      <c r="E1857">
        <v>4</v>
      </c>
      <c r="F1857" t="s">
        <v>20</v>
      </c>
      <c r="G1857" t="s">
        <v>74</v>
      </c>
      <c r="H1857" t="s">
        <v>881</v>
      </c>
      <c r="I1857" t="s">
        <v>844</v>
      </c>
      <c r="J1857" t="s">
        <v>504</v>
      </c>
      <c r="K1857" t="s">
        <v>505</v>
      </c>
      <c r="L1857">
        <v>4</v>
      </c>
      <c r="M1857" s="5">
        <v>298.68</v>
      </c>
      <c r="N1857" s="6">
        <v>0</v>
      </c>
      <c r="O1857" s="5">
        <v>0</v>
      </c>
      <c r="P1857" s="5">
        <v>179.21</v>
      </c>
      <c r="Q1857" s="5">
        <v>1373.93</v>
      </c>
      <c r="R1857" s="5">
        <v>1002.76</v>
      </c>
      <c r="S1857" s="5">
        <v>371.17</v>
      </c>
      <c r="T1857" s="7">
        <v>0.270152045591842</v>
      </c>
      <c r="U1857" t="s">
        <v>12</v>
      </c>
      <c r="V1857" t="s">
        <v>50</v>
      </c>
      <c r="W1857" t="s">
        <v>50</v>
      </c>
      <c r="X1857" t="s">
        <v>34</v>
      </c>
      <c r="Y1857" t="s">
        <v>3308</v>
      </c>
      <c r="Z1857" t="s">
        <v>80</v>
      </c>
    </row>
    <row r="1858" spans="1:26">
      <c r="A1858" t="s">
        <v>3920</v>
      </c>
      <c r="B1858" t="s">
        <v>3920</v>
      </c>
      <c r="C1858" s="4">
        <v>46005</v>
      </c>
      <c r="D1858">
        <v>2025</v>
      </c>
      <c r="E1858">
        <v>12</v>
      </c>
      <c r="F1858" t="s">
        <v>28</v>
      </c>
      <c r="G1858" t="s">
        <v>137</v>
      </c>
      <c r="H1858" t="s">
        <v>602</v>
      </c>
      <c r="I1858" t="s">
        <v>1704</v>
      </c>
      <c r="J1858" t="s">
        <v>2044</v>
      </c>
      <c r="K1858" t="s">
        <v>2171</v>
      </c>
      <c r="L1858">
        <v>3</v>
      </c>
      <c r="M1858" s="5">
        <v>270.12</v>
      </c>
      <c r="N1858" s="6">
        <v>0</v>
      </c>
      <c r="O1858" s="5">
        <v>0</v>
      </c>
      <c r="P1858" s="5">
        <v>121.55</v>
      </c>
      <c r="Q1858" s="5">
        <v>931.91</v>
      </c>
      <c r="R1858" s="5">
        <v>558.12</v>
      </c>
      <c r="S1858" s="5">
        <v>373.79</v>
      </c>
      <c r="T1858" s="7">
        <v>0.401100964685431</v>
      </c>
      <c r="U1858" t="s">
        <v>12</v>
      </c>
      <c r="V1858" t="s">
        <v>50</v>
      </c>
      <c r="W1858" t="s">
        <v>50</v>
      </c>
      <c r="X1858" t="s">
        <v>33</v>
      </c>
      <c r="Y1858" t="s">
        <v>1358</v>
      </c>
      <c r="Z1858" t="s">
        <v>80</v>
      </c>
    </row>
    <row r="1859" spans="1:26">
      <c r="A1859" t="s">
        <v>3921</v>
      </c>
      <c r="B1859" t="s">
        <v>3921</v>
      </c>
      <c r="C1859" s="4">
        <v>45781</v>
      </c>
      <c r="D1859">
        <v>2025</v>
      </c>
      <c r="E1859">
        <v>5</v>
      </c>
      <c r="F1859" t="s">
        <v>21</v>
      </c>
      <c r="G1859" t="s">
        <v>74</v>
      </c>
      <c r="H1859" t="s">
        <v>2549</v>
      </c>
      <c r="I1859" t="s">
        <v>583</v>
      </c>
      <c r="J1859" t="s">
        <v>1450</v>
      </c>
      <c r="K1859" t="s">
        <v>1864</v>
      </c>
      <c r="L1859">
        <v>6</v>
      </c>
      <c r="M1859" s="5">
        <v>265.69</v>
      </c>
      <c r="N1859" s="6">
        <v>0</v>
      </c>
      <c r="O1859" s="5">
        <v>0</v>
      </c>
      <c r="P1859" s="5">
        <v>239.12</v>
      </c>
      <c r="Q1859" s="5">
        <v>1833.26</v>
      </c>
      <c r="R1859" s="5">
        <v>1263.12</v>
      </c>
      <c r="S1859" s="5">
        <v>570.14</v>
      </c>
      <c r="T1859" s="7">
        <v>0.310997894461233</v>
      </c>
      <c r="U1859" t="s">
        <v>13</v>
      </c>
      <c r="V1859" t="s">
        <v>50</v>
      </c>
      <c r="W1859" t="s">
        <v>50</v>
      </c>
      <c r="X1859" t="s">
        <v>35</v>
      </c>
      <c r="Y1859" t="s">
        <v>3922</v>
      </c>
      <c r="Z1859" t="s">
        <v>80</v>
      </c>
    </row>
    <row r="1860" spans="1:26">
      <c r="A1860" t="s">
        <v>3923</v>
      </c>
      <c r="B1860" t="s">
        <v>3923</v>
      </c>
      <c r="C1860" s="4">
        <v>46112</v>
      </c>
      <c r="D1860">
        <v>2026</v>
      </c>
      <c r="E1860">
        <v>3</v>
      </c>
      <c r="F1860" t="s">
        <v>19</v>
      </c>
      <c r="G1860" t="s">
        <v>82</v>
      </c>
      <c r="H1860" t="s">
        <v>1988</v>
      </c>
      <c r="I1860" t="s">
        <v>947</v>
      </c>
      <c r="J1860" t="s">
        <v>401</v>
      </c>
      <c r="K1860" t="s">
        <v>402</v>
      </c>
      <c r="L1860">
        <v>2</v>
      </c>
      <c r="M1860" s="5">
        <v>464.41</v>
      </c>
      <c r="N1860" s="6">
        <v>0</v>
      </c>
      <c r="O1860" s="5">
        <v>0</v>
      </c>
      <c r="P1860" s="5">
        <v>139.32</v>
      </c>
      <c r="Q1860" s="5">
        <v>928.82</v>
      </c>
      <c r="R1860" s="5">
        <v>795.38</v>
      </c>
      <c r="S1860" s="5">
        <v>133.44</v>
      </c>
      <c r="T1860" s="7">
        <v>0.143666157059495</v>
      </c>
      <c r="U1860" t="s">
        <v>10</v>
      </c>
      <c r="V1860" t="s">
        <v>50</v>
      </c>
      <c r="W1860" t="s">
        <v>50</v>
      </c>
      <c r="X1860" t="s">
        <v>33</v>
      </c>
      <c r="Y1860" t="s">
        <v>1287</v>
      </c>
      <c r="Z1860" t="s">
        <v>101</v>
      </c>
    </row>
    <row r="1861" spans="1:26">
      <c r="A1861" t="s">
        <v>3924</v>
      </c>
      <c r="B1861" t="s">
        <v>3924</v>
      </c>
      <c r="C1861" s="4">
        <v>45764</v>
      </c>
      <c r="D1861">
        <v>2025</v>
      </c>
      <c r="E1861">
        <v>4</v>
      </c>
      <c r="F1861" t="s">
        <v>20</v>
      </c>
      <c r="G1861" t="s">
        <v>74</v>
      </c>
      <c r="H1861" t="s">
        <v>2510</v>
      </c>
      <c r="I1861" t="s">
        <v>1343</v>
      </c>
      <c r="J1861" t="s">
        <v>1076</v>
      </c>
      <c r="K1861" t="s">
        <v>1473</v>
      </c>
      <c r="L1861">
        <v>5</v>
      </c>
      <c r="M1861" s="5">
        <v>490.22</v>
      </c>
      <c r="N1861" s="6">
        <v>20</v>
      </c>
      <c r="O1861" s="5">
        <v>490.22</v>
      </c>
      <c r="P1861" s="5">
        <v>294.13</v>
      </c>
      <c r="Q1861" s="5">
        <v>1960.88</v>
      </c>
      <c r="R1861" s="5">
        <v>1867.9</v>
      </c>
      <c r="S1861" s="5">
        <v>92.98</v>
      </c>
      <c r="T1861" s="7">
        <v>0.0474174860266819</v>
      </c>
      <c r="U1861" t="s">
        <v>12</v>
      </c>
      <c r="V1861" t="s">
        <v>50</v>
      </c>
      <c r="W1861" t="s">
        <v>50</v>
      </c>
      <c r="X1861" t="s">
        <v>33</v>
      </c>
      <c r="Y1861" t="s">
        <v>2878</v>
      </c>
      <c r="Z1861" t="s">
        <v>101</v>
      </c>
    </row>
    <row r="1862" spans="1:26">
      <c r="A1862" t="s">
        <v>3925</v>
      </c>
      <c r="B1862" t="s">
        <v>3925</v>
      </c>
      <c r="C1862" s="4">
        <v>45788</v>
      </c>
      <c r="D1862">
        <v>2025</v>
      </c>
      <c r="E1862">
        <v>5</v>
      </c>
      <c r="F1862" t="s">
        <v>21</v>
      </c>
      <c r="G1862" t="s">
        <v>74</v>
      </c>
      <c r="H1862" t="s">
        <v>2287</v>
      </c>
      <c r="I1862" t="s">
        <v>547</v>
      </c>
      <c r="J1862" t="s">
        <v>390</v>
      </c>
      <c r="K1862" t="s">
        <v>391</v>
      </c>
      <c r="L1862">
        <v>2</v>
      </c>
      <c r="M1862" s="5">
        <v>503.36</v>
      </c>
      <c r="N1862" s="6">
        <v>0</v>
      </c>
      <c r="O1862" s="5">
        <v>0</v>
      </c>
      <c r="P1862" s="5">
        <v>151.01</v>
      </c>
      <c r="Q1862" s="5">
        <v>1157.73</v>
      </c>
      <c r="R1862" s="5">
        <v>779.6</v>
      </c>
      <c r="S1862" s="5">
        <v>378.13</v>
      </c>
      <c r="T1862" s="7">
        <v>0.32661328634483</v>
      </c>
      <c r="U1862" t="s">
        <v>14</v>
      </c>
      <c r="V1862" t="s">
        <v>50</v>
      </c>
      <c r="W1862" t="s">
        <v>50</v>
      </c>
      <c r="X1862" t="s">
        <v>35</v>
      </c>
      <c r="Y1862" t="s">
        <v>3224</v>
      </c>
      <c r="Z1862" t="s">
        <v>80</v>
      </c>
    </row>
    <row r="1863" spans="1:26">
      <c r="A1863" t="s">
        <v>3926</v>
      </c>
      <c r="B1863" t="s">
        <v>3926</v>
      </c>
      <c r="C1863" s="4">
        <v>45858</v>
      </c>
      <c r="D1863">
        <v>2025</v>
      </c>
      <c r="E1863">
        <v>7</v>
      </c>
      <c r="F1863" t="s">
        <v>23</v>
      </c>
      <c r="G1863" t="s">
        <v>89</v>
      </c>
      <c r="H1863" t="s">
        <v>1236</v>
      </c>
      <c r="I1863" t="s">
        <v>854</v>
      </c>
      <c r="J1863" t="s">
        <v>548</v>
      </c>
      <c r="K1863" t="s">
        <v>1427</v>
      </c>
      <c r="L1863">
        <v>7</v>
      </c>
      <c r="M1863" s="5">
        <v>548.45</v>
      </c>
      <c r="N1863" s="6">
        <v>15</v>
      </c>
      <c r="O1863" s="5">
        <v>575.87</v>
      </c>
      <c r="P1863" s="5">
        <v>489.49</v>
      </c>
      <c r="Q1863" s="5"/>
      <c r="R1863" s="5">
        <v>2654.33</v>
      </c>
      <c r="S1863" s="5">
        <v>1098.44</v>
      </c>
      <c r="T1863" s="7"/>
      <c r="U1863" t="s">
        <v>10</v>
      </c>
      <c r="V1863" t="s">
        <v>50</v>
      </c>
      <c r="W1863" t="s">
        <v>50</v>
      </c>
      <c r="X1863" t="s">
        <v>33</v>
      </c>
      <c r="Y1863" t="s">
        <v>1907</v>
      </c>
      <c r="Z1863" t="s">
        <v>80</v>
      </c>
    </row>
    <row r="1864" spans="1:26">
      <c r="A1864" t="s">
        <v>3927</v>
      </c>
      <c r="B1864" t="s">
        <v>3927</v>
      </c>
      <c r="C1864" s="4">
        <v>45837</v>
      </c>
      <c r="D1864">
        <v>2025</v>
      </c>
      <c r="E1864">
        <v>6</v>
      </c>
      <c r="F1864" t="s">
        <v>22</v>
      </c>
      <c r="G1864" t="s">
        <v>74</v>
      </c>
      <c r="H1864" t="s">
        <v>513</v>
      </c>
      <c r="I1864" t="s">
        <v>574</v>
      </c>
      <c r="J1864" t="s">
        <v>1219</v>
      </c>
      <c r="K1864" t="s">
        <v>287</v>
      </c>
      <c r="L1864">
        <v>4</v>
      </c>
      <c r="M1864" s="5">
        <v>142.45</v>
      </c>
      <c r="N1864" s="6">
        <v>10</v>
      </c>
      <c r="O1864" s="5">
        <v>56.98</v>
      </c>
      <c r="P1864" s="5">
        <v>76.92</v>
      </c>
      <c r="Q1864" s="5">
        <v>589.74</v>
      </c>
      <c r="R1864" s="5">
        <v>382.8</v>
      </c>
      <c r="S1864" s="5">
        <v>206.94</v>
      </c>
      <c r="T1864" s="7">
        <v>0.350900396785024</v>
      </c>
      <c r="U1864" t="s">
        <v>11</v>
      </c>
      <c r="V1864" t="s">
        <v>50</v>
      </c>
      <c r="W1864" t="s">
        <v>50</v>
      </c>
      <c r="X1864" t="s">
        <v>35</v>
      </c>
      <c r="Y1864" t="s">
        <v>3881</v>
      </c>
      <c r="Z1864" t="s">
        <v>80</v>
      </c>
    </row>
    <row r="1865" spans="1:26">
      <c r="A1865" t="s">
        <v>3928</v>
      </c>
      <c r="B1865" t="s">
        <v>3928</v>
      </c>
      <c r="C1865" s="4">
        <v>45786</v>
      </c>
      <c r="D1865">
        <v>2025</v>
      </c>
      <c r="E1865">
        <v>5</v>
      </c>
      <c r="F1865" t="s">
        <v>21</v>
      </c>
      <c r="G1865" t="s">
        <v>74</v>
      </c>
      <c r="H1865" t="s">
        <v>109</v>
      </c>
      <c r="I1865" t="s">
        <v>169</v>
      </c>
      <c r="J1865" t="s">
        <v>246</v>
      </c>
      <c r="K1865" t="s">
        <v>247</v>
      </c>
      <c r="L1865">
        <v>7</v>
      </c>
      <c r="M1865" s="5">
        <v>160.72</v>
      </c>
      <c r="N1865" s="6">
        <v>5</v>
      </c>
      <c r="O1865" s="5">
        <v>56.25</v>
      </c>
      <c r="P1865" s="5">
        <v>160.32</v>
      </c>
      <c r="Q1865" s="5">
        <v>1068.79</v>
      </c>
      <c r="R1865" s="5">
        <v>811.37</v>
      </c>
      <c r="S1865" s="5">
        <v>257.42</v>
      </c>
      <c r="T1865" s="7">
        <v>0.240851804376912</v>
      </c>
      <c r="U1865" t="s">
        <v>12</v>
      </c>
      <c r="V1865" t="s">
        <v>50</v>
      </c>
      <c r="W1865" t="s">
        <v>50</v>
      </c>
      <c r="X1865" t="s">
        <v>33</v>
      </c>
      <c r="Y1865" t="s">
        <v>2958</v>
      </c>
      <c r="Z1865" t="s">
        <v>101</v>
      </c>
    </row>
    <row r="1866" spans="1:26">
      <c r="A1866" t="s">
        <v>3929</v>
      </c>
      <c r="B1866" t="s">
        <v>3929</v>
      </c>
      <c r="C1866" s="4">
        <v>46100</v>
      </c>
      <c r="D1866">
        <v>2026</v>
      </c>
      <c r="E1866">
        <v>3</v>
      </c>
      <c r="F1866" t="s">
        <v>19</v>
      </c>
      <c r="G1866" t="s">
        <v>82</v>
      </c>
      <c r="H1866" t="s">
        <v>582</v>
      </c>
      <c r="I1866" t="s">
        <v>338</v>
      </c>
      <c r="J1866" t="s">
        <v>1450</v>
      </c>
      <c r="K1866" t="s">
        <v>1864</v>
      </c>
      <c r="L1866">
        <v>4</v>
      </c>
      <c r="M1866" s="5">
        <v>232.11</v>
      </c>
      <c r="N1866" s="6">
        <v>0</v>
      </c>
      <c r="O1866" s="5">
        <v>0</v>
      </c>
      <c r="P1866" s="5">
        <v>139.27</v>
      </c>
      <c r="Q1866" s="5">
        <v>928.44</v>
      </c>
      <c r="R1866" s="5">
        <v>622.6</v>
      </c>
      <c r="S1866" s="5">
        <v>305.84</v>
      </c>
      <c r="T1866" s="7">
        <v>0.329412778424023</v>
      </c>
      <c r="U1866" t="s">
        <v>9</v>
      </c>
      <c r="V1866" t="s">
        <v>50</v>
      </c>
      <c r="W1866" t="s">
        <v>50</v>
      </c>
      <c r="X1866" t="s">
        <v>33</v>
      </c>
      <c r="Y1866" t="s">
        <v>931</v>
      </c>
      <c r="Z1866" t="s">
        <v>101</v>
      </c>
    </row>
    <row r="1867" spans="1:26">
      <c r="A1867" t="s">
        <v>3930</v>
      </c>
      <c r="B1867" t="s">
        <v>3930</v>
      </c>
      <c r="C1867" s="4">
        <v>45916</v>
      </c>
      <c r="D1867">
        <v>2025</v>
      </c>
      <c r="E1867">
        <v>9</v>
      </c>
      <c r="F1867" t="s">
        <v>25</v>
      </c>
      <c r="G1867" t="s">
        <v>89</v>
      </c>
      <c r="H1867" t="s">
        <v>3194</v>
      </c>
      <c r="I1867" t="s">
        <v>547</v>
      </c>
      <c r="J1867" t="s">
        <v>1377</v>
      </c>
      <c r="K1867" t="s">
        <v>2036</v>
      </c>
      <c r="L1867">
        <v>7</v>
      </c>
      <c r="M1867" s="5">
        <v>568.71</v>
      </c>
      <c r="N1867" s="6">
        <v>15</v>
      </c>
      <c r="O1867" s="5">
        <v>597.15</v>
      </c>
      <c r="P1867" s="5">
        <v>507.57</v>
      </c>
      <c r="Q1867" s="5">
        <v>3383.82</v>
      </c>
      <c r="R1867" s="5">
        <v>2728.6</v>
      </c>
      <c r="S1867" s="5">
        <v>655.22</v>
      </c>
      <c r="T1867" s="7">
        <v>0.193633231082032</v>
      </c>
      <c r="U1867" t="s">
        <v>12</v>
      </c>
      <c r="V1867" t="s">
        <v>50</v>
      </c>
      <c r="W1867" t="s">
        <v>50</v>
      </c>
      <c r="X1867" t="s">
        <v>33</v>
      </c>
      <c r="Y1867" t="s">
        <v>1576</v>
      </c>
      <c r="Z1867" t="s">
        <v>101</v>
      </c>
    </row>
    <row r="1868" spans="1:26">
      <c r="A1868" t="s">
        <v>3931</v>
      </c>
      <c r="B1868" t="s">
        <v>3931</v>
      </c>
      <c r="C1868" s="4">
        <v>45866</v>
      </c>
      <c r="D1868">
        <v>2025</v>
      </c>
      <c r="E1868">
        <v>7</v>
      </c>
      <c r="F1868" t="s">
        <v>23</v>
      </c>
      <c r="G1868" t="s">
        <v>89</v>
      </c>
      <c r="H1868" t="s">
        <v>1034</v>
      </c>
      <c r="I1868" t="s">
        <v>251</v>
      </c>
      <c r="J1868" t="s">
        <v>170</v>
      </c>
      <c r="K1868" t="s">
        <v>313</v>
      </c>
      <c r="L1868">
        <v>6</v>
      </c>
      <c r="M1868" s="5">
        <v>216.55</v>
      </c>
      <c r="N1868" s="6">
        <v>5</v>
      </c>
      <c r="O1868" s="5">
        <v>64.97</v>
      </c>
      <c r="P1868" s="5">
        <v>185.15</v>
      </c>
      <c r="Q1868" s="5">
        <v>1234.33</v>
      </c>
      <c r="R1868" s="5">
        <v>1021.2</v>
      </c>
      <c r="S1868" s="5">
        <v>213.13</v>
      </c>
      <c r="T1868" s="7">
        <v>0.172668573234062</v>
      </c>
      <c r="U1868" t="s">
        <v>12</v>
      </c>
      <c r="V1868" t="s">
        <v>50</v>
      </c>
      <c r="W1868" t="s">
        <v>50</v>
      </c>
      <c r="X1868" t="s">
        <v>35</v>
      </c>
      <c r="Y1868" t="s">
        <v>667</v>
      </c>
      <c r="Z1868" t="s">
        <v>101</v>
      </c>
    </row>
    <row r="1869" spans="1:26">
      <c r="A1869" t="s">
        <v>3932</v>
      </c>
      <c r="B1869" t="s">
        <v>3932</v>
      </c>
      <c r="C1869" s="4">
        <v>46096</v>
      </c>
      <c r="D1869">
        <v>2026</v>
      </c>
      <c r="E1869">
        <v>3</v>
      </c>
      <c r="F1869" t="s">
        <v>19</v>
      </c>
      <c r="G1869" t="s">
        <v>82</v>
      </c>
      <c r="H1869" t="s">
        <v>1532</v>
      </c>
      <c r="I1869" t="s">
        <v>157</v>
      </c>
      <c r="J1869" t="s">
        <v>240</v>
      </c>
      <c r="K1869" t="s">
        <v>2573</v>
      </c>
      <c r="L1869">
        <v>5</v>
      </c>
      <c r="M1869" s="5">
        <v>66.9</v>
      </c>
      <c r="N1869" s="6">
        <v>20</v>
      </c>
      <c r="O1869" s="5">
        <v>66.9</v>
      </c>
      <c r="P1869" s="5">
        <v>40.14</v>
      </c>
      <c r="Q1869" s="5">
        <v>307.74</v>
      </c>
      <c r="R1869" s="5">
        <v>240.75</v>
      </c>
      <c r="S1869" s="5">
        <v>66.99</v>
      </c>
      <c r="T1869" s="7">
        <v>0.217683759017352</v>
      </c>
      <c r="U1869" t="s">
        <v>11</v>
      </c>
      <c r="V1869" t="s">
        <v>50</v>
      </c>
      <c r="W1869" t="s">
        <v>50</v>
      </c>
      <c r="X1869" t="s">
        <v>33</v>
      </c>
      <c r="Y1869" t="s">
        <v>3212</v>
      </c>
      <c r="Z1869" t="s">
        <v>80</v>
      </c>
    </row>
    <row r="1870" spans="1:26">
      <c r="A1870" t="s">
        <v>3933</v>
      </c>
      <c r="B1870" t="s">
        <v>3933</v>
      </c>
      <c r="C1870" s="4">
        <v>46108</v>
      </c>
      <c r="D1870">
        <v>2026</v>
      </c>
      <c r="E1870">
        <v>3</v>
      </c>
      <c r="F1870" t="s">
        <v>19</v>
      </c>
      <c r="G1870" t="s">
        <v>82</v>
      </c>
      <c r="H1870" t="s">
        <v>824</v>
      </c>
      <c r="I1870" t="s">
        <v>898</v>
      </c>
      <c r="J1870" t="s">
        <v>390</v>
      </c>
      <c r="K1870" t="s">
        <v>391</v>
      </c>
      <c r="L1870">
        <v>3</v>
      </c>
      <c r="M1870" s="5">
        <v>275.71</v>
      </c>
      <c r="N1870" s="6">
        <v>0</v>
      </c>
      <c r="O1870" s="5">
        <v>0</v>
      </c>
      <c r="P1870" s="5">
        <v>124.07</v>
      </c>
      <c r="Q1870" s="5">
        <v>827.13</v>
      </c>
      <c r="R1870" s="5">
        <v>618.9</v>
      </c>
      <c r="S1870" s="5">
        <v>208.23</v>
      </c>
      <c r="T1870" s="7">
        <v>0.251750027202495</v>
      </c>
      <c r="U1870" t="s">
        <v>11</v>
      </c>
      <c r="V1870" t="s">
        <v>50</v>
      </c>
      <c r="W1870" t="s">
        <v>50</v>
      </c>
      <c r="X1870" t="s">
        <v>33</v>
      </c>
      <c r="Y1870" t="s">
        <v>408</v>
      </c>
      <c r="Z1870" t="s">
        <v>101</v>
      </c>
    </row>
    <row r="1871" spans="1:26">
      <c r="A1871" t="s">
        <v>3934</v>
      </c>
      <c r="B1871" t="s">
        <v>3934</v>
      </c>
      <c r="C1871" s="4">
        <v>45871</v>
      </c>
      <c r="D1871">
        <v>2025</v>
      </c>
      <c r="E1871">
        <v>8</v>
      </c>
      <c r="F1871" t="s">
        <v>24</v>
      </c>
      <c r="G1871" t="s">
        <v>89</v>
      </c>
      <c r="H1871" t="s">
        <v>3935</v>
      </c>
      <c r="I1871" t="s">
        <v>924</v>
      </c>
      <c r="J1871" t="s">
        <v>489</v>
      </c>
      <c r="K1871" t="s">
        <v>2311</v>
      </c>
      <c r="L1871">
        <v>2</v>
      </c>
      <c r="M1871" s="5">
        <v>262.77</v>
      </c>
      <c r="N1871" s="6">
        <v>0</v>
      </c>
      <c r="O1871" s="5">
        <v>0</v>
      </c>
      <c r="P1871" s="5">
        <v>78.83</v>
      </c>
      <c r="Q1871" s="5">
        <v>604.37</v>
      </c>
      <c r="R1871" s="5">
        <v>389.28</v>
      </c>
      <c r="S1871" s="5">
        <v>215.09</v>
      </c>
      <c r="T1871" s="7">
        <v>0.355891258666049</v>
      </c>
      <c r="U1871" t="s">
        <v>11</v>
      </c>
      <c r="V1871" t="s">
        <v>50</v>
      </c>
      <c r="W1871" t="s">
        <v>50</v>
      </c>
      <c r="X1871" t="s">
        <v>33</v>
      </c>
      <c r="Y1871" t="s">
        <v>1870</v>
      </c>
      <c r="Z1871" t="s">
        <v>80</v>
      </c>
    </row>
    <row r="1872" spans="1:26">
      <c r="A1872" t="s">
        <v>3936</v>
      </c>
      <c r="B1872" t="s">
        <v>3936</v>
      </c>
      <c r="C1872" s="4">
        <v>45945</v>
      </c>
      <c r="D1872">
        <v>2025</v>
      </c>
      <c r="E1872">
        <v>10</v>
      </c>
      <c r="F1872" t="s">
        <v>26</v>
      </c>
      <c r="G1872" t="s">
        <v>137</v>
      </c>
      <c r="H1872" t="s">
        <v>2922</v>
      </c>
      <c r="I1872" t="s">
        <v>937</v>
      </c>
      <c r="J1872" t="s">
        <v>1072</v>
      </c>
      <c r="K1872" t="s">
        <v>2347</v>
      </c>
      <c r="L1872">
        <v>4</v>
      </c>
      <c r="M1872" s="5">
        <v>438.7</v>
      </c>
      <c r="N1872" s="6">
        <v>5</v>
      </c>
      <c r="O1872" s="5">
        <v>87.74</v>
      </c>
      <c r="P1872" s="5">
        <v>250.06</v>
      </c>
      <c r="Q1872" s="5">
        <v>1667.06</v>
      </c>
      <c r="R1872" s="5">
        <v>1480.72</v>
      </c>
      <c r="S1872" s="5">
        <v>186.34</v>
      </c>
      <c r="T1872" s="7">
        <v>0.111777620481566</v>
      </c>
      <c r="U1872" t="s">
        <v>13</v>
      </c>
      <c r="V1872" t="s">
        <v>50</v>
      </c>
      <c r="W1872" t="s">
        <v>50</v>
      </c>
      <c r="X1872" t="s">
        <v>33</v>
      </c>
      <c r="Y1872" t="s">
        <v>392</v>
      </c>
      <c r="Z1872" t="s">
        <v>101</v>
      </c>
    </row>
    <row r="1873" spans="1:26">
      <c r="A1873" t="s">
        <v>3937</v>
      </c>
      <c r="B1873" t="s">
        <v>3937</v>
      </c>
      <c r="C1873" s="4">
        <v>46096</v>
      </c>
      <c r="D1873">
        <v>2026</v>
      </c>
      <c r="E1873">
        <v>3</v>
      </c>
      <c r="F1873" t="s">
        <v>19</v>
      </c>
      <c r="G1873" t="s">
        <v>82</v>
      </c>
      <c r="H1873" t="s">
        <v>3561</v>
      </c>
      <c r="I1873" t="s">
        <v>323</v>
      </c>
      <c r="J1873" t="s">
        <v>280</v>
      </c>
      <c r="K1873" t="s">
        <v>281</v>
      </c>
      <c r="L1873">
        <v>1</v>
      </c>
      <c r="M1873" s="5">
        <v>51.33</v>
      </c>
      <c r="N1873" s="6">
        <v>15</v>
      </c>
      <c r="O1873" s="5">
        <v>7.7</v>
      </c>
      <c r="P1873" s="5">
        <v>6.54</v>
      </c>
      <c r="Q1873" s="5">
        <v>50.17</v>
      </c>
      <c r="R1873" s="5">
        <v>37.48</v>
      </c>
      <c r="S1873" s="5">
        <v>12.69</v>
      </c>
      <c r="T1873" s="7">
        <v>0.252940003986446</v>
      </c>
      <c r="U1873" t="s">
        <v>14</v>
      </c>
      <c r="V1873" t="s">
        <v>50</v>
      </c>
      <c r="W1873" t="s">
        <v>50</v>
      </c>
      <c r="X1873" t="s">
        <v>33</v>
      </c>
      <c r="Y1873" t="s">
        <v>1374</v>
      </c>
      <c r="Z1873" t="s">
        <v>80</v>
      </c>
    </row>
    <row r="1874" spans="1:26">
      <c r="A1874" t="s">
        <v>3938</v>
      </c>
      <c r="B1874" t="s">
        <v>3938</v>
      </c>
      <c r="C1874" s="4">
        <v>46009</v>
      </c>
      <c r="D1874">
        <v>2025</v>
      </c>
      <c r="E1874">
        <v>12</v>
      </c>
      <c r="F1874" t="s">
        <v>28</v>
      </c>
      <c r="G1874" t="s">
        <v>137</v>
      </c>
      <c r="H1874" t="s">
        <v>622</v>
      </c>
      <c r="I1874" t="s">
        <v>623</v>
      </c>
      <c r="J1874" t="s">
        <v>418</v>
      </c>
      <c r="K1874" t="s">
        <v>419</v>
      </c>
      <c r="L1874">
        <v>4</v>
      </c>
      <c r="M1874" s="5">
        <v>141.36</v>
      </c>
      <c r="N1874" s="6">
        <v>20</v>
      </c>
      <c r="O1874" s="5">
        <v>113.09</v>
      </c>
      <c r="P1874" s="5">
        <v>67.85</v>
      </c>
      <c r="Q1874" s="5">
        <v>452.35</v>
      </c>
      <c r="R1874" s="5">
        <v>427.96</v>
      </c>
      <c r="S1874" s="5">
        <v>24.39</v>
      </c>
      <c r="T1874" s="7">
        <v>0.0539184259975683</v>
      </c>
      <c r="U1874" t="s">
        <v>14</v>
      </c>
      <c r="V1874" t="s">
        <v>50</v>
      </c>
      <c r="W1874" t="s">
        <v>50</v>
      </c>
      <c r="X1874" t="s">
        <v>33</v>
      </c>
      <c r="Y1874" t="s">
        <v>3277</v>
      </c>
      <c r="Z1874" t="s">
        <v>101</v>
      </c>
    </row>
    <row r="1875" spans="1:26">
      <c r="A1875" t="s">
        <v>3939</v>
      </c>
      <c r="B1875" t="s">
        <v>3939</v>
      </c>
      <c r="C1875" s="4">
        <v>45817</v>
      </c>
      <c r="D1875">
        <v>2025</v>
      </c>
      <c r="E1875">
        <v>6</v>
      </c>
      <c r="F1875" t="s">
        <v>22</v>
      </c>
      <c r="G1875" t="s">
        <v>74</v>
      </c>
      <c r="H1875" t="s">
        <v>876</v>
      </c>
      <c r="I1875" t="s">
        <v>151</v>
      </c>
      <c r="J1875" t="s">
        <v>191</v>
      </c>
      <c r="K1875" t="s">
        <v>192</v>
      </c>
      <c r="L1875">
        <v>5</v>
      </c>
      <c r="M1875" s="5">
        <v>448.98</v>
      </c>
      <c r="N1875" s="6">
        <v>15</v>
      </c>
      <c r="O1875" s="5">
        <v>336.74</v>
      </c>
      <c r="P1875" s="5">
        <v>286.22</v>
      </c>
      <c r="Q1875" s="5">
        <v>1908.16</v>
      </c>
      <c r="R1875" s="5">
        <v>1758.15</v>
      </c>
      <c r="S1875" s="5">
        <v>150.01</v>
      </c>
      <c r="T1875" s="7">
        <v>0.0786150008385041</v>
      </c>
      <c r="U1875" t="s">
        <v>9</v>
      </c>
      <c r="V1875" t="s">
        <v>51</v>
      </c>
      <c r="W1875" t="s">
        <v>51</v>
      </c>
      <c r="X1875" t="s">
        <v>33</v>
      </c>
      <c r="Y1875" t="s">
        <v>1520</v>
      </c>
      <c r="Z1875" t="s">
        <v>101</v>
      </c>
    </row>
    <row r="1876" spans="1:26">
      <c r="A1876" t="s">
        <v>3940</v>
      </c>
      <c r="B1876" t="s">
        <v>3940</v>
      </c>
      <c r="C1876" s="4">
        <v>46021</v>
      </c>
      <c r="D1876">
        <v>2025</v>
      </c>
      <c r="E1876">
        <v>12</v>
      </c>
      <c r="F1876" t="s">
        <v>28</v>
      </c>
      <c r="G1876" t="s">
        <v>137</v>
      </c>
      <c r="H1876" t="s">
        <v>3941</v>
      </c>
      <c r="I1876" t="s">
        <v>374</v>
      </c>
      <c r="J1876" t="s">
        <v>318</v>
      </c>
      <c r="K1876" t="s">
        <v>3942</v>
      </c>
      <c r="L1876">
        <v>4</v>
      </c>
      <c r="M1876" s="5">
        <v>400.33</v>
      </c>
      <c r="N1876" s="6">
        <v>0</v>
      </c>
      <c r="O1876" s="5">
        <v>0</v>
      </c>
      <c r="P1876" s="5">
        <v>240.2</v>
      </c>
      <c r="Q1876" s="5">
        <v>1601.32</v>
      </c>
      <c r="R1876" s="5">
        <v>1363.6</v>
      </c>
      <c r="S1876" s="5">
        <v>237.72</v>
      </c>
      <c r="T1876" s="7">
        <v>0.148452526665501</v>
      </c>
      <c r="U1876" t="s">
        <v>11</v>
      </c>
      <c r="V1876" t="s">
        <v>50</v>
      </c>
      <c r="W1876" t="s">
        <v>50</v>
      </c>
      <c r="X1876" t="s">
        <v>33</v>
      </c>
      <c r="Y1876" t="s">
        <v>1277</v>
      </c>
      <c r="Z1876" t="s">
        <v>101</v>
      </c>
    </row>
    <row r="1877" spans="1:26">
      <c r="A1877" t="s">
        <v>3943</v>
      </c>
      <c r="B1877" t="s">
        <v>3943</v>
      </c>
      <c r="C1877" s="4">
        <v>45836</v>
      </c>
      <c r="D1877">
        <v>2025</v>
      </c>
      <c r="E1877">
        <v>6</v>
      </c>
      <c r="F1877" t="s">
        <v>22</v>
      </c>
      <c r="G1877" t="s">
        <v>74</v>
      </c>
      <c r="H1877" t="s">
        <v>1581</v>
      </c>
      <c r="I1877" t="s">
        <v>609</v>
      </c>
      <c r="J1877" t="s">
        <v>1940</v>
      </c>
      <c r="K1877" t="s">
        <v>724</v>
      </c>
      <c r="L1877">
        <v>3</v>
      </c>
      <c r="M1877" s="5">
        <v>328.59</v>
      </c>
      <c r="N1877" s="6">
        <v>0</v>
      </c>
      <c r="O1877" s="5">
        <v>0</v>
      </c>
      <c r="P1877" s="5">
        <v>147.87</v>
      </c>
      <c r="Q1877" s="5">
        <v>1133.64</v>
      </c>
      <c r="R1877" s="5">
        <v>766.47</v>
      </c>
      <c r="S1877" s="5">
        <v>367.17</v>
      </c>
      <c r="T1877" s="7">
        <v>0.323885889700434</v>
      </c>
      <c r="U1877" t="s">
        <v>10</v>
      </c>
      <c r="V1877" t="s">
        <v>50</v>
      </c>
      <c r="W1877" t="s">
        <v>50</v>
      </c>
      <c r="X1877" t="s">
        <v>35</v>
      </c>
      <c r="Y1877" t="s">
        <v>3769</v>
      </c>
      <c r="Z1877" t="s">
        <v>80</v>
      </c>
    </row>
    <row r="1878" spans="1:26">
      <c r="A1878" t="s">
        <v>3944</v>
      </c>
      <c r="B1878" t="s">
        <v>3944</v>
      </c>
      <c r="C1878" s="4">
        <v>46082</v>
      </c>
      <c r="D1878">
        <v>2026</v>
      </c>
      <c r="E1878">
        <v>3</v>
      </c>
      <c r="F1878" t="s">
        <v>19</v>
      </c>
      <c r="G1878" t="s">
        <v>82</v>
      </c>
      <c r="H1878" t="s">
        <v>3783</v>
      </c>
      <c r="I1878" t="s">
        <v>756</v>
      </c>
      <c r="J1878" t="s">
        <v>175</v>
      </c>
      <c r="K1878" t="s">
        <v>455</v>
      </c>
      <c r="L1878">
        <v>3</v>
      </c>
      <c r="M1878" s="5">
        <v>161.64</v>
      </c>
      <c r="N1878" s="6">
        <v>0</v>
      </c>
      <c r="O1878" s="5">
        <v>0</v>
      </c>
      <c r="P1878" s="5">
        <v>72.74</v>
      </c>
      <c r="Q1878" s="5">
        <v>557.66</v>
      </c>
      <c r="R1878" s="5">
        <v>372.72</v>
      </c>
      <c r="S1878" s="5">
        <v>-396.41</v>
      </c>
      <c r="T1878" s="7">
        <v>-0.71084531793566</v>
      </c>
      <c r="U1878" t="s">
        <v>14</v>
      </c>
      <c r="V1878" t="s">
        <v>50</v>
      </c>
      <c r="W1878" t="s">
        <v>50</v>
      </c>
      <c r="X1878" t="s">
        <v>33</v>
      </c>
      <c r="Y1878" t="s">
        <v>2132</v>
      </c>
      <c r="Z1878" t="s">
        <v>80</v>
      </c>
    </row>
    <row r="1879" spans="1:26">
      <c r="A1879" t="s">
        <v>3945</v>
      </c>
      <c r="B1879" t="s">
        <v>3945</v>
      </c>
      <c r="C1879" s="4">
        <v>45988</v>
      </c>
      <c r="D1879">
        <v>2025</v>
      </c>
      <c r="E1879">
        <v>11</v>
      </c>
      <c r="F1879" t="s">
        <v>27</v>
      </c>
      <c r="G1879" t="s">
        <v>137</v>
      </c>
      <c r="H1879" t="s">
        <v>2974</v>
      </c>
      <c r="I1879" t="s">
        <v>174</v>
      </c>
      <c r="J1879" t="s">
        <v>47</v>
      </c>
      <c r="K1879" t="s">
        <v>1197</v>
      </c>
      <c r="L1879">
        <v>4</v>
      </c>
      <c r="M1879" s="5">
        <v>397.22</v>
      </c>
      <c r="N1879" s="6">
        <v>15</v>
      </c>
      <c r="O1879" s="5">
        <v>238.33</v>
      </c>
      <c r="P1879" s="5">
        <v>202.58</v>
      </c>
      <c r="Q1879" s="5">
        <v>1350.55</v>
      </c>
      <c r="R1879" s="5">
        <v>1277.48</v>
      </c>
      <c r="S1879" s="5">
        <v>73.07</v>
      </c>
      <c r="T1879" s="7">
        <v>0.0541038836029766</v>
      </c>
      <c r="U1879" t="s">
        <v>9</v>
      </c>
      <c r="V1879" t="s">
        <v>50</v>
      </c>
      <c r="W1879" t="s">
        <v>50</v>
      </c>
      <c r="X1879" t="s">
        <v>33</v>
      </c>
      <c r="Y1879" t="s">
        <v>2408</v>
      </c>
      <c r="Z1879" t="s">
        <v>101</v>
      </c>
    </row>
    <row r="1880" spans="1:26">
      <c r="A1880" t="s">
        <v>3946</v>
      </c>
      <c r="B1880" t="s">
        <v>3946</v>
      </c>
      <c r="C1880" s="4">
        <v>45842</v>
      </c>
      <c r="D1880">
        <v>2025</v>
      </c>
      <c r="E1880">
        <v>7</v>
      </c>
      <c r="F1880" t="s">
        <v>23</v>
      </c>
      <c r="G1880" t="s">
        <v>89</v>
      </c>
      <c r="H1880" t="s">
        <v>3248</v>
      </c>
      <c r="I1880" t="s">
        <v>774</v>
      </c>
      <c r="J1880" t="s">
        <v>111</v>
      </c>
      <c r="K1880" t="s">
        <v>729</v>
      </c>
      <c r="L1880">
        <v>2</v>
      </c>
      <c r="M1880" s="5">
        <v>661.91</v>
      </c>
      <c r="N1880" s="6">
        <v>5</v>
      </c>
      <c r="O1880" s="5">
        <v>66.19</v>
      </c>
      <c r="P1880" s="5">
        <v>188.64</v>
      </c>
      <c r="Q1880" s="5">
        <v>1257.63</v>
      </c>
      <c r="R1880" s="5">
        <v>797.44</v>
      </c>
      <c r="S1880" s="5">
        <v>460.19</v>
      </c>
      <c r="T1880" s="7">
        <v>0.365918433879599</v>
      </c>
      <c r="U1880" t="s">
        <v>12</v>
      </c>
      <c r="V1880" t="s">
        <v>50</v>
      </c>
      <c r="W1880" t="s">
        <v>50</v>
      </c>
      <c r="X1880" t="s">
        <v>33</v>
      </c>
      <c r="Y1880" t="s">
        <v>3947</v>
      </c>
      <c r="Z1880" t="s">
        <v>101</v>
      </c>
    </row>
    <row r="1881" spans="1:26">
      <c r="A1881" t="s">
        <v>3948</v>
      </c>
      <c r="B1881" t="s">
        <v>3948</v>
      </c>
      <c r="C1881" s="4">
        <v>45808</v>
      </c>
      <c r="D1881">
        <v>2025</v>
      </c>
      <c r="E1881">
        <v>5</v>
      </c>
      <c r="F1881" t="s">
        <v>21</v>
      </c>
      <c r="G1881" t="s">
        <v>74</v>
      </c>
      <c r="H1881" t="s">
        <v>3941</v>
      </c>
      <c r="I1881" t="s">
        <v>514</v>
      </c>
      <c r="J1881" t="s">
        <v>2044</v>
      </c>
      <c r="K1881" t="s">
        <v>2171</v>
      </c>
      <c r="L1881">
        <v>2</v>
      </c>
      <c r="M1881" s="5">
        <v>589.75</v>
      </c>
      <c r="N1881" s="6">
        <v>0</v>
      </c>
      <c r="O1881" s="5">
        <v>0</v>
      </c>
      <c r="P1881" s="5">
        <v>176.92</v>
      </c>
      <c r="Q1881" s="5">
        <v>1356.42</v>
      </c>
      <c r="R1881" s="5">
        <v>687.3</v>
      </c>
      <c r="S1881" s="5">
        <v>669.12</v>
      </c>
      <c r="T1881" s="7">
        <v>0.493298535851727</v>
      </c>
      <c r="U1881" t="s">
        <v>9</v>
      </c>
      <c r="V1881" t="s">
        <v>50</v>
      </c>
      <c r="W1881" t="s">
        <v>50</v>
      </c>
      <c r="X1881" t="s">
        <v>33</v>
      </c>
      <c r="Y1881" t="s">
        <v>944</v>
      </c>
      <c r="Z1881" t="s">
        <v>80</v>
      </c>
    </row>
    <row r="1882" spans="1:26">
      <c r="A1882" t="s">
        <v>3949</v>
      </c>
      <c r="B1882" t="s">
        <v>3949</v>
      </c>
      <c r="C1882" s="4">
        <v>46054</v>
      </c>
      <c r="D1882">
        <v>2026</v>
      </c>
      <c r="E1882">
        <v>2</v>
      </c>
      <c r="F1882" t="s">
        <v>31</v>
      </c>
      <c r="G1882" t="s">
        <v>82</v>
      </c>
      <c r="H1882" t="s">
        <v>3344</v>
      </c>
      <c r="I1882" t="s">
        <v>219</v>
      </c>
      <c r="J1882" t="s">
        <v>532</v>
      </c>
      <c r="K1882" t="s">
        <v>533</v>
      </c>
      <c r="L1882">
        <v>3</v>
      </c>
      <c r="M1882" s="5">
        <v>225.45</v>
      </c>
      <c r="N1882" s="6">
        <v>5</v>
      </c>
      <c r="O1882" s="5">
        <v>33.82</v>
      </c>
      <c r="P1882" s="5">
        <v>96.38</v>
      </c>
      <c r="Q1882" s="5">
        <v>738.91</v>
      </c>
      <c r="R1882" s="5">
        <v>572.7</v>
      </c>
      <c r="S1882" s="5">
        <v>166.21</v>
      </c>
      <c r="T1882" s="7">
        <v>0.224939437820574</v>
      </c>
      <c r="U1882" t="s">
        <v>10</v>
      </c>
      <c r="V1882" t="s">
        <v>50</v>
      </c>
      <c r="W1882" t="s">
        <v>50</v>
      </c>
      <c r="X1882" t="s">
        <v>34</v>
      </c>
      <c r="Y1882" t="s">
        <v>2231</v>
      </c>
      <c r="Z1882" t="s">
        <v>80</v>
      </c>
    </row>
    <row r="1883" spans="1:26">
      <c r="A1883" t="s">
        <v>3950</v>
      </c>
      <c r="B1883" t="s">
        <v>3950</v>
      </c>
      <c r="C1883" s="4">
        <v>46063</v>
      </c>
      <c r="D1883">
        <v>2026</v>
      </c>
      <c r="E1883">
        <v>2</v>
      </c>
      <c r="F1883" t="s">
        <v>31</v>
      </c>
      <c r="G1883" t="s">
        <v>82</v>
      </c>
      <c r="H1883" t="s">
        <v>2429</v>
      </c>
      <c r="I1883" t="s">
        <v>898</v>
      </c>
      <c r="J1883" t="s">
        <v>435</v>
      </c>
      <c r="K1883" t="s">
        <v>863</v>
      </c>
      <c r="L1883">
        <v>8</v>
      </c>
      <c r="M1883" s="5">
        <v>311.21</v>
      </c>
      <c r="N1883" s="6">
        <v>0</v>
      </c>
      <c r="O1883" s="5">
        <v>0</v>
      </c>
      <c r="P1883" s="5">
        <v>373.45</v>
      </c>
      <c r="Q1883" s="5">
        <v>2489.68</v>
      </c>
      <c r="R1883" s="5">
        <v>1650.4</v>
      </c>
      <c r="S1883" s="5">
        <v>839.28</v>
      </c>
      <c r="T1883" s="7">
        <v>0.33710356351017</v>
      </c>
      <c r="U1883" t="s">
        <v>9</v>
      </c>
      <c r="V1883" t="s">
        <v>50</v>
      </c>
      <c r="W1883" t="s">
        <v>50</v>
      </c>
      <c r="X1883" t="s">
        <v>33</v>
      </c>
      <c r="Y1883" t="s">
        <v>733</v>
      </c>
      <c r="Z1883" t="s">
        <v>101</v>
      </c>
    </row>
    <row r="1884" spans="1:26">
      <c r="A1884" t="s">
        <v>3951</v>
      </c>
      <c r="B1884" t="s">
        <v>3951</v>
      </c>
      <c r="C1884" s="4">
        <v>45769</v>
      </c>
      <c r="D1884">
        <v>2025</v>
      </c>
      <c r="E1884">
        <v>4</v>
      </c>
      <c r="F1884" t="s">
        <v>20</v>
      </c>
      <c r="G1884" t="s">
        <v>74</v>
      </c>
      <c r="H1884" t="s">
        <v>1453</v>
      </c>
      <c r="I1884" t="s">
        <v>543</v>
      </c>
      <c r="J1884" t="s">
        <v>504</v>
      </c>
      <c r="K1884" t="s">
        <v>505</v>
      </c>
      <c r="L1884">
        <v>4</v>
      </c>
      <c r="M1884" s="5">
        <v>401.06</v>
      </c>
      <c r="N1884" s="6">
        <v>15</v>
      </c>
      <c r="O1884" s="5">
        <v>240.64</v>
      </c>
      <c r="P1884" s="5">
        <v>204.54</v>
      </c>
      <c r="Q1884" s="5">
        <v>1363.6</v>
      </c>
      <c r="R1884" s="5">
        <v>1389.88</v>
      </c>
      <c r="S1884" s="5">
        <v>-26.28</v>
      </c>
      <c r="T1884" s="7">
        <v>-0.0192725139337049</v>
      </c>
      <c r="U1884" t="s">
        <v>10</v>
      </c>
      <c r="V1884" t="s">
        <v>50</v>
      </c>
      <c r="W1884" t="s">
        <v>50</v>
      </c>
      <c r="X1884" t="s">
        <v>34</v>
      </c>
      <c r="Y1884" t="s">
        <v>3474</v>
      </c>
      <c r="Z1884" t="s">
        <v>101</v>
      </c>
    </row>
    <row r="1885" spans="1:26">
      <c r="A1885" t="s">
        <v>3952</v>
      </c>
      <c r="B1885" t="s">
        <v>3952</v>
      </c>
      <c r="C1885" s="4">
        <v>45842</v>
      </c>
      <c r="D1885">
        <v>2025</v>
      </c>
      <c r="E1885">
        <v>7</v>
      </c>
      <c r="F1885" t="s">
        <v>23</v>
      </c>
      <c r="G1885" t="s">
        <v>89</v>
      </c>
      <c r="H1885" t="s">
        <v>3953</v>
      </c>
      <c r="I1885" t="s">
        <v>470</v>
      </c>
      <c r="J1885" t="s">
        <v>47</v>
      </c>
      <c r="K1885" t="s">
        <v>1197</v>
      </c>
      <c r="L1885">
        <v>2</v>
      </c>
      <c r="M1885" s="5">
        <v>290.45</v>
      </c>
      <c r="N1885" s="6">
        <v>20</v>
      </c>
      <c r="O1885" s="5">
        <v>116.18</v>
      </c>
      <c r="P1885" s="5">
        <v>69.71</v>
      </c>
      <c r="Q1885" s="5">
        <v>464.72</v>
      </c>
      <c r="R1885" s="5">
        <v>475.78</v>
      </c>
      <c r="S1885" s="5">
        <v>-11.06</v>
      </c>
      <c r="T1885" s="7">
        <v>-0.0237992769839904</v>
      </c>
      <c r="U1885" t="s">
        <v>12</v>
      </c>
      <c r="V1885" t="s">
        <v>50</v>
      </c>
      <c r="W1885" t="s">
        <v>50</v>
      </c>
      <c r="X1885" t="s">
        <v>34</v>
      </c>
      <c r="Y1885" t="s">
        <v>990</v>
      </c>
      <c r="Z1885" t="s">
        <v>101</v>
      </c>
    </row>
    <row r="1886" spans="1:26">
      <c r="A1886" t="s">
        <v>3954</v>
      </c>
      <c r="B1886" t="s">
        <v>3954</v>
      </c>
      <c r="C1886" s="4">
        <v>45864</v>
      </c>
      <c r="D1886">
        <v>2025</v>
      </c>
      <c r="E1886">
        <v>7</v>
      </c>
      <c r="F1886" t="s">
        <v>23</v>
      </c>
      <c r="G1886" t="s">
        <v>89</v>
      </c>
      <c r="H1886" t="s">
        <v>1227</v>
      </c>
      <c r="I1886" t="s">
        <v>547</v>
      </c>
      <c r="J1886" t="s">
        <v>998</v>
      </c>
      <c r="K1886" t="s">
        <v>999</v>
      </c>
      <c r="L1886">
        <v>4</v>
      </c>
      <c r="M1886" s="5">
        <v>548.56</v>
      </c>
      <c r="N1886" s="6">
        <v>0</v>
      </c>
      <c r="O1886" s="5">
        <v>0</v>
      </c>
      <c r="P1886" s="5">
        <v>329.14</v>
      </c>
      <c r="Q1886" s="5">
        <v>2523.38</v>
      </c>
      <c r="R1886" s="5">
        <v>1559.2</v>
      </c>
      <c r="S1886" s="5">
        <v>964.18</v>
      </c>
      <c r="T1886" s="7">
        <v>0.382098613764078</v>
      </c>
      <c r="U1886" t="s">
        <v>9</v>
      </c>
      <c r="V1886" t="s">
        <v>50</v>
      </c>
      <c r="W1886" t="s">
        <v>50</v>
      </c>
      <c r="X1886" t="s">
        <v>35</v>
      </c>
      <c r="Y1886" t="s">
        <v>1623</v>
      </c>
      <c r="Z1886" t="s">
        <v>80</v>
      </c>
    </row>
    <row r="1887" spans="1:26">
      <c r="A1887" t="s">
        <v>3955</v>
      </c>
      <c r="B1887" t="s">
        <v>3955</v>
      </c>
      <c r="C1887" s="4">
        <v>45776</v>
      </c>
      <c r="D1887">
        <v>2025</v>
      </c>
      <c r="E1887">
        <v>4</v>
      </c>
      <c r="F1887" t="s">
        <v>20</v>
      </c>
      <c r="G1887" t="s">
        <v>74</v>
      </c>
      <c r="H1887" t="s">
        <v>1660</v>
      </c>
      <c r="I1887" t="s">
        <v>765</v>
      </c>
      <c r="J1887" t="s">
        <v>41</v>
      </c>
      <c r="K1887" t="s">
        <v>588</v>
      </c>
      <c r="L1887">
        <v>8</v>
      </c>
      <c r="M1887" s="5">
        <v>430.64</v>
      </c>
      <c r="N1887" s="6">
        <v>0</v>
      </c>
      <c r="O1887" s="5">
        <v>0</v>
      </c>
      <c r="P1887" s="5">
        <v>516.77</v>
      </c>
      <c r="Q1887" s="5">
        <v>3445.12</v>
      </c>
      <c r="R1887" s="5">
        <v>2412.56</v>
      </c>
      <c r="S1887" s="5">
        <v>1032.56</v>
      </c>
      <c r="T1887" s="7">
        <v>0.299716700724503</v>
      </c>
      <c r="U1887" t="s">
        <v>11</v>
      </c>
      <c r="V1887" t="s">
        <v>50</v>
      </c>
      <c r="W1887" t="s">
        <v>50</v>
      </c>
      <c r="X1887" t="s">
        <v>34</v>
      </c>
      <c r="Y1887" t="s">
        <v>1243</v>
      </c>
      <c r="Z1887" t="s">
        <v>101</v>
      </c>
    </row>
    <row r="1888" spans="1:26">
      <c r="A1888" t="s">
        <v>3956</v>
      </c>
      <c r="B1888" t="s">
        <v>3956</v>
      </c>
      <c r="C1888" s="4">
        <v>45978</v>
      </c>
      <c r="D1888">
        <v>2025</v>
      </c>
      <c r="E1888">
        <v>11</v>
      </c>
      <c r="F1888" t="s">
        <v>27</v>
      </c>
      <c r="G1888" t="s">
        <v>137</v>
      </c>
      <c r="H1888" t="s">
        <v>1013</v>
      </c>
      <c r="I1888" t="s">
        <v>429</v>
      </c>
      <c r="J1888" t="s">
        <v>695</v>
      </c>
      <c r="K1888" t="s">
        <v>1259</v>
      </c>
      <c r="L1888">
        <v>3</v>
      </c>
      <c r="M1888" s="5">
        <v>389.61</v>
      </c>
      <c r="N1888" s="6">
        <v>10</v>
      </c>
      <c r="O1888" s="5">
        <v>116.88</v>
      </c>
      <c r="P1888" s="5">
        <v>157.79</v>
      </c>
      <c r="Q1888" s="5">
        <v>1051.95</v>
      </c>
      <c r="R1888" s="5">
        <v>1008.21</v>
      </c>
      <c r="S1888" s="5">
        <v>43.74</v>
      </c>
      <c r="T1888" s="7">
        <v>0.0415799230001426</v>
      </c>
      <c r="U1888" t="s">
        <v>12</v>
      </c>
      <c r="V1888" t="s">
        <v>50</v>
      </c>
      <c r="W1888" t="s">
        <v>50</v>
      </c>
      <c r="X1888" t="s">
        <v>34</v>
      </c>
      <c r="Y1888" t="s">
        <v>826</v>
      </c>
      <c r="Z1888" t="s">
        <v>101</v>
      </c>
    </row>
    <row r="1889" spans="1:26">
      <c r="A1889" t="s">
        <v>3957</v>
      </c>
      <c r="B1889" t="s">
        <v>3957</v>
      </c>
      <c r="C1889" s="4">
        <v>45900</v>
      </c>
      <c r="D1889">
        <v>2025</v>
      </c>
      <c r="E1889">
        <v>8</v>
      </c>
      <c r="F1889" t="s">
        <v>24</v>
      </c>
      <c r="G1889" t="s">
        <v>89</v>
      </c>
      <c r="H1889" t="s">
        <v>2953</v>
      </c>
      <c r="I1889" t="s">
        <v>553</v>
      </c>
      <c r="J1889" t="s">
        <v>269</v>
      </c>
      <c r="K1889" t="s">
        <v>297</v>
      </c>
      <c r="L1889">
        <v>3</v>
      </c>
      <c r="M1889" s="5">
        <v>291.93</v>
      </c>
      <c r="N1889" s="6">
        <v>0</v>
      </c>
      <c r="O1889" s="5">
        <v>0</v>
      </c>
      <c r="P1889" s="5">
        <v>131.37</v>
      </c>
      <c r="Q1889" s="5">
        <v>1007.16</v>
      </c>
      <c r="R1889" s="5">
        <v>761.1</v>
      </c>
      <c r="S1889" s="5">
        <v>246.06</v>
      </c>
      <c r="T1889" s="7">
        <v>0.244310735136423</v>
      </c>
      <c r="U1889" t="s">
        <v>9</v>
      </c>
      <c r="V1889" t="s">
        <v>51</v>
      </c>
      <c r="W1889" t="s">
        <v>51</v>
      </c>
      <c r="X1889" t="s">
        <v>33</v>
      </c>
      <c r="Y1889" t="s">
        <v>1336</v>
      </c>
      <c r="Z1889" t="s">
        <v>80</v>
      </c>
    </row>
    <row r="1890" spans="1:26">
      <c r="A1890" t="s">
        <v>3958</v>
      </c>
      <c r="B1890" t="s">
        <v>3958</v>
      </c>
      <c r="C1890" s="4">
        <v>45757</v>
      </c>
      <c r="D1890">
        <v>2025</v>
      </c>
      <c r="E1890">
        <v>4</v>
      </c>
      <c r="F1890" t="s">
        <v>20</v>
      </c>
      <c r="G1890" t="s">
        <v>74</v>
      </c>
      <c r="H1890" t="s">
        <v>331</v>
      </c>
      <c r="I1890" t="s">
        <v>126</v>
      </c>
      <c r="J1890" t="s">
        <v>665</v>
      </c>
      <c r="K1890" t="s">
        <v>1165</v>
      </c>
      <c r="L1890">
        <v>8</v>
      </c>
      <c r="M1890" s="5">
        <v>149.47</v>
      </c>
      <c r="N1890" s="6">
        <v>20</v>
      </c>
      <c r="O1890" s="5">
        <v>239.15</v>
      </c>
      <c r="P1890" s="5">
        <v>143.49</v>
      </c>
      <c r="Q1890" s="5">
        <v>956.61</v>
      </c>
      <c r="R1890" s="5">
        <v>938.16</v>
      </c>
      <c r="S1890" s="5">
        <v>18.45</v>
      </c>
      <c r="T1890" s="7">
        <v>0.019286856712767</v>
      </c>
      <c r="U1890" t="s">
        <v>13</v>
      </c>
      <c r="V1890" t="s">
        <v>50</v>
      </c>
      <c r="W1890" t="s">
        <v>50</v>
      </c>
      <c r="X1890" t="s">
        <v>34</v>
      </c>
      <c r="Y1890" t="s">
        <v>1551</v>
      </c>
      <c r="Z1890" t="s">
        <v>101</v>
      </c>
    </row>
    <row r="1891" spans="1:26">
      <c r="A1891" t="s">
        <v>3959</v>
      </c>
      <c r="B1891" t="s">
        <v>3959</v>
      </c>
      <c r="C1891" s="4">
        <v>45991</v>
      </c>
      <c r="D1891">
        <v>2025</v>
      </c>
      <c r="E1891">
        <v>11</v>
      </c>
      <c r="F1891" t="s">
        <v>27</v>
      </c>
      <c r="G1891" t="s">
        <v>137</v>
      </c>
      <c r="H1891" t="s">
        <v>3960</v>
      </c>
      <c r="I1891" t="s">
        <v>774</v>
      </c>
      <c r="J1891" t="s">
        <v>105</v>
      </c>
      <c r="K1891" t="s">
        <v>1691</v>
      </c>
      <c r="L1891">
        <v>3</v>
      </c>
      <c r="M1891" s="5">
        <v>661.91</v>
      </c>
      <c r="N1891" s="6">
        <v>15</v>
      </c>
      <c r="O1891" s="5">
        <v>297.86</v>
      </c>
      <c r="P1891" s="5">
        <v>253.18</v>
      </c>
      <c r="Q1891" s="5">
        <v>1941.05</v>
      </c>
      <c r="R1891" s="5">
        <v>1196.16</v>
      </c>
      <c r="S1891" s="5">
        <v>744.89</v>
      </c>
      <c r="T1891" s="7">
        <v>0.38375621442003</v>
      </c>
      <c r="U1891" t="s">
        <v>12</v>
      </c>
      <c r="V1891" t="s">
        <v>50</v>
      </c>
      <c r="W1891" t="s">
        <v>50</v>
      </c>
      <c r="X1891" t="s">
        <v>35</v>
      </c>
      <c r="Y1891" t="s">
        <v>2885</v>
      </c>
      <c r="Z1891" t="s">
        <v>80</v>
      </c>
    </row>
    <row r="1892" spans="1:26">
      <c r="A1892" t="s">
        <v>3961</v>
      </c>
      <c r="B1892" t="s">
        <v>3961</v>
      </c>
      <c r="C1892" s="4">
        <v>46100</v>
      </c>
      <c r="D1892">
        <v>2026</v>
      </c>
      <c r="E1892">
        <v>3</v>
      </c>
      <c r="F1892" t="s">
        <v>19</v>
      </c>
      <c r="G1892" t="s">
        <v>82</v>
      </c>
      <c r="H1892" t="s">
        <v>1184</v>
      </c>
      <c r="I1892" t="s">
        <v>116</v>
      </c>
      <c r="J1892" t="s">
        <v>522</v>
      </c>
      <c r="K1892" t="s">
        <v>523</v>
      </c>
      <c r="L1892">
        <v>1</v>
      </c>
      <c r="M1892" s="5">
        <v>172.63</v>
      </c>
      <c r="N1892" s="6">
        <v>0</v>
      </c>
      <c r="O1892" s="5">
        <v>0</v>
      </c>
      <c r="P1892" s="5">
        <v>25.89</v>
      </c>
      <c r="Q1892" s="5">
        <v>172.63</v>
      </c>
      <c r="R1892" s="5">
        <v>142</v>
      </c>
      <c r="S1892" s="5">
        <v>30.63</v>
      </c>
      <c r="T1892" s="7">
        <v>0.177431500897874</v>
      </c>
      <c r="U1892" t="s">
        <v>13</v>
      </c>
      <c r="V1892" t="s">
        <v>50</v>
      </c>
      <c r="W1892" t="s">
        <v>50</v>
      </c>
      <c r="X1892" t="s">
        <v>33</v>
      </c>
      <c r="Y1892" t="s">
        <v>869</v>
      </c>
      <c r="Z1892" t="s">
        <v>101</v>
      </c>
    </row>
    <row r="1893" spans="1:26">
      <c r="A1893" t="s">
        <v>3962</v>
      </c>
      <c r="B1893" t="s">
        <v>3962</v>
      </c>
      <c r="C1893" s="4">
        <v>46039</v>
      </c>
      <c r="D1893">
        <v>2026</v>
      </c>
      <c r="E1893">
        <v>1</v>
      </c>
      <c r="F1893" t="s">
        <v>30</v>
      </c>
      <c r="G1893" t="s">
        <v>82</v>
      </c>
      <c r="H1893" t="s">
        <v>1641</v>
      </c>
      <c r="I1893" t="s">
        <v>2026</v>
      </c>
      <c r="J1893" t="s">
        <v>240</v>
      </c>
      <c r="K1893" t="s">
        <v>275</v>
      </c>
      <c r="L1893">
        <v>4</v>
      </c>
      <c r="M1893" s="5">
        <v>352.51</v>
      </c>
      <c r="N1893" s="6">
        <v>5</v>
      </c>
      <c r="O1893" s="5">
        <v>70.5</v>
      </c>
      <c r="P1893" s="5">
        <v>200.93</v>
      </c>
      <c r="Q1893" s="5">
        <v>1540.47</v>
      </c>
      <c r="R1893" s="5">
        <v>1040.24</v>
      </c>
      <c r="S1893" s="5">
        <v>500.23</v>
      </c>
      <c r="T1893" s="7">
        <v>0.324725570767363</v>
      </c>
      <c r="U1893" t="s">
        <v>13</v>
      </c>
      <c r="V1893" t="s">
        <v>50</v>
      </c>
      <c r="W1893" t="s">
        <v>50</v>
      </c>
      <c r="X1893" t="s">
        <v>33</v>
      </c>
      <c r="Y1893" t="s">
        <v>451</v>
      </c>
      <c r="Z1893" t="s">
        <v>80</v>
      </c>
    </row>
    <row r="1894" spans="1:26">
      <c r="A1894" t="s">
        <v>3963</v>
      </c>
      <c r="B1894" t="s">
        <v>3963</v>
      </c>
      <c r="C1894" s="4">
        <v>45964</v>
      </c>
      <c r="D1894">
        <v>2025</v>
      </c>
      <c r="E1894">
        <v>11</v>
      </c>
      <c r="F1894" t="s">
        <v>27</v>
      </c>
      <c r="G1894" t="s">
        <v>137</v>
      </c>
      <c r="H1894" t="s">
        <v>2747</v>
      </c>
      <c r="I1894" t="s">
        <v>444</v>
      </c>
      <c r="J1894" t="s">
        <v>47</v>
      </c>
      <c r="K1894" t="s">
        <v>1197</v>
      </c>
      <c r="L1894">
        <v>1</v>
      </c>
      <c r="M1894" s="5">
        <v>99.93</v>
      </c>
      <c r="N1894" s="6">
        <v>10</v>
      </c>
      <c r="O1894" s="5">
        <v>9.99</v>
      </c>
      <c r="P1894" s="5">
        <v>13.49</v>
      </c>
      <c r="Q1894" s="5">
        <v>89.94</v>
      </c>
      <c r="R1894" s="5">
        <v>86.05</v>
      </c>
      <c r="S1894" s="5">
        <v>3.89</v>
      </c>
      <c r="T1894" s="7">
        <v>0.0432510562597287</v>
      </c>
      <c r="U1894" t="s">
        <v>11</v>
      </c>
      <c r="V1894" t="s">
        <v>50</v>
      </c>
      <c r="W1894" t="s">
        <v>50</v>
      </c>
      <c r="X1894" t="s">
        <v>35</v>
      </c>
      <c r="Y1894" t="s">
        <v>3391</v>
      </c>
      <c r="Z1894" t="s">
        <v>101</v>
      </c>
    </row>
    <row r="1895" spans="1:26">
      <c r="A1895" t="s">
        <v>3964</v>
      </c>
      <c r="B1895" t="s">
        <v>3964</v>
      </c>
      <c r="C1895" s="4">
        <v>45936</v>
      </c>
      <c r="D1895">
        <v>2025</v>
      </c>
      <c r="E1895">
        <v>10</v>
      </c>
      <c r="F1895" t="s">
        <v>26</v>
      </c>
      <c r="G1895" t="s">
        <v>137</v>
      </c>
      <c r="H1895" t="s">
        <v>256</v>
      </c>
      <c r="I1895" t="s">
        <v>362</v>
      </c>
      <c r="J1895" t="s">
        <v>659</v>
      </c>
      <c r="K1895" t="s">
        <v>989</v>
      </c>
      <c r="L1895">
        <v>6</v>
      </c>
      <c r="M1895" s="5">
        <v>371.97</v>
      </c>
      <c r="N1895" s="6">
        <v>0</v>
      </c>
      <c r="O1895" s="5">
        <v>0</v>
      </c>
      <c r="P1895" s="5">
        <v>334.77</v>
      </c>
      <c r="Q1895" s="5">
        <v>2231.82</v>
      </c>
      <c r="R1895" s="5">
        <v>1483.5</v>
      </c>
      <c r="S1895" s="5">
        <v>748.32</v>
      </c>
      <c r="T1895" s="7">
        <v>0.335295857192784</v>
      </c>
      <c r="U1895" t="s">
        <v>10</v>
      </c>
      <c r="V1895" t="s">
        <v>50</v>
      </c>
      <c r="W1895" t="s">
        <v>50</v>
      </c>
      <c r="X1895" t="s">
        <v>33</v>
      </c>
      <c r="Y1895" t="s">
        <v>2963</v>
      </c>
      <c r="Z1895" t="s">
        <v>101</v>
      </c>
    </row>
    <row r="1896" spans="1:26">
      <c r="A1896" t="s">
        <v>3965</v>
      </c>
      <c r="B1896" t="s">
        <v>3965</v>
      </c>
      <c r="C1896" s="4">
        <v>45767</v>
      </c>
      <c r="D1896">
        <v>2025</v>
      </c>
      <c r="E1896">
        <v>4</v>
      </c>
      <c r="F1896" t="s">
        <v>20</v>
      </c>
      <c r="G1896" t="s">
        <v>74</v>
      </c>
      <c r="H1896" t="s">
        <v>361</v>
      </c>
      <c r="I1896" t="s">
        <v>104</v>
      </c>
      <c r="J1896" t="s">
        <v>2259</v>
      </c>
      <c r="K1896" t="s">
        <v>2018</v>
      </c>
      <c r="L1896">
        <v>3</v>
      </c>
      <c r="M1896" s="5">
        <v>329.19</v>
      </c>
      <c r="N1896" s="6">
        <v>10</v>
      </c>
      <c r="O1896" s="5">
        <v>98.76</v>
      </c>
      <c r="P1896" s="5">
        <v>133.32</v>
      </c>
      <c r="Q1896" s="5">
        <v>1022.13</v>
      </c>
      <c r="R1896" s="5">
        <v>738.36</v>
      </c>
      <c r="S1896" s="5">
        <v>283.77</v>
      </c>
      <c r="T1896" s="7">
        <v>0.277626133662059</v>
      </c>
      <c r="U1896" t="s">
        <v>9</v>
      </c>
      <c r="V1896" t="s">
        <v>50</v>
      </c>
      <c r="W1896" t="s">
        <v>50</v>
      </c>
      <c r="X1896" t="s">
        <v>33</v>
      </c>
      <c r="Y1896" t="s">
        <v>739</v>
      </c>
      <c r="Z1896" t="s">
        <v>80</v>
      </c>
    </row>
    <row r="1897" spans="1:26">
      <c r="A1897" t="s">
        <v>3966</v>
      </c>
      <c r="B1897" t="s">
        <v>3966</v>
      </c>
      <c r="C1897" s="4">
        <v>45872</v>
      </c>
      <c r="D1897">
        <v>2025</v>
      </c>
      <c r="E1897">
        <v>8</v>
      </c>
      <c r="F1897" t="s">
        <v>24</v>
      </c>
      <c r="G1897" t="s">
        <v>89</v>
      </c>
      <c r="H1897" t="s">
        <v>876</v>
      </c>
      <c r="I1897" t="s">
        <v>2587</v>
      </c>
      <c r="J1897" t="s">
        <v>1327</v>
      </c>
      <c r="K1897" t="s">
        <v>677</v>
      </c>
      <c r="L1897">
        <v>3</v>
      </c>
      <c r="M1897" s="5">
        <v>82.38</v>
      </c>
      <c r="N1897" s="6">
        <v>10</v>
      </c>
      <c r="O1897" s="5">
        <v>24.71</v>
      </c>
      <c r="P1897" s="5">
        <v>33.36</v>
      </c>
      <c r="Q1897" s="5">
        <v>255.79</v>
      </c>
      <c r="R1897" s="5">
        <v>162.75</v>
      </c>
      <c r="S1897" s="5">
        <v>93.04</v>
      </c>
      <c r="T1897" s="7">
        <v>0.363735877086673</v>
      </c>
      <c r="U1897" t="s">
        <v>13</v>
      </c>
      <c r="V1897" t="s">
        <v>50</v>
      </c>
      <c r="W1897" t="s">
        <v>50</v>
      </c>
      <c r="X1897" t="s">
        <v>34</v>
      </c>
      <c r="Y1897" t="s">
        <v>1016</v>
      </c>
      <c r="Z1897" t="s">
        <v>80</v>
      </c>
    </row>
    <row r="1898" spans="1:26">
      <c r="A1898" t="s">
        <v>3967</v>
      </c>
      <c r="B1898" t="s">
        <v>3967</v>
      </c>
      <c r="C1898" s="4">
        <v>45757</v>
      </c>
      <c r="D1898">
        <v>2025</v>
      </c>
      <c r="E1898">
        <v>4</v>
      </c>
      <c r="F1898" t="s">
        <v>20</v>
      </c>
      <c r="G1898" t="s">
        <v>74</v>
      </c>
      <c r="H1898" t="s">
        <v>1456</v>
      </c>
      <c r="I1898" t="s">
        <v>503</v>
      </c>
      <c r="J1898" t="s">
        <v>208</v>
      </c>
      <c r="K1898" t="s">
        <v>677</v>
      </c>
      <c r="L1898">
        <v>5</v>
      </c>
      <c r="M1898" s="5">
        <v>71.29</v>
      </c>
      <c r="N1898" s="6">
        <v>10</v>
      </c>
      <c r="O1898" s="5">
        <v>35.65</v>
      </c>
      <c r="P1898" s="5">
        <v>48.12</v>
      </c>
      <c r="Q1898" s="5">
        <v>320.8</v>
      </c>
      <c r="R1898" s="5">
        <v>296.85</v>
      </c>
      <c r="S1898" s="5">
        <v>23.95</v>
      </c>
      <c r="T1898" s="7">
        <v>0.0746571072319202</v>
      </c>
      <c r="U1898" t="s">
        <v>9</v>
      </c>
      <c r="V1898" t="s">
        <v>50</v>
      </c>
      <c r="W1898" t="s">
        <v>50</v>
      </c>
      <c r="X1898" t="s">
        <v>34</v>
      </c>
      <c r="Y1898" t="s">
        <v>3968</v>
      </c>
      <c r="Z1898" t="s">
        <v>101</v>
      </c>
    </row>
    <row r="1899" spans="1:26">
      <c r="A1899" t="s">
        <v>3969</v>
      </c>
      <c r="B1899" t="s">
        <v>3969</v>
      </c>
      <c r="C1899" s="4">
        <v>46006</v>
      </c>
      <c r="D1899">
        <v>2025</v>
      </c>
      <c r="E1899">
        <v>12</v>
      </c>
      <c r="F1899" t="s">
        <v>28</v>
      </c>
      <c r="G1899" t="s">
        <v>137</v>
      </c>
      <c r="H1899" t="s">
        <v>1544</v>
      </c>
      <c r="I1899" t="s">
        <v>703</v>
      </c>
      <c r="J1899" t="s">
        <v>291</v>
      </c>
      <c r="K1899" t="s">
        <v>1204</v>
      </c>
      <c r="L1899">
        <v>6</v>
      </c>
      <c r="M1899" s="5">
        <v>239.49</v>
      </c>
      <c r="N1899" s="6">
        <v>0</v>
      </c>
      <c r="O1899" s="5">
        <v>0</v>
      </c>
      <c r="P1899" s="5">
        <v>215.54</v>
      </c>
      <c r="Q1899" s="5">
        <v>1436.94</v>
      </c>
      <c r="R1899" s="5">
        <v>1154.34</v>
      </c>
      <c r="S1899" s="5">
        <v>282.6</v>
      </c>
      <c r="T1899" s="7">
        <v>0.196667919328573</v>
      </c>
      <c r="U1899" t="s">
        <v>12</v>
      </c>
      <c r="V1899" t="s">
        <v>50</v>
      </c>
      <c r="W1899" t="s">
        <v>50</v>
      </c>
      <c r="X1899" t="s">
        <v>33</v>
      </c>
      <c r="Y1899" t="s">
        <v>1495</v>
      </c>
      <c r="Z1899" t="s">
        <v>101</v>
      </c>
    </row>
    <row r="1900" spans="1:26">
      <c r="A1900" t="s">
        <v>3970</v>
      </c>
      <c r="B1900" t="s">
        <v>3970</v>
      </c>
      <c r="C1900" s="4">
        <v>45938</v>
      </c>
      <c r="D1900">
        <v>2025</v>
      </c>
      <c r="E1900">
        <v>10</v>
      </c>
      <c r="F1900" t="s">
        <v>26</v>
      </c>
      <c r="G1900" t="s">
        <v>137</v>
      </c>
      <c r="H1900" t="s">
        <v>1031</v>
      </c>
      <c r="I1900" t="s">
        <v>110</v>
      </c>
      <c r="J1900" t="s">
        <v>742</v>
      </c>
      <c r="K1900" t="s">
        <v>743</v>
      </c>
      <c r="L1900">
        <v>1</v>
      </c>
      <c r="M1900" s="5">
        <v>342.46</v>
      </c>
      <c r="N1900" s="6">
        <v>0</v>
      </c>
      <c r="O1900" s="5">
        <v>0</v>
      </c>
      <c r="P1900" s="5">
        <v>51.37</v>
      </c>
      <c r="Q1900" s="5">
        <v>342.46</v>
      </c>
      <c r="R1900" s="5">
        <v>271.78</v>
      </c>
      <c r="S1900" s="5">
        <v>70.68</v>
      </c>
      <c r="T1900" s="7">
        <v>0.206389067336331</v>
      </c>
      <c r="U1900" t="s">
        <v>12</v>
      </c>
      <c r="V1900" t="s">
        <v>50</v>
      </c>
      <c r="W1900" t="s">
        <v>50</v>
      </c>
      <c r="X1900" t="s">
        <v>33</v>
      </c>
      <c r="Y1900" t="s">
        <v>2562</v>
      </c>
      <c r="Z1900" t="s">
        <v>101</v>
      </c>
    </row>
    <row r="1901" spans="1:26">
      <c r="A1901" t="s">
        <v>3971</v>
      </c>
      <c r="B1901" t="s">
        <v>3971</v>
      </c>
      <c r="C1901" s="4">
        <v>46085</v>
      </c>
      <c r="D1901">
        <v>2026</v>
      </c>
      <c r="E1901">
        <v>3</v>
      </c>
      <c r="F1901" t="s">
        <v>19</v>
      </c>
      <c r="G1901" t="s">
        <v>82</v>
      </c>
      <c r="H1901" t="s">
        <v>2082</v>
      </c>
      <c r="I1901" t="s">
        <v>1575</v>
      </c>
      <c r="J1901" t="s">
        <v>948</v>
      </c>
      <c r="K1901" t="s">
        <v>949</v>
      </c>
      <c r="L1901">
        <v>3</v>
      </c>
      <c r="M1901" s="5">
        <v>66.4</v>
      </c>
      <c r="N1901" s="6">
        <v>0</v>
      </c>
      <c r="O1901" s="5">
        <v>0</v>
      </c>
      <c r="P1901" s="5">
        <v>29.88</v>
      </c>
      <c r="Q1901" s="5">
        <v>199.2</v>
      </c>
      <c r="R1901" s="5">
        <v>149.97</v>
      </c>
      <c r="S1901" s="5">
        <v>49.23</v>
      </c>
      <c r="T1901" s="7">
        <v>0.247138554216868</v>
      </c>
      <c r="U1901" t="s">
        <v>14</v>
      </c>
      <c r="V1901" t="s">
        <v>50</v>
      </c>
      <c r="W1901" t="s">
        <v>50</v>
      </c>
      <c r="X1901" t="s">
        <v>33</v>
      </c>
      <c r="Y1901" t="s">
        <v>2168</v>
      </c>
      <c r="Z1901" t="s">
        <v>101</v>
      </c>
    </row>
    <row r="1902" spans="1:26">
      <c r="A1902" t="s">
        <v>3972</v>
      </c>
      <c r="B1902" t="s">
        <v>3972</v>
      </c>
      <c r="C1902" s="4">
        <v>45971</v>
      </c>
      <c r="D1902">
        <v>2025</v>
      </c>
      <c r="E1902">
        <v>11</v>
      </c>
      <c r="F1902" t="s">
        <v>27</v>
      </c>
      <c r="G1902" t="s">
        <v>137</v>
      </c>
      <c r="H1902" t="s">
        <v>1207</v>
      </c>
      <c r="I1902" t="s">
        <v>547</v>
      </c>
      <c r="J1902" t="s">
        <v>1100</v>
      </c>
      <c r="K1902" t="s">
        <v>352</v>
      </c>
      <c r="L1902">
        <v>3</v>
      </c>
      <c r="M1902" s="5">
        <v>566.3</v>
      </c>
      <c r="N1902" s="6">
        <v>5</v>
      </c>
      <c r="O1902" s="5">
        <v>84.94</v>
      </c>
      <c r="P1902" s="5">
        <v>242.09</v>
      </c>
      <c r="Q1902" s="5">
        <v>1613.96</v>
      </c>
      <c r="R1902" s="5">
        <v>1169.4</v>
      </c>
      <c r="S1902" s="5">
        <v>444.56</v>
      </c>
      <c r="T1902" s="7">
        <v>0.27544672730427</v>
      </c>
      <c r="U1902" t="s">
        <v>14</v>
      </c>
      <c r="V1902" t="s">
        <v>50</v>
      </c>
      <c r="W1902" t="s">
        <v>50</v>
      </c>
      <c r="X1902" t="s">
        <v>33</v>
      </c>
      <c r="Y1902" t="s">
        <v>1569</v>
      </c>
      <c r="Z1902" t="s">
        <v>101</v>
      </c>
    </row>
    <row r="1903" spans="1:26">
      <c r="A1903" t="s">
        <v>3973</v>
      </c>
      <c r="B1903" t="s">
        <v>3973</v>
      </c>
      <c r="C1903" s="4">
        <v>46039</v>
      </c>
      <c r="D1903">
        <v>2026</v>
      </c>
      <c r="E1903">
        <v>1</v>
      </c>
      <c r="F1903" t="s">
        <v>30</v>
      </c>
      <c r="G1903" t="s">
        <v>82</v>
      </c>
      <c r="H1903" t="s">
        <v>1525</v>
      </c>
      <c r="I1903" t="s">
        <v>1343</v>
      </c>
      <c r="J1903" t="s">
        <v>345</v>
      </c>
      <c r="K1903" t="s">
        <v>287</v>
      </c>
      <c r="L1903">
        <v>3</v>
      </c>
      <c r="M1903" s="5">
        <v>490.22</v>
      </c>
      <c r="N1903" s="6">
        <v>5</v>
      </c>
      <c r="O1903" s="5">
        <v>73.53</v>
      </c>
      <c r="P1903" s="5">
        <v>209.57</v>
      </c>
      <c r="Q1903" s="5">
        <v>1606.7</v>
      </c>
      <c r="R1903" s="5">
        <v>1120.74</v>
      </c>
      <c r="S1903" s="5">
        <v>485.96</v>
      </c>
      <c r="T1903" s="7">
        <v>0.302458455218771</v>
      </c>
      <c r="U1903" t="s">
        <v>12</v>
      </c>
      <c r="V1903" t="s">
        <v>50</v>
      </c>
      <c r="W1903" t="s">
        <v>50</v>
      </c>
      <c r="X1903" t="s">
        <v>33</v>
      </c>
      <c r="Y1903" t="s">
        <v>3974</v>
      </c>
      <c r="Z1903" t="s">
        <v>80</v>
      </c>
    </row>
    <row r="1904" spans="1:26">
      <c r="A1904" t="s">
        <v>3975</v>
      </c>
      <c r="B1904" t="s">
        <v>3975</v>
      </c>
      <c r="C1904" s="4">
        <v>45983</v>
      </c>
      <c r="D1904">
        <v>2025</v>
      </c>
      <c r="E1904">
        <v>11</v>
      </c>
      <c r="F1904" t="s">
        <v>27</v>
      </c>
      <c r="G1904" t="s">
        <v>137</v>
      </c>
      <c r="H1904" t="s">
        <v>1532</v>
      </c>
      <c r="I1904" t="s">
        <v>151</v>
      </c>
      <c r="J1904" t="s">
        <v>751</v>
      </c>
      <c r="K1904" t="s">
        <v>752</v>
      </c>
      <c r="L1904">
        <v>7</v>
      </c>
      <c r="M1904" s="5">
        <v>465.57</v>
      </c>
      <c r="N1904" s="6">
        <v>0</v>
      </c>
      <c r="O1904" s="5">
        <v>0</v>
      </c>
      <c r="P1904" s="5">
        <v>488.85</v>
      </c>
      <c r="Q1904" s="5">
        <v>3747.84</v>
      </c>
      <c r="R1904" s="5">
        <v>2461.41</v>
      </c>
      <c r="S1904" s="5">
        <v>1286.43</v>
      </c>
      <c r="T1904" s="7">
        <v>0.343245709528688</v>
      </c>
      <c r="U1904" t="s">
        <v>12</v>
      </c>
      <c r="V1904" t="s">
        <v>50</v>
      </c>
      <c r="W1904" t="s">
        <v>50</v>
      </c>
      <c r="X1904" t="s">
        <v>34</v>
      </c>
      <c r="Y1904" t="s">
        <v>1769</v>
      </c>
      <c r="Z1904" t="s">
        <v>80</v>
      </c>
    </row>
    <row r="1905" spans="1:26">
      <c r="A1905" t="s">
        <v>3976</v>
      </c>
      <c r="B1905" t="s">
        <v>3976</v>
      </c>
      <c r="C1905" s="4">
        <v>45997</v>
      </c>
      <c r="D1905">
        <v>2025</v>
      </c>
      <c r="E1905">
        <v>12</v>
      </c>
      <c r="F1905" t="s">
        <v>28</v>
      </c>
      <c r="G1905" t="s">
        <v>137</v>
      </c>
      <c r="H1905" t="s">
        <v>1633</v>
      </c>
      <c r="I1905" t="s">
        <v>444</v>
      </c>
      <c r="J1905" t="s">
        <v>757</v>
      </c>
      <c r="K1905" t="s">
        <v>2546</v>
      </c>
      <c r="L1905">
        <v>4</v>
      </c>
      <c r="M1905" s="5">
        <v>99.93</v>
      </c>
      <c r="N1905" s="6">
        <v>0</v>
      </c>
      <c r="O1905" s="5">
        <v>0</v>
      </c>
      <c r="P1905" s="5">
        <v>59.96</v>
      </c>
      <c r="Q1905" s="5">
        <v>459.68</v>
      </c>
      <c r="R1905" s="5">
        <v>344.2</v>
      </c>
      <c r="S1905" s="5">
        <v>115.48</v>
      </c>
      <c r="T1905" s="7">
        <v>0.2512182387748</v>
      </c>
      <c r="U1905" t="s">
        <v>10</v>
      </c>
      <c r="V1905" t="s">
        <v>50</v>
      </c>
      <c r="W1905" t="s">
        <v>50</v>
      </c>
      <c r="X1905" t="s">
        <v>35</v>
      </c>
      <c r="Y1905" t="s">
        <v>2604</v>
      </c>
      <c r="Z1905" t="s">
        <v>80</v>
      </c>
    </row>
    <row r="1906" spans="1:26">
      <c r="A1906" t="s">
        <v>3977</v>
      </c>
      <c r="B1906" t="s">
        <v>3977</v>
      </c>
      <c r="C1906" s="4">
        <v>45954</v>
      </c>
      <c r="D1906">
        <v>2025</v>
      </c>
      <c r="E1906">
        <v>10</v>
      </c>
      <c r="F1906" t="s">
        <v>26</v>
      </c>
      <c r="G1906" t="s">
        <v>137</v>
      </c>
      <c r="H1906" t="s">
        <v>389</v>
      </c>
      <c r="I1906" t="s">
        <v>797</v>
      </c>
      <c r="J1906" t="s">
        <v>127</v>
      </c>
      <c r="K1906" t="s">
        <v>128</v>
      </c>
      <c r="L1906">
        <v>6</v>
      </c>
      <c r="M1906" s="5">
        <v>485.63</v>
      </c>
      <c r="N1906" s="6">
        <v>5</v>
      </c>
      <c r="O1906" s="5">
        <v>145.69</v>
      </c>
      <c r="P1906" s="5">
        <v>415.21</v>
      </c>
      <c r="Q1906" s="5">
        <v>2768.09</v>
      </c>
      <c r="R1906" s="5">
        <v>2111.22</v>
      </c>
      <c r="S1906" s="5">
        <v>656.87</v>
      </c>
      <c r="T1906" s="7">
        <v>0.237300810306023</v>
      </c>
      <c r="U1906" t="s">
        <v>13</v>
      </c>
      <c r="V1906" t="s">
        <v>50</v>
      </c>
      <c r="W1906" t="s">
        <v>50</v>
      </c>
      <c r="X1906" t="s">
        <v>35</v>
      </c>
      <c r="Y1906" t="s">
        <v>2113</v>
      </c>
      <c r="Z1906" t="s">
        <v>101</v>
      </c>
    </row>
    <row r="1907" spans="1:26">
      <c r="A1907" t="s">
        <v>3978</v>
      </c>
      <c r="B1907" t="s">
        <v>3978</v>
      </c>
      <c r="C1907" s="4">
        <v>45939</v>
      </c>
      <c r="D1907">
        <v>2025</v>
      </c>
      <c r="E1907">
        <v>10</v>
      </c>
      <c r="F1907" t="s">
        <v>26</v>
      </c>
      <c r="G1907" t="s">
        <v>137</v>
      </c>
      <c r="H1907" t="s">
        <v>2138</v>
      </c>
      <c r="I1907" t="s">
        <v>174</v>
      </c>
      <c r="J1907" t="s">
        <v>1150</v>
      </c>
      <c r="K1907" t="s">
        <v>1625</v>
      </c>
      <c r="L1907">
        <v>5</v>
      </c>
      <c r="M1907" s="5">
        <v>448.67</v>
      </c>
      <c r="N1907" s="6">
        <v>15</v>
      </c>
      <c r="O1907" s="5">
        <v>336.5</v>
      </c>
      <c r="P1907" s="5">
        <v>286.03</v>
      </c>
      <c r="Q1907" s="5">
        <v>1906.85</v>
      </c>
      <c r="R1907" s="5">
        <v>1596.85</v>
      </c>
      <c r="S1907" s="5">
        <v>310</v>
      </c>
      <c r="T1907" s="7">
        <v>0.162571780685424</v>
      </c>
      <c r="U1907" t="s">
        <v>9</v>
      </c>
      <c r="V1907" t="s">
        <v>50</v>
      </c>
      <c r="W1907" t="s">
        <v>50</v>
      </c>
      <c r="X1907" t="s">
        <v>33</v>
      </c>
      <c r="Y1907" t="s">
        <v>2776</v>
      </c>
      <c r="Z1907" t="s">
        <v>101</v>
      </c>
    </row>
    <row r="1908" spans="1:26">
      <c r="A1908" t="s">
        <v>3979</v>
      </c>
      <c r="B1908" t="s">
        <v>3979</v>
      </c>
      <c r="C1908" s="4">
        <v>46087</v>
      </c>
      <c r="D1908">
        <v>2026</v>
      </c>
      <c r="E1908">
        <v>3</v>
      </c>
      <c r="F1908" t="s">
        <v>19</v>
      </c>
      <c r="G1908" t="s">
        <v>82</v>
      </c>
      <c r="H1908" t="s">
        <v>2367</v>
      </c>
      <c r="I1908" t="s">
        <v>537</v>
      </c>
      <c r="J1908" t="s">
        <v>482</v>
      </c>
      <c r="K1908" t="s">
        <v>743</v>
      </c>
      <c r="L1908">
        <v>3</v>
      </c>
      <c r="M1908" s="5">
        <v>252.09</v>
      </c>
      <c r="N1908" s="6">
        <v>0</v>
      </c>
      <c r="O1908" s="5">
        <v>0</v>
      </c>
      <c r="P1908" s="5">
        <v>113.44</v>
      </c>
      <c r="Q1908" s="5">
        <v>756.27</v>
      </c>
      <c r="R1908" s="5">
        <v>573.6</v>
      </c>
      <c r="S1908" s="5">
        <v>182.67</v>
      </c>
      <c r="T1908" s="7">
        <v>0.241540719584275</v>
      </c>
      <c r="U1908" t="s">
        <v>14</v>
      </c>
      <c r="V1908" t="s">
        <v>50</v>
      </c>
      <c r="W1908" t="s">
        <v>50</v>
      </c>
      <c r="X1908" t="s">
        <v>33</v>
      </c>
      <c r="Y1908" t="s">
        <v>851</v>
      </c>
      <c r="Z1908" t="s">
        <v>101</v>
      </c>
    </row>
    <row r="1909" spans="1:26">
      <c r="A1909" t="s">
        <v>3980</v>
      </c>
      <c r="B1909" t="s">
        <v>3980</v>
      </c>
      <c r="C1909" s="4">
        <v>45941</v>
      </c>
      <c r="D1909">
        <v>2025</v>
      </c>
      <c r="E1909">
        <v>10</v>
      </c>
      <c r="F1909" t="s">
        <v>26</v>
      </c>
      <c r="G1909" t="s">
        <v>137</v>
      </c>
      <c r="H1909" t="s">
        <v>3637</v>
      </c>
      <c r="I1909" t="s">
        <v>1137</v>
      </c>
      <c r="J1909" t="s">
        <v>1219</v>
      </c>
      <c r="K1909" t="s">
        <v>2985</v>
      </c>
      <c r="L1909">
        <v>1</v>
      </c>
      <c r="M1909" s="5">
        <v>405.1</v>
      </c>
      <c r="N1909" s="6">
        <v>0</v>
      </c>
      <c r="O1909" s="5">
        <v>0</v>
      </c>
      <c r="P1909" s="5">
        <v>60.76</v>
      </c>
      <c r="Q1909" s="5">
        <v>465.87</v>
      </c>
      <c r="R1909" s="5">
        <v>348.41</v>
      </c>
      <c r="S1909" s="5">
        <v>117.46</v>
      </c>
      <c r="T1909" s="7">
        <v>0.252130422650095</v>
      </c>
      <c r="U1909" t="s">
        <v>13</v>
      </c>
      <c r="V1909" t="s">
        <v>50</v>
      </c>
      <c r="W1909" t="s">
        <v>50</v>
      </c>
      <c r="X1909" t="s">
        <v>33</v>
      </c>
      <c r="Y1909" t="s">
        <v>2382</v>
      </c>
      <c r="Z1909" t="s">
        <v>80</v>
      </c>
    </row>
    <row r="1910" spans="1:26">
      <c r="A1910" t="s">
        <v>3981</v>
      </c>
      <c r="B1910" t="s">
        <v>3981</v>
      </c>
      <c r="C1910" s="4">
        <v>45999</v>
      </c>
      <c r="D1910">
        <v>2025</v>
      </c>
      <c r="E1910">
        <v>12</v>
      </c>
      <c r="F1910" t="s">
        <v>28</v>
      </c>
      <c r="G1910" t="s">
        <v>137</v>
      </c>
      <c r="H1910" t="s">
        <v>2097</v>
      </c>
      <c r="I1910" t="s">
        <v>503</v>
      </c>
      <c r="J1910" t="s">
        <v>41</v>
      </c>
      <c r="K1910" t="s">
        <v>588</v>
      </c>
      <c r="L1910">
        <v>2</v>
      </c>
      <c r="M1910" s="5">
        <v>71.29</v>
      </c>
      <c r="N1910" s="6">
        <v>15</v>
      </c>
      <c r="O1910" s="5">
        <v>21.39</v>
      </c>
      <c r="P1910" s="5">
        <v>18.18</v>
      </c>
      <c r="Q1910" s="5">
        <v>121.19</v>
      </c>
      <c r="R1910" s="5">
        <v>118.74</v>
      </c>
      <c r="S1910" s="5">
        <v>2.45</v>
      </c>
      <c r="T1910" s="7">
        <v>0.0202161894545755</v>
      </c>
      <c r="U1910" t="s">
        <v>12</v>
      </c>
      <c r="V1910" t="s">
        <v>50</v>
      </c>
      <c r="W1910" t="s">
        <v>50</v>
      </c>
      <c r="X1910" t="s">
        <v>33</v>
      </c>
      <c r="Y1910" t="s">
        <v>691</v>
      </c>
      <c r="Z1910" t="s">
        <v>101</v>
      </c>
    </row>
    <row r="1911" spans="1:26">
      <c r="A1911" t="s">
        <v>3982</v>
      </c>
      <c r="B1911" t="s">
        <v>3982</v>
      </c>
      <c r="C1911" s="4">
        <v>46001</v>
      </c>
      <c r="D1911">
        <v>2025</v>
      </c>
      <c r="E1911">
        <v>12</v>
      </c>
      <c r="F1911" t="s">
        <v>28</v>
      </c>
      <c r="G1911" t="s">
        <v>137</v>
      </c>
      <c r="H1911" t="s">
        <v>3983</v>
      </c>
      <c r="I1911" t="s">
        <v>444</v>
      </c>
      <c r="J1911" t="s">
        <v>654</v>
      </c>
      <c r="K1911" t="s">
        <v>2291</v>
      </c>
      <c r="L1911">
        <v>5</v>
      </c>
      <c r="M1911" s="5">
        <v>99.93</v>
      </c>
      <c r="N1911" s="6">
        <v>0</v>
      </c>
      <c r="O1911" s="5">
        <v>0</v>
      </c>
      <c r="P1911" s="5">
        <v>74.95</v>
      </c>
      <c r="Q1911" s="5">
        <v>499.65</v>
      </c>
      <c r="R1911" s="5">
        <v>430.25</v>
      </c>
      <c r="S1911" s="5">
        <v>69.4</v>
      </c>
      <c r="T1911" s="7">
        <v>0.138897228059642</v>
      </c>
      <c r="U1911" t="s">
        <v>14</v>
      </c>
      <c r="V1911" t="s">
        <v>50</v>
      </c>
      <c r="W1911" t="s">
        <v>50</v>
      </c>
      <c r="X1911" t="s">
        <v>35</v>
      </c>
      <c r="Y1911" t="s">
        <v>1644</v>
      </c>
      <c r="Z1911" t="s">
        <v>101</v>
      </c>
    </row>
    <row r="1912" spans="1:26">
      <c r="A1912" t="s">
        <v>3984</v>
      </c>
      <c r="B1912" t="s">
        <v>3984</v>
      </c>
      <c r="C1912" s="4">
        <v>45933</v>
      </c>
      <c r="D1912">
        <v>2025</v>
      </c>
      <c r="E1912">
        <v>10</v>
      </c>
      <c r="F1912" t="s">
        <v>26</v>
      </c>
      <c r="G1912" t="s">
        <v>137</v>
      </c>
      <c r="H1912" t="s">
        <v>1532</v>
      </c>
      <c r="I1912" t="s">
        <v>547</v>
      </c>
      <c r="J1912" t="s">
        <v>318</v>
      </c>
      <c r="K1912" t="s">
        <v>3942</v>
      </c>
      <c r="L1912">
        <v>8</v>
      </c>
      <c r="M1912" s="5">
        <v>569.8</v>
      </c>
      <c r="N1912" s="6">
        <v>0</v>
      </c>
      <c r="O1912" s="5">
        <v>0</v>
      </c>
      <c r="P1912" s="5">
        <v>683.76</v>
      </c>
      <c r="Q1912" s="5">
        <v>4558.4</v>
      </c>
      <c r="R1912" s="5">
        <v>3118.4</v>
      </c>
      <c r="S1912" s="5">
        <v>1440</v>
      </c>
      <c r="T1912" s="7">
        <v>0.315900315900316</v>
      </c>
      <c r="U1912" t="s">
        <v>10</v>
      </c>
      <c r="V1912" t="s">
        <v>50</v>
      </c>
      <c r="W1912" t="s">
        <v>50</v>
      </c>
      <c r="X1912" t="s">
        <v>35</v>
      </c>
      <c r="Y1912" t="s">
        <v>612</v>
      </c>
      <c r="Z1912" t="s">
        <v>101</v>
      </c>
    </row>
    <row r="1913" spans="1:26">
      <c r="A1913" t="s">
        <v>3985</v>
      </c>
      <c r="B1913" t="s">
        <v>3985</v>
      </c>
      <c r="C1913" s="4">
        <v>45928</v>
      </c>
      <c r="D1913">
        <v>2025</v>
      </c>
      <c r="E1913">
        <v>9</v>
      </c>
      <c r="F1913" t="s">
        <v>25</v>
      </c>
      <c r="G1913" t="s">
        <v>89</v>
      </c>
      <c r="H1913" t="s">
        <v>3194</v>
      </c>
      <c r="I1913" t="s">
        <v>765</v>
      </c>
      <c r="J1913" t="s">
        <v>872</v>
      </c>
      <c r="K1913" t="s">
        <v>873</v>
      </c>
      <c r="L1913">
        <v>7</v>
      </c>
      <c r="M1913" s="5">
        <v>401.61</v>
      </c>
      <c r="N1913" s="6">
        <v>10</v>
      </c>
      <c r="O1913" s="5">
        <v>281.13</v>
      </c>
      <c r="P1913" s="5">
        <v>379.52</v>
      </c>
      <c r="Q1913" s="5">
        <v>2909.66</v>
      </c>
      <c r="R1913" s="5">
        <v>2110.99</v>
      </c>
      <c r="S1913" s="5">
        <v>798.67</v>
      </c>
      <c r="T1913" s="7">
        <v>0.274489115566767</v>
      </c>
      <c r="U1913" t="s">
        <v>13</v>
      </c>
      <c r="V1913" t="s">
        <v>50</v>
      </c>
      <c r="W1913" t="s">
        <v>50</v>
      </c>
      <c r="X1913" t="s">
        <v>35</v>
      </c>
      <c r="Y1913" t="s">
        <v>1260</v>
      </c>
      <c r="Z1913" t="s">
        <v>80</v>
      </c>
    </row>
    <row r="1914" spans="1:26">
      <c r="A1914" t="s">
        <v>3986</v>
      </c>
      <c r="B1914" t="s">
        <v>3986</v>
      </c>
      <c r="C1914" s="4">
        <v>46019</v>
      </c>
      <c r="D1914">
        <v>2025</v>
      </c>
      <c r="E1914">
        <v>12</v>
      </c>
      <c r="F1914" t="s">
        <v>28</v>
      </c>
      <c r="G1914" t="s">
        <v>137</v>
      </c>
      <c r="H1914" t="s">
        <v>1421</v>
      </c>
      <c r="I1914" t="s">
        <v>417</v>
      </c>
      <c r="J1914" t="s">
        <v>296</v>
      </c>
      <c r="K1914" t="s">
        <v>297</v>
      </c>
      <c r="L1914">
        <v>6</v>
      </c>
      <c r="M1914" s="5">
        <v>422.63</v>
      </c>
      <c r="N1914" s="6">
        <v>0</v>
      </c>
      <c r="O1914" s="5">
        <v>0</v>
      </c>
      <c r="P1914" s="5">
        <v>380.37</v>
      </c>
      <c r="Q1914" s="5">
        <v>2916.15</v>
      </c>
      <c r="R1914" s="5">
        <v>1859.88</v>
      </c>
      <c r="S1914" s="5">
        <v>1056.27</v>
      </c>
      <c r="T1914" s="7">
        <v>0.36221387788694</v>
      </c>
      <c r="U1914" t="s">
        <v>10</v>
      </c>
      <c r="V1914" t="s">
        <v>50</v>
      </c>
      <c r="W1914" t="s">
        <v>50</v>
      </c>
      <c r="X1914" t="s">
        <v>34</v>
      </c>
      <c r="Y1914" t="s">
        <v>1148</v>
      </c>
      <c r="Z1914" t="s">
        <v>80</v>
      </c>
    </row>
    <row r="1915" spans="1:26">
      <c r="A1915" t="s">
        <v>3987</v>
      </c>
      <c r="B1915" t="s">
        <v>3987</v>
      </c>
      <c r="C1915" s="4">
        <v>45963</v>
      </c>
      <c r="D1915">
        <v>2025</v>
      </c>
      <c r="E1915">
        <v>11</v>
      </c>
      <c r="F1915" t="s">
        <v>27</v>
      </c>
      <c r="G1915" t="s">
        <v>137</v>
      </c>
      <c r="H1915" t="s">
        <v>1057</v>
      </c>
      <c r="I1915" t="s">
        <v>245</v>
      </c>
      <c r="J1915" t="s">
        <v>127</v>
      </c>
      <c r="K1915" t="s">
        <v>128</v>
      </c>
      <c r="L1915">
        <v>8</v>
      </c>
      <c r="M1915" s="5">
        <v>139.36</v>
      </c>
      <c r="N1915" s="6">
        <v>10</v>
      </c>
      <c r="O1915" s="5">
        <v>111.49</v>
      </c>
      <c r="P1915" s="5">
        <v>150.51</v>
      </c>
      <c r="Q1915" s="5">
        <v>1153.9</v>
      </c>
      <c r="R1915" s="5">
        <v>871.36</v>
      </c>
      <c r="S1915" s="5">
        <v>282.54</v>
      </c>
      <c r="T1915" s="7">
        <v>0.24485657335991</v>
      </c>
      <c r="U1915" t="s">
        <v>11</v>
      </c>
      <c r="V1915" t="s">
        <v>50</v>
      </c>
      <c r="W1915" t="s">
        <v>50</v>
      </c>
      <c r="X1915" t="s">
        <v>33</v>
      </c>
      <c r="Y1915" t="s">
        <v>2274</v>
      </c>
      <c r="Z1915" t="s">
        <v>80</v>
      </c>
    </row>
    <row r="1916" spans="1:26">
      <c r="A1916" t="s">
        <v>3988</v>
      </c>
      <c r="B1916" t="s">
        <v>3988</v>
      </c>
      <c r="C1916" s="4">
        <v>46055</v>
      </c>
      <c r="D1916">
        <v>2026</v>
      </c>
      <c r="E1916">
        <v>2</v>
      </c>
      <c r="F1916" t="s">
        <v>31</v>
      </c>
      <c r="G1916" t="s">
        <v>82</v>
      </c>
      <c r="H1916" t="s">
        <v>671</v>
      </c>
      <c r="I1916" t="s">
        <v>1904</v>
      </c>
      <c r="J1916" t="s">
        <v>105</v>
      </c>
      <c r="K1916" t="s">
        <v>253</v>
      </c>
      <c r="L1916">
        <v>7</v>
      </c>
      <c r="M1916" s="5">
        <v>110.77</v>
      </c>
      <c r="N1916" s="6">
        <v>20</v>
      </c>
      <c r="O1916" s="5">
        <v>155.08</v>
      </c>
      <c r="P1916" s="5">
        <v>93.05</v>
      </c>
      <c r="Q1916" s="5">
        <v>620.31</v>
      </c>
      <c r="R1916" s="5">
        <v>583.31</v>
      </c>
      <c r="S1916" s="5">
        <v>37</v>
      </c>
      <c r="T1916" s="7">
        <v>0.0596475955570602</v>
      </c>
      <c r="U1916" t="s">
        <v>12</v>
      </c>
      <c r="V1916" t="s">
        <v>50</v>
      </c>
      <c r="W1916" t="s">
        <v>50</v>
      </c>
      <c r="X1916" t="s">
        <v>33</v>
      </c>
      <c r="Y1916" t="s">
        <v>271</v>
      </c>
      <c r="Z1916" t="s">
        <v>101</v>
      </c>
    </row>
    <row r="1917" spans="1:26">
      <c r="A1917" t="s">
        <v>3989</v>
      </c>
      <c r="B1917" t="s">
        <v>3989</v>
      </c>
      <c r="C1917" s="4">
        <v>46088</v>
      </c>
      <c r="D1917">
        <v>2026</v>
      </c>
      <c r="E1917">
        <v>3</v>
      </c>
      <c r="F1917" t="s">
        <v>19</v>
      </c>
      <c r="G1917" t="s">
        <v>82</v>
      </c>
      <c r="H1917" t="s">
        <v>973</v>
      </c>
      <c r="I1917" t="s">
        <v>765</v>
      </c>
      <c r="J1917" t="s">
        <v>42</v>
      </c>
      <c r="K1917" t="s">
        <v>1191</v>
      </c>
      <c r="L1917">
        <v>7</v>
      </c>
      <c r="M1917" s="5">
        <v>387.19</v>
      </c>
      <c r="N1917" s="6">
        <v>0</v>
      </c>
      <c r="O1917" s="5">
        <v>0</v>
      </c>
      <c r="P1917" s="5">
        <v>406.55</v>
      </c>
      <c r="Q1917" s="5">
        <v>3116.88</v>
      </c>
      <c r="R1917" s="5">
        <v>2110.99</v>
      </c>
      <c r="S1917" s="5">
        <v>1005.89</v>
      </c>
      <c r="T1917" s="7">
        <v>0.322723364390031</v>
      </c>
      <c r="U1917" t="s">
        <v>9</v>
      </c>
      <c r="V1917" t="s">
        <v>50</v>
      </c>
      <c r="W1917" t="s">
        <v>50</v>
      </c>
      <c r="X1917" t="s">
        <v>33</v>
      </c>
      <c r="Y1917" t="s">
        <v>1052</v>
      </c>
      <c r="Z1917" t="s">
        <v>80</v>
      </c>
    </row>
    <row r="1918" spans="1:26">
      <c r="A1918" t="s">
        <v>3990</v>
      </c>
      <c r="B1918" t="s">
        <v>3990</v>
      </c>
      <c r="C1918" s="4">
        <v>46098</v>
      </c>
      <c r="D1918">
        <v>2026</v>
      </c>
      <c r="E1918">
        <v>3</v>
      </c>
      <c r="F1918" t="s">
        <v>19</v>
      </c>
      <c r="G1918" t="s">
        <v>82</v>
      </c>
      <c r="H1918" t="s">
        <v>2979</v>
      </c>
      <c r="I1918" t="s">
        <v>703</v>
      </c>
      <c r="J1918" t="s">
        <v>214</v>
      </c>
      <c r="K1918" t="s">
        <v>215</v>
      </c>
      <c r="L1918">
        <v>3</v>
      </c>
      <c r="M1918" s="5">
        <v>224.28</v>
      </c>
      <c r="N1918" s="6">
        <v>0</v>
      </c>
      <c r="O1918" s="5">
        <v>0</v>
      </c>
      <c r="P1918" s="5">
        <v>100.93</v>
      </c>
      <c r="Q1918" s="5">
        <v>672.84</v>
      </c>
      <c r="R1918" s="5">
        <v>577.17</v>
      </c>
      <c r="S1918" s="5">
        <v>95.67</v>
      </c>
      <c r="T1918" s="7">
        <v>0.142188336008561</v>
      </c>
      <c r="U1918" t="s">
        <v>11</v>
      </c>
      <c r="V1918" t="s">
        <v>50</v>
      </c>
      <c r="W1918" t="s">
        <v>50</v>
      </c>
      <c r="X1918" t="s">
        <v>35</v>
      </c>
      <c r="Y1918" t="s">
        <v>3991</v>
      </c>
      <c r="Z1918" t="s">
        <v>101</v>
      </c>
    </row>
    <row r="1919" spans="1:26">
      <c r="A1919" t="s">
        <v>3992</v>
      </c>
      <c r="B1919" t="s">
        <v>3992</v>
      </c>
      <c r="C1919" s="4">
        <v>45771</v>
      </c>
      <c r="D1919">
        <v>2025</v>
      </c>
      <c r="E1919">
        <v>4</v>
      </c>
      <c r="F1919" t="s">
        <v>20</v>
      </c>
      <c r="G1919" t="s">
        <v>74</v>
      </c>
      <c r="H1919" t="s">
        <v>1990</v>
      </c>
      <c r="I1919" t="s">
        <v>411</v>
      </c>
      <c r="J1919" t="s">
        <v>563</v>
      </c>
      <c r="K1919" t="s">
        <v>564</v>
      </c>
      <c r="L1919">
        <v>4</v>
      </c>
      <c r="M1919" s="5">
        <v>459.58</v>
      </c>
      <c r="N1919" s="6">
        <v>0</v>
      </c>
      <c r="O1919" s="5">
        <v>0</v>
      </c>
      <c r="P1919" s="5">
        <v>275.75</v>
      </c>
      <c r="Q1919" s="5">
        <v>1838.32</v>
      </c>
      <c r="R1919" s="5">
        <v>1547.56</v>
      </c>
      <c r="S1919" s="5">
        <v>290.76</v>
      </c>
      <c r="T1919" s="7">
        <v>0.158166151703729</v>
      </c>
      <c r="U1919" t="s">
        <v>13</v>
      </c>
      <c r="V1919" t="s">
        <v>50</v>
      </c>
      <c r="W1919" t="s">
        <v>50</v>
      </c>
      <c r="X1919" t="s">
        <v>33</v>
      </c>
      <c r="Y1919" t="s">
        <v>3485</v>
      </c>
      <c r="Z1919" t="s">
        <v>101</v>
      </c>
    </row>
    <row r="1920" spans="1:26">
      <c r="A1920" t="s">
        <v>3993</v>
      </c>
      <c r="B1920" t="s">
        <v>3993</v>
      </c>
      <c r="C1920" s="4">
        <v>45877</v>
      </c>
      <c r="D1920">
        <v>2025</v>
      </c>
      <c r="E1920">
        <v>8</v>
      </c>
      <c r="F1920" t="s">
        <v>24</v>
      </c>
      <c r="G1920" t="s">
        <v>89</v>
      </c>
      <c r="H1920" t="s">
        <v>1574</v>
      </c>
      <c r="I1920" t="s">
        <v>1360</v>
      </c>
      <c r="J1920" t="s">
        <v>363</v>
      </c>
      <c r="K1920" t="s">
        <v>364</v>
      </c>
      <c r="L1920">
        <v>6</v>
      </c>
      <c r="M1920" s="5">
        <v>261.61</v>
      </c>
      <c r="N1920" s="6">
        <v>20</v>
      </c>
      <c r="O1920" s="5">
        <v>313.93</v>
      </c>
      <c r="P1920" s="5">
        <v>188.36</v>
      </c>
      <c r="Q1920" s="5">
        <v>1255.73</v>
      </c>
      <c r="R1920" s="5">
        <v>1249.32</v>
      </c>
      <c r="S1920" s="5">
        <v>6.41</v>
      </c>
      <c r="T1920" s="7">
        <v>0.0051046005112564</v>
      </c>
      <c r="U1920" t="s">
        <v>10</v>
      </c>
      <c r="V1920" t="s">
        <v>50</v>
      </c>
      <c r="W1920" t="s">
        <v>50</v>
      </c>
      <c r="X1920" t="s">
        <v>33</v>
      </c>
      <c r="Y1920" t="s">
        <v>3131</v>
      </c>
      <c r="Z1920" t="s">
        <v>101</v>
      </c>
    </row>
    <row r="1921" spans="1:26">
      <c r="A1921" t="s">
        <v>3994</v>
      </c>
      <c r="B1921" t="s">
        <v>3994</v>
      </c>
      <c r="C1921" s="4">
        <v>45961</v>
      </c>
      <c r="D1921">
        <v>2025</v>
      </c>
      <c r="E1921">
        <v>10</v>
      </c>
      <c r="F1921" t="s">
        <v>26</v>
      </c>
      <c r="G1921" t="s">
        <v>137</v>
      </c>
      <c r="H1921" t="s">
        <v>1651</v>
      </c>
      <c r="I1921" t="s">
        <v>609</v>
      </c>
      <c r="J1921" t="s">
        <v>39</v>
      </c>
      <c r="K1921" t="s">
        <v>1045</v>
      </c>
      <c r="L1921">
        <v>2</v>
      </c>
      <c r="M1921" s="5">
        <v>328.59</v>
      </c>
      <c r="N1921" s="6">
        <v>0</v>
      </c>
      <c r="O1921" s="5">
        <v>0</v>
      </c>
      <c r="P1921" s="5">
        <v>98.58</v>
      </c>
      <c r="Q1921" s="5">
        <v>657.18</v>
      </c>
      <c r="R1921" s="5">
        <v>510.98</v>
      </c>
      <c r="S1921" s="5">
        <v>146.2</v>
      </c>
      <c r="T1921" s="7">
        <v>0.222465686722055</v>
      </c>
      <c r="U1921" t="s">
        <v>13</v>
      </c>
      <c r="V1921" t="s">
        <v>50</v>
      </c>
      <c r="W1921" t="s">
        <v>50</v>
      </c>
      <c r="X1921" t="s">
        <v>33</v>
      </c>
      <c r="Y1921" t="s">
        <v>2042</v>
      </c>
      <c r="Z1921" t="s">
        <v>101</v>
      </c>
    </row>
    <row r="1922" spans="1:26">
      <c r="A1922" t="s">
        <v>3995</v>
      </c>
      <c r="B1922" t="s">
        <v>3995</v>
      </c>
      <c r="C1922" s="4">
        <v>45763</v>
      </c>
      <c r="D1922">
        <v>2025</v>
      </c>
      <c r="E1922">
        <v>4</v>
      </c>
      <c r="F1922" t="s">
        <v>20</v>
      </c>
      <c r="G1922" t="s">
        <v>74</v>
      </c>
      <c r="H1922" t="s">
        <v>2731</v>
      </c>
      <c r="I1922" t="s">
        <v>406</v>
      </c>
      <c r="J1922" t="s">
        <v>1327</v>
      </c>
      <c r="K1922" t="s">
        <v>1500</v>
      </c>
      <c r="L1922">
        <v>1</v>
      </c>
      <c r="M1922" s="5">
        <v>353.05</v>
      </c>
      <c r="N1922" s="6">
        <v>15</v>
      </c>
      <c r="O1922" s="5">
        <v>52.96</v>
      </c>
      <c r="P1922" s="5">
        <v>45.01</v>
      </c>
      <c r="Q1922" s="5">
        <v>300.09</v>
      </c>
      <c r="R1922" s="5">
        <v>262.8</v>
      </c>
      <c r="S1922" s="5">
        <v>37.29</v>
      </c>
      <c r="T1922" s="7">
        <v>0.124262721183645</v>
      </c>
      <c r="U1922" t="s">
        <v>13</v>
      </c>
      <c r="V1922" t="s">
        <v>50</v>
      </c>
      <c r="W1922" t="s">
        <v>50</v>
      </c>
      <c r="X1922" t="s">
        <v>33</v>
      </c>
      <c r="Y1922" t="s">
        <v>1836</v>
      </c>
      <c r="Z1922" t="s">
        <v>101</v>
      </c>
    </row>
    <row r="1923" spans="1:26">
      <c r="A1923" t="s">
        <v>3996</v>
      </c>
      <c r="B1923" t="s">
        <v>3996</v>
      </c>
      <c r="C1923" s="4">
        <v>46075</v>
      </c>
      <c r="D1923">
        <v>2026</v>
      </c>
      <c r="E1923">
        <v>2</v>
      </c>
      <c r="F1923" t="s">
        <v>31</v>
      </c>
      <c r="G1923" t="s">
        <v>82</v>
      </c>
      <c r="H1923" t="s">
        <v>1766</v>
      </c>
      <c r="I1923" t="s">
        <v>295</v>
      </c>
      <c r="J1923" t="s">
        <v>659</v>
      </c>
      <c r="K1923" t="s">
        <v>660</v>
      </c>
      <c r="L1923">
        <v>3</v>
      </c>
      <c r="M1923" s="5">
        <v>317.72</v>
      </c>
      <c r="N1923" s="6">
        <v>5</v>
      </c>
      <c r="O1923" s="5">
        <v>47.66</v>
      </c>
      <c r="P1923" s="5">
        <v>135.83</v>
      </c>
      <c r="Q1923" s="5">
        <v>1041.33</v>
      </c>
      <c r="R1923" s="5">
        <v>814.59</v>
      </c>
      <c r="S1923" s="5">
        <v>226.74</v>
      </c>
      <c r="T1923" s="7">
        <v>0.217740773818098</v>
      </c>
      <c r="U1923" t="s">
        <v>12</v>
      </c>
      <c r="V1923" t="s">
        <v>50</v>
      </c>
      <c r="W1923" t="s">
        <v>50</v>
      </c>
      <c r="X1923" t="s">
        <v>33</v>
      </c>
      <c r="Y1923" t="s">
        <v>1886</v>
      </c>
      <c r="Z1923" t="s">
        <v>80</v>
      </c>
    </row>
    <row r="1924" spans="1:26">
      <c r="A1924" t="s">
        <v>3997</v>
      </c>
      <c r="B1924" t="s">
        <v>3997</v>
      </c>
      <c r="C1924" s="4">
        <v>45976</v>
      </c>
      <c r="D1924">
        <v>2025</v>
      </c>
      <c r="E1924">
        <v>11</v>
      </c>
      <c r="F1924" t="s">
        <v>27</v>
      </c>
      <c r="G1924" t="s">
        <v>137</v>
      </c>
      <c r="H1924" t="s">
        <v>1034</v>
      </c>
      <c r="I1924" t="s">
        <v>1264</v>
      </c>
      <c r="J1924" t="s">
        <v>345</v>
      </c>
      <c r="K1924" t="s">
        <v>3518</v>
      </c>
      <c r="L1924">
        <v>4</v>
      </c>
      <c r="M1924" s="5">
        <v>194.14</v>
      </c>
      <c r="N1924" s="6">
        <v>20</v>
      </c>
      <c r="O1924" s="5">
        <v>155.31</v>
      </c>
      <c r="P1924" s="5">
        <v>93.19</v>
      </c>
      <c r="Q1924" s="5">
        <v>714.44</v>
      </c>
      <c r="R1924" s="5">
        <v>430.4</v>
      </c>
      <c r="S1924" s="5">
        <v>284.04</v>
      </c>
      <c r="T1924" s="7">
        <v>0.397570124853032</v>
      </c>
      <c r="U1924" t="s">
        <v>11</v>
      </c>
      <c r="V1924" t="s">
        <v>50</v>
      </c>
      <c r="W1924" t="s">
        <v>50</v>
      </c>
      <c r="X1924" t="s">
        <v>33</v>
      </c>
      <c r="Y1924" t="s">
        <v>3515</v>
      </c>
      <c r="Z1924" t="s">
        <v>80</v>
      </c>
    </row>
    <row r="1925" spans="1:26">
      <c r="A1925" t="s">
        <v>3998</v>
      </c>
      <c r="B1925" t="s">
        <v>3998</v>
      </c>
      <c r="C1925" s="4">
        <v>46087</v>
      </c>
      <c r="D1925">
        <v>2026</v>
      </c>
      <c r="E1925">
        <v>3</v>
      </c>
      <c r="F1925" t="s">
        <v>19</v>
      </c>
      <c r="G1925" t="s">
        <v>82</v>
      </c>
      <c r="H1925" t="s">
        <v>1303</v>
      </c>
      <c r="I1925" t="s">
        <v>429</v>
      </c>
      <c r="J1925" t="s">
        <v>558</v>
      </c>
      <c r="K1925" t="s">
        <v>559</v>
      </c>
      <c r="L1925">
        <v>5</v>
      </c>
      <c r="M1925" s="5">
        <v>389.61</v>
      </c>
      <c r="N1925" s="6">
        <v>0</v>
      </c>
      <c r="O1925" s="5">
        <v>0</v>
      </c>
      <c r="P1925" s="5">
        <v>292.21</v>
      </c>
      <c r="Q1925" s="5">
        <v>1948.05</v>
      </c>
      <c r="R1925" s="5">
        <v>1680.35</v>
      </c>
      <c r="S1925" s="5">
        <v>267.7</v>
      </c>
      <c r="T1925" s="7">
        <v>0.137419470752804</v>
      </c>
      <c r="U1925" t="s">
        <v>10</v>
      </c>
      <c r="V1925" t="s">
        <v>50</v>
      </c>
      <c r="W1925" t="s">
        <v>50</v>
      </c>
      <c r="X1925" t="s">
        <v>33</v>
      </c>
      <c r="Y1925" t="s">
        <v>1991</v>
      </c>
      <c r="Z1925" t="s">
        <v>101</v>
      </c>
    </row>
    <row r="1926" spans="1:26">
      <c r="A1926" t="s">
        <v>3999</v>
      </c>
      <c r="B1926" t="s">
        <v>3999</v>
      </c>
      <c r="C1926" s="4">
        <v>45938</v>
      </c>
      <c r="D1926">
        <v>2025</v>
      </c>
      <c r="E1926">
        <v>10</v>
      </c>
      <c r="F1926" t="s">
        <v>26</v>
      </c>
      <c r="G1926" t="s">
        <v>137</v>
      </c>
      <c r="H1926" t="s">
        <v>4000</v>
      </c>
      <c r="I1926" t="s">
        <v>498</v>
      </c>
      <c r="J1926" t="s">
        <v>345</v>
      </c>
      <c r="K1926" t="s">
        <v>3518</v>
      </c>
      <c r="L1926">
        <v>1</v>
      </c>
      <c r="M1926" s="5">
        <v>365.92</v>
      </c>
      <c r="N1926" s="6">
        <v>5</v>
      </c>
      <c r="O1926" s="5">
        <v>18.3</v>
      </c>
      <c r="P1926" s="5">
        <v>52.14</v>
      </c>
      <c r="Q1926" s="5">
        <v>347.62</v>
      </c>
      <c r="R1926" s="5">
        <v>310.38</v>
      </c>
      <c r="S1926" s="5">
        <v>37.24</v>
      </c>
      <c r="T1926" s="7">
        <v>0.10712847362062</v>
      </c>
      <c r="U1926" t="s">
        <v>13</v>
      </c>
      <c r="V1926" t="s">
        <v>50</v>
      </c>
      <c r="W1926" t="s">
        <v>50</v>
      </c>
      <c r="X1926" t="s">
        <v>33</v>
      </c>
      <c r="Y1926" t="s">
        <v>2013</v>
      </c>
      <c r="Z1926" t="s">
        <v>101</v>
      </c>
    </row>
    <row r="1927" spans="1:26">
      <c r="A1927" t="s">
        <v>4001</v>
      </c>
      <c r="B1927" t="s">
        <v>4001</v>
      </c>
      <c r="C1927" s="4">
        <v>45948</v>
      </c>
      <c r="D1927">
        <v>2025</v>
      </c>
      <c r="E1927">
        <v>10</v>
      </c>
      <c r="F1927" t="s">
        <v>26</v>
      </c>
      <c r="G1927" t="s">
        <v>137</v>
      </c>
      <c r="H1927" t="s">
        <v>3218</v>
      </c>
      <c r="I1927" t="s">
        <v>429</v>
      </c>
      <c r="J1927" t="s">
        <v>77</v>
      </c>
      <c r="K1927" t="s">
        <v>4002</v>
      </c>
      <c r="L1927">
        <v>3</v>
      </c>
      <c r="M1927" s="5">
        <v>389.61</v>
      </c>
      <c r="N1927" s="6">
        <v>15</v>
      </c>
      <c r="O1927" s="5">
        <v>175.32</v>
      </c>
      <c r="P1927" s="5">
        <v>149.03</v>
      </c>
      <c r="Q1927" s="5">
        <v>1142.54</v>
      </c>
      <c r="R1927" s="5">
        <v>1008.21</v>
      </c>
      <c r="S1927" s="5">
        <v>134.33</v>
      </c>
      <c r="T1927" s="7">
        <v>0.117571376056856</v>
      </c>
      <c r="U1927" t="s">
        <v>12</v>
      </c>
      <c r="V1927" t="s">
        <v>50</v>
      </c>
      <c r="W1927" t="s">
        <v>50</v>
      </c>
      <c r="X1927" t="s">
        <v>33</v>
      </c>
      <c r="Y1927" t="s">
        <v>2207</v>
      </c>
      <c r="Z1927" t="s">
        <v>80</v>
      </c>
    </row>
    <row r="1928" spans="1:26">
      <c r="A1928" t="s">
        <v>4003</v>
      </c>
      <c r="B1928" t="s">
        <v>4003</v>
      </c>
      <c r="C1928" s="4">
        <v>45966</v>
      </c>
      <c r="D1928">
        <v>2025</v>
      </c>
      <c r="E1928">
        <v>11</v>
      </c>
      <c r="F1928" t="s">
        <v>27</v>
      </c>
      <c r="G1928" t="s">
        <v>137</v>
      </c>
      <c r="H1928" t="s">
        <v>458</v>
      </c>
      <c r="I1928" t="s">
        <v>362</v>
      </c>
      <c r="J1928" t="s">
        <v>882</v>
      </c>
      <c r="K1928" t="s">
        <v>1500</v>
      </c>
      <c r="L1928">
        <v>7</v>
      </c>
      <c r="M1928" s="5">
        <v>368.32</v>
      </c>
      <c r="N1928" s="6">
        <v>0</v>
      </c>
      <c r="O1928" s="5">
        <v>0</v>
      </c>
      <c r="P1928" s="5">
        <v>386.74</v>
      </c>
      <c r="Q1928" s="5">
        <v>2578.24</v>
      </c>
      <c r="R1928" s="5">
        <v>1730.75</v>
      </c>
      <c r="S1928" s="5">
        <v>847.49</v>
      </c>
      <c r="T1928" s="7">
        <v>0.328708731537793</v>
      </c>
      <c r="U1928" t="s">
        <v>14</v>
      </c>
      <c r="V1928" t="s">
        <v>50</v>
      </c>
      <c r="W1928" t="s">
        <v>50</v>
      </c>
      <c r="X1928" t="s">
        <v>33</v>
      </c>
      <c r="Y1928" t="s">
        <v>2745</v>
      </c>
      <c r="Z1928" t="s">
        <v>101</v>
      </c>
    </row>
    <row r="1929" spans="1:26">
      <c r="A1929" t="s">
        <v>4004</v>
      </c>
      <c r="B1929" t="s">
        <v>4004</v>
      </c>
      <c r="C1929" s="4">
        <v>45901</v>
      </c>
      <c r="D1929">
        <v>2025</v>
      </c>
      <c r="E1929">
        <v>9</v>
      </c>
      <c r="F1929" t="s">
        <v>25</v>
      </c>
      <c r="G1929" t="s">
        <v>89</v>
      </c>
      <c r="H1929" t="s">
        <v>1867</v>
      </c>
      <c r="I1929" t="s">
        <v>898</v>
      </c>
      <c r="J1929" t="s">
        <v>948</v>
      </c>
      <c r="K1929" t="s">
        <v>949</v>
      </c>
      <c r="L1929">
        <v>2</v>
      </c>
      <c r="M1929" s="5">
        <v>275.71</v>
      </c>
      <c r="N1929" s="6">
        <v>0</v>
      </c>
      <c r="O1929" s="5">
        <v>0</v>
      </c>
      <c r="P1929" s="5">
        <v>82.71</v>
      </c>
      <c r="Q1929" s="5">
        <v>551.42</v>
      </c>
      <c r="R1929" s="5">
        <v>412.6</v>
      </c>
      <c r="S1929" s="5">
        <v>138.82</v>
      </c>
      <c r="T1929" s="7">
        <v>0.251750027202495</v>
      </c>
      <c r="U1929" t="s">
        <v>11</v>
      </c>
      <c r="V1929" t="s">
        <v>50</v>
      </c>
      <c r="W1929" t="s">
        <v>50</v>
      </c>
      <c r="X1929" t="s">
        <v>33</v>
      </c>
      <c r="Y1929" t="s">
        <v>987</v>
      </c>
      <c r="Z1929" t="s">
        <v>101</v>
      </c>
    </row>
    <row r="1930" spans="1:26">
      <c r="A1930" t="s">
        <v>4005</v>
      </c>
      <c r="B1930" t="s">
        <v>4005</v>
      </c>
      <c r="C1930" s="4">
        <v>45864</v>
      </c>
      <c r="D1930">
        <v>2025</v>
      </c>
      <c r="E1930">
        <v>7</v>
      </c>
      <c r="F1930" t="s">
        <v>23</v>
      </c>
      <c r="G1930" t="s">
        <v>89</v>
      </c>
      <c r="H1930" t="s">
        <v>1034</v>
      </c>
      <c r="I1930" t="s">
        <v>163</v>
      </c>
      <c r="J1930" t="s">
        <v>396</v>
      </c>
      <c r="K1930" t="s">
        <v>627</v>
      </c>
      <c r="L1930">
        <v>5</v>
      </c>
      <c r="M1930" s="5">
        <v>263.56</v>
      </c>
      <c r="N1930" s="6">
        <v>20</v>
      </c>
      <c r="O1930" s="5">
        <v>263.56</v>
      </c>
      <c r="P1930" s="5">
        <v>158.14</v>
      </c>
      <c r="Q1930" s="5">
        <v>1212.38</v>
      </c>
      <c r="R1930" s="5">
        <v>953.7</v>
      </c>
      <c r="S1930" s="5">
        <v>258.68</v>
      </c>
      <c r="T1930" s="7">
        <v>0.213365446477177</v>
      </c>
      <c r="U1930" t="s">
        <v>9</v>
      </c>
      <c r="V1930" t="s">
        <v>50</v>
      </c>
      <c r="W1930" t="s">
        <v>50</v>
      </c>
      <c r="X1930" t="s">
        <v>33</v>
      </c>
      <c r="Y1930" t="s">
        <v>1292</v>
      </c>
      <c r="Z1930" t="s">
        <v>80</v>
      </c>
    </row>
    <row r="1931" spans="1:26">
      <c r="A1931" t="s">
        <v>4006</v>
      </c>
      <c r="B1931" t="s">
        <v>4006</v>
      </c>
      <c r="C1931" s="4">
        <v>45991</v>
      </c>
      <c r="D1931">
        <v>2025</v>
      </c>
      <c r="E1931">
        <v>11</v>
      </c>
      <c r="F1931" t="s">
        <v>27</v>
      </c>
      <c r="G1931" t="s">
        <v>137</v>
      </c>
      <c r="H1931" t="s">
        <v>3704</v>
      </c>
      <c r="I1931" t="s">
        <v>913</v>
      </c>
      <c r="J1931" t="s">
        <v>318</v>
      </c>
      <c r="K1931" t="s">
        <v>3153</v>
      </c>
      <c r="L1931">
        <v>3</v>
      </c>
      <c r="M1931" s="5">
        <v>214.04</v>
      </c>
      <c r="N1931" s="6">
        <v>0</v>
      </c>
      <c r="O1931" s="5">
        <v>0</v>
      </c>
      <c r="P1931" s="5">
        <v>96.32</v>
      </c>
      <c r="Q1931" s="5">
        <v>738.44</v>
      </c>
      <c r="R1931" s="5">
        <v>474.18</v>
      </c>
      <c r="S1931" s="5">
        <v>264.26</v>
      </c>
      <c r="T1931" s="7">
        <v>0.357862520990195</v>
      </c>
      <c r="U1931" t="s">
        <v>9</v>
      </c>
      <c r="V1931" t="s">
        <v>50</v>
      </c>
      <c r="W1931" t="s">
        <v>50</v>
      </c>
      <c r="X1931" t="s">
        <v>33</v>
      </c>
      <c r="Y1931" t="s">
        <v>1417</v>
      </c>
      <c r="Z1931" t="s">
        <v>80</v>
      </c>
    </row>
    <row r="1932" spans="1:26">
      <c r="A1932" t="s">
        <v>4007</v>
      </c>
      <c r="B1932" t="s">
        <v>4007</v>
      </c>
      <c r="C1932" s="4">
        <v>46021</v>
      </c>
      <c r="D1932">
        <v>2025</v>
      </c>
      <c r="E1932">
        <v>12</v>
      </c>
      <c r="F1932" t="s">
        <v>28</v>
      </c>
      <c r="G1932" t="s">
        <v>137</v>
      </c>
      <c r="H1932" t="s">
        <v>1980</v>
      </c>
      <c r="I1932" t="s">
        <v>476</v>
      </c>
      <c r="J1932" t="s">
        <v>45</v>
      </c>
      <c r="K1932" t="s">
        <v>1351</v>
      </c>
      <c r="L1932">
        <v>3</v>
      </c>
      <c r="M1932" s="5">
        <v>319.47</v>
      </c>
      <c r="N1932" s="6">
        <v>20</v>
      </c>
      <c r="O1932" s="5">
        <v>191.68</v>
      </c>
      <c r="P1932" s="5">
        <v>115.01</v>
      </c>
      <c r="Q1932" s="5">
        <v>766.73</v>
      </c>
      <c r="R1932" s="5">
        <v>754.26</v>
      </c>
      <c r="S1932" s="5">
        <v>12.47</v>
      </c>
      <c r="T1932" s="7">
        <v>0.016263873853899</v>
      </c>
      <c r="U1932" t="s">
        <v>9</v>
      </c>
      <c r="V1932" t="s">
        <v>50</v>
      </c>
      <c r="W1932" t="s">
        <v>50</v>
      </c>
      <c r="X1932" t="s">
        <v>33</v>
      </c>
      <c r="Y1932" t="s">
        <v>3120</v>
      </c>
      <c r="Z1932" t="s">
        <v>101</v>
      </c>
    </row>
    <row r="1933" spans="1:26">
      <c r="A1933" t="s">
        <v>4008</v>
      </c>
      <c r="B1933" t="s">
        <v>4008</v>
      </c>
      <c r="C1933" s="4">
        <v>45953</v>
      </c>
      <c r="D1933">
        <v>2025</v>
      </c>
      <c r="E1933">
        <v>10</v>
      </c>
      <c r="F1933" t="s">
        <v>26</v>
      </c>
      <c r="G1933" t="s">
        <v>137</v>
      </c>
      <c r="H1933" t="s">
        <v>605</v>
      </c>
      <c r="I1933" t="s">
        <v>2587</v>
      </c>
      <c r="J1933" t="s">
        <v>2259</v>
      </c>
      <c r="K1933" t="s">
        <v>1141</v>
      </c>
      <c r="L1933">
        <v>7</v>
      </c>
      <c r="M1933" s="5">
        <v>76.86</v>
      </c>
      <c r="N1933" s="6">
        <v>20</v>
      </c>
      <c r="O1933" s="5">
        <v>107.6</v>
      </c>
      <c r="P1933" s="5">
        <v>64.56</v>
      </c>
      <c r="Q1933" s="5">
        <v>430.42</v>
      </c>
      <c r="R1933" s="5">
        <v>379.75</v>
      </c>
      <c r="S1933" s="5">
        <v>50.67</v>
      </c>
      <c r="T1933" s="7">
        <v>0.11772222480368</v>
      </c>
      <c r="U1933" t="s">
        <v>13</v>
      </c>
      <c r="V1933" t="s">
        <v>50</v>
      </c>
      <c r="W1933" t="s">
        <v>50</v>
      </c>
      <c r="X1933" t="s">
        <v>35</v>
      </c>
      <c r="Y1933" t="s">
        <v>2054</v>
      </c>
      <c r="Z1933" t="s">
        <v>101</v>
      </c>
    </row>
    <row r="1934" spans="1:26">
      <c r="A1934" t="s">
        <v>4009</v>
      </c>
      <c r="B1934" t="s">
        <v>4009</v>
      </c>
      <c r="C1934" s="4">
        <v>45982</v>
      </c>
      <c r="D1934">
        <v>2025</v>
      </c>
      <c r="E1934">
        <v>11</v>
      </c>
      <c r="F1934" t="s">
        <v>27</v>
      </c>
      <c r="G1934" t="s">
        <v>137</v>
      </c>
      <c r="H1934" t="s">
        <v>1980</v>
      </c>
      <c r="I1934" t="s">
        <v>2804</v>
      </c>
      <c r="J1934" t="s">
        <v>121</v>
      </c>
      <c r="K1934" t="s">
        <v>2021</v>
      </c>
      <c r="L1934">
        <v>4</v>
      </c>
      <c r="M1934" s="5">
        <v>396.24</v>
      </c>
      <c r="N1934" s="6">
        <v>0</v>
      </c>
      <c r="O1934" s="5">
        <v>0</v>
      </c>
      <c r="P1934" s="5">
        <v>237.74</v>
      </c>
      <c r="Q1934" s="5">
        <v>1584.96</v>
      </c>
      <c r="R1934" s="5">
        <v>1131.96</v>
      </c>
      <c r="S1934" s="5">
        <v>453</v>
      </c>
      <c r="T1934" s="7">
        <v>0.285811629315566</v>
      </c>
      <c r="U1934" t="s">
        <v>11</v>
      </c>
      <c r="V1934" t="s">
        <v>50</v>
      </c>
      <c r="W1934" t="s">
        <v>50</v>
      </c>
      <c r="X1934" t="s">
        <v>33</v>
      </c>
      <c r="Y1934" t="s">
        <v>2448</v>
      </c>
      <c r="Z1934" t="s">
        <v>101</v>
      </c>
    </row>
    <row r="1935" spans="1:26">
      <c r="A1935" t="s">
        <v>4010</v>
      </c>
      <c r="B1935" t="s">
        <v>4010</v>
      </c>
      <c r="C1935" s="4">
        <v>45852</v>
      </c>
      <c r="D1935">
        <v>2025</v>
      </c>
      <c r="E1935">
        <v>7</v>
      </c>
      <c r="F1935" t="s">
        <v>23</v>
      </c>
      <c r="G1935" t="s">
        <v>89</v>
      </c>
      <c r="H1935" t="s">
        <v>3238</v>
      </c>
      <c r="I1935" t="s">
        <v>110</v>
      </c>
      <c r="J1935" t="s">
        <v>46</v>
      </c>
      <c r="K1935" t="s">
        <v>1795</v>
      </c>
      <c r="L1935">
        <v>4</v>
      </c>
      <c r="M1935" s="5">
        <v>372.61</v>
      </c>
      <c r="N1935" s="6">
        <v>20</v>
      </c>
      <c r="O1935" s="5">
        <v>298.09</v>
      </c>
      <c r="P1935" s="5">
        <v>178.85</v>
      </c>
      <c r="Q1935" s="5">
        <v>1192.35</v>
      </c>
      <c r="R1935" s="5">
        <v>1087.12</v>
      </c>
      <c r="S1935" s="5">
        <v>105.23</v>
      </c>
      <c r="T1935" s="7">
        <v>0.0882542877510798</v>
      </c>
      <c r="U1935" t="s">
        <v>9</v>
      </c>
      <c r="V1935" t="s">
        <v>50</v>
      </c>
      <c r="W1935" t="s">
        <v>50</v>
      </c>
      <c r="X1935" t="s">
        <v>33</v>
      </c>
      <c r="Y1935" t="s">
        <v>4011</v>
      </c>
      <c r="Z1935" t="s">
        <v>101</v>
      </c>
    </row>
    <row r="1936" spans="1:26">
      <c r="A1936" t="s">
        <v>4012</v>
      </c>
      <c r="B1936" t="s">
        <v>4012</v>
      </c>
      <c r="C1936" s="4">
        <v>46047</v>
      </c>
      <c r="D1936">
        <v>2026</v>
      </c>
      <c r="E1936">
        <v>1</v>
      </c>
      <c r="F1936" t="s">
        <v>30</v>
      </c>
      <c r="G1936" t="s">
        <v>82</v>
      </c>
      <c r="H1936" t="s">
        <v>4013</v>
      </c>
      <c r="I1936" t="s">
        <v>219</v>
      </c>
      <c r="J1936" t="s">
        <v>610</v>
      </c>
      <c r="K1936" t="s">
        <v>3462</v>
      </c>
      <c r="L1936">
        <v>1</v>
      </c>
      <c r="M1936" s="5">
        <v>225.45</v>
      </c>
      <c r="N1936" s="6">
        <v>0</v>
      </c>
      <c r="O1936" s="5">
        <v>0</v>
      </c>
      <c r="P1936" s="5">
        <v>33.82</v>
      </c>
      <c r="Q1936" s="5">
        <v>259.27</v>
      </c>
      <c r="R1936" s="5">
        <v>190.9</v>
      </c>
      <c r="S1936" s="5">
        <v>68.37</v>
      </c>
      <c r="T1936" s="7">
        <v>0.263701932348517</v>
      </c>
      <c r="U1936" t="s">
        <v>11</v>
      </c>
      <c r="V1936" t="s">
        <v>50</v>
      </c>
      <c r="W1936" t="s">
        <v>50</v>
      </c>
      <c r="X1936" t="s">
        <v>33</v>
      </c>
      <c r="Y1936" t="s">
        <v>772</v>
      </c>
      <c r="Z1936" t="s">
        <v>80</v>
      </c>
    </row>
    <row r="1937" spans="1:26">
      <c r="A1937" t="s">
        <v>4014</v>
      </c>
      <c r="B1937" t="s">
        <v>4014</v>
      </c>
      <c r="C1937" s="4">
        <v>45954</v>
      </c>
      <c r="D1937">
        <v>2025</v>
      </c>
      <c r="E1937">
        <v>10</v>
      </c>
      <c r="F1937" t="s">
        <v>26</v>
      </c>
      <c r="G1937" t="s">
        <v>137</v>
      </c>
      <c r="H1937" t="s">
        <v>973</v>
      </c>
      <c r="I1937" t="s">
        <v>328</v>
      </c>
      <c r="J1937" t="s">
        <v>445</v>
      </c>
      <c r="K1937" t="s">
        <v>1262</v>
      </c>
      <c r="L1937">
        <v>6</v>
      </c>
      <c r="M1937" s="5">
        <v>126.77</v>
      </c>
      <c r="N1937" s="6">
        <v>20</v>
      </c>
      <c r="O1937" s="5">
        <v>152.12</v>
      </c>
      <c r="P1937" s="5">
        <v>91.28</v>
      </c>
      <c r="Q1937" s="5">
        <v>608.5</v>
      </c>
      <c r="R1937" s="5">
        <v>584.1</v>
      </c>
      <c r="S1937" s="5">
        <v>24.4</v>
      </c>
      <c r="T1937" s="7">
        <v>0.0400986031224322</v>
      </c>
      <c r="U1937" t="s">
        <v>11</v>
      </c>
      <c r="V1937" t="s">
        <v>51</v>
      </c>
      <c r="W1937" t="s">
        <v>51</v>
      </c>
      <c r="X1937" t="s">
        <v>35</v>
      </c>
      <c r="Y1937" t="s">
        <v>3771</v>
      </c>
      <c r="Z1937" t="s">
        <v>101</v>
      </c>
    </row>
    <row r="1938" spans="1:26">
      <c r="A1938" t="s">
        <v>4015</v>
      </c>
      <c r="B1938" t="s">
        <v>4015</v>
      </c>
      <c r="C1938" s="4">
        <v>45970</v>
      </c>
      <c r="D1938">
        <v>2025</v>
      </c>
      <c r="E1938">
        <v>11</v>
      </c>
      <c r="F1938" t="s">
        <v>27</v>
      </c>
      <c r="G1938" t="s">
        <v>137</v>
      </c>
      <c r="H1938" t="s">
        <v>2662</v>
      </c>
      <c r="I1938" t="s">
        <v>323</v>
      </c>
      <c r="J1938" t="s">
        <v>296</v>
      </c>
      <c r="K1938" t="s">
        <v>297</v>
      </c>
      <c r="L1938">
        <v>3</v>
      </c>
      <c r="M1938" s="5">
        <v>51.33</v>
      </c>
      <c r="N1938" s="6">
        <v>5</v>
      </c>
      <c r="O1938" s="5">
        <v>7.7</v>
      </c>
      <c r="P1938" s="5">
        <v>21.94</v>
      </c>
      <c r="Q1938" s="5">
        <v>168.23</v>
      </c>
      <c r="R1938" s="5">
        <v>112.44</v>
      </c>
      <c r="S1938" s="5">
        <v>55.79</v>
      </c>
      <c r="T1938" s="7">
        <v>0.331629317006479</v>
      </c>
      <c r="U1938" t="s">
        <v>14</v>
      </c>
      <c r="V1938" t="s">
        <v>50</v>
      </c>
      <c r="W1938" t="s">
        <v>50</v>
      </c>
      <c r="X1938" t="s">
        <v>33</v>
      </c>
      <c r="Y1938" t="s">
        <v>1523</v>
      </c>
      <c r="Z1938" t="s">
        <v>80</v>
      </c>
    </row>
    <row r="1939" spans="1:26">
      <c r="A1939" t="s">
        <v>4016</v>
      </c>
      <c r="B1939" t="s">
        <v>4016</v>
      </c>
      <c r="C1939" s="4">
        <v>46003</v>
      </c>
      <c r="D1939">
        <v>2025</v>
      </c>
      <c r="E1939">
        <v>12</v>
      </c>
      <c r="F1939" t="s">
        <v>28</v>
      </c>
      <c r="G1939" t="s">
        <v>137</v>
      </c>
      <c r="H1939" t="s">
        <v>497</v>
      </c>
      <c r="I1939" t="s">
        <v>219</v>
      </c>
      <c r="J1939" t="s">
        <v>214</v>
      </c>
      <c r="K1939" t="s">
        <v>215</v>
      </c>
      <c r="L1939">
        <v>7</v>
      </c>
      <c r="M1939" s="5">
        <v>249.05</v>
      </c>
      <c r="N1939" s="6">
        <v>20</v>
      </c>
      <c r="O1939" s="5">
        <v>348.67</v>
      </c>
      <c r="P1939" s="5">
        <v>209.2</v>
      </c>
      <c r="Q1939" s="5">
        <v>1394.68</v>
      </c>
      <c r="R1939" s="5">
        <v>1336.3</v>
      </c>
      <c r="S1939" s="5">
        <v>58.38</v>
      </c>
      <c r="T1939" s="7">
        <v>0.0418590644448906</v>
      </c>
      <c r="U1939" t="s">
        <v>10</v>
      </c>
      <c r="V1939" t="s">
        <v>50</v>
      </c>
      <c r="W1939" t="s">
        <v>50</v>
      </c>
      <c r="X1939" t="s">
        <v>33</v>
      </c>
      <c r="Y1939" t="s">
        <v>2106</v>
      </c>
      <c r="Z1939" t="s">
        <v>101</v>
      </c>
    </row>
    <row r="1940" spans="1:26">
      <c r="A1940" t="s">
        <v>4017</v>
      </c>
      <c r="B1940" t="s">
        <v>4017</v>
      </c>
      <c r="C1940" s="4">
        <v>45860</v>
      </c>
      <c r="D1940">
        <v>2025</v>
      </c>
      <c r="E1940">
        <v>7</v>
      </c>
      <c r="F1940" t="s">
        <v>23</v>
      </c>
      <c r="G1940" t="s">
        <v>89</v>
      </c>
      <c r="H1940" t="s">
        <v>1041</v>
      </c>
      <c r="I1940" t="s">
        <v>774</v>
      </c>
      <c r="J1940" t="s">
        <v>676</v>
      </c>
      <c r="K1940" t="s">
        <v>2051</v>
      </c>
      <c r="L1940">
        <v>4</v>
      </c>
      <c r="M1940" s="5">
        <v>661.91</v>
      </c>
      <c r="N1940" s="6">
        <v>15</v>
      </c>
      <c r="O1940" s="5">
        <v>397.15</v>
      </c>
      <c r="P1940" s="5">
        <v>337.57</v>
      </c>
      <c r="Q1940" s="5">
        <v>2250.49</v>
      </c>
      <c r="R1940" s="5">
        <v>1594.88</v>
      </c>
      <c r="S1940" s="5">
        <v>655.61</v>
      </c>
      <c r="T1940" s="7">
        <v>0.291318779465805</v>
      </c>
      <c r="U1940" t="s">
        <v>13</v>
      </c>
      <c r="V1940" t="s">
        <v>50</v>
      </c>
      <c r="W1940" t="s">
        <v>50</v>
      </c>
      <c r="X1940" t="s">
        <v>33</v>
      </c>
      <c r="Y1940" t="s">
        <v>2445</v>
      </c>
      <c r="Z1940" t="s">
        <v>101</v>
      </c>
    </row>
    <row r="1941" spans="1:26">
      <c r="A1941" t="s">
        <v>4018</v>
      </c>
      <c r="B1941" t="s">
        <v>4018</v>
      </c>
      <c r="C1941" s="4">
        <v>45843</v>
      </c>
      <c r="D1941">
        <v>2025</v>
      </c>
      <c r="E1941">
        <v>7</v>
      </c>
      <c r="F1941" t="s">
        <v>23</v>
      </c>
      <c r="G1941" t="s">
        <v>89</v>
      </c>
      <c r="H1941" t="s">
        <v>1898</v>
      </c>
      <c r="I1941" t="s">
        <v>290</v>
      </c>
      <c r="J1941" t="s">
        <v>47</v>
      </c>
      <c r="K1941" t="s">
        <v>1197</v>
      </c>
      <c r="L1941">
        <v>2</v>
      </c>
      <c r="M1941" s="5">
        <v>80.5</v>
      </c>
      <c r="N1941" s="6">
        <v>10</v>
      </c>
      <c r="O1941" s="5">
        <v>16.1</v>
      </c>
      <c r="P1941" s="5">
        <v>21.74</v>
      </c>
      <c r="Q1941" s="5">
        <v>166.63</v>
      </c>
      <c r="R1941" s="5">
        <v>124.5</v>
      </c>
      <c r="S1941" s="5">
        <v>42.13</v>
      </c>
      <c r="T1941" s="7">
        <v>0.252835623837244</v>
      </c>
      <c r="U1941" t="s">
        <v>13</v>
      </c>
      <c r="V1941" t="s">
        <v>50</v>
      </c>
      <c r="W1941" t="s">
        <v>50</v>
      </c>
      <c r="X1941" t="s">
        <v>33</v>
      </c>
      <c r="Y1941" t="s">
        <v>2054</v>
      </c>
      <c r="Z1941" t="s">
        <v>80</v>
      </c>
    </row>
    <row r="1942" spans="1:26">
      <c r="A1942" t="s">
        <v>4019</v>
      </c>
      <c r="B1942" t="s">
        <v>4019</v>
      </c>
      <c r="C1942" s="4">
        <v>46109</v>
      </c>
      <c r="D1942">
        <v>2026</v>
      </c>
      <c r="E1942">
        <v>3</v>
      </c>
      <c r="F1942" t="s">
        <v>19</v>
      </c>
      <c r="G1942" t="s">
        <v>82</v>
      </c>
      <c r="H1942" t="s">
        <v>1685</v>
      </c>
      <c r="I1942" t="s">
        <v>924</v>
      </c>
      <c r="J1942" t="s">
        <v>1940</v>
      </c>
      <c r="K1942" t="s">
        <v>1972</v>
      </c>
      <c r="L1942">
        <v>3</v>
      </c>
      <c r="M1942" s="5">
        <v>262.77</v>
      </c>
      <c r="N1942" s="6">
        <v>0</v>
      </c>
      <c r="O1942" s="5">
        <v>0</v>
      </c>
      <c r="P1942" s="5">
        <v>118.25</v>
      </c>
      <c r="Q1942" s="5">
        <v>906.56</v>
      </c>
      <c r="R1942" s="5">
        <v>583.92</v>
      </c>
      <c r="S1942" s="5">
        <v>322.64</v>
      </c>
      <c r="T1942" s="7">
        <v>0.355894811154253</v>
      </c>
      <c r="U1942" t="s">
        <v>12</v>
      </c>
      <c r="V1942" t="s">
        <v>50</v>
      </c>
      <c r="W1942" t="s">
        <v>50</v>
      </c>
      <c r="X1942" t="s">
        <v>33</v>
      </c>
      <c r="Y1942" t="s">
        <v>4020</v>
      </c>
      <c r="Z1942" t="s">
        <v>80</v>
      </c>
    </row>
    <row r="1943" spans="1:26">
      <c r="A1943" t="s">
        <v>4021</v>
      </c>
      <c r="B1943" t="s">
        <v>4021</v>
      </c>
      <c r="C1943" s="4">
        <v>45960</v>
      </c>
      <c r="D1943">
        <v>2025</v>
      </c>
      <c r="E1943">
        <v>10</v>
      </c>
      <c r="F1943" t="s">
        <v>26</v>
      </c>
      <c r="G1943" t="s">
        <v>137</v>
      </c>
      <c r="H1943" t="s">
        <v>2173</v>
      </c>
      <c r="I1943" t="s">
        <v>139</v>
      </c>
      <c r="J1943" t="s">
        <v>1381</v>
      </c>
      <c r="K1943" t="s">
        <v>1382</v>
      </c>
      <c r="L1943">
        <v>3</v>
      </c>
      <c r="M1943" s="5">
        <v>41.19</v>
      </c>
      <c r="N1943" s="6">
        <v>0</v>
      </c>
      <c r="O1943" s="5">
        <v>0</v>
      </c>
      <c r="P1943" s="5">
        <v>18.54</v>
      </c>
      <c r="Q1943" s="5">
        <v>123.57</v>
      </c>
      <c r="R1943" s="5">
        <v>97.2</v>
      </c>
      <c r="S1943" s="5">
        <v>26.37</v>
      </c>
      <c r="T1943" s="7">
        <v>0.213401310997815</v>
      </c>
      <c r="U1943" t="s">
        <v>10</v>
      </c>
      <c r="V1943" t="s">
        <v>50</v>
      </c>
      <c r="W1943" t="s">
        <v>50</v>
      </c>
      <c r="X1943" t="s">
        <v>33</v>
      </c>
      <c r="Y1943" t="s">
        <v>2752</v>
      </c>
      <c r="Z1943" t="s">
        <v>101</v>
      </c>
    </row>
    <row r="1944" spans="1:26">
      <c r="A1944" t="s">
        <v>4022</v>
      </c>
      <c r="B1944" t="s">
        <v>4022</v>
      </c>
      <c r="C1944" s="4">
        <v>45997</v>
      </c>
      <c r="D1944">
        <v>2025</v>
      </c>
      <c r="E1944">
        <v>12</v>
      </c>
      <c r="F1944" t="s">
        <v>28</v>
      </c>
      <c r="G1944" t="s">
        <v>137</v>
      </c>
      <c r="H1944" t="s">
        <v>2173</v>
      </c>
      <c r="I1944" t="s">
        <v>787</v>
      </c>
      <c r="J1944" t="s">
        <v>246</v>
      </c>
      <c r="K1944" t="s">
        <v>736</v>
      </c>
      <c r="L1944">
        <v>6</v>
      </c>
      <c r="M1944" s="5">
        <v>179.24</v>
      </c>
      <c r="N1944" s="6">
        <v>0</v>
      </c>
      <c r="O1944" s="5">
        <v>0</v>
      </c>
      <c r="P1944" s="5">
        <v>161.32</v>
      </c>
      <c r="Q1944" s="5">
        <v>1236.76</v>
      </c>
      <c r="R1944" s="5">
        <v>613.38</v>
      </c>
      <c r="S1944" s="5">
        <v>623.38</v>
      </c>
      <c r="T1944" s="7">
        <v>0.504042821566027</v>
      </c>
      <c r="U1944" t="s">
        <v>12</v>
      </c>
      <c r="V1944" t="s">
        <v>50</v>
      </c>
      <c r="W1944" t="s">
        <v>50</v>
      </c>
      <c r="X1944" t="s">
        <v>33</v>
      </c>
      <c r="Y1944" t="s">
        <v>2932</v>
      </c>
      <c r="Z1944" t="s">
        <v>80</v>
      </c>
    </row>
    <row r="1945" spans="1:26">
      <c r="A1945" t="s">
        <v>4023</v>
      </c>
      <c r="B1945" t="s">
        <v>4023</v>
      </c>
      <c r="C1945" s="4">
        <v>46094</v>
      </c>
      <c r="D1945">
        <v>2026</v>
      </c>
      <c r="E1945">
        <v>3</v>
      </c>
      <c r="F1945" t="s">
        <v>19</v>
      </c>
      <c r="G1945" t="s">
        <v>82</v>
      </c>
      <c r="H1945" t="s">
        <v>646</v>
      </c>
      <c r="I1945" t="s">
        <v>913</v>
      </c>
      <c r="J1945" t="s">
        <v>872</v>
      </c>
      <c r="K1945" t="s">
        <v>873</v>
      </c>
      <c r="L1945">
        <v>3</v>
      </c>
      <c r="M1945" s="5">
        <v>244.28</v>
      </c>
      <c r="N1945" s="6">
        <v>20</v>
      </c>
      <c r="O1945" s="5">
        <v>146.57</v>
      </c>
      <c r="P1945" s="5">
        <v>87.94</v>
      </c>
      <c r="Q1945" s="5">
        <v>586.27</v>
      </c>
      <c r="R1945" s="5">
        <v>474.18</v>
      </c>
      <c r="S1945" s="5">
        <v>112.09</v>
      </c>
      <c r="T1945" s="7">
        <v>0.191191771709281</v>
      </c>
      <c r="U1945" t="s">
        <v>11</v>
      </c>
      <c r="V1945" t="s">
        <v>50</v>
      </c>
      <c r="W1945" t="s">
        <v>50</v>
      </c>
      <c r="X1945" t="s">
        <v>33</v>
      </c>
      <c r="Y1945" t="s">
        <v>4024</v>
      </c>
      <c r="Z1945" t="s">
        <v>101</v>
      </c>
    </row>
    <row r="1946" spans="1:26">
      <c r="A1946" t="s">
        <v>4025</v>
      </c>
      <c r="B1946" t="s">
        <v>4025</v>
      </c>
      <c r="C1946" s="4">
        <v>45961</v>
      </c>
      <c r="D1946">
        <v>2025</v>
      </c>
      <c r="E1946">
        <v>10</v>
      </c>
      <c r="F1946" t="s">
        <v>26</v>
      </c>
      <c r="G1946" t="s">
        <v>137</v>
      </c>
      <c r="H1946" t="s">
        <v>605</v>
      </c>
      <c r="I1946" t="s">
        <v>262</v>
      </c>
      <c r="J1946" t="s">
        <v>713</v>
      </c>
      <c r="K1946" t="s">
        <v>704</v>
      </c>
      <c r="L1946">
        <v>7</v>
      </c>
      <c r="M1946" s="5">
        <v>153.31</v>
      </c>
      <c r="N1946" s="6">
        <v>0</v>
      </c>
      <c r="O1946" s="5">
        <v>0</v>
      </c>
      <c r="P1946" s="5">
        <v>160.98</v>
      </c>
      <c r="Q1946" s="5">
        <v>1073.17</v>
      </c>
      <c r="R1946" s="5">
        <v>789.6</v>
      </c>
      <c r="S1946" s="5">
        <v>283.57</v>
      </c>
      <c r="T1946" s="7">
        <v>0.264235861978997</v>
      </c>
      <c r="U1946" t="s">
        <v>11</v>
      </c>
      <c r="V1946" t="s">
        <v>50</v>
      </c>
      <c r="W1946" t="s">
        <v>50</v>
      </c>
      <c r="X1946" t="s">
        <v>34</v>
      </c>
      <c r="Y1946" t="s">
        <v>1859</v>
      </c>
      <c r="Z1946" t="s">
        <v>101</v>
      </c>
    </row>
    <row r="1947" spans="1:26">
      <c r="A1947" t="s">
        <v>4026</v>
      </c>
      <c r="B1947" t="s">
        <v>4026</v>
      </c>
      <c r="C1947" s="4">
        <v>46040</v>
      </c>
      <c r="D1947">
        <v>2026</v>
      </c>
      <c r="E1947">
        <v>1</v>
      </c>
      <c r="F1947" t="s">
        <v>30</v>
      </c>
      <c r="G1947" t="s">
        <v>82</v>
      </c>
      <c r="H1947" t="s">
        <v>1070</v>
      </c>
      <c r="I1947" t="s">
        <v>1511</v>
      </c>
      <c r="J1947" t="s">
        <v>85</v>
      </c>
      <c r="K1947" t="s">
        <v>86</v>
      </c>
      <c r="L1947">
        <v>8</v>
      </c>
      <c r="M1947" s="5">
        <v>189.3</v>
      </c>
      <c r="N1947" s="6">
        <v>0</v>
      </c>
      <c r="O1947" s="5">
        <v>0</v>
      </c>
      <c r="P1947" s="5">
        <v>227.16</v>
      </c>
      <c r="Q1947" s="5">
        <v>1741.56</v>
      </c>
      <c r="R1947" s="5">
        <v>1267.44</v>
      </c>
      <c r="S1947" s="5">
        <v>474.12</v>
      </c>
      <c r="T1947" s="7">
        <v>0.272238682560463</v>
      </c>
      <c r="U1947" t="s">
        <v>14</v>
      </c>
      <c r="V1947" t="s">
        <v>50</v>
      </c>
      <c r="W1947" t="s">
        <v>50</v>
      </c>
      <c r="X1947" t="s">
        <v>34</v>
      </c>
      <c r="Y1947" t="s">
        <v>841</v>
      </c>
      <c r="Z1947" t="s">
        <v>80</v>
      </c>
    </row>
    <row r="1948" spans="1:26">
      <c r="A1948" t="s">
        <v>4027</v>
      </c>
      <c r="B1948" t="s">
        <v>4027</v>
      </c>
      <c r="C1948" s="4">
        <v>45962</v>
      </c>
      <c r="D1948">
        <v>2025</v>
      </c>
      <c r="E1948">
        <v>11</v>
      </c>
      <c r="F1948" t="s">
        <v>27</v>
      </c>
      <c r="G1948" t="s">
        <v>137</v>
      </c>
      <c r="H1948" t="s">
        <v>1489</v>
      </c>
      <c r="I1948" t="s">
        <v>429</v>
      </c>
      <c r="J1948" t="s">
        <v>1834</v>
      </c>
      <c r="K1948" t="s">
        <v>1835</v>
      </c>
      <c r="L1948">
        <v>5</v>
      </c>
      <c r="M1948" s="5">
        <v>389.61</v>
      </c>
      <c r="N1948" s="6">
        <v>5</v>
      </c>
      <c r="O1948" s="5">
        <v>97.4</v>
      </c>
      <c r="P1948" s="5">
        <v>277.6</v>
      </c>
      <c r="Q1948" s="5">
        <v>2128.25</v>
      </c>
      <c r="R1948" s="5">
        <v>1680.35</v>
      </c>
      <c r="S1948" s="5">
        <v>447.9</v>
      </c>
      <c r="T1948" s="7">
        <v>0.21045459884882</v>
      </c>
      <c r="U1948" t="s">
        <v>14</v>
      </c>
      <c r="V1948" t="s">
        <v>50</v>
      </c>
      <c r="W1948" t="s">
        <v>50</v>
      </c>
      <c r="X1948" t="s">
        <v>33</v>
      </c>
      <c r="Y1948" t="s">
        <v>1087</v>
      </c>
      <c r="Z1948" t="s">
        <v>80</v>
      </c>
    </row>
    <row r="1949" spans="1:26">
      <c r="A1949" t="s">
        <v>4028</v>
      </c>
      <c r="B1949" t="s">
        <v>4028</v>
      </c>
      <c r="C1949" s="4">
        <v>46099</v>
      </c>
      <c r="D1949">
        <v>2026</v>
      </c>
      <c r="E1949">
        <v>3</v>
      </c>
      <c r="F1949" t="s">
        <v>19</v>
      </c>
      <c r="G1949" t="s">
        <v>82</v>
      </c>
      <c r="H1949" t="s">
        <v>4029</v>
      </c>
      <c r="I1949" t="s">
        <v>151</v>
      </c>
      <c r="J1949" t="s">
        <v>208</v>
      </c>
      <c r="K1949" t="s">
        <v>407</v>
      </c>
      <c r="L1949">
        <v>2</v>
      </c>
      <c r="M1949" s="5">
        <v>434.65</v>
      </c>
      <c r="N1949" s="6">
        <v>0</v>
      </c>
      <c r="O1949" s="5">
        <v>0</v>
      </c>
      <c r="P1949" s="5">
        <v>130.39</v>
      </c>
      <c r="Q1949" s="5">
        <v>869.3</v>
      </c>
      <c r="R1949" s="5">
        <v>703.26</v>
      </c>
      <c r="S1949" s="5">
        <v>166.04</v>
      </c>
      <c r="T1949" s="7">
        <v>0.191004256298171</v>
      </c>
      <c r="U1949" t="s">
        <v>14</v>
      </c>
      <c r="V1949" t="s">
        <v>50</v>
      </c>
      <c r="W1949" t="s">
        <v>50</v>
      </c>
      <c r="X1949" t="s">
        <v>33</v>
      </c>
      <c r="Y1949" t="s">
        <v>216</v>
      </c>
      <c r="Z1949" t="s">
        <v>101</v>
      </c>
    </row>
    <row r="1950" spans="1:26">
      <c r="A1950" t="s">
        <v>4030</v>
      </c>
      <c r="B1950" t="s">
        <v>4030</v>
      </c>
      <c r="C1950" s="4">
        <v>45802</v>
      </c>
      <c r="D1950">
        <v>2025</v>
      </c>
      <c r="E1950">
        <v>5</v>
      </c>
      <c r="F1950" t="s">
        <v>21</v>
      </c>
      <c r="G1950" t="s">
        <v>74</v>
      </c>
      <c r="H1950" t="s">
        <v>3704</v>
      </c>
      <c r="I1950" t="s">
        <v>362</v>
      </c>
      <c r="J1950" t="s">
        <v>1208</v>
      </c>
      <c r="K1950" t="s">
        <v>747</v>
      </c>
      <c r="L1950">
        <v>5</v>
      </c>
      <c r="M1950" s="5">
        <v>329.69</v>
      </c>
      <c r="N1950" s="6">
        <v>15</v>
      </c>
      <c r="O1950" s="5">
        <v>247.27</v>
      </c>
      <c r="P1950" s="5">
        <v>210.18</v>
      </c>
      <c r="Q1950" s="5">
        <v>1611.36</v>
      </c>
      <c r="R1950" s="5">
        <v>1236.25</v>
      </c>
      <c r="S1950" s="5">
        <v>375.11</v>
      </c>
      <c r="T1950" s="7">
        <v>0.232790934366001</v>
      </c>
      <c r="U1950" t="s">
        <v>10</v>
      </c>
      <c r="V1950" t="s">
        <v>50</v>
      </c>
      <c r="W1950" t="s">
        <v>50</v>
      </c>
      <c r="X1950" t="s">
        <v>33</v>
      </c>
      <c r="Y1950" t="s">
        <v>4031</v>
      </c>
      <c r="Z1950" t="s">
        <v>80</v>
      </c>
    </row>
    <row r="1951" spans="1:26">
      <c r="A1951" t="s">
        <v>4032</v>
      </c>
      <c r="B1951" t="s">
        <v>4032</v>
      </c>
      <c r="C1951" s="4">
        <v>45982</v>
      </c>
      <c r="D1951">
        <v>2025</v>
      </c>
      <c r="E1951">
        <v>11</v>
      </c>
      <c r="F1951" t="s">
        <v>27</v>
      </c>
      <c r="G1951" t="s">
        <v>137</v>
      </c>
      <c r="H1951" t="s">
        <v>1983</v>
      </c>
      <c r="I1951" t="s">
        <v>169</v>
      </c>
      <c r="J1951" t="s">
        <v>723</v>
      </c>
      <c r="K1951" t="s">
        <v>2229</v>
      </c>
      <c r="L1951">
        <v>3</v>
      </c>
      <c r="M1951" s="5">
        <v>141.82</v>
      </c>
      <c r="N1951" s="6">
        <v>0</v>
      </c>
      <c r="O1951" s="5">
        <v>0</v>
      </c>
      <c r="P1951" s="5">
        <v>63.82</v>
      </c>
      <c r="Q1951" s="5">
        <v>425.46</v>
      </c>
      <c r="R1951" s="5">
        <v>347.73</v>
      </c>
      <c r="S1951" s="5">
        <v>77.73</v>
      </c>
      <c r="T1951" s="7">
        <v>0.182696375687491</v>
      </c>
      <c r="U1951" t="s">
        <v>12</v>
      </c>
      <c r="V1951" t="s">
        <v>50</v>
      </c>
      <c r="W1951" t="s">
        <v>50</v>
      </c>
      <c r="X1951" t="s">
        <v>33</v>
      </c>
      <c r="Y1951" t="s">
        <v>3868</v>
      </c>
      <c r="Z1951" t="s">
        <v>101</v>
      </c>
    </row>
    <row r="1952" spans="1:26">
      <c r="A1952" t="s">
        <v>4033</v>
      </c>
      <c r="B1952" t="s">
        <v>4033</v>
      </c>
      <c r="C1952" s="4">
        <v>45871</v>
      </c>
      <c r="D1952">
        <v>2025</v>
      </c>
      <c r="E1952">
        <v>8</v>
      </c>
      <c r="F1952" t="s">
        <v>24</v>
      </c>
      <c r="G1952" t="s">
        <v>89</v>
      </c>
      <c r="H1952" t="s">
        <v>918</v>
      </c>
      <c r="I1952" t="s">
        <v>2026</v>
      </c>
      <c r="J1952" t="s">
        <v>46</v>
      </c>
      <c r="K1952" t="s">
        <v>402</v>
      </c>
      <c r="L1952">
        <v>7</v>
      </c>
      <c r="M1952" s="5">
        <v>389.96</v>
      </c>
      <c r="N1952" s="6">
        <v>15</v>
      </c>
      <c r="O1952" s="5">
        <v>409.46</v>
      </c>
      <c r="P1952" s="5">
        <v>348.04</v>
      </c>
      <c r="Q1952" s="5">
        <v>2668.3</v>
      </c>
      <c r="R1952" s="5">
        <v>1820.42</v>
      </c>
      <c r="S1952" s="5">
        <v>847.88</v>
      </c>
      <c r="T1952" s="7">
        <v>0.317760371772289</v>
      </c>
      <c r="U1952" t="s">
        <v>14</v>
      </c>
      <c r="V1952" t="s">
        <v>50</v>
      </c>
      <c r="W1952" t="s">
        <v>50</v>
      </c>
      <c r="X1952" t="s">
        <v>35</v>
      </c>
      <c r="Y1952" t="s">
        <v>983</v>
      </c>
      <c r="Z1952" t="s">
        <v>80</v>
      </c>
    </row>
    <row r="1953" spans="1:26">
      <c r="A1953" t="s">
        <v>4034</v>
      </c>
      <c r="B1953" t="s">
        <v>4034</v>
      </c>
      <c r="C1953" s="4">
        <v>45769</v>
      </c>
      <c r="D1953">
        <v>2025</v>
      </c>
      <c r="E1953">
        <v>4</v>
      </c>
      <c r="F1953" t="s">
        <v>20</v>
      </c>
      <c r="G1953" t="s">
        <v>74</v>
      </c>
      <c r="H1953" t="s">
        <v>2996</v>
      </c>
      <c r="I1953" t="s">
        <v>279</v>
      </c>
      <c r="J1953" t="s">
        <v>1435</v>
      </c>
      <c r="K1953" t="s">
        <v>1634</v>
      </c>
      <c r="L1953">
        <v>2</v>
      </c>
      <c r="M1953" s="5">
        <v>418.79</v>
      </c>
      <c r="N1953" s="6">
        <v>10</v>
      </c>
      <c r="O1953" s="5">
        <v>83.76</v>
      </c>
      <c r="P1953" s="5">
        <v>113.07</v>
      </c>
      <c r="Q1953" s="5">
        <v>753.82</v>
      </c>
      <c r="R1953" s="5">
        <v>617.88</v>
      </c>
      <c r="S1953" s="5">
        <v>135.94</v>
      </c>
      <c r="T1953" s="7">
        <v>0.18033482794301</v>
      </c>
      <c r="U1953" t="s">
        <v>12</v>
      </c>
      <c r="V1953" t="s">
        <v>50</v>
      </c>
      <c r="W1953" t="s">
        <v>50</v>
      </c>
      <c r="X1953" t="s">
        <v>33</v>
      </c>
      <c r="Y1953" t="s">
        <v>887</v>
      </c>
      <c r="Z1953" t="s">
        <v>101</v>
      </c>
    </row>
    <row r="1954" spans="1:26">
      <c r="A1954" t="s">
        <v>4035</v>
      </c>
      <c r="B1954" t="s">
        <v>4035</v>
      </c>
      <c r="C1954" s="4">
        <v>45917</v>
      </c>
      <c r="D1954">
        <v>2025</v>
      </c>
      <c r="E1954">
        <v>9</v>
      </c>
      <c r="F1954" t="s">
        <v>25</v>
      </c>
      <c r="G1954" t="s">
        <v>89</v>
      </c>
      <c r="H1954" t="s">
        <v>2516</v>
      </c>
      <c r="I1954" t="s">
        <v>450</v>
      </c>
      <c r="J1954" t="s">
        <v>208</v>
      </c>
      <c r="K1954" t="s">
        <v>709</v>
      </c>
      <c r="L1954">
        <v>4</v>
      </c>
      <c r="M1954" s="5">
        <v>440.5</v>
      </c>
      <c r="N1954" s="6">
        <v>20</v>
      </c>
      <c r="O1954" s="5">
        <v>352.4</v>
      </c>
      <c r="P1954" s="5">
        <v>211.44</v>
      </c>
      <c r="Q1954" s="5">
        <v>1409.6</v>
      </c>
      <c r="R1954" s="5">
        <v>1016.2</v>
      </c>
      <c r="S1954" s="5">
        <v>393.4</v>
      </c>
      <c r="T1954" s="7">
        <v>0.279086265607265</v>
      </c>
      <c r="U1954" t="s">
        <v>13</v>
      </c>
      <c r="V1954" t="s">
        <v>50</v>
      </c>
      <c r="W1954" t="s">
        <v>50</v>
      </c>
      <c r="X1954" t="s">
        <v>33</v>
      </c>
      <c r="Y1954" t="s">
        <v>2327</v>
      </c>
      <c r="Z1954" t="s">
        <v>101</v>
      </c>
    </row>
    <row r="1955" spans="1:26">
      <c r="A1955" t="s">
        <v>4036</v>
      </c>
      <c r="B1955" t="s">
        <v>4036</v>
      </c>
      <c r="C1955" s="4">
        <v>45940</v>
      </c>
      <c r="D1955">
        <v>2025</v>
      </c>
      <c r="E1955">
        <v>10</v>
      </c>
      <c r="F1955" t="s">
        <v>26</v>
      </c>
      <c r="G1955" t="s">
        <v>137</v>
      </c>
      <c r="H1955" t="s">
        <v>2178</v>
      </c>
      <c r="I1955" t="s">
        <v>854</v>
      </c>
      <c r="J1955" t="s">
        <v>681</v>
      </c>
      <c r="K1955" t="s">
        <v>1093</v>
      </c>
      <c r="L1955">
        <v>1</v>
      </c>
      <c r="M1955" s="5">
        <v>530.16</v>
      </c>
      <c r="N1955" s="6">
        <v>0</v>
      </c>
      <c r="O1955" s="5">
        <v>0</v>
      </c>
      <c r="P1955" s="5">
        <v>79.52</v>
      </c>
      <c r="Q1955" s="5">
        <v>530.16</v>
      </c>
      <c r="R1955" s="5">
        <v>379.19</v>
      </c>
      <c r="S1955" s="5">
        <v>150.97</v>
      </c>
      <c r="T1955" s="7">
        <v>0.284763090387807</v>
      </c>
      <c r="U1955" t="s">
        <v>11</v>
      </c>
      <c r="V1955" t="s">
        <v>50</v>
      </c>
      <c r="W1955" t="s">
        <v>50</v>
      </c>
      <c r="X1955" t="s">
        <v>35</v>
      </c>
      <c r="Y1955" t="s">
        <v>371</v>
      </c>
      <c r="Z1955" t="s">
        <v>101</v>
      </c>
    </row>
    <row r="1956" spans="1:26">
      <c r="A1956" t="s">
        <v>4037</v>
      </c>
      <c r="B1956" t="s">
        <v>4037</v>
      </c>
      <c r="C1956" s="4">
        <v>46032</v>
      </c>
      <c r="D1956">
        <v>2026</v>
      </c>
      <c r="E1956">
        <v>1</v>
      </c>
      <c r="F1956" t="s">
        <v>30</v>
      </c>
      <c r="G1956" t="s">
        <v>82</v>
      </c>
      <c r="H1956" t="s">
        <v>1848</v>
      </c>
      <c r="I1956" t="s">
        <v>323</v>
      </c>
      <c r="J1956" t="s">
        <v>813</v>
      </c>
      <c r="K1956" t="s">
        <v>611</v>
      </c>
      <c r="L1956">
        <v>3</v>
      </c>
      <c r="M1956" s="5">
        <v>51.33</v>
      </c>
      <c r="N1956" s="6">
        <v>20</v>
      </c>
      <c r="O1956" s="5">
        <v>30.8</v>
      </c>
      <c r="P1956" s="5">
        <v>18.48</v>
      </c>
      <c r="Q1956" s="5">
        <v>141.67</v>
      </c>
      <c r="R1956" s="5">
        <v>112.44</v>
      </c>
      <c r="S1956" s="5">
        <v>29.23</v>
      </c>
      <c r="T1956" s="7">
        <v>0.206324557069245</v>
      </c>
      <c r="U1956" t="s">
        <v>9</v>
      </c>
      <c r="V1956" t="s">
        <v>50</v>
      </c>
      <c r="W1956" t="s">
        <v>50</v>
      </c>
      <c r="X1956" t="s">
        <v>33</v>
      </c>
      <c r="Y1956" t="s">
        <v>276</v>
      </c>
      <c r="Z1956" t="s">
        <v>80</v>
      </c>
    </row>
    <row r="1957" spans="1:26">
      <c r="A1957" t="s">
        <v>4038</v>
      </c>
      <c r="B1957" t="s">
        <v>4038</v>
      </c>
      <c r="C1957" s="4">
        <v>46067</v>
      </c>
      <c r="D1957">
        <v>2026</v>
      </c>
      <c r="E1957">
        <v>2</v>
      </c>
      <c r="F1957" t="s">
        <v>31</v>
      </c>
      <c r="G1957" t="s">
        <v>82</v>
      </c>
      <c r="H1957" t="s">
        <v>1456</v>
      </c>
      <c r="I1957" t="s">
        <v>434</v>
      </c>
      <c r="J1957" t="s">
        <v>158</v>
      </c>
      <c r="K1957" t="s">
        <v>1985</v>
      </c>
      <c r="L1957">
        <v>2</v>
      </c>
      <c r="M1957" s="5">
        <v>83.13</v>
      </c>
      <c r="N1957" s="6">
        <v>5</v>
      </c>
      <c r="O1957" s="5">
        <v>8.31</v>
      </c>
      <c r="P1957" s="5">
        <v>23.69</v>
      </c>
      <c r="Q1957" s="5">
        <v>181.64</v>
      </c>
      <c r="R1957" s="5">
        <v>138.18</v>
      </c>
      <c r="S1957" s="5">
        <v>43.46</v>
      </c>
      <c r="T1957" s="7">
        <v>0.239264479189606</v>
      </c>
      <c r="U1957" t="s">
        <v>12</v>
      </c>
      <c r="V1957" t="s">
        <v>50</v>
      </c>
      <c r="W1957" t="s">
        <v>50</v>
      </c>
      <c r="X1957" t="s">
        <v>33</v>
      </c>
      <c r="Y1957" t="s">
        <v>1852</v>
      </c>
      <c r="Z1957" t="s">
        <v>80</v>
      </c>
    </row>
    <row r="1958" spans="1:26">
      <c r="A1958" t="s">
        <v>4039</v>
      </c>
      <c r="B1958" t="s">
        <v>4039</v>
      </c>
      <c r="C1958" s="4">
        <v>45939</v>
      </c>
      <c r="D1958">
        <v>2025</v>
      </c>
      <c r="E1958">
        <v>10</v>
      </c>
      <c r="F1958" t="s">
        <v>26</v>
      </c>
      <c r="G1958" t="s">
        <v>137</v>
      </c>
      <c r="H1958" t="s">
        <v>1732</v>
      </c>
      <c r="I1958" t="s">
        <v>1051</v>
      </c>
      <c r="J1958" t="s">
        <v>713</v>
      </c>
      <c r="K1958" t="s">
        <v>798</v>
      </c>
      <c r="L1958">
        <v>2</v>
      </c>
      <c r="M1958" s="5">
        <v>261.55</v>
      </c>
      <c r="N1958" s="6">
        <v>0</v>
      </c>
      <c r="O1958" s="5">
        <v>0</v>
      </c>
      <c r="P1958" s="5">
        <v>78.46</v>
      </c>
      <c r="Q1958" s="5">
        <v>523.1</v>
      </c>
      <c r="R1958" s="5">
        <v>430.06</v>
      </c>
      <c r="S1958" s="5">
        <v>93.04</v>
      </c>
      <c r="T1958" s="7">
        <v>0.177862741349646</v>
      </c>
      <c r="U1958" t="s">
        <v>13</v>
      </c>
      <c r="V1958" t="s">
        <v>50</v>
      </c>
      <c r="W1958" t="s">
        <v>50</v>
      </c>
      <c r="X1958" t="s">
        <v>33</v>
      </c>
      <c r="Y1958" t="s">
        <v>1520</v>
      </c>
      <c r="Z1958" t="s">
        <v>101</v>
      </c>
    </row>
    <row r="1959" spans="1:26">
      <c r="A1959" t="s">
        <v>4040</v>
      </c>
      <c r="B1959" t="s">
        <v>4040</v>
      </c>
      <c r="C1959" s="4">
        <v>45926</v>
      </c>
      <c r="D1959">
        <v>2025</v>
      </c>
      <c r="E1959">
        <v>9</v>
      </c>
      <c r="F1959" t="s">
        <v>25</v>
      </c>
      <c r="G1959" t="s">
        <v>89</v>
      </c>
      <c r="H1959" t="s">
        <v>2330</v>
      </c>
      <c r="I1959" t="s">
        <v>429</v>
      </c>
      <c r="J1959" t="s">
        <v>40</v>
      </c>
      <c r="K1959" t="s">
        <v>2247</v>
      </c>
      <c r="L1959">
        <v>3</v>
      </c>
      <c r="M1959" s="5">
        <v>389.61</v>
      </c>
      <c r="N1959" s="6">
        <v>0</v>
      </c>
      <c r="O1959" s="5">
        <v>0</v>
      </c>
      <c r="P1959" s="5">
        <v>175.32</v>
      </c>
      <c r="Q1959" s="5">
        <v>1168.83</v>
      </c>
      <c r="R1959" s="5">
        <v>1008.21</v>
      </c>
      <c r="S1959" s="5">
        <v>160.62</v>
      </c>
      <c r="T1959" s="7">
        <v>0.137419470752804</v>
      </c>
      <c r="U1959" t="s">
        <v>9</v>
      </c>
      <c r="V1959" t="s">
        <v>50</v>
      </c>
      <c r="W1959" t="s">
        <v>50</v>
      </c>
      <c r="X1959" t="s">
        <v>33</v>
      </c>
      <c r="Y1959" t="s">
        <v>3097</v>
      </c>
      <c r="Z1959" t="s">
        <v>101</v>
      </c>
    </row>
    <row r="1960" spans="1:26">
      <c r="A1960" t="s">
        <v>4041</v>
      </c>
      <c r="B1960" t="s">
        <v>4041</v>
      </c>
      <c r="C1960" s="4">
        <v>45931</v>
      </c>
      <c r="D1960">
        <v>2025</v>
      </c>
      <c r="E1960">
        <v>10</v>
      </c>
      <c r="F1960" t="s">
        <v>26</v>
      </c>
      <c r="G1960" t="s">
        <v>137</v>
      </c>
      <c r="H1960" t="s">
        <v>552</v>
      </c>
      <c r="I1960" t="s">
        <v>417</v>
      </c>
      <c r="J1960" t="s">
        <v>1361</v>
      </c>
      <c r="K1960" t="s">
        <v>2905</v>
      </c>
      <c r="L1960">
        <v>8</v>
      </c>
      <c r="M1960" s="5">
        <v>401.72</v>
      </c>
      <c r="N1960" s="6">
        <v>20</v>
      </c>
      <c r="O1960" s="5">
        <v>642.75</v>
      </c>
      <c r="P1960" s="5">
        <v>385.65</v>
      </c>
      <c r="Q1960" s="5">
        <v>2571.01</v>
      </c>
      <c r="R1960" s="5">
        <v>2479.84</v>
      </c>
      <c r="S1960" s="5">
        <v>91.17</v>
      </c>
      <c r="T1960" s="7">
        <v>0.0354607722257012</v>
      </c>
      <c r="U1960" t="s">
        <v>12</v>
      </c>
      <c r="V1960" t="s">
        <v>50</v>
      </c>
      <c r="W1960" t="s">
        <v>50</v>
      </c>
      <c r="X1960" t="s">
        <v>35</v>
      </c>
      <c r="Y1960" t="s">
        <v>2054</v>
      </c>
      <c r="Z1960" t="s">
        <v>101</v>
      </c>
    </row>
    <row r="1961" spans="1:26">
      <c r="A1961" t="s">
        <v>4042</v>
      </c>
      <c r="B1961" t="s">
        <v>4042</v>
      </c>
      <c r="C1961" s="4">
        <v>45808</v>
      </c>
      <c r="D1961">
        <v>2025</v>
      </c>
      <c r="E1961">
        <v>5</v>
      </c>
      <c r="F1961" t="s">
        <v>21</v>
      </c>
      <c r="G1961" t="s">
        <v>74</v>
      </c>
      <c r="H1961" t="s">
        <v>2025</v>
      </c>
      <c r="I1961" t="s">
        <v>924</v>
      </c>
      <c r="J1961" t="s">
        <v>43</v>
      </c>
      <c r="K1961" t="s">
        <v>934</v>
      </c>
      <c r="L1961">
        <v>1</v>
      </c>
      <c r="M1961" s="5">
        <v>262.77</v>
      </c>
      <c r="N1961" s="6">
        <v>15</v>
      </c>
      <c r="O1961" s="5">
        <v>39.42</v>
      </c>
      <c r="P1961" s="5">
        <v>33.5</v>
      </c>
      <c r="Q1961" s="5">
        <v>256.85</v>
      </c>
      <c r="R1961" s="5">
        <v>194.64</v>
      </c>
      <c r="S1961" s="5">
        <v>62.21</v>
      </c>
      <c r="T1961" s="7">
        <v>0.242203620790344</v>
      </c>
      <c r="U1961" t="s">
        <v>12</v>
      </c>
      <c r="V1961" t="s">
        <v>50</v>
      </c>
      <c r="W1961" t="s">
        <v>50</v>
      </c>
      <c r="X1961" t="s">
        <v>33</v>
      </c>
      <c r="Y1961" t="s">
        <v>804</v>
      </c>
      <c r="Z1961" t="s">
        <v>80</v>
      </c>
    </row>
    <row r="1962" spans="1:26">
      <c r="A1962" t="s">
        <v>4043</v>
      </c>
      <c r="B1962" t="s">
        <v>4043</v>
      </c>
      <c r="C1962" s="4">
        <v>46089</v>
      </c>
      <c r="D1962">
        <v>2026</v>
      </c>
      <c r="E1962">
        <v>3</v>
      </c>
      <c r="F1962" t="s">
        <v>19</v>
      </c>
      <c r="G1962" t="s">
        <v>82</v>
      </c>
      <c r="H1962" t="s">
        <v>582</v>
      </c>
      <c r="I1962" t="s">
        <v>429</v>
      </c>
      <c r="J1962" t="s">
        <v>998</v>
      </c>
      <c r="K1962" t="s">
        <v>1772</v>
      </c>
      <c r="L1962">
        <v>6</v>
      </c>
      <c r="M1962" s="5">
        <v>401.75</v>
      </c>
      <c r="N1962" s="6">
        <v>5</v>
      </c>
      <c r="O1962" s="5">
        <v>120.53</v>
      </c>
      <c r="P1962" s="5">
        <v>343.5</v>
      </c>
      <c r="Q1962" s="5">
        <v>2633.47</v>
      </c>
      <c r="R1962" s="5">
        <v>2016.42</v>
      </c>
      <c r="S1962" s="5">
        <v>617.05</v>
      </c>
      <c r="T1962" s="7">
        <v>0.234310624385317</v>
      </c>
      <c r="U1962" t="s">
        <v>14</v>
      </c>
      <c r="V1962" t="s">
        <v>50</v>
      </c>
      <c r="W1962" t="s">
        <v>50</v>
      </c>
      <c r="X1962" t="s">
        <v>33</v>
      </c>
      <c r="Y1962" t="s">
        <v>4044</v>
      </c>
      <c r="Z1962" t="s">
        <v>80</v>
      </c>
    </row>
    <row r="1963" spans="1:26">
      <c r="A1963" t="s">
        <v>4045</v>
      </c>
      <c r="B1963" t="s">
        <v>4045</v>
      </c>
      <c r="C1963" s="4">
        <v>46111</v>
      </c>
      <c r="D1963">
        <v>2026</v>
      </c>
      <c r="E1963">
        <v>3</v>
      </c>
      <c r="F1963" t="s">
        <v>19</v>
      </c>
      <c r="G1963" t="s">
        <v>82</v>
      </c>
      <c r="H1963" t="s">
        <v>2420</v>
      </c>
      <c r="I1963" t="s">
        <v>986</v>
      </c>
      <c r="J1963" t="s">
        <v>1515</v>
      </c>
      <c r="K1963" t="s">
        <v>1154</v>
      </c>
      <c r="L1963">
        <v>5</v>
      </c>
      <c r="M1963" s="5">
        <v>333.54</v>
      </c>
      <c r="N1963" s="6">
        <v>0</v>
      </c>
      <c r="O1963" s="5">
        <v>0</v>
      </c>
      <c r="P1963" s="5">
        <v>250.16</v>
      </c>
      <c r="Q1963" s="5">
        <v>1667.7</v>
      </c>
      <c r="R1963" s="5">
        <v>1192.15</v>
      </c>
      <c r="S1963" s="5">
        <v>475.55</v>
      </c>
      <c r="T1963" s="7">
        <v>0.285153205012892</v>
      </c>
      <c r="U1963" t="s">
        <v>13</v>
      </c>
      <c r="V1963" t="s">
        <v>50</v>
      </c>
      <c r="W1963" t="s">
        <v>50</v>
      </c>
      <c r="X1963" t="s">
        <v>33</v>
      </c>
      <c r="Y1963" t="s">
        <v>129</v>
      </c>
      <c r="Z1963" t="s">
        <v>101</v>
      </c>
    </row>
    <row r="1964" spans="1:26">
      <c r="A1964" t="s">
        <v>4046</v>
      </c>
      <c r="B1964" t="s">
        <v>4046</v>
      </c>
      <c r="C1964" s="4">
        <v>45983</v>
      </c>
      <c r="D1964">
        <v>2025</v>
      </c>
      <c r="E1964">
        <v>11</v>
      </c>
      <c r="F1964" t="s">
        <v>27</v>
      </c>
      <c r="G1964" t="s">
        <v>137</v>
      </c>
      <c r="H1964" t="s">
        <v>1296</v>
      </c>
      <c r="I1964" t="s">
        <v>2706</v>
      </c>
      <c r="J1964" t="s">
        <v>1272</v>
      </c>
      <c r="K1964" t="s">
        <v>971</v>
      </c>
      <c r="L1964">
        <v>6</v>
      </c>
      <c r="M1964" s="5">
        <v>571.44</v>
      </c>
      <c r="N1964" s="6">
        <v>15</v>
      </c>
      <c r="O1964" s="5">
        <v>514.3</v>
      </c>
      <c r="P1964" s="5">
        <v>437.15</v>
      </c>
      <c r="Q1964" s="5">
        <v>3351.49</v>
      </c>
      <c r="R1964" s="5">
        <v>2387.52</v>
      </c>
      <c r="S1964" s="5">
        <v>963.97</v>
      </c>
      <c r="T1964" s="7">
        <v>0.287624310381353</v>
      </c>
      <c r="U1964" t="s">
        <v>14</v>
      </c>
      <c r="V1964" t="s">
        <v>50</v>
      </c>
      <c r="W1964" t="s">
        <v>50</v>
      </c>
      <c r="X1964" t="s">
        <v>34</v>
      </c>
      <c r="Y1964" t="s">
        <v>1589</v>
      </c>
      <c r="Z1964" t="s">
        <v>80</v>
      </c>
    </row>
    <row r="1965" spans="1:26">
      <c r="A1965" t="s">
        <v>4047</v>
      </c>
      <c r="B1965" t="s">
        <v>4047</v>
      </c>
      <c r="C1965" s="4">
        <v>45991</v>
      </c>
      <c r="D1965">
        <v>2025</v>
      </c>
      <c r="E1965">
        <v>11</v>
      </c>
      <c r="F1965" t="s">
        <v>27</v>
      </c>
      <c r="G1965" t="s">
        <v>137</v>
      </c>
      <c r="H1965" t="s">
        <v>1200</v>
      </c>
      <c r="I1965" t="s">
        <v>498</v>
      </c>
      <c r="J1965" t="s">
        <v>127</v>
      </c>
      <c r="K1965" t="s">
        <v>128</v>
      </c>
      <c r="L1965">
        <v>4</v>
      </c>
      <c r="M1965" s="5">
        <v>365.92</v>
      </c>
      <c r="N1965" s="6">
        <v>15</v>
      </c>
      <c r="O1965" s="5">
        <v>219.55</v>
      </c>
      <c r="P1965" s="5">
        <v>186.62</v>
      </c>
      <c r="Q1965" s="5">
        <v>1430.75</v>
      </c>
      <c r="R1965" s="5">
        <v>1241.52</v>
      </c>
      <c r="S1965" s="5">
        <v>189.23</v>
      </c>
      <c r="T1965" s="7">
        <v>0.132259304560545</v>
      </c>
      <c r="U1965" t="s">
        <v>14</v>
      </c>
      <c r="V1965" t="s">
        <v>50</v>
      </c>
      <c r="W1965" t="s">
        <v>50</v>
      </c>
      <c r="X1965" t="s">
        <v>33</v>
      </c>
      <c r="Y1965" t="s">
        <v>2113</v>
      </c>
      <c r="Z1965" t="s">
        <v>80</v>
      </c>
    </row>
    <row r="1966" spans="1:26">
      <c r="A1966" t="s">
        <v>4048</v>
      </c>
      <c r="B1966" t="s">
        <v>4048</v>
      </c>
      <c r="C1966" s="4">
        <v>46026</v>
      </c>
      <c r="D1966">
        <v>2026</v>
      </c>
      <c r="E1966">
        <v>1</v>
      </c>
      <c r="F1966" t="s">
        <v>30</v>
      </c>
      <c r="G1966" t="s">
        <v>82</v>
      </c>
      <c r="H1966" t="s">
        <v>2613</v>
      </c>
      <c r="I1966" t="s">
        <v>174</v>
      </c>
      <c r="J1966" t="s">
        <v>369</v>
      </c>
      <c r="K1966" t="s">
        <v>1545</v>
      </c>
      <c r="L1966">
        <v>3</v>
      </c>
      <c r="M1966" s="5">
        <v>397.22</v>
      </c>
      <c r="N1966" s="6">
        <v>5</v>
      </c>
      <c r="O1966" s="5">
        <v>59.58</v>
      </c>
      <c r="P1966" s="5">
        <v>169.81</v>
      </c>
      <c r="Q1966" s="5">
        <v>1301.89</v>
      </c>
      <c r="R1966" s="5">
        <v>958.11</v>
      </c>
      <c r="S1966" s="5">
        <v>343.78</v>
      </c>
      <c r="T1966" s="7">
        <v>0.264062247962577</v>
      </c>
      <c r="U1966" t="s">
        <v>11</v>
      </c>
      <c r="V1966" t="s">
        <v>50</v>
      </c>
      <c r="W1966" t="s">
        <v>50</v>
      </c>
      <c r="X1966" t="s">
        <v>33</v>
      </c>
      <c r="Y1966" t="s">
        <v>2066</v>
      </c>
      <c r="Z1966" t="s">
        <v>80</v>
      </c>
    </row>
    <row r="1967" spans="1:26">
      <c r="A1967" t="s">
        <v>4049</v>
      </c>
      <c r="B1967" t="s">
        <v>4049</v>
      </c>
      <c r="C1967" s="4">
        <v>46026</v>
      </c>
      <c r="D1967">
        <v>2026</v>
      </c>
      <c r="E1967">
        <v>1</v>
      </c>
      <c r="F1967" t="s">
        <v>30</v>
      </c>
      <c r="G1967" t="s">
        <v>82</v>
      </c>
      <c r="H1967" t="s">
        <v>1386</v>
      </c>
      <c r="I1967" t="s">
        <v>1343</v>
      </c>
      <c r="J1967" t="s">
        <v>280</v>
      </c>
      <c r="K1967" t="s">
        <v>281</v>
      </c>
      <c r="L1967">
        <v>3</v>
      </c>
      <c r="M1967" s="5">
        <v>490.22</v>
      </c>
      <c r="N1967" s="6">
        <v>0</v>
      </c>
      <c r="O1967" s="5">
        <v>0</v>
      </c>
      <c r="P1967" s="5">
        <v>220.6</v>
      </c>
      <c r="Q1967" s="5">
        <v>1691.26</v>
      </c>
      <c r="R1967" s="5">
        <v>1120.74</v>
      </c>
      <c r="S1967" s="5">
        <v>570.52</v>
      </c>
      <c r="T1967" s="7">
        <v>0.337334295140901</v>
      </c>
      <c r="U1967" t="s">
        <v>9</v>
      </c>
      <c r="V1967" t="s">
        <v>50</v>
      </c>
      <c r="W1967" t="s">
        <v>50</v>
      </c>
      <c r="X1967" t="s">
        <v>33</v>
      </c>
      <c r="Y1967" t="s">
        <v>730</v>
      </c>
      <c r="Z1967" t="s">
        <v>80</v>
      </c>
    </row>
    <row r="1968" spans="1:26">
      <c r="A1968" t="s">
        <v>4050</v>
      </c>
      <c r="B1968" t="s">
        <v>4050</v>
      </c>
      <c r="C1968" s="4">
        <v>45773</v>
      </c>
      <c r="D1968">
        <v>2025</v>
      </c>
      <c r="E1968">
        <v>4</v>
      </c>
      <c r="F1968" t="s">
        <v>20</v>
      </c>
      <c r="G1968" t="s">
        <v>74</v>
      </c>
      <c r="H1968" t="s">
        <v>1574</v>
      </c>
      <c r="I1968" t="s">
        <v>384</v>
      </c>
      <c r="J1968" t="s">
        <v>929</v>
      </c>
      <c r="K1968" t="s">
        <v>4051</v>
      </c>
      <c r="L1968">
        <v>5</v>
      </c>
      <c r="M1968" s="5">
        <v>197.81</v>
      </c>
      <c r="N1968" s="6">
        <v>15</v>
      </c>
      <c r="O1968" s="5">
        <v>148.36</v>
      </c>
      <c r="P1968" s="5">
        <v>126.1</v>
      </c>
      <c r="Q1968" s="5">
        <v>966.79</v>
      </c>
      <c r="R1968" s="5">
        <v>678.3</v>
      </c>
      <c r="S1968" s="5">
        <v>288.49</v>
      </c>
      <c r="T1968" s="7">
        <v>0.298399859328293</v>
      </c>
      <c r="U1968" t="s">
        <v>9</v>
      </c>
      <c r="V1968" t="s">
        <v>50</v>
      </c>
      <c r="W1968" t="s">
        <v>50</v>
      </c>
      <c r="X1968" t="s">
        <v>33</v>
      </c>
      <c r="Y1968" t="s">
        <v>2486</v>
      </c>
      <c r="Z1968" t="s">
        <v>80</v>
      </c>
    </row>
    <row r="1969" spans="1:26">
      <c r="A1969" t="s">
        <v>4052</v>
      </c>
      <c r="B1969" t="s">
        <v>4052</v>
      </c>
      <c r="C1969" s="4">
        <v>45899</v>
      </c>
      <c r="D1969">
        <v>2025</v>
      </c>
      <c r="E1969">
        <v>8</v>
      </c>
      <c r="F1969" t="s">
        <v>24</v>
      </c>
      <c r="G1969" t="s">
        <v>89</v>
      </c>
      <c r="H1969" t="s">
        <v>2576</v>
      </c>
      <c r="I1969" t="s">
        <v>947</v>
      </c>
      <c r="J1969" t="s">
        <v>175</v>
      </c>
      <c r="K1969" t="s">
        <v>455</v>
      </c>
      <c r="L1969">
        <v>4</v>
      </c>
      <c r="M1969" s="5">
        <v>522.43</v>
      </c>
      <c r="N1969" s="6">
        <v>15</v>
      </c>
      <c r="O1969" s="5">
        <v>313.46</v>
      </c>
      <c r="P1969" s="5">
        <v>266.44</v>
      </c>
      <c r="Q1969" s="5"/>
      <c r="R1969" s="5">
        <v>1590.76</v>
      </c>
      <c r="S1969" s="5">
        <v>451.94</v>
      </c>
      <c r="T1969" s="7"/>
      <c r="U1969" t="s">
        <v>12</v>
      </c>
      <c r="V1969" t="s">
        <v>50</v>
      </c>
      <c r="W1969" t="s">
        <v>50</v>
      </c>
      <c r="X1969" t="s">
        <v>34</v>
      </c>
      <c r="Y1969" t="s">
        <v>733</v>
      </c>
      <c r="Z1969" t="s">
        <v>80</v>
      </c>
    </row>
    <row r="1970" spans="1:26">
      <c r="A1970" t="s">
        <v>4053</v>
      </c>
      <c r="B1970" t="s">
        <v>4053</v>
      </c>
      <c r="C1970" s="4">
        <v>46103</v>
      </c>
      <c r="D1970">
        <v>2026</v>
      </c>
      <c r="E1970">
        <v>3</v>
      </c>
      <c r="F1970" t="s">
        <v>19</v>
      </c>
      <c r="G1970" t="s">
        <v>82</v>
      </c>
      <c r="H1970" t="s">
        <v>1745</v>
      </c>
      <c r="I1970" t="s">
        <v>592</v>
      </c>
      <c r="J1970" t="s">
        <v>654</v>
      </c>
      <c r="K1970" t="s">
        <v>1304</v>
      </c>
      <c r="L1970">
        <v>7</v>
      </c>
      <c r="M1970" s="5">
        <v>244.61</v>
      </c>
      <c r="N1970" s="6">
        <v>0</v>
      </c>
      <c r="O1970" s="5">
        <v>0</v>
      </c>
      <c r="P1970" s="5">
        <v>256.84</v>
      </c>
      <c r="Q1970" s="5">
        <v>1969.11</v>
      </c>
      <c r="R1970" s="5">
        <v>1275.19</v>
      </c>
      <c r="S1970" s="5">
        <v>693.92</v>
      </c>
      <c r="T1970" s="7">
        <v>0.352402862206784</v>
      </c>
      <c r="U1970" t="s">
        <v>11</v>
      </c>
      <c r="V1970" t="s">
        <v>50</v>
      </c>
      <c r="W1970" t="s">
        <v>50</v>
      </c>
      <c r="X1970" t="s">
        <v>33</v>
      </c>
      <c r="Y1970" t="s">
        <v>2432</v>
      </c>
      <c r="Z1970" t="s">
        <v>80</v>
      </c>
    </row>
    <row r="1971" spans="1:26">
      <c r="A1971" t="s">
        <v>4054</v>
      </c>
      <c r="B1971" t="s">
        <v>2139</v>
      </c>
      <c r="C1971" s="4">
        <v>45801</v>
      </c>
      <c r="D1971">
        <v>2025</v>
      </c>
      <c r="E1971">
        <v>5</v>
      </c>
      <c r="F1971" t="s">
        <v>21</v>
      </c>
      <c r="G1971" t="s">
        <v>74</v>
      </c>
      <c r="H1971" t="s">
        <v>3614</v>
      </c>
      <c r="I1971" t="s">
        <v>312</v>
      </c>
      <c r="J1971" t="s">
        <v>181</v>
      </c>
      <c r="K1971" t="s">
        <v>1755</v>
      </c>
      <c r="L1971">
        <v>4</v>
      </c>
      <c r="M1971" s="5">
        <v>383.51</v>
      </c>
      <c r="N1971" s="6">
        <v>0</v>
      </c>
      <c r="O1971" s="5">
        <v>0</v>
      </c>
      <c r="P1971" s="5">
        <v>230.11</v>
      </c>
      <c r="Q1971" s="5">
        <v>1764.15</v>
      </c>
      <c r="R1971" s="5">
        <v>1143.6</v>
      </c>
      <c r="S1971" s="5">
        <v>620.55</v>
      </c>
      <c r="T1971" s="7">
        <v>0.351755803077969</v>
      </c>
      <c r="U1971" t="s">
        <v>9</v>
      </c>
      <c r="V1971" t="s">
        <v>50</v>
      </c>
      <c r="W1971" t="s">
        <v>50</v>
      </c>
      <c r="X1971" t="s">
        <v>33</v>
      </c>
      <c r="Y1971" t="s">
        <v>1309</v>
      </c>
      <c r="Z1971" t="s">
        <v>80</v>
      </c>
    </row>
    <row r="1972" spans="1:26">
      <c r="A1972" t="s">
        <v>4055</v>
      </c>
      <c r="B1972" t="s">
        <v>4055</v>
      </c>
      <c r="C1972" s="4">
        <v>45949</v>
      </c>
      <c r="D1972">
        <v>2025</v>
      </c>
      <c r="E1972">
        <v>10</v>
      </c>
      <c r="F1972" t="s">
        <v>26</v>
      </c>
      <c r="G1972" t="s">
        <v>137</v>
      </c>
      <c r="H1972" t="s">
        <v>3814</v>
      </c>
      <c r="I1972" t="s">
        <v>970</v>
      </c>
      <c r="J1972" t="s">
        <v>44</v>
      </c>
      <c r="K1972" t="s">
        <v>1286</v>
      </c>
      <c r="L1972">
        <v>6</v>
      </c>
      <c r="M1972" s="5">
        <v>370.87</v>
      </c>
      <c r="N1972" s="6">
        <v>10</v>
      </c>
      <c r="O1972" s="5">
        <v>222.52</v>
      </c>
      <c r="P1972" s="5">
        <v>300.41</v>
      </c>
      <c r="Q1972" s="5">
        <v>2303.11</v>
      </c>
      <c r="R1972" s="5">
        <v>1522.98</v>
      </c>
      <c r="S1972" s="5">
        <v>780.13</v>
      </c>
      <c r="T1972" s="7">
        <v>0.338728936090764</v>
      </c>
      <c r="U1972" t="s">
        <v>9</v>
      </c>
      <c r="V1972" t="s">
        <v>50</v>
      </c>
      <c r="W1972" t="s">
        <v>50</v>
      </c>
      <c r="X1972" t="s">
        <v>33</v>
      </c>
      <c r="Y1972" t="s">
        <v>4056</v>
      </c>
      <c r="Z1972" t="s">
        <v>80</v>
      </c>
    </row>
    <row r="1973" spans="1:26">
      <c r="A1973" t="s">
        <v>4057</v>
      </c>
      <c r="B1973" t="s">
        <v>4057</v>
      </c>
      <c r="C1973" s="4">
        <v>45812</v>
      </c>
      <c r="D1973">
        <v>2025</v>
      </c>
      <c r="E1973">
        <v>6</v>
      </c>
      <c r="F1973" t="s">
        <v>22</v>
      </c>
      <c r="G1973" t="s">
        <v>74</v>
      </c>
      <c r="H1973" t="s">
        <v>783</v>
      </c>
      <c r="I1973" t="s">
        <v>332</v>
      </c>
      <c r="J1973" t="s">
        <v>1361</v>
      </c>
      <c r="K1973" t="s">
        <v>106</v>
      </c>
      <c r="L1973">
        <v>2</v>
      </c>
      <c r="M1973" s="5">
        <v>73.83</v>
      </c>
      <c r="N1973" s="6">
        <v>0</v>
      </c>
      <c r="O1973" s="5">
        <v>0</v>
      </c>
      <c r="P1973" s="5">
        <v>22.15</v>
      </c>
      <c r="Q1973" s="5">
        <v>147.66</v>
      </c>
      <c r="R1973" s="5">
        <v>108.64</v>
      </c>
      <c r="S1973" s="5">
        <v>39.02</v>
      </c>
      <c r="T1973" s="7">
        <v>0.264255722605987</v>
      </c>
      <c r="U1973" t="s">
        <v>12</v>
      </c>
      <c r="V1973" t="s">
        <v>50</v>
      </c>
      <c r="W1973" t="s">
        <v>50</v>
      </c>
      <c r="X1973" t="s">
        <v>33</v>
      </c>
      <c r="Y1973" t="s">
        <v>3352</v>
      </c>
      <c r="Z1973" t="s">
        <v>101</v>
      </c>
    </row>
    <row r="1974" spans="1:26">
      <c r="A1974" t="s">
        <v>4058</v>
      </c>
      <c r="B1974" t="s">
        <v>4058</v>
      </c>
      <c r="C1974" s="4">
        <v>45802</v>
      </c>
      <c r="D1974">
        <v>2025</v>
      </c>
      <c r="E1974">
        <v>5</v>
      </c>
      <c r="F1974" t="s">
        <v>21</v>
      </c>
      <c r="G1974" t="s">
        <v>74</v>
      </c>
      <c r="H1974" t="s">
        <v>1054</v>
      </c>
      <c r="I1974" t="s">
        <v>937</v>
      </c>
      <c r="J1974" t="s">
        <v>1229</v>
      </c>
      <c r="K1974" t="s">
        <v>1230</v>
      </c>
      <c r="L1974">
        <v>4</v>
      </c>
      <c r="M1974" s="5">
        <v>497.74</v>
      </c>
      <c r="N1974" s="6">
        <v>0</v>
      </c>
      <c r="O1974" s="5">
        <v>0</v>
      </c>
      <c r="P1974" s="5">
        <v>298.64</v>
      </c>
      <c r="Q1974" s="5">
        <v>2289.6</v>
      </c>
      <c r="R1974" s="5">
        <v>1480.72</v>
      </c>
      <c r="S1974" s="5">
        <v>808.88</v>
      </c>
      <c r="T1974" s="7">
        <v>0.353284416491964</v>
      </c>
      <c r="U1974" t="s">
        <v>9</v>
      </c>
      <c r="V1974" t="s">
        <v>50</v>
      </c>
      <c r="W1974" t="s">
        <v>50</v>
      </c>
      <c r="X1974" t="s">
        <v>33</v>
      </c>
      <c r="Y1974" t="s">
        <v>1995</v>
      </c>
      <c r="Z1974" t="s">
        <v>80</v>
      </c>
    </row>
    <row r="1975" spans="1:26">
      <c r="A1975" t="s">
        <v>4059</v>
      </c>
      <c r="B1975" t="s">
        <v>4059</v>
      </c>
      <c r="C1975" s="4">
        <v>45818</v>
      </c>
      <c r="D1975">
        <v>2025</v>
      </c>
      <c r="E1975">
        <v>6</v>
      </c>
      <c r="F1975" t="s">
        <v>22</v>
      </c>
      <c r="G1975" t="s">
        <v>74</v>
      </c>
      <c r="H1975" t="s">
        <v>1980</v>
      </c>
      <c r="I1975" t="s">
        <v>411</v>
      </c>
      <c r="J1975" t="s">
        <v>681</v>
      </c>
      <c r="K1975" t="s">
        <v>1093</v>
      </c>
      <c r="L1975">
        <v>4</v>
      </c>
      <c r="M1975" s="5">
        <v>526.2</v>
      </c>
      <c r="N1975" s="6">
        <v>0</v>
      </c>
      <c r="O1975" s="5">
        <v>0</v>
      </c>
      <c r="P1975" s="5">
        <v>315.72</v>
      </c>
      <c r="Q1975" s="5">
        <v>2104.8</v>
      </c>
      <c r="R1975" s="5">
        <v>1547.56</v>
      </c>
      <c r="S1975" s="5">
        <v>557.24</v>
      </c>
      <c r="T1975" s="7">
        <v>0.264747244393767</v>
      </c>
      <c r="U1975" t="s">
        <v>9</v>
      </c>
      <c r="V1975" t="s">
        <v>50</v>
      </c>
      <c r="W1975" t="s">
        <v>50</v>
      </c>
      <c r="X1975" t="s">
        <v>33</v>
      </c>
      <c r="Y1975" t="s">
        <v>580</v>
      </c>
      <c r="Z1975" t="s">
        <v>101</v>
      </c>
    </row>
    <row r="1976" spans="1:26">
      <c r="A1976" t="s">
        <v>4060</v>
      </c>
      <c r="B1976" t="s">
        <v>4060</v>
      </c>
      <c r="C1976" s="4">
        <v>46036</v>
      </c>
      <c r="D1976">
        <v>2026</v>
      </c>
      <c r="E1976">
        <v>1</v>
      </c>
      <c r="F1976" t="s">
        <v>30</v>
      </c>
      <c r="G1976" t="s">
        <v>82</v>
      </c>
      <c r="H1976" t="s">
        <v>1366</v>
      </c>
      <c r="I1976" t="s">
        <v>503</v>
      </c>
      <c r="J1976" t="s">
        <v>659</v>
      </c>
      <c r="K1976" t="s">
        <v>660</v>
      </c>
      <c r="L1976">
        <v>1</v>
      </c>
      <c r="M1976" s="5">
        <v>71.29</v>
      </c>
      <c r="N1976" s="6">
        <v>0</v>
      </c>
      <c r="O1976" s="5">
        <v>0</v>
      </c>
      <c r="P1976" s="5">
        <v>10.69</v>
      </c>
      <c r="Q1976" s="5">
        <v>71.29</v>
      </c>
      <c r="R1976" s="5">
        <v>59.37</v>
      </c>
      <c r="S1976" s="5">
        <v>11.92</v>
      </c>
      <c r="T1976" s="7">
        <v>0.167204376490391</v>
      </c>
      <c r="U1976" t="s">
        <v>10</v>
      </c>
      <c r="V1976" t="s">
        <v>50</v>
      </c>
      <c r="W1976" t="s">
        <v>50</v>
      </c>
      <c r="X1976" t="s">
        <v>33</v>
      </c>
      <c r="Y1976" t="s">
        <v>3227</v>
      </c>
      <c r="Z1976" t="s">
        <v>101</v>
      </c>
    </row>
    <row r="1977" spans="1:26">
      <c r="A1977" t="s">
        <v>4061</v>
      </c>
      <c r="B1977" t="s">
        <v>4061</v>
      </c>
      <c r="C1977" s="4">
        <v>45847</v>
      </c>
      <c r="D1977">
        <v>2025</v>
      </c>
      <c r="E1977">
        <v>7</v>
      </c>
      <c r="F1977" t="s">
        <v>23</v>
      </c>
      <c r="G1977" t="s">
        <v>89</v>
      </c>
      <c r="H1977" t="s">
        <v>1294</v>
      </c>
      <c r="I1977" t="s">
        <v>213</v>
      </c>
      <c r="J1977" t="s">
        <v>1290</v>
      </c>
      <c r="K1977" t="s">
        <v>1373</v>
      </c>
      <c r="L1977">
        <v>5</v>
      </c>
      <c r="M1977" s="5">
        <v>200.83</v>
      </c>
      <c r="N1977" s="6">
        <v>5</v>
      </c>
      <c r="O1977" s="5">
        <v>50.21</v>
      </c>
      <c r="P1977" s="5">
        <v>143.09</v>
      </c>
      <c r="Q1977" s="5">
        <v>953.94</v>
      </c>
      <c r="R1977" s="5">
        <v>767.1</v>
      </c>
      <c r="S1977" s="5">
        <v>186.84</v>
      </c>
      <c r="T1977" s="7">
        <v>0.195861374929241</v>
      </c>
      <c r="U1977" t="s">
        <v>13</v>
      </c>
      <c r="V1977" t="s">
        <v>50</v>
      </c>
      <c r="W1977" t="s">
        <v>50</v>
      </c>
      <c r="X1977" t="s">
        <v>35</v>
      </c>
      <c r="Y1977" t="s">
        <v>2252</v>
      </c>
      <c r="Z1977" t="s">
        <v>101</v>
      </c>
    </row>
    <row r="1978" spans="1:26">
      <c r="A1978" t="s">
        <v>4062</v>
      </c>
      <c r="B1978" t="s">
        <v>4062</v>
      </c>
      <c r="C1978" s="4">
        <v>45853</v>
      </c>
      <c r="D1978">
        <v>2025</v>
      </c>
      <c r="E1978">
        <v>7</v>
      </c>
      <c r="F1978" t="s">
        <v>23</v>
      </c>
      <c r="G1978" t="s">
        <v>89</v>
      </c>
      <c r="H1978" t="s">
        <v>608</v>
      </c>
      <c r="I1978" t="s">
        <v>301</v>
      </c>
      <c r="J1978" t="s">
        <v>665</v>
      </c>
      <c r="K1978" t="s">
        <v>784</v>
      </c>
      <c r="L1978">
        <v>3</v>
      </c>
      <c r="M1978" s="5">
        <v>219.64</v>
      </c>
      <c r="N1978" s="6">
        <v>0</v>
      </c>
      <c r="O1978" s="5">
        <v>0</v>
      </c>
      <c r="P1978" s="5">
        <v>98.84</v>
      </c>
      <c r="Q1978" s="5">
        <v>658.92</v>
      </c>
      <c r="R1978" s="5">
        <v>586.32</v>
      </c>
      <c r="S1978" s="5">
        <v>72.6</v>
      </c>
      <c r="T1978" s="7">
        <v>0.110180295028228</v>
      </c>
      <c r="U1978" t="s">
        <v>14</v>
      </c>
      <c r="V1978" t="s">
        <v>50</v>
      </c>
      <c r="W1978" t="s">
        <v>50</v>
      </c>
      <c r="X1978" t="s">
        <v>34</v>
      </c>
      <c r="Y1978" t="s">
        <v>479</v>
      </c>
      <c r="Z1978" t="s">
        <v>101</v>
      </c>
    </row>
    <row r="1979" spans="1:26">
      <c r="A1979" t="s">
        <v>4063</v>
      </c>
      <c r="B1979" t="s">
        <v>4063</v>
      </c>
      <c r="C1979" s="4">
        <v>45976</v>
      </c>
      <c r="D1979">
        <v>2025</v>
      </c>
      <c r="E1979">
        <v>11</v>
      </c>
      <c r="F1979" t="s">
        <v>27</v>
      </c>
      <c r="G1979" t="s">
        <v>137</v>
      </c>
      <c r="H1979" t="s">
        <v>2452</v>
      </c>
      <c r="I1979" t="s">
        <v>623</v>
      </c>
      <c r="J1979" t="s">
        <v>471</v>
      </c>
      <c r="K1979" t="s">
        <v>766</v>
      </c>
      <c r="L1979">
        <v>1</v>
      </c>
      <c r="M1979" s="5">
        <v>139.21</v>
      </c>
      <c r="N1979" s="6">
        <v>20</v>
      </c>
      <c r="O1979" s="5">
        <v>27.84</v>
      </c>
      <c r="P1979" s="5">
        <v>16.71</v>
      </c>
      <c r="Q1979" s="5">
        <v>128.08</v>
      </c>
      <c r="R1979" s="5">
        <v>106.99</v>
      </c>
      <c r="S1979" s="5">
        <v>21.09</v>
      </c>
      <c r="T1979" s="7">
        <v>0.164662710805746</v>
      </c>
      <c r="U1979" t="s">
        <v>9</v>
      </c>
      <c r="V1979" t="s">
        <v>50</v>
      </c>
      <c r="W1979" t="s">
        <v>50</v>
      </c>
      <c r="X1979" t="s">
        <v>33</v>
      </c>
      <c r="Y1979" t="s">
        <v>2658</v>
      </c>
      <c r="Z1979" t="s">
        <v>80</v>
      </c>
    </row>
    <row r="1980" spans="1:26">
      <c r="A1980" t="s">
        <v>4064</v>
      </c>
      <c r="B1980" t="s">
        <v>4064</v>
      </c>
      <c r="C1980" s="4">
        <v>45907</v>
      </c>
      <c r="D1980">
        <v>2025</v>
      </c>
      <c r="E1980">
        <v>9</v>
      </c>
      <c r="F1980" t="s">
        <v>25</v>
      </c>
      <c r="G1980" t="s">
        <v>89</v>
      </c>
      <c r="H1980" t="s">
        <v>150</v>
      </c>
      <c r="I1980" t="s">
        <v>434</v>
      </c>
      <c r="J1980" t="s">
        <v>197</v>
      </c>
      <c r="K1980" t="s">
        <v>407</v>
      </c>
      <c r="L1980">
        <v>7</v>
      </c>
      <c r="M1980" s="5">
        <v>93.15</v>
      </c>
      <c r="N1980" s="6">
        <v>20</v>
      </c>
      <c r="O1980" s="5">
        <v>130.41</v>
      </c>
      <c r="P1980" s="5">
        <v>78.25</v>
      </c>
      <c r="Q1980" s="5">
        <v>599.89</v>
      </c>
      <c r="R1980" s="5">
        <v>483.63</v>
      </c>
      <c r="S1980" s="5">
        <v>116.26</v>
      </c>
      <c r="T1980" s="7">
        <v>0.193802197069463</v>
      </c>
      <c r="U1980" t="s">
        <v>14</v>
      </c>
      <c r="V1980" t="s">
        <v>50</v>
      </c>
      <c r="W1980" t="s">
        <v>50</v>
      </c>
      <c r="X1980" t="s">
        <v>33</v>
      </c>
      <c r="Y1980" t="s">
        <v>4065</v>
      </c>
      <c r="Z1980" t="s">
        <v>80</v>
      </c>
    </row>
    <row r="1981" spans="1:26">
      <c r="A1981" t="s">
        <v>4066</v>
      </c>
      <c r="B1981" t="s">
        <v>4066</v>
      </c>
      <c r="C1981" s="4">
        <v>45964</v>
      </c>
      <c r="D1981">
        <v>2025</v>
      </c>
      <c r="E1981">
        <v>11</v>
      </c>
      <c r="F1981" t="s">
        <v>27</v>
      </c>
      <c r="G1981" t="s">
        <v>137</v>
      </c>
      <c r="H1981" t="s">
        <v>497</v>
      </c>
      <c r="I1981" t="s">
        <v>362</v>
      </c>
      <c r="J1981" t="s">
        <v>955</v>
      </c>
      <c r="K1981" t="s">
        <v>1259</v>
      </c>
      <c r="L1981">
        <v>6</v>
      </c>
      <c r="M1981" s="5">
        <v>346.05</v>
      </c>
      <c r="N1981" s="6">
        <v>20</v>
      </c>
      <c r="O1981" s="5">
        <v>415.26</v>
      </c>
      <c r="P1981" s="5">
        <v>249.16</v>
      </c>
      <c r="Q1981" s="5">
        <v>1661.04</v>
      </c>
      <c r="R1981" s="5">
        <v>1483.5</v>
      </c>
      <c r="S1981" s="5">
        <v>177.54</v>
      </c>
      <c r="T1981" s="7">
        <v>0.106884843230747</v>
      </c>
      <c r="U1981" t="s">
        <v>9</v>
      </c>
      <c r="V1981" t="s">
        <v>50</v>
      </c>
      <c r="W1981" t="s">
        <v>50</v>
      </c>
      <c r="X1981" t="s">
        <v>33</v>
      </c>
      <c r="Y1981" t="s">
        <v>3001</v>
      </c>
      <c r="Z1981" t="s">
        <v>101</v>
      </c>
    </row>
    <row r="1982" spans="1:26">
      <c r="A1982" t="s">
        <v>4067</v>
      </c>
      <c r="B1982" t="s">
        <v>4067</v>
      </c>
      <c r="C1982" s="4">
        <v>45936</v>
      </c>
      <c r="D1982">
        <v>2025</v>
      </c>
      <c r="E1982">
        <v>10</v>
      </c>
      <c r="F1982" t="s">
        <v>26</v>
      </c>
      <c r="G1982" t="s">
        <v>137</v>
      </c>
      <c r="H1982" t="s">
        <v>2516</v>
      </c>
      <c r="I1982" t="s">
        <v>362</v>
      </c>
      <c r="J1982" t="s">
        <v>44</v>
      </c>
      <c r="K1982" t="s">
        <v>518</v>
      </c>
      <c r="L1982">
        <v>3</v>
      </c>
      <c r="M1982" s="5">
        <v>329.69</v>
      </c>
      <c r="N1982" s="6">
        <v>5</v>
      </c>
      <c r="O1982" s="5">
        <v>49.45</v>
      </c>
      <c r="P1982" s="5">
        <v>140.94</v>
      </c>
      <c r="Q1982" s="5">
        <v>939.62</v>
      </c>
      <c r="R1982" s="5">
        <v>741.75</v>
      </c>
      <c r="S1982" s="5">
        <v>197.87</v>
      </c>
      <c r="T1982" s="7">
        <v>0.210585130159</v>
      </c>
      <c r="U1982" t="s">
        <v>14</v>
      </c>
      <c r="V1982" t="s">
        <v>50</v>
      </c>
      <c r="W1982" t="s">
        <v>50</v>
      </c>
      <c r="X1982" t="s">
        <v>33</v>
      </c>
      <c r="Y1982" t="s">
        <v>779</v>
      </c>
      <c r="Z1982" t="s">
        <v>101</v>
      </c>
    </row>
    <row r="1983" spans="1:26">
      <c r="A1983" t="s">
        <v>4068</v>
      </c>
      <c r="B1983" t="s">
        <v>4068</v>
      </c>
      <c r="C1983" s="4">
        <v>45757</v>
      </c>
      <c r="D1983">
        <v>2025</v>
      </c>
      <c r="E1983">
        <v>4</v>
      </c>
      <c r="F1983" t="s">
        <v>20</v>
      </c>
      <c r="G1983" t="s">
        <v>74</v>
      </c>
      <c r="H1983" t="s">
        <v>3307</v>
      </c>
      <c r="I1983" t="s">
        <v>145</v>
      </c>
      <c r="J1983" t="s">
        <v>2513</v>
      </c>
      <c r="K1983" t="s">
        <v>3573</v>
      </c>
      <c r="L1983">
        <v>3</v>
      </c>
      <c r="M1983" s="5">
        <v>522.78</v>
      </c>
      <c r="N1983" s="6">
        <v>10</v>
      </c>
      <c r="O1983" s="5">
        <v>156.83</v>
      </c>
      <c r="P1983" s="5">
        <v>211.73</v>
      </c>
      <c r="Q1983" s="5">
        <v>1411.51</v>
      </c>
      <c r="R1983" s="5">
        <v>1187.61</v>
      </c>
      <c r="S1983" s="5">
        <v>223.9</v>
      </c>
      <c r="T1983" s="7">
        <v>0.158624451828184</v>
      </c>
      <c r="U1983" t="s">
        <v>12</v>
      </c>
      <c r="V1983" t="s">
        <v>51</v>
      </c>
      <c r="W1983" t="s">
        <v>51</v>
      </c>
      <c r="X1983" t="s">
        <v>33</v>
      </c>
      <c r="Y1983" t="s">
        <v>1758</v>
      </c>
      <c r="Z1983" t="s">
        <v>101</v>
      </c>
    </row>
    <row r="1984" spans="1:26">
      <c r="A1984" t="s">
        <v>4069</v>
      </c>
      <c r="B1984" t="s">
        <v>4069</v>
      </c>
      <c r="C1984" s="4">
        <v>46005</v>
      </c>
      <c r="D1984">
        <v>2025</v>
      </c>
      <c r="E1984">
        <v>12</v>
      </c>
      <c r="F1984" t="s">
        <v>28</v>
      </c>
      <c r="G1984" t="s">
        <v>137</v>
      </c>
      <c r="H1984" t="s">
        <v>1044</v>
      </c>
      <c r="I1984" t="s">
        <v>450</v>
      </c>
      <c r="J1984" t="s">
        <v>1107</v>
      </c>
      <c r="K1984" t="s">
        <v>2176</v>
      </c>
      <c r="L1984">
        <v>4</v>
      </c>
      <c r="M1984" s="5">
        <v>490.98</v>
      </c>
      <c r="N1984" s="6">
        <v>0</v>
      </c>
      <c r="O1984" s="5">
        <v>0</v>
      </c>
      <c r="P1984" s="5">
        <v>294.59</v>
      </c>
      <c r="Q1984" s="5">
        <v>2258.51</v>
      </c>
      <c r="R1984" s="5">
        <v>1016.2</v>
      </c>
      <c r="S1984" s="5">
        <v>1242.31</v>
      </c>
      <c r="T1984" s="7">
        <v>0.550057338687896</v>
      </c>
      <c r="U1984" t="s">
        <v>11</v>
      </c>
      <c r="V1984" t="s">
        <v>50</v>
      </c>
      <c r="W1984" t="s">
        <v>50</v>
      </c>
      <c r="X1984" t="s">
        <v>35</v>
      </c>
      <c r="Y1984" t="s">
        <v>1631</v>
      </c>
      <c r="Z1984" t="s">
        <v>80</v>
      </c>
    </row>
    <row r="1985" spans="1:26">
      <c r="A1985" t="s">
        <v>4070</v>
      </c>
      <c r="B1985" t="s">
        <v>4070</v>
      </c>
      <c r="C1985" s="4">
        <v>45934</v>
      </c>
      <c r="D1985">
        <v>2025</v>
      </c>
      <c r="E1985">
        <v>10</v>
      </c>
      <c r="F1985" t="s">
        <v>26</v>
      </c>
      <c r="G1985" t="s">
        <v>137</v>
      </c>
      <c r="H1985" t="s">
        <v>4071</v>
      </c>
      <c r="I1985" t="s">
        <v>537</v>
      </c>
      <c r="J1985" t="s">
        <v>882</v>
      </c>
      <c r="K1985" t="s">
        <v>287</v>
      </c>
      <c r="L1985">
        <v>4</v>
      </c>
      <c r="M1985" s="5">
        <v>232.58</v>
      </c>
      <c r="N1985" s="6">
        <v>20</v>
      </c>
      <c r="O1985" s="5">
        <v>186.06</v>
      </c>
      <c r="P1985" s="5">
        <v>111.64</v>
      </c>
      <c r="Q1985" s="5">
        <v>855.9</v>
      </c>
      <c r="R1985" s="5">
        <v>764.8</v>
      </c>
      <c r="S1985" s="5">
        <v>91.1</v>
      </c>
      <c r="T1985" s="7">
        <v>0.106437667951864</v>
      </c>
      <c r="U1985" t="s">
        <v>11</v>
      </c>
      <c r="V1985" t="s">
        <v>50</v>
      </c>
      <c r="W1985" t="s">
        <v>50</v>
      </c>
      <c r="X1985" t="s">
        <v>34</v>
      </c>
      <c r="Y1985" t="s">
        <v>3352</v>
      </c>
      <c r="Z1985" t="s">
        <v>80</v>
      </c>
    </row>
    <row r="1986" spans="1:26">
      <c r="A1986" t="s">
        <v>4072</v>
      </c>
      <c r="B1986" t="s">
        <v>4072</v>
      </c>
      <c r="C1986" s="4">
        <v>45774</v>
      </c>
      <c r="D1986">
        <v>2025</v>
      </c>
      <c r="E1986">
        <v>4</v>
      </c>
      <c r="F1986" t="s">
        <v>20</v>
      </c>
      <c r="G1986" t="s">
        <v>74</v>
      </c>
      <c r="H1986" t="s">
        <v>2702</v>
      </c>
      <c r="I1986" t="s">
        <v>933</v>
      </c>
      <c r="J1986" t="s">
        <v>770</v>
      </c>
      <c r="K1986" t="s">
        <v>771</v>
      </c>
      <c r="L1986">
        <v>3</v>
      </c>
      <c r="M1986" s="5">
        <v>425.88</v>
      </c>
      <c r="N1986" s="6">
        <v>5</v>
      </c>
      <c r="O1986" s="5">
        <v>63.88</v>
      </c>
      <c r="P1986" s="5">
        <v>182.06</v>
      </c>
      <c r="Q1986" s="5">
        <v>1395.82</v>
      </c>
      <c r="R1986" s="5">
        <v>1072.41</v>
      </c>
      <c r="S1986" s="5">
        <v>323.41</v>
      </c>
      <c r="T1986" s="7">
        <v>0.231698929661418</v>
      </c>
      <c r="U1986" t="s">
        <v>9</v>
      </c>
      <c r="V1986" t="s">
        <v>50</v>
      </c>
      <c r="W1986" t="s">
        <v>50</v>
      </c>
      <c r="X1986" t="s">
        <v>33</v>
      </c>
      <c r="Y1986" t="s">
        <v>1005</v>
      </c>
      <c r="Z1986" t="s">
        <v>80</v>
      </c>
    </row>
    <row r="1987" spans="1:26">
      <c r="A1987" t="s">
        <v>4073</v>
      </c>
      <c r="B1987" t="s">
        <v>4073</v>
      </c>
      <c r="C1987" s="4">
        <v>45928</v>
      </c>
      <c r="D1987">
        <v>2025</v>
      </c>
      <c r="E1987">
        <v>9</v>
      </c>
      <c r="F1987" t="s">
        <v>25</v>
      </c>
      <c r="G1987" t="s">
        <v>89</v>
      </c>
      <c r="H1987" t="s">
        <v>792</v>
      </c>
      <c r="I1987" t="s">
        <v>110</v>
      </c>
      <c r="J1987" t="s">
        <v>38</v>
      </c>
      <c r="K1987" t="s">
        <v>236</v>
      </c>
      <c r="L1987">
        <v>4</v>
      </c>
      <c r="M1987" s="5">
        <v>389.74</v>
      </c>
      <c r="N1987" s="6">
        <v>15</v>
      </c>
      <c r="O1987" s="5">
        <v>233.84</v>
      </c>
      <c r="P1987" s="5">
        <v>198.77</v>
      </c>
      <c r="Q1987" s="5">
        <v>1523.89</v>
      </c>
      <c r="R1987" s="5">
        <v>1087.12</v>
      </c>
      <c r="S1987" s="5">
        <v>436.77</v>
      </c>
      <c r="T1987" s="7">
        <v>0.286615175636037</v>
      </c>
      <c r="U1987" t="s">
        <v>12</v>
      </c>
      <c r="V1987" t="s">
        <v>50</v>
      </c>
      <c r="W1987" t="s">
        <v>50</v>
      </c>
      <c r="X1987" t="s">
        <v>33</v>
      </c>
      <c r="Y1987" t="s">
        <v>1313</v>
      </c>
      <c r="Z1987" t="s">
        <v>80</v>
      </c>
    </row>
    <row r="1988" spans="1:26">
      <c r="A1988" t="s">
        <v>4074</v>
      </c>
      <c r="B1988" t="s">
        <v>4074</v>
      </c>
      <c r="C1988" s="4">
        <v>45823</v>
      </c>
      <c r="D1988">
        <v>2025</v>
      </c>
      <c r="E1988">
        <v>6</v>
      </c>
      <c r="F1988" t="s">
        <v>22</v>
      </c>
      <c r="G1988" t="s">
        <v>74</v>
      </c>
      <c r="H1988" t="s">
        <v>3505</v>
      </c>
      <c r="I1988" t="s">
        <v>553</v>
      </c>
      <c r="J1988" t="s">
        <v>919</v>
      </c>
      <c r="K1988" t="s">
        <v>920</v>
      </c>
      <c r="L1988">
        <v>4</v>
      </c>
      <c r="M1988" s="5">
        <v>291.93</v>
      </c>
      <c r="N1988" s="6">
        <v>10</v>
      </c>
      <c r="O1988" s="5">
        <v>116.77</v>
      </c>
      <c r="P1988" s="5">
        <v>157.64</v>
      </c>
      <c r="Q1988" s="5">
        <v>1208.59</v>
      </c>
      <c r="R1988" s="5">
        <v>1014.8</v>
      </c>
      <c r="S1988" s="5">
        <v>193.79</v>
      </c>
      <c r="T1988" s="7">
        <v>0.160343871784476</v>
      </c>
      <c r="U1988" t="s">
        <v>13</v>
      </c>
      <c r="V1988" t="s">
        <v>50</v>
      </c>
      <c r="W1988" t="s">
        <v>50</v>
      </c>
      <c r="X1988" t="s">
        <v>33</v>
      </c>
      <c r="Y1988" t="s">
        <v>600</v>
      </c>
      <c r="Z1988" t="s">
        <v>80</v>
      </c>
    </row>
    <row r="1989" spans="1:26">
      <c r="A1989" t="s">
        <v>4075</v>
      </c>
      <c r="B1989" t="s">
        <v>4075</v>
      </c>
      <c r="C1989" s="4">
        <v>45931</v>
      </c>
      <c r="D1989">
        <v>2025</v>
      </c>
      <c r="E1989">
        <v>10</v>
      </c>
      <c r="F1989" t="s">
        <v>26</v>
      </c>
      <c r="G1989" t="s">
        <v>137</v>
      </c>
      <c r="H1989" t="s">
        <v>2617</v>
      </c>
      <c r="I1989" t="s">
        <v>1196</v>
      </c>
      <c r="J1989" t="s">
        <v>1201</v>
      </c>
      <c r="K1989" t="s">
        <v>375</v>
      </c>
      <c r="L1989">
        <v>3</v>
      </c>
      <c r="M1989" s="5">
        <v>169.46</v>
      </c>
      <c r="N1989" s="6">
        <v>15</v>
      </c>
      <c r="O1989" s="5">
        <v>76.26</v>
      </c>
      <c r="P1989" s="5">
        <v>64.82</v>
      </c>
      <c r="Q1989" s="5">
        <v>432.12</v>
      </c>
      <c r="R1989" s="5">
        <v>327.63</v>
      </c>
      <c r="S1989" s="5">
        <v>104.49</v>
      </c>
      <c r="T1989" s="7">
        <v>0.241807831158012</v>
      </c>
      <c r="U1989" t="s">
        <v>11</v>
      </c>
      <c r="V1989" t="s">
        <v>50</v>
      </c>
      <c r="W1989" t="s">
        <v>50</v>
      </c>
      <c r="X1989" t="s">
        <v>35</v>
      </c>
      <c r="Y1989" t="s">
        <v>730</v>
      </c>
      <c r="Z1989" t="s">
        <v>101</v>
      </c>
    </row>
    <row r="1990" spans="1:26">
      <c r="A1990" t="s">
        <v>4076</v>
      </c>
      <c r="B1990" t="s">
        <v>4076</v>
      </c>
      <c r="C1990" s="4">
        <v>45793</v>
      </c>
      <c r="D1990">
        <v>2025</v>
      </c>
      <c r="E1990">
        <v>5</v>
      </c>
      <c r="F1990" t="s">
        <v>21</v>
      </c>
      <c r="G1990" t="s">
        <v>74</v>
      </c>
      <c r="H1990" t="s">
        <v>273</v>
      </c>
      <c r="I1990" t="s">
        <v>1153</v>
      </c>
      <c r="J1990" t="s">
        <v>1104</v>
      </c>
      <c r="K1990" t="s">
        <v>1105</v>
      </c>
      <c r="L1990">
        <v>4</v>
      </c>
      <c r="M1990" s="5">
        <v>360.52</v>
      </c>
      <c r="N1990" s="6">
        <v>0</v>
      </c>
      <c r="O1990" s="5">
        <v>0</v>
      </c>
      <c r="P1990" s="5">
        <v>216.31</v>
      </c>
      <c r="Q1990" s="5">
        <v>1442.08</v>
      </c>
      <c r="R1990" s="5">
        <v>1297.92</v>
      </c>
      <c r="S1990" s="5">
        <v>144.16</v>
      </c>
      <c r="T1990" s="7">
        <v>0.0999667147453678</v>
      </c>
      <c r="U1990" t="s">
        <v>14</v>
      </c>
      <c r="V1990" t="s">
        <v>50</v>
      </c>
      <c r="W1990" t="s">
        <v>50</v>
      </c>
      <c r="X1990" t="s">
        <v>33</v>
      </c>
      <c r="Y1990" t="s">
        <v>697</v>
      </c>
      <c r="Z1990" t="s">
        <v>101</v>
      </c>
    </row>
    <row r="1991" spans="1:26">
      <c r="A1991" t="s">
        <v>4077</v>
      </c>
      <c r="B1991" t="s">
        <v>4077</v>
      </c>
      <c r="C1991" s="4">
        <v>45984</v>
      </c>
      <c r="D1991">
        <v>2025</v>
      </c>
      <c r="E1991">
        <v>11</v>
      </c>
      <c r="F1991" t="s">
        <v>27</v>
      </c>
      <c r="G1991" t="s">
        <v>137</v>
      </c>
      <c r="H1991" t="s">
        <v>1561</v>
      </c>
      <c r="I1991" t="s">
        <v>406</v>
      </c>
      <c r="J1991" t="s">
        <v>445</v>
      </c>
      <c r="K1991" t="s">
        <v>1262</v>
      </c>
      <c r="L1991">
        <v>3</v>
      </c>
      <c r="M1991" s="5">
        <v>353.05</v>
      </c>
      <c r="N1991" s="6">
        <v>20</v>
      </c>
      <c r="O1991" s="5">
        <v>211.83</v>
      </c>
      <c r="P1991" s="5">
        <v>127.1</v>
      </c>
      <c r="Q1991" s="5">
        <v>974.42</v>
      </c>
      <c r="R1991" s="5">
        <v>788.4</v>
      </c>
      <c r="S1991" s="5">
        <v>186.02</v>
      </c>
      <c r="T1991" s="7">
        <v>0.190903306582377</v>
      </c>
      <c r="U1991" t="s">
        <v>11</v>
      </c>
      <c r="V1991" t="s">
        <v>50</v>
      </c>
      <c r="W1991" t="s">
        <v>50</v>
      </c>
      <c r="X1991" t="s">
        <v>34</v>
      </c>
      <c r="Y1991" t="s">
        <v>869</v>
      </c>
      <c r="Z1991" t="s">
        <v>80</v>
      </c>
    </row>
    <row r="1992" spans="1:26">
      <c r="A1992" t="s">
        <v>4078</v>
      </c>
      <c r="B1992" t="s">
        <v>4078</v>
      </c>
      <c r="C1992" s="4">
        <v>46109</v>
      </c>
      <c r="D1992">
        <v>2026</v>
      </c>
      <c r="E1992">
        <v>3</v>
      </c>
      <c r="F1992" t="s">
        <v>19</v>
      </c>
      <c r="G1992" t="s">
        <v>82</v>
      </c>
      <c r="H1992" t="s">
        <v>294</v>
      </c>
      <c r="I1992" t="s">
        <v>1714</v>
      </c>
      <c r="J1992" t="s">
        <v>770</v>
      </c>
      <c r="K1992" t="s">
        <v>771</v>
      </c>
      <c r="L1992">
        <v>6</v>
      </c>
      <c r="M1992" s="5">
        <v>386.68</v>
      </c>
      <c r="N1992" s="6">
        <v>0</v>
      </c>
      <c r="O1992" s="5">
        <v>0</v>
      </c>
      <c r="P1992" s="5">
        <v>348.01</v>
      </c>
      <c r="Q1992" s="5">
        <v>2668.09</v>
      </c>
      <c r="R1992" s="5">
        <v>1596.6</v>
      </c>
      <c r="S1992" s="5">
        <v>1071.49</v>
      </c>
      <c r="T1992" s="7">
        <v>0.401594398989539</v>
      </c>
      <c r="U1992" t="s">
        <v>12</v>
      </c>
      <c r="V1992" t="s">
        <v>50</v>
      </c>
      <c r="W1992" t="s">
        <v>50</v>
      </c>
      <c r="X1992" t="s">
        <v>33</v>
      </c>
      <c r="Y1992" t="s">
        <v>1644</v>
      </c>
      <c r="Z1992" t="s">
        <v>80</v>
      </c>
    </row>
    <row r="1993" spans="1:26">
      <c r="A1993" t="s">
        <v>4079</v>
      </c>
      <c r="B1993" t="s">
        <v>4079</v>
      </c>
      <c r="C1993" s="4">
        <v>45884</v>
      </c>
      <c r="D1993">
        <v>2025</v>
      </c>
      <c r="E1993">
        <v>8</v>
      </c>
      <c r="F1993" t="s">
        <v>24</v>
      </c>
      <c r="G1993" t="s">
        <v>89</v>
      </c>
      <c r="H1993" t="s">
        <v>1786</v>
      </c>
      <c r="I1993" t="s">
        <v>116</v>
      </c>
      <c r="J1993" t="s">
        <v>477</v>
      </c>
      <c r="K1993" t="s">
        <v>478</v>
      </c>
      <c r="L1993">
        <v>4</v>
      </c>
      <c r="M1993" s="5">
        <v>197.96</v>
      </c>
      <c r="N1993" s="6">
        <v>20</v>
      </c>
      <c r="O1993" s="5">
        <v>158.37</v>
      </c>
      <c r="P1993" s="5">
        <v>95.02</v>
      </c>
      <c r="Q1993" s="5">
        <v>633.47</v>
      </c>
      <c r="R1993" s="5">
        <v>568</v>
      </c>
      <c r="S1993" s="5">
        <v>65.47</v>
      </c>
      <c r="T1993" s="7">
        <v>0.103351382070185</v>
      </c>
      <c r="U1993" t="s">
        <v>14</v>
      </c>
      <c r="V1993" t="s">
        <v>50</v>
      </c>
      <c r="W1993" t="s">
        <v>50</v>
      </c>
      <c r="X1993" t="s">
        <v>35</v>
      </c>
      <c r="Y1993" t="s">
        <v>3308</v>
      </c>
      <c r="Z1993" t="s">
        <v>101</v>
      </c>
    </row>
    <row r="1994" spans="1:26">
      <c r="A1994" t="s">
        <v>4080</v>
      </c>
      <c r="B1994" t="s">
        <v>4080</v>
      </c>
      <c r="C1994" s="4">
        <v>45767</v>
      </c>
      <c r="D1994">
        <v>2025</v>
      </c>
      <c r="E1994">
        <v>4</v>
      </c>
      <c r="F1994" t="s">
        <v>20</v>
      </c>
      <c r="G1994" t="s">
        <v>74</v>
      </c>
      <c r="H1994" t="s">
        <v>300</v>
      </c>
      <c r="I1994" t="s">
        <v>84</v>
      </c>
      <c r="J1994" t="s">
        <v>850</v>
      </c>
      <c r="K1994" t="s">
        <v>141</v>
      </c>
      <c r="L1994">
        <v>4</v>
      </c>
      <c r="M1994" s="5">
        <v>478.3</v>
      </c>
      <c r="N1994" s="6">
        <v>0</v>
      </c>
      <c r="O1994" s="5">
        <v>0</v>
      </c>
      <c r="P1994" s="5">
        <v>286.98</v>
      </c>
      <c r="Q1994" s="5">
        <v>2200.18</v>
      </c>
      <c r="R1994" s="5">
        <v>1520.32</v>
      </c>
      <c r="S1994" s="5">
        <v>679.86</v>
      </c>
      <c r="T1994" s="7">
        <v>0.309001990746212</v>
      </c>
      <c r="U1994" t="s">
        <v>12</v>
      </c>
      <c r="V1994" t="s">
        <v>50</v>
      </c>
      <c r="W1994" t="s">
        <v>50</v>
      </c>
      <c r="X1994" t="s">
        <v>33</v>
      </c>
      <c r="Y1994" t="s">
        <v>3479</v>
      </c>
      <c r="Z1994" t="s">
        <v>80</v>
      </c>
    </row>
    <row r="1995" spans="1:26">
      <c r="A1995" t="s">
        <v>4081</v>
      </c>
      <c r="B1995" t="s">
        <v>4081</v>
      </c>
      <c r="C1995" s="4">
        <v>45779</v>
      </c>
      <c r="D1995">
        <v>2025</v>
      </c>
      <c r="E1995">
        <v>5</v>
      </c>
      <c r="F1995" t="s">
        <v>21</v>
      </c>
      <c r="G1995" t="s">
        <v>74</v>
      </c>
      <c r="H1995" t="s">
        <v>4029</v>
      </c>
      <c r="I1995" t="s">
        <v>503</v>
      </c>
      <c r="J1995" t="s">
        <v>532</v>
      </c>
      <c r="K1995" t="s">
        <v>533</v>
      </c>
      <c r="L1995">
        <v>2</v>
      </c>
      <c r="M1995" s="5">
        <v>71.29</v>
      </c>
      <c r="N1995" s="6">
        <v>5</v>
      </c>
      <c r="O1995" s="5">
        <v>7.13</v>
      </c>
      <c r="P1995" s="5">
        <v>20.32</v>
      </c>
      <c r="Q1995" s="5"/>
      <c r="R1995" s="5">
        <v>118.74</v>
      </c>
      <c r="S1995" s="5">
        <v>16.71</v>
      </c>
      <c r="T1995" s="7"/>
      <c r="U1995" t="s">
        <v>14</v>
      </c>
      <c r="V1995" t="s">
        <v>50</v>
      </c>
      <c r="W1995" t="s">
        <v>50</v>
      </c>
      <c r="X1995" t="s">
        <v>33</v>
      </c>
      <c r="Y1995" t="s">
        <v>1317</v>
      </c>
      <c r="Z1995" t="s">
        <v>101</v>
      </c>
    </row>
    <row r="1996" spans="1:26">
      <c r="A1996" t="s">
        <v>4082</v>
      </c>
      <c r="B1996" t="s">
        <v>4082</v>
      </c>
      <c r="C1996" s="4">
        <v>46109</v>
      </c>
      <c r="D1996">
        <v>2026</v>
      </c>
      <c r="E1996">
        <v>3</v>
      </c>
      <c r="F1996" t="s">
        <v>19</v>
      </c>
      <c r="G1996" t="s">
        <v>82</v>
      </c>
      <c r="H1996" t="s">
        <v>361</v>
      </c>
      <c r="I1996" t="s">
        <v>190</v>
      </c>
      <c r="J1996" t="s">
        <v>1928</v>
      </c>
      <c r="K1996" t="s">
        <v>2636</v>
      </c>
      <c r="L1996">
        <v>6</v>
      </c>
      <c r="M1996" s="5">
        <v>489</v>
      </c>
      <c r="N1996" s="6">
        <v>0</v>
      </c>
      <c r="O1996" s="5">
        <v>0</v>
      </c>
      <c r="P1996" s="5">
        <v>440.1</v>
      </c>
      <c r="Q1996" s="5">
        <v>3374.1</v>
      </c>
      <c r="R1996" s="5">
        <v>1592.64</v>
      </c>
      <c r="S1996" s="5">
        <v>1781.46</v>
      </c>
      <c r="T1996" s="7">
        <v>0.527980794878634</v>
      </c>
      <c r="U1996" t="s">
        <v>11</v>
      </c>
      <c r="V1996" t="s">
        <v>50</v>
      </c>
      <c r="W1996" t="s">
        <v>50</v>
      </c>
      <c r="X1996" t="s">
        <v>33</v>
      </c>
      <c r="Y1996" t="s">
        <v>1764</v>
      </c>
      <c r="Z1996" t="s">
        <v>80</v>
      </c>
    </row>
    <row r="1997" spans="1:26">
      <c r="A1997" t="s">
        <v>4083</v>
      </c>
      <c r="B1997" t="s">
        <v>4083</v>
      </c>
      <c r="C1997" s="4">
        <v>45975</v>
      </c>
      <c r="D1997">
        <v>2025</v>
      </c>
      <c r="E1997">
        <v>11</v>
      </c>
      <c r="F1997" t="s">
        <v>27</v>
      </c>
      <c r="G1997" t="s">
        <v>137</v>
      </c>
      <c r="H1997" t="s">
        <v>886</v>
      </c>
      <c r="I1997" t="s">
        <v>2993</v>
      </c>
      <c r="J1997" t="s">
        <v>813</v>
      </c>
      <c r="K1997" t="s">
        <v>611</v>
      </c>
      <c r="L1997">
        <v>5</v>
      </c>
      <c r="M1997" s="5">
        <v>414.29</v>
      </c>
      <c r="N1997" s="6">
        <v>5</v>
      </c>
      <c r="O1997" s="5">
        <v>103.57</v>
      </c>
      <c r="P1997" s="5">
        <v>295.18</v>
      </c>
      <c r="Q1997" s="5">
        <v>1967.88</v>
      </c>
      <c r="R1997" s="5">
        <v>1571.3</v>
      </c>
      <c r="S1997" s="5">
        <v>396.58</v>
      </c>
      <c r="T1997" s="7">
        <v>0.201526515844462</v>
      </c>
      <c r="U1997" t="s">
        <v>11</v>
      </c>
      <c r="V1997" t="s">
        <v>50</v>
      </c>
      <c r="W1997" t="s">
        <v>50</v>
      </c>
      <c r="X1997" t="s">
        <v>34</v>
      </c>
      <c r="Y1997" t="s">
        <v>1148</v>
      </c>
      <c r="Z1997" t="s">
        <v>101</v>
      </c>
    </row>
    <row r="1998" spans="1:26">
      <c r="A1998" t="s">
        <v>4084</v>
      </c>
      <c r="B1998" t="s">
        <v>4084</v>
      </c>
      <c r="C1998" s="4">
        <v>45827</v>
      </c>
      <c r="D1998">
        <v>2025</v>
      </c>
      <c r="E1998">
        <v>6</v>
      </c>
      <c r="F1998" t="s">
        <v>22</v>
      </c>
      <c r="G1998" t="s">
        <v>74</v>
      </c>
      <c r="H1998" t="s">
        <v>4085</v>
      </c>
      <c r="I1998" t="s">
        <v>583</v>
      </c>
      <c r="J1998" t="s">
        <v>43</v>
      </c>
      <c r="K1998" t="s">
        <v>934</v>
      </c>
      <c r="L1998">
        <v>2</v>
      </c>
      <c r="M1998" s="5">
        <v>251.73</v>
      </c>
      <c r="N1998" s="6">
        <v>0</v>
      </c>
      <c r="O1998" s="5">
        <v>0</v>
      </c>
      <c r="P1998" s="5">
        <v>75.52</v>
      </c>
      <c r="Q1998" s="5">
        <v>503.46</v>
      </c>
      <c r="R1998" s="5">
        <v>421.04</v>
      </c>
      <c r="S1998" s="5">
        <v>82.42</v>
      </c>
      <c r="T1998" s="7">
        <v>0.163707146545902</v>
      </c>
      <c r="U1998" t="s">
        <v>11</v>
      </c>
      <c r="V1998" t="s">
        <v>50</v>
      </c>
      <c r="W1998" t="s">
        <v>50</v>
      </c>
      <c r="X1998" t="s">
        <v>34</v>
      </c>
      <c r="Y1998" t="s">
        <v>2930</v>
      </c>
      <c r="Z1998" t="s">
        <v>101</v>
      </c>
    </row>
    <row r="1999" spans="1:26">
      <c r="A1999" t="s">
        <v>4086</v>
      </c>
      <c r="B1999" t="s">
        <v>4086</v>
      </c>
      <c r="C1999" s="4">
        <v>46075</v>
      </c>
      <c r="D1999">
        <v>2026</v>
      </c>
      <c r="E1999">
        <v>2</v>
      </c>
      <c r="F1999" t="s">
        <v>31</v>
      </c>
      <c r="G1999" t="s">
        <v>82</v>
      </c>
      <c r="H1999" t="s">
        <v>2687</v>
      </c>
      <c r="I1999" t="s">
        <v>854</v>
      </c>
      <c r="J1999" t="s">
        <v>175</v>
      </c>
      <c r="K1999" t="s">
        <v>455</v>
      </c>
      <c r="L1999">
        <v>5</v>
      </c>
      <c r="M1999" s="5">
        <v>530.16</v>
      </c>
      <c r="N1999" s="6">
        <v>0</v>
      </c>
      <c r="O1999" s="5">
        <v>0</v>
      </c>
      <c r="P1999" s="5">
        <v>397.62</v>
      </c>
      <c r="Q1999" s="5">
        <v>3048.42</v>
      </c>
      <c r="R1999" s="5">
        <v>1895.95</v>
      </c>
      <c r="S1999" s="5">
        <v>1152.47</v>
      </c>
      <c r="T1999" s="7">
        <v>0.378054861206789</v>
      </c>
      <c r="U1999" t="s">
        <v>11</v>
      </c>
      <c r="V1999" t="s">
        <v>50</v>
      </c>
      <c r="W1999" t="s">
        <v>50</v>
      </c>
      <c r="X1999" t="s">
        <v>33</v>
      </c>
      <c r="Y1999" t="s">
        <v>931</v>
      </c>
      <c r="Z1999" t="s">
        <v>80</v>
      </c>
    </row>
    <row r="2000" spans="1:26">
      <c r="A2000" t="s">
        <v>4087</v>
      </c>
      <c r="B2000" t="s">
        <v>4087</v>
      </c>
      <c r="C2000" s="4">
        <v>46043</v>
      </c>
      <c r="D2000">
        <v>2026</v>
      </c>
      <c r="E2000">
        <v>1</v>
      </c>
      <c r="F2000" t="s">
        <v>30</v>
      </c>
      <c r="G2000" t="s">
        <v>82</v>
      </c>
      <c r="H2000" t="s">
        <v>669</v>
      </c>
      <c r="I2000" t="s">
        <v>703</v>
      </c>
      <c r="J2000" t="s">
        <v>676</v>
      </c>
      <c r="K2000" t="s">
        <v>677</v>
      </c>
      <c r="L2000">
        <v>3</v>
      </c>
      <c r="M2000" s="5">
        <v>224.28</v>
      </c>
      <c r="N2000" s="6">
        <v>10</v>
      </c>
      <c r="O2000" s="5">
        <v>67.28</v>
      </c>
      <c r="P2000" s="5">
        <v>90.83</v>
      </c>
      <c r="Q2000" s="5">
        <v>605.56</v>
      </c>
      <c r="R2000" s="5">
        <v>577.17</v>
      </c>
      <c r="S2000" s="5">
        <v>28.39</v>
      </c>
      <c r="T2000" s="7">
        <v>0.0468822247176168</v>
      </c>
      <c r="U2000" t="s">
        <v>9</v>
      </c>
      <c r="V2000" t="s">
        <v>50</v>
      </c>
      <c r="W2000" t="s">
        <v>50</v>
      </c>
      <c r="X2000" t="s">
        <v>35</v>
      </c>
      <c r="Y2000" t="s">
        <v>335</v>
      </c>
      <c r="Z2000" t="s">
        <v>101</v>
      </c>
    </row>
    <row r="2001" spans="1:26">
      <c r="A2001" t="s">
        <v>4088</v>
      </c>
      <c r="B2001" t="s">
        <v>4088</v>
      </c>
      <c r="C2001" s="4">
        <v>45946</v>
      </c>
      <c r="D2001">
        <v>2025</v>
      </c>
      <c r="E2001">
        <v>10</v>
      </c>
      <c r="F2001" t="s">
        <v>26</v>
      </c>
      <c r="G2001" t="s">
        <v>137</v>
      </c>
      <c r="H2001" t="s">
        <v>3266</v>
      </c>
      <c r="I2001" t="s">
        <v>1419</v>
      </c>
      <c r="J2001" t="s">
        <v>1468</v>
      </c>
      <c r="K2001" t="s">
        <v>1473</v>
      </c>
      <c r="L2001">
        <v>2</v>
      </c>
      <c r="M2001" s="5">
        <v>317.99</v>
      </c>
      <c r="N2001" s="6">
        <v>0</v>
      </c>
      <c r="O2001" s="5">
        <v>0</v>
      </c>
      <c r="P2001" s="5">
        <v>95.4</v>
      </c>
      <c r="Q2001" s="5">
        <v>635.98</v>
      </c>
      <c r="R2001" s="5">
        <v>470.1</v>
      </c>
      <c r="S2001" s="5">
        <v>165.88</v>
      </c>
      <c r="T2001" s="7">
        <v>0.260825812132457</v>
      </c>
      <c r="U2001" t="s">
        <v>12</v>
      </c>
      <c r="V2001" t="s">
        <v>50</v>
      </c>
      <c r="W2001" t="s">
        <v>50</v>
      </c>
      <c r="X2001" t="s">
        <v>33</v>
      </c>
      <c r="Y2001" t="s">
        <v>1623</v>
      </c>
      <c r="Z2001" t="s">
        <v>101</v>
      </c>
    </row>
    <row r="2002" spans="1:26">
      <c r="A2002" t="s">
        <v>4089</v>
      </c>
      <c r="B2002" t="s">
        <v>4089</v>
      </c>
      <c r="C2002" s="4">
        <v>46004</v>
      </c>
      <c r="D2002">
        <v>2025</v>
      </c>
      <c r="E2002">
        <v>12</v>
      </c>
      <c r="F2002" t="s">
        <v>28</v>
      </c>
      <c r="G2002" t="s">
        <v>137</v>
      </c>
      <c r="H2002" t="s">
        <v>1701</v>
      </c>
      <c r="I2002" t="s">
        <v>139</v>
      </c>
      <c r="J2002" t="s">
        <v>401</v>
      </c>
      <c r="K2002" t="s">
        <v>402</v>
      </c>
      <c r="L2002">
        <v>4</v>
      </c>
      <c r="M2002" s="5">
        <v>38.66</v>
      </c>
      <c r="N2002" s="6">
        <v>20</v>
      </c>
      <c r="O2002" s="5">
        <v>30.93</v>
      </c>
      <c r="P2002" s="5">
        <v>18.56</v>
      </c>
      <c r="Q2002" s="5">
        <v>142.27</v>
      </c>
      <c r="R2002" s="5">
        <v>129.6</v>
      </c>
      <c r="S2002" s="5">
        <v>12.67</v>
      </c>
      <c r="T2002" s="7">
        <v>0.0890560202431995</v>
      </c>
      <c r="U2002" t="s">
        <v>9</v>
      </c>
      <c r="V2002" t="s">
        <v>50</v>
      </c>
      <c r="W2002" t="s">
        <v>50</v>
      </c>
      <c r="X2002" t="s">
        <v>33</v>
      </c>
      <c r="Y2002" t="s">
        <v>94</v>
      </c>
      <c r="Z2002" t="s">
        <v>80</v>
      </c>
    </row>
    <row r="2003" spans="1:26">
      <c r="A2003" t="s">
        <v>4090</v>
      </c>
      <c r="B2003" t="s">
        <v>4090</v>
      </c>
      <c r="C2003" s="4">
        <v>46012</v>
      </c>
      <c r="D2003">
        <v>2025</v>
      </c>
      <c r="E2003">
        <v>12</v>
      </c>
      <c r="F2003" t="s">
        <v>28</v>
      </c>
      <c r="G2003" t="s">
        <v>137</v>
      </c>
      <c r="H2003" t="s">
        <v>337</v>
      </c>
      <c r="I2003" t="s">
        <v>84</v>
      </c>
      <c r="J2003" t="s">
        <v>140</v>
      </c>
      <c r="K2003" t="s">
        <v>141</v>
      </c>
      <c r="L2003">
        <v>7</v>
      </c>
      <c r="M2003" s="5">
        <v>457.23</v>
      </c>
      <c r="N2003" s="6">
        <v>5</v>
      </c>
      <c r="O2003" s="5">
        <v>160.03</v>
      </c>
      <c r="P2003" s="5">
        <v>456.09</v>
      </c>
      <c r="Q2003" s="5">
        <v>3496.67</v>
      </c>
      <c r="R2003" s="5">
        <v>2660.56</v>
      </c>
      <c r="S2003" s="5">
        <v>836.11</v>
      </c>
      <c r="T2003" s="7">
        <v>0.23911607329259</v>
      </c>
      <c r="U2003" t="s">
        <v>13</v>
      </c>
      <c r="V2003" t="s">
        <v>50</v>
      </c>
      <c r="W2003" t="s">
        <v>50</v>
      </c>
      <c r="X2003" t="s">
        <v>33</v>
      </c>
      <c r="Y2003" t="s">
        <v>2772</v>
      </c>
      <c r="Z2003" t="s">
        <v>80</v>
      </c>
    </row>
    <row r="2004" spans="1:26">
      <c r="A2004" t="s">
        <v>4091</v>
      </c>
      <c r="B2004" t="s">
        <v>4091</v>
      </c>
      <c r="C2004" s="4">
        <v>45754</v>
      </c>
      <c r="D2004">
        <v>2025</v>
      </c>
      <c r="E2004">
        <v>4</v>
      </c>
      <c r="F2004" t="s">
        <v>20</v>
      </c>
      <c r="G2004" t="s">
        <v>74</v>
      </c>
      <c r="H2004" t="s">
        <v>3094</v>
      </c>
      <c r="I2004" t="s">
        <v>787</v>
      </c>
      <c r="J2004" t="s">
        <v>263</v>
      </c>
      <c r="K2004" t="s">
        <v>264</v>
      </c>
      <c r="L2004">
        <v>2</v>
      </c>
      <c r="M2004" s="5">
        <v>168.36</v>
      </c>
      <c r="N2004" s="6">
        <v>20</v>
      </c>
      <c r="O2004" s="5">
        <v>67.34</v>
      </c>
      <c r="P2004" s="5">
        <v>40.41</v>
      </c>
      <c r="Q2004" s="5">
        <v>269.38</v>
      </c>
      <c r="R2004" s="5">
        <v>204.46</v>
      </c>
      <c r="S2004" s="5">
        <v>64.92</v>
      </c>
      <c r="T2004" s="7">
        <v>0.240997846907714</v>
      </c>
      <c r="U2004" t="s">
        <v>12</v>
      </c>
      <c r="V2004" t="s">
        <v>50</v>
      </c>
      <c r="W2004" t="s">
        <v>50</v>
      </c>
      <c r="X2004" t="s">
        <v>33</v>
      </c>
      <c r="Y2004" t="s">
        <v>1623</v>
      </c>
      <c r="Z2004" t="s">
        <v>101</v>
      </c>
    </row>
    <row r="2005" spans="1:26">
      <c r="A2005" t="s">
        <v>4092</v>
      </c>
      <c r="B2005" t="s">
        <v>4092</v>
      </c>
      <c r="C2005" s="4">
        <v>46095</v>
      </c>
      <c r="D2005">
        <v>2026</v>
      </c>
      <c r="E2005">
        <v>3</v>
      </c>
      <c r="F2005" t="s">
        <v>19</v>
      </c>
      <c r="G2005" t="s">
        <v>82</v>
      </c>
      <c r="H2005" t="s">
        <v>1079</v>
      </c>
      <c r="I2005" t="s">
        <v>722</v>
      </c>
      <c r="J2005" t="s">
        <v>345</v>
      </c>
      <c r="K2005" t="s">
        <v>346</v>
      </c>
      <c r="L2005">
        <v>2</v>
      </c>
      <c r="M2005" s="5">
        <v>157.98</v>
      </c>
      <c r="N2005" s="6">
        <v>0</v>
      </c>
      <c r="O2005" s="5">
        <v>0</v>
      </c>
      <c r="P2005" s="5">
        <v>47.39</v>
      </c>
      <c r="Q2005" s="5">
        <v>363.35</v>
      </c>
      <c r="R2005" s="5">
        <v>275.9</v>
      </c>
      <c r="S2005" s="5">
        <v>87.45</v>
      </c>
      <c r="T2005" s="7">
        <v>0.240677033163616</v>
      </c>
      <c r="U2005" t="s">
        <v>10</v>
      </c>
      <c r="V2005" t="s">
        <v>50</v>
      </c>
      <c r="W2005" t="s">
        <v>50</v>
      </c>
      <c r="X2005" t="s">
        <v>33</v>
      </c>
      <c r="Y2005" t="s">
        <v>2410</v>
      </c>
      <c r="Z2005" t="s">
        <v>80</v>
      </c>
    </row>
    <row r="2006" spans="1:26">
      <c r="A2006" t="s">
        <v>4093</v>
      </c>
      <c r="B2006" t="s">
        <v>4093</v>
      </c>
      <c r="C2006" s="4">
        <v>45887</v>
      </c>
      <c r="D2006">
        <v>2025</v>
      </c>
      <c r="E2006">
        <v>8</v>
      </c>
      <c r="F2006" t="s">
        <v>24</v>
      </c>
      <c r="G2006" t="s">
        <v>89</v>
      </c>
      <c r="H2006" t="s">
        <v>843</v>
      </c>
      <c r="I2006" t="s">
        <v>2587</v>
      </c>
      <c r="J2006" t="s">
        <v>4094</v>
      </c>
      <c r="K2006" t="s">
        <v>1475</v>
      </c>
      <c r="L2006">
        <v>3</v>
      </c>
      <c r="M2006" s="5">
        <v>72.93</v>
      </c>
      <c r="N2006" s="6">
        <v>15</v>
      </c>
      <c r="O2006" s="5">
        <v>32.82</v>
      </c>
      <c r="P2006" s="5">
        <v>27.9</v>
      </c>
      <c r="Q2006" s="5">
        <v>185.97</v>
      </c>
      <c r="R2006" s="5">
        <v>162.75</v>
      </c>
      <c r="S2006" s="5">
        <v>23.22</v>
      </c>
      <c r="T2006" s="7">
        <v>0.124858848201323</v>
      </c>
      <c r="U2006" t="s">
        <v>11</v>
      </c>
      <c r="V2006" t="s">
        <v>50</v>
      </c>
      <c r="W2006" t="s">
        <v>50</v>
      </c>
      <c r="X2006" t="s">
        <v>33</v>
      </c>
      <c r="Y2006" t="s">
        <v>2225</v>
      </c>
      <c r="Z2006" t="s">
        <v>101</v>
      </c>
    </row>
    <row r="2007" spans="1:26">
      <c r="A2007" t="s">
        <v>4095</v>
      </c>
      <c r="B2007" t="s">
        <v>4095</v>
      </c>
      <c r="C2007" s="4">
        <v>46070</v>
      </c>
      <c r="D2007">
        <v>2026</v>
      </c>
      <c r="E2007">
        <v>2</v>
      </c>
      <c r="F2007" t="s">
        <v>31</v>
      </c>
      <c r="G2007" t="s">
        <v>82</v>
      </c>
      <c r="H2007" t="s">
        <v>2320</v>
      </c>
      <c r="I2007" t="s">
        <v>947</v>
      </c>
      <c r="J2007" t="s">
        <v>802</v>
      </c>
      <c r="K2007" t="s">
        <v>803</v>
      </c>
      <c r="L2007">
        <v>1</v>
      </c>
      <c r="M2007" s="5">
        <v>464.41</v>
      </c>
      <c r="N2007" s="6">
        <v>20</v>
      </c>
      <c r="O2007" s="5">
        <v>92.88</v>
      </c>
      <c r="P2007" s="5">
        <v>55.73</v>
      </c>
      <c r="Q2007" s="5">
        <v>371.53</v>
      </c>
      <c r="R2007" s="5">
        <v>397.69</v>
      </c>
      <c r="S2007" s="5">
        <v>-26.16</v>
      </c>
      <c r="T2007" s="7">
        <v>-0.0704115414636772</v>
      </c>
      <c r="U2007" t="s">
        <v>10</v>
      </c>
      <c r="V2007" t="s">
        <v>50</v>
      </c>
      <c r="W2007" t="s">
        <v>50</v>
      </c>
      <c r="X2007" t="s">
        <v>33</v>
      </c>
      <c r="Y2007" t="s">
        <v>788</v>
      </c>
      <c r="Z2007" t="s">
        <v>101</v>
      </c>
    </row>
    <row r="2008" spans="1:26">
      <c r="A2008" t="s">
        <v>4096</v>
      </c>
      <c r="B2008" t="s">
        <v>4096</v>
      </c>
      <c r="C2008" s="4">
        <v>45788</v>
      </c>
      <c r="D2008">
        <v>2025</v>
      </c>
      <c r="E2008">
        <v>5</v>
      </c>
      <c r="F2008" t="s">
        <v>21</v>
      </c>
      <c r="G2008" t="s">
        <v>74</v>
      </c>
      <c r="H2008" t="s">
        <v>1489</v>
      </c>
      <c r="I2008" t="s">
        <v>756</v>
      </c>
      <c r="J2008" t="s">
        <v>175</v>
      </c>
      <c r="K2008" t="s">
        <v>690</v>
      </c>
      <c r="L2008">
        <v>3</v>
      </c>
      <c r="M2008" s="5">
        <v>161.03</v>
      </c>
      <c r="N2008" s="6">
        <v>5</v>
      </c>
      <c r="O2008" s="5">
        <v>24.15</v>
      </c>
      <c r="P2008" s="5">
        <v>68.84</v>
      </c>
      <c r="Q2008" s="5">
        <v>527.78</v>
      </c>
      <c r="R2008" s="5">
        <v>372.72</v>
      </c>
      <c r="S2008" s="5">
        <v>155.06</v>
      </c>
      <c r="T2008" s="7">
        <v>0.293796657698283</v>
      </c>
      <c r="U2008" t="s">
        <v>14</v>
      </c>
      <c r="V2008" t="s">
        <v>50</v>
      </c>
      <c r="W2008" t="s">
        <v>50</v>
      </c>
      <c r="X2008" t="s">
        <v>35</v>
      </c>
      <c r="Y2008" t="s">
        <v>2958</v>
      </c>
      <c r="Z2008" t="s">
        <v>80</v>
      </c>
    </row>
    <row r="2009" spans="1:26">
      <c r="A2009" t="s">
        <v>4097</v>
      </c>
      <c r="B2009" t="s">
        <v>4097</v>
      </c>
      <c r="C2009" s="4">
        <v>45787</v>
      </c>
      <c r="D2009">
        <v>2025</v>
      </c>
      <c r="E2009">
        <v>5</v>
      </c>
      <c r="F2009" t="s">
        <v>21</v>
      </c>
      <c r="G2009" t="s">
        <v>74</v>
      </c>
      <c r="H2009" t="s">
        <v>3238</v>
      </c>
      <c r="I2009" t="s">
        <v>317</v>
      </c>
      <c r="J2009" t="s">
        <v>522</v>
      </c>
      <c r="K2009" t="s">
        <v>1869</v>
      </c>
      <c r="L2009">
        <v>4</v>
      </c>
      <c r="M2009" s="5">
        <v>162.59</v>
      </c>
      <c r="N2009" s="6">
        <v>0</v>
      </c>
      <c r="O2009" s="5">
        <v>0</v>
      </c>
      <c r="P2009" s="5">
        <v>97.55</v>
      </c>
      <c r="Q2009" s="5">
        <v>747.91</v>
      </c>
      <c r="R2009" s="5">
        <v>550.56</v>
      </c>
      <c r="S2009" s="5">
        <v>197.35</v>
      </c>
      <c r="T2009" s="7">
        <v>0.263868647297135</v>
      </c>
      <c r="U2009" t="s">
        <v>10</v>
      </c>
      <c r="V2009" t="s">
        <v>50</v>
      </c>
      <c r="W2009" t="s">
        <v>50</v>
      </c>
      <c r="X2009" t="s">
        <v>33</v>
      </c>
      <c r="Y2009" t="s">
        <v>864</v>
      </c>
      <c r="Z2009" t="s">
        <v>80</v>
      </c>
    </row>
    <row r="2010" spans="1:26">
      <c r="A2010" t="s">
        <v>4098</v>
      </c>
      <c r="B2010" t="s">
        <v>4098</v>
      </c>
      <c r="C2010" s="4">
        <v>46110</v>
      </c>
      <c r="D2010">
        <v>2026</v>
      </c>
      <c r="E2010">
        <v>3</v>
      </c>
      <c r="F2010" t="s">
        <v>19</v>
      </c>
      <c r="G2010" t="s">
        <v>82</v>
      </c>
      <c r="H2010" t="s">
        <v>1007</v>
      </c>
      <c r="I2010" t="s">
        <v>417</v>
      </c>
      <c r="J2010" t="s">
        <v>482</v>
      </c>
      <c r="K2010" t="s">
        <v>594</v>
      </c>
      <c r="L2010">
        <v>6</v>
      </c>
      <c r="M2010" s="5">
        <v>389.12</v>
      </c>
      <c r="N2010" s="6">
        <v>10</v>
      </c>
      <c r="O2010" s="5">
        <v>233.47</v>
      </c>
      <c r="P2010" s="5">
        <v>315.19</v>
      </c>
      <c r="Q2010" s="5">
        <v>2416.44</v>
      </c>
      <c r="R2010" s="5">
        <v>1859.88</v>
      </c>
      <c r="S2010" s="5">
        <v>556.56</v>
      </c>
      <c r="T2010" s="7">
        <v>0.23032229229776</v>
      </c>
      <c r="U2010" t="s">
        <v>11</v>
      </c>
      <c r="V2010" t="s">
        <v>50</v>
      </c>
      <c r="W2010" t="s">
        <v>50</v>
      </c>
      <c r="X2010" t="s">
        <v>35</v>
      </c>
      <c r="Y2010" t="s">
        <v>2288</v>
      </c>
      <c r="Z2010" t="s">
        <v>80</v>
      </c>
    </row>
    <row r="2011" spans="1:26">
      <c r="A2011" t="s">
        <v>4099</v>
      </c>
      <c r="B2011" t="s">
        <v>4099</v>
      </c>
      <c r="C2011" s="4">
        <v>45970</v>
      </c>
      <c r="D2011">
        <v>2025</v>
      </c>
      <c r="E2011">
        <v>11</v>
      </c>
      <c r="F2011" t="s">
        <v>27</v>
      </c>
      <c r="G2011" t="s">
        <v>137</v>
      </c>
      <c r="H2011" t="s">
        <v>4100</v>
      </c>
      <c r="I2011" t="s">
        <v>498</v>
      </c>
      <c r="J2011" t="s">
        <v>41</v>
      </c>
      <c r="K2011" t="s">
        <v>588</v>
      </c>
      <c r="L2011">
        <v>2</v>
      </c>
      <c r="M2011" s="5">
        <v>365.92</v>
      </c>
      <c r="N2011" s="6">
        <v>0</v>
      </c>
      <c r="O2011" s="5">
        <v>0</v>
      </c>
      <c r="P2011" s="5">
        <v>109.78</v>
      </c>
      <c r="Q2011" s="5">
        <v>841.62</v>
      </c>
      <c r="R2011" s="5">
        <v>620.76</v>
      </c>
      <c r="S2011" s="5">
        <v>220.86</v>
      </c>
      <c r="T2011" s="7">
        <v>0.262422470948884</v>
      </c>
      <c r="U2011" t="s">
        <v>12</v>
      </c>
      <c r="V2011" t="s">
        <v>50</v>
      </c>
      <c r="W2011" t="s">
        <v>50</v>
      </c>
      <c r="X2011" t="s">
        <v>33</v>
      </c>
      <c r="Y2011" t="s">
        <v>1589</v>
      </c>
      <c r="Z2011" t="s">
        <v>80</v>
      </c>
    </row>
    <row r="2012" spans="1:26">
      <c r="A2012" t="s">
        <v>4101</v>
      </c>
      <c r="B2012" t="s">
        <v>4101</v>
      </c>
      <c r="C2012" s="4">
        <v>45962</v>
      </c>
      <c r="D2012">
        <v>2025</v>
      </c>
      <c r="E2012">
        <v>11</v>
      </c>
      <c r="F2012" t="s">
        <v>27</v>
      </c>
      <c r="G2012" t="s">
        <v>137</v>
      </c>
      <c r="H2012" t="s">
        <v>2708</v>
      </c>
      <c r="I2012" t="s">
        <v>547</v>
      </c>
      <c r="J2012" t="s">
        <v>38</v>
      </c>
      <c r="K2012" t="s">
        <v>1775</v>
      </c>
      <c r="L2012">
        <v>6</v>
      </c>
      <c r="M2012" s="5">
        <v>546.6</v>
      </c>
      <c r="N2012" s="6">
        <v>0</v>
      </c>
      <c r="O2012" s="5">
        <v>0</v>
      </c>
      <c r="P2012" s="5">
        <v>491.94</v>
      </c>
      <c r="Q2012" s="5">
        <v>3771.54</v>
      </c>
      <c r="R2012" s="5">
        <v>2338.8</v>
      </c>
      <c r="S2012" s="5">
        <v>1432.74</v>
      </c>
      <c r="T2012" s="7">
        <v>0.379881958033058</v>
      </c>
      <c r="U2012" t="s">
        <v>10</v>
      </c>
      <c r="V2012" t="s">
        <v>50</v>
      </c>
      <c r="W2012" t="s">
        <v>50</v>
      </c>
      <c r="X2012" t="s">
        <v>33</v>
      </c>
      <c r="Y2012" t="s">
        <v>2501</v>
      </c>
      <c r="Z2012" t="s">
        <v>80</v>
      </c>
    </row>
    <row r="2013" spans="1:26">
      <c r="A2013" t="s">
        <v>4102</v>
      </c>
      <c r="B2013" t="s">
        <v>4102</v>
      </c>
      <c r="C2013" s="4">
        <v>45802</v>
      </c>
      <c r="D2013">
        <v>2025</v>
      </c>
      <c r="E2013">
        <v>5</v>
      </c>
      <c r="F2013" t="s">
        <v>21</v>
      </c>
      <c r="G2013" t="s">
        <v>74</v>
      </c>
      <c r="H2013" t="s">
        <v>4103</v>
      </c>
      <c r="I2013" t="s">
        <v>664</v>
      </c>
      <c r="J2013" t="s">
        <v>286</v>
      </c>
      <c r="K2013" t="s">
        <v>4104</v>
      </c>
      <c r="L2013">
        <v>4</v>
      </c>
      <c r="M2013" s="5">
        <v>327.08</v>
      </c>
      <c r="N2013" s="6">
        <v>0</v>
      </c>
      <c r="O2013" s="5">
        <v>0</v>
      </c>
      <c r="P2013" s="5">
        <v>196.25</v>
      </c>
      <c r="Q2013" s="5">
        <v>1504.57</v>
      </c>
      <c r="R2013" s="5">
        <v>1098.44</v>
      </c>
      <c r="S2013" s="5">
        <v>406.13</v>
      </c>
      <c r="T2013" s="7">
        <v>0.269930943724785</v>
      </c>
      <c r="U2013" t="s">
        <v>12</v>
      </c>
      <c r="V2013" t="s">
        <v>50</v>
      </c>
      <c r="W2013" t="s">
        <v>50</v>
      </c>
      <c r="X2013" t="s">
        <v>33</v>
      </c>
      <c r="Y2013" t="s">
        <v>4105</v>
      </c>
      <c r="Z2013" t="s">
        <v>80</v>
      </c>
    </row>
    <row r="2014" spans="1:26">
      <c r="A2014" t="s">
        <v>4106</v>
      </c>
      <c r="B2014" t="s">
        <v>4106</v>
      </c>
      <c r="C2014" s="4">
        <v>45794</v>
      </c>
      <c r="D2014">
        <v>2025</v>
      </c>
      <c r="E2014">
        <v>5</v>
      </c>
      <c r="F2014" t="s">
        <v>21</v>
      </c>
      <c r="G2014" t="s">
        <v>74</v>
      </c>
      <c r="H2014" t="s">
        <v>4107</v>
      </c>
      <c r="I2014" t="s">
        <v>295</v>
      </c>
      <c r="J2014" t="s">
        <v>626</v>
      </c>
      <c r="K2014" t="s">
        <v>627</v>
      </c>
      <c r="L2014">
        <v>5</v>
      </c>
      <c r="M2014" s="5">
        <v>317.72</v>
      </c>
      <c r="N2014" s="6">
        <v>15</v>
      </c>
      <c r="O2014" s="5">
        <v>238.29</v>
      </c>
      <c r="P2014" s="5">
        <v>202.55</v>
      </c>
      <c r="Q2014" s="5">
        <v>1552.86</v>
      </c>
      <c r="R2014" s="5">
        <v>1357.65</v>
      </c>
      <c r="S2014" s="5">
        <v>195.21</v>
      </c>
      <c r="T2014" s="7">
        <v>0.125709980294425</v>
      </c>
      <c r="U2014" t="s">
        <v>12</v>
      </c>
      <c r="V2014" t="s">
        <v>50</v>
      </c>
      <c r="W2014" t="s">
        <v>50</v>
      </c>
      <c r="X2014" t="s">
        <v>35</v>
      </c>
      <c r="Y2014" t="s">
        <v>2279</v>
      </c>
      <c r="Z2014" t="s">
        <v>80</v>
      </c>
    </row>
    <row r="2015" spans="1:26">
      <c r="A2015" t="s">
        <v>4108</v>
      </c>
      <c r="B2015" t="s">
        <v>4108</v>
      </c>
      <c r="C2015" s="4">
        <v>45942</v>
      </c>
      <c r="D2015">
        <v>2025</v>
      </c>
      <c r="E2015">
        <v>10</v>
      </c>
      <c r="F2015" t="s">
        <v>26</v>
      </c>
      <c r="G2015" t="s">
        <v>137</v>
      </c>
      <c r="H2015" t="s">
        <v>4107</v>
      </c>
      <c r="I2015" t="s">
        <v>132</v>
      </c>
      <c r="J2015" t="s">
        <v>889</v>
      </c>
      <c r="K2015" t="s">
        <v>890</v>
      </c>
      <c r="L2015">
        <v>4</v>
      </c>
      <c r="M2015" s="5">
        <v>260.93</v>
      </c>
      <c r="N2015" s="6">
        <v>0</v>
      </c>
      <c r="O2015" s="5">
        <v>0</v>
      </c>
      <c r="P2015" s="5">
        <v>156.56</v>
      </c>
      <c r="Q2015" s="5">
        <v>1200.28</v>
      </c>
      <c r="R2015" s="5">
        <v>776.24</v>
      </c>
      <c r="S2015" s="5">
        <v>424.04</v>
      </c>
      <c r="T2015" s="7">
        <v>0.353284233678808</v>
      </c>
      <c r="U2015" t="s">
        <v>10</v>
      </c>
      <c r="V2015" t="s">
        <v>50</v>
      </c>
      <c r="W2015" t="s">
        <v>50</v>
      </c>
      <c r="X2015" t="s">
        <v>35</v>
      </c>
      <c r="Y2015" t="s">
        <v>887</v>
      </c>
      <c r="Z2015" t="s">
        <v>80</v>
      </c>
    </row>
    <row r="2016" spans="1:26">
      <c r="A2016" t="s">
        <v>4109</v>
      </c>
      <c r="B2016" t="s">
        <v>4109</v>
      </c>
      <c r="C2016" s="4">
        <v>46083</v>
      </c>
      <c r="D2016">
        <v>2026</v>
      </c>
      <c r="E2016">
        <v>3</v>
      </c>
      <c r="F2016" t="s">
        <v>19</v>
      </c>
      <c r="G2016" t="s">
        <v>82</v>
      </c>
      <c r="H2016" t="s">
        <v>3017</v>
      </c>
      <c r="I2016" t="s">
        <v>444</v>
      </c>
      <c r="J2016" t="s">
        <v>1219</v>
      </c>
      <c r="K2016" t="s">
        <v>930</v>
      </c>
      <c r="L2016">
        <v>5</v>
      </c>
      <c r="M2016" s="5">
        <v>106.8</v>
      </c>
      <c r="N2016" s="6">
        <v>5</v>
      </c>
      <c r="O2016" s="5">
        <v>26.7</v>
      </c>
      <c r="P2016" s="5">
        <v>76.1</v>
      </c>
      <c r="Q2016" s="5">
        <v>507.3</v>
      </c>
      <c r="R2016" s="5">
        <v>430.25</v>
      </c>
      <c r="S2016" s="5">
        <v>77.05</v>
      </c>
      <c r="T2016" s="7">
        <v>0.151882515276956</v>
      </c>
      <c r="U2016" t="s">
        <v>9</v>
      </c>
      <c r="V2016" t="s">
        <v>50</v>
      </c>
      <c r="W2016" t="s">
        <v>50</v>
      </c>
      <c r="X2016" t="s">
        <v>35</v>
      </c>
      <c r="Y2016" t="s">
        <v>371</v>
      </c>
      <c r="Z2016" t="s">
        <v>101</v>
      </c>
    </row>
    <row r="2017" spans="1:26">
      <c r="A2017" t="s">
        <v>4110</v>
      </c>
      <c r="B2017" t="s">
        <v>4110</v>
      </c>
      <c r="C2017" s="4">
        <v>45957</v>
      </c>
      <c r="D2017">
        <v>2025</v>
      </c>
      <c r="E2017">
        <v>10</v>
      </c>
      <c r="F2017" t="s">
        <v>26</v>
      </c>
      <c r="G2017" t="s">
        <v>137</v>
      </c>
      <c r="H2017" t="s">
        <v>1983</v>
      </c>
      <c r="I2017" t="s">
        <v>411</v>
      </c>
      <c r="J2017" t="s">
        <v>1327</v>
      </c>
      <c r="K2017" t="s">
        <v>992</v>
      </c>
      <c r="L2017">
        <v>5</v>
      </c>
      <c r="M2017" s="5">
        <v>479.15</v>
      </c>
      <c r="N2017" s="6">
        <v>0</v>
      </c>
      <c r="O2017" s="5">
        <v>0</v>
      </c>
      <c r="P2017" s="5">
        <v>359.36</v>
      </c>
      <c r="Q2017" s="5">
        <v>2395.75</v>
      </c>
      <c r="R2017" s="5">
        <v>1934.45</v>
      </c>
      <c r="S2017" s="5">
        <v>461.3</v>
      </c>
      <c r="T2017" s="7">
        <v>0.19254930606282</v>
      </c>
      <c r="U2017" t="s">
        <v>9</v>
      </c>
      <c r="V2017" t="s">
        <v>50</v>
      </c>
      <c r="W2017" t="s">
        <v>50</v>
      </c>
      <c r="X2017" t="s">
        <v>34</v>
      </c>
      <c r="Y2017" t="s">
        <v>3224</v>
      </c>
      <c r="Z2017" t="s">
        <v>101</v>
      </c>
    </row>
    <row r="2018" spans="1:26">
      <c r="A2018" t="s">
        <v>4111</v>
      </c>
      <c r="B2018" t="s">
        <v>4111</v>
      </c>
      <c r="C2018" s="4">
        <v>45874</v>
      </c>
      <c r="D2018">
        <v>2025</v>
      </c>
      <c r="E2018">
        <v>8</v>
      </c>
      <c r="F2018" t="s">
        <v>24</v>
      </c>
      <c r="G2018" t="s">
        <v>89</v>
      </c>
      <c r="H2018" t="s">
        <v>4112</v>
      </c>
      <c r="I2018" t="s">
        <v>406</v>
      </c>
      <c r="J2018" t="s">
        <v>713</v>
      </c>
      <c r="K2018" t="s">
        <v>798</v>
      </c>
      <c r="L2018">
        <v>3</v>
      </c>
      <c r="M2018" s="5">
        <v>353.05</v>
      </c>
      <c r="N2018" s="6">
        <v>0</v>
      </c>
      <c r="O2018" s="5">
        <v>0</v>
      </c>
      <c r="P2018" s="5">
        <v>158.87</v>
      </c>
      <c r="Q2018" s="5">
        <v>1059.15</v>
      </c>
      <c r="R2018" s="5">
        <v>788.4</v>
      </c>
      <c r="S2018" s="5">
        <v>270.75</v>
      </c>
      <c r="T2018" s="7">
        <v>0.255629514233111</v>
      </c>
      <c r="U2018" t="s">
        <v>13</v>
      </c>
      <c r="V2018" t="s">
        <v>50</v>
      </c>
      <c r="W2018" t="s">
        <v>50</v>
      </c>
      <c r="X2018" t="s">
        <v>33</v>
      </c>
      <c r="Y2018" t="s">
        <v>762</v>
      </c>
      <c r="Z2018" t="s">
        <v>101</v>
      </c>
    </row>
    <row r="2019" spans="1:26">
      <c r="A2019" t="s">
        <v>4113</v>
      </c>
      <c r="B2019" t="s">
        <v>4113</v>
      </c>
      <c r="C2019" s="4">
        <v>46011</v>
      </c>
      <c r="D2019">
        <v>2025</v>
      </c>
      <c r="E2019">
        <v>12</v>
      </c>
      <c r="F2019" t="s">
        <v>28</v>
      </c>
      <c r="G2019" t="s">
        <v>137</v>
      </c>
      <c r="H2019" t="s">
        <v>1805</v>
      </c>
      <c r="I2019" t="s">
        <v>384</v>
      </c>
      <c r="J2019" t="s">
        <v>146</v>
      </c>
      <c r="K2019" t="s">
        <v>147</v>
      </c>
      <c r="L2019">
        <v>3</v>
      </c>
      <c r="M2019" s="5">
        <v>186.38</v>
      </c>
      <c r="N2019" s="6">
        <v>20</v>
      </c>
      <c r="O2019" s="5">
        <v>111.83</v>
      </c>
      <c r="P2019" s="5">
        <v>67.1</v>
      </c>
      <c r="Q2019" s="5">
        <v>514.41</v>
      </c>
      <c r="R2019" s="5">
        <v>406.98</v>
      </c>
      <c r="S2019" s="5">
        <v>107.43</v>
      </c>
      <c r="T2019" s="7">
        <v>0.208841196710795</v>
      </c>
      <c r="U2019" t="s">
        <v>11</v>
      </c>
      <c r="V2019" t="s">
        <v>50</v>
      </c>
      <c r="W2019" t="s">
        <v>50</v>
      </c>
      <c r="X2019" t="s">
        <v>33</v>
      </c>
      <c r="Y2019" t="s">
        <v>3127</v>
      </c>
      <c r="Z2019" t="s">
        <v>80</v>
      </c>
    </row>
    <row r="2020" spans="1:26">
      <c r="A2020" t="s">
        <v>4114</v>
      </c>
      <c r="B2020" t="s">
        <v>4114</v>
      </c>
      <c r="C2020" s="4">
        <v>45779</v>
      </c>
      <c r="D2020">
        <v>2025</v>
      </c>
      <c r="E2020">
        <v>5</v>
      </c>
      <c r="F2020" t="s">
        <v>21</v>
      </c>
      <c r="G2020" t="s">
        <v>74</v>
      </c>
      <c r="H2020" t="s">
        <v>244</v>
      </c>
      <c r="I2020" t="s">
        <v>653</v>
      </c>
      <c r="J2020" t="s">
        <v>477</v>
      </c>
      <c r="K2020" t="s">
        <v>1180</v>
      </c>
      <c r="L2020">
        <v>3</v>
      </c>
      <c r="M2020" s="5">
        <v>339.13</v>
      </c>
      <c r="N2020" s="6">
        <v>0</v>
      </c>
      <c r="O2020" s="5">
        <v>0</v>
      </c>
      <c r="P2020" s="5">
        <v>152.61</v>
      </c>
      <c r="Q2020" s="5">
        <v>1017.39</v>
      </c>
      <c r="R2020" s="5">
        <v>752.04</v>
      </c>
      <c r="S2020" s="5">
        <v>265.35</v>
      </c>
      <c r="T2020" s="7">
        <v>0.260814436941586</v>
      </c>
      <c r="U2020" t="s">
        <v>13</v>
      </c>
      <c r="V2020" t="s">
        <v>50</v>
      </c>
      <c r="W2020" t="s">
        <v>50</v>
      </c>
      <c r="X2020" t="s">
        <v>33</v>
      </c>
      <c r="Y2020" t="s">
        <v>1433</v>
      </c>
      <c r="Z2020" t="s">
        <v>101</v>
      </c>
    </row>
    <row r="2021" spans="1:26">
      <c r="A2021" t="s">
        <v>4115</v>
      </c>
      <c r="B2021" t="s">
        <v>4115</v>
      </c>
      <c r="C2021" s="4">
        <v>45777</v>
      </c>
      <c r="D2021">
        <v>2025</v>
      </c>
      <c r="E2021">
        <v>4</v>
      </c>
      <c r="F2021" t="s">
        <v>20</v>
      </c>
      <c r="G2021" t="s">
        <v>74</v>
      </c>
      <c r="H2021" t="s">
        <v>1568</v>
      </c>
      <c r="I2021" t="s">
        <v>2426</v>
      </c>
      <c r="J2021" t="s">
        <v>369</v>
      </c>
      <c r="K2021" t="s">
        <v>370</v>
      </c>
      <c r="L2021">
        <v>6</v>
      </c>
      <c r="M2021" s="5">
        <v>151.56</v>
      </c>
      <c r="N2021" s="6">
        <v>10</v>
      </c>
      <c r="O2021" s="5">
        <v>90.94</v>
      </c>
      <c r="P2021" s="5">
        <v>122.76</v>
      </c>
      <c r="Q2021" s="5">
        <v>818.42</v>
      </c>
      <c r="R2021" s="5">
        <v>767.88</v>
      </c>
      <c r="S2021" s="5">
        <v>50.54</v>
      </c>
      <c r="T2021" s="7">
        <v>0.0617531340876323</v>
      </c>
      <c r="U2021" t="s">
        <v>9</v>
      </c>
      <c r="V2021" t="s">
        <v>50</v>
      </c>
      <c r="W2021" t="s">
        <v>50</v>
      </c>
      <c r="X2021" t="s">
        <v>33</v>
      </c>
      <c r="Y2021" t="s">
        <v>3182</v>
      </c>
      <c r="Z2021" t="s">
        <v>101</v>
      </c>
    </row>
    <row r="2022" spans="1:26">
      <c r="A2022" t="s">
        <v>4116</v>
      </c>
      <c r="B2022" t="s">
        <v>4116</v>
      </c>
      <c r="C2022" s="4">
        <v>45907</v>
      </c>
      <c r="D2022">
        <v>2025</v>
      </c>
      <c r="E2022">
        <v>9</v>
      </c>
      <c r="F2022" t="s">
        <v>25</v>
      </c>
      <c r="G2022" t="s">
        <v>89</v>
      </c>
      <c r="H2022" t="s">
        <v>969</v>
      </c>
      <c r="I2022" t="s">
        <v>235</v>
      </c>
      <c r="J2022" t="s">
        <v>948</v>
      </c>
      <c r="K2022" t="s">
        <v>949</v>
      </c>
      <c r="L2022">
        <v>2</v>
      </c>
      <c r="M2022" s="5">
        <v>217.42</v>
      </c>
      <c r="N2022" s="6">
        <v>5</v>
      </c>
      <c r="O2022" s="5">
        <v>21.74</v>
      </c>
      <c r="P2022" s="5">
        <v>61.96</v>
      </c>
      <c r="Q2022" s="5">
        <v>475.06</v>
      </c>
      <c r="R2022" s="5">
        <v>354.06</v>
      </c>
      <c r="S2022" s="5">
        <v>121</v>
      </c>
      <c r="T2022" s="7">
        <v>0.254704668883931</v>
      </c>
      <c r="U2022" t="s">
        <v>13</v>
      </c>
      <c r="V2022" t="s">
        <v>50</v>
      </c>
      <c r="W2022" t="s">
        <v>50</v>
      </c>
      <c r="X2022" t="s">
        <v>35</v>
      </c>
      <c r="Y2022" t="s">
        <v>785</v>
      </c>
      <c r="Z2022" t="s">
        <v>80</v>
      </c>
    </row>
    <row r="2023" spans="1:26">
      <c r="A2023" t="s">
        <v>4117</v>
      </c>
      <c r="B2023" t="s">
        <v>4117</v>
      </c>
      <c r="C2023" s="4">
        <v>46045</v>
      </c>
      <c r="D2023">
        <v>2026</v>
      </c>
      <c r="E2023">
        <v>1</v>
      </c>
      <c r="F2023" t="s">
        <v>30</v>
      </c>
      <c r="G2023" t="s">
        <v>82</v>
      </c>
      <c r="H2023" t="s">
        <v>488</v>
      </c>
      <c r="I2023" t="s">
        <v>362</v>
      </c>
      <c r="J2023" t="s">
        <v>532</v>
      </c>
      <c r="K2023" t="s">
        <v>533</v>
      </c>
      <c r="L2023">
        <v>5</v>
      </c>
      <c r="M2023" s="5">
        <v>356.98</v>
      </c>
      <c r="N2023" s="6">
        <v>5</v>
      </c>
      <c r="O2023" s="5">
        <v>89.25</v>
      </c>
      <c r="P2023" s="5">
        <v>254.35</v>
      </c>
      <c r="Q2023" s="5">
        <v>1695.65</v>
      </c>
      <c r="R2023" s="5">
        <v>1236.25</v>
      </c>
      <c r="S2023" s="5">
        <v>459.4</v>
      </c>
      <c r="T2023" s="7">
        <v>0.270928552472503</v>
      </c>
      <c r="U2023" t="s">
        <v>14</v>
      </c>
      <c r="V2023" t="s">
        <v>50</v>
      </c>
      <c r="W2023" t="s">
        <v>50</v>
      </c>
      <c r="X2023" t="s">
        <v>33</v>
      </c>
      <c r="Y2023" t="s">
        <v>1563</v>
      </c>
      <c r="Z2023" t="s">
        <v>101</v>
      </c>
    </row>
    <row r="2024" spans="1:26">
      <c r="A2024" t="s">
        <v>4118</v>
      </c>
      <c r="B2024" t="s">
        <v>4118</v>
      </c>
      <c r="C2024" s="4">
        <v>45893</v>
      </c>
      <c r="D2024">
        <v>2025</v>
      </c>
      <c r="E2024">
        <v>8</v>
      </c>
      <c r="F2024" t="s">
        <v>24</v>
      </c>
      <c r="G2024" t="s">
        <v>89</v>
      </c>
      <c r="H2024" t="s">
        <v>1867</v>
      </c>
      <c r="I2024" t="s">
        <v>235</v>
      </c>
      <c r="J2024" t="s">
        <v>1104</v>
      </c>
      <c r="K2024" t="s">
        <v>1105</v>
      </c>
      <c r="L2024">
        <v>3</v>
      </c>
      <c r="M2024" s="5">
        <v>217.42</v>
      </c>
      <c r="N2024" s="6">
        <v>10</v>
      </c>
      <c r="O2024" s="5">
        <v>65.23</v>
      </c>
      <c r="P2024" s="5">
        <v>88.05</v>
      </c>
      <c r="Q2024" s="5">
        <v>675.08</v>
      </c>
      <c r="R2024" s="5">
        <v>531.09</v>
      </c>
      <c r="S2024" s="5">
        <v>143.99</v>
      </c>
      <c r="T2024" s="7">
        <v>0.213293239319784</v>
      </c>
      <c r="U2024" t="s">
        <v>10</v>
      </c>
      <c r="V2024" t="s">
        <v>50</v>
      </c>
      <c r="W2024" t="s">
        <v>50</v>
      </c>
      <c r="X2024" t="s">
        <v>35</v>
      </c>
      <c r="Y2024" t="s">
        <v>4119</v>
      </c>
      <c r="Z2024" t="s">
        <v>80</v>
      </c>
    </row>
    <row r="2025" spans="1:26">
      <c r="A2025" t="s">
        <v>4120</v>
      </c>
      <c r="B2025" t="s">
        <v>4120</v>
      </c>
      <c r="C2025" s="4">
        <v>45934</v>
      </c>
      <c r="D2025">
        <v>2025</v>
      </c>
      <c r="E2025">
        <v>10</v>
      </c>
      <c r="F2025" t="s">
        <v>26</v>
      </c>
      <c r="G2025" t="s">
        <v>137</v>
      </c>
      <c r="H2025" t="s">
        <v>2138</v>
      </c>
      <c r="I2025" t="s">
        <v>797</v>
      </c>
      <c r="J2025" t="s">
        <v>40</v>
      </c>
      <c r="K2025" t="s">
        <v>978</v>
      </c>
      <c r="L2025">
        <v>5</v>
      </c>
      <c r="M2025" s="5">
        <v>442.59</v>
      </c>
      <c r="N2025" s="6">
        <v>0</v>
      </c>
      <c r="O2025" s="5">
        <v>0</v>
      </c>
      <c r="P2025" s="5">
        <v>331.94</v>
      </c>
      <c r="Q2025" s="5">
        <v>2544.89</v>
      </c>
      <c r="R2025" s="5">
        <v>1759.35</v>
      </c>
      <c r="S2025" s="5">
        <v>785.54</v>
      </c>
      <c r="T2025" s="7">
        <v>0.308673459363666</v>
      </c>
      <c r="U2025" t="s">
        <v>10</v>
      </c>
      <c r="V2025" t="s">
        <v>50</v>
      </c>
      <c r="W2025" t="s">
        <v>50</v>
      </c>
      <c r="X2025" t="s">
        <v>34</v>
      </c>
      <c r="Y2025" t="s">
        <v>1907</v>
      </c>
      <c r="Z2025" t="s">
        <v>80</v>
      </c>
    </row>
    <row r="2026" spans="1:26">
      <c r="A2026" t="s">
        <v>4121</v>
      </c>
      <c r="B2026" t="s">
        <v>4121</v>
      </c>
      <c r="C2026" s="4">
        <v>45888</v>
      </c>
      <c r="D2026">
        <v>2025</v>
      </c>
      <c r="E2026">
        <v>8</v>
      </c>
      <c r="F2026" t="s">
        <v>24</v>
      </c>
      <c r="G2026" t="s">
        <v>89</v>
      </c>
      <c r="H2026" t="s">
        <v>1792</v>
      </c>
      <c r="I2026" t="s">
        <v>854</v>
      </c>
      <c r="J2026" t="s">
        <v>46</v>
      </c>
      <c r="K2026" t="s">
        <v>766</v>
      </c>
      <c r="L2026">
        <v>1</v>
      </c>
      <c r="M2026" s="5">
        <v>530.16</v>
      </c>
      <c r="N2026" s="6">
        <v>0</v>
      </c>
      <c r="O2026" s="5">
        <v>0</v>
      </c>
      <c r="P2026" s="5">
        <v>79.52</v>
      </c>
      <c r="Q2026" s="5">
        <v>530.16</v>
      </c>
      <c r="R2026" s="5">
        <v>379.19</v>
      </c>
      <c r="S2026" s="5">
        <v>150.97</v>
      </c>
      <c r="T2026" s="7">
        <v>0.284763090387807</v>
      </c>
      <c r="U2026" t="s">
        <v>10</v>
      </c>
      <c r="V2026" t="s">
        <v>50</v>
      </c>
      <c r="W2026" t="s">
        <v>50</v>
      </c>
      <c r="X2026" t="s">
        <v>33</v>
      </c>
      <c r="Y2026" t="s">
        <v>3740</v>
      </c>
      <c r="Z2026" t="s">
        <v>101</v>
      </c>
    </row>
    <row r="2027" spans="1:26">
      <c r="A2027" t="s">
        <v>4122</v>
      </c>
      <c r="B2027" t="s">
        <v>4122</v>
      </c>
      <c r="C2027" s="4">
        <v>45953</v>
      </c>
      <c r="D2027">
        <v>2025</v>
      </c>
      <c r="E2027">
        <v>10</v>
      </c>
      <c r="F2027" t="s">
        <v>26</v>
      </c>
      <c r="G2027" t="s">
        <v>137</v>
      </c>
      <c r="H2027" t="s">
        <v>201</v>
      </c>
      <c r="I2027" t="s">
        <v>169</v>
      </c>
      <c r="J2027" t="s">
        <v>164</v>
      </c>
      <c r="K2027" t="s">
        <v>165</v>
      </c>
      <c r="L2027">
        <v>7</v>
      </c>
      <c r="M2027" s="5">
        <v>161.85</v>
      </c>
      <c r="N2027" s="6">
        <v>10</v>
      </c>
      <c r="O2027" s="5">
        <v>113.3</v>
      </c>
      <c r="P2027" s="5">
        <v>152.95</v>
      </c>
      <c r="Q2027" s="5">
        <v>1019.65</v>
      </c>
      <c r="R2027" s="5">
        <v>811.37</v>
      </c>
      <c r="S2027" s="5">
        <v>208.28</v>
      </c>
      <c r="T2027" s="7">
        <v>0.204266169764135</v>
      </c>
      <c r="U2027" t="s">
        <v>12</v>
      </c>
      <c r="V2027" t="s">
        <v>50</v>
      </c>
      <c r="W2027" t="s">
        <v>50</v>
      </c>
      <c r="X2027" t="s">
        <v>33</v>
      </c>
      <c r="Y2027" t="s">
        <v>2552</v>
      </c>
      <c r="Z2027" t="s">
        <v>101</v>
      </c>
    </row>
    <row r="2028" spans="1:26">
      <c r="A2028" t="s">
        <v>4123</v>
      </c>
      <c r="B2028" t="s">
        <v>4123</v>
      </c>
      <c r="C2028" s="4">
        <v>45900</v>
      </c>
      <c r="D2028">
        <v>2025</v>
      </c>
      <c r="E2028">
        <v>8</v>
      </c>
      <c r="F2028" t="s">
        <v>24</v>
      </c>
      <c r="G2028" t="s">
        <v>89</v>
      </c>
      <c r="H2028" t="s">
        <v>1031</v>
      </c>
      <c r="I2028" t="s">
        <v>547</v>
      </c>
      <c r="J2028" t="s">
        <v>460</v>
      </c>
      <c r="K2028" t="s">
        <v>3511</v>
      </c>
      <c r="L2028">
        <v>1</v>
      </c>
      <c r="M2028" s="5">
        <v>503.36</v>
      </c>
      <c r="N2028" s="6">
        <v>0</v>
      </c>
      <c r="O2028" s="5">
        <v>0</v>
      </c>
      <c r="P2028" s="5">
        <v>75.5</v>
      </c>
      <c r="Q2028" s="5">
        <v>578.86</v>
      </c>
      <c r="R2028" s="5">
        <v>389.8</v>
      </c>
      <c r="S2028" s="5">
        <v>189.06</v>
      </c>
      <c r="T2028" s="7">
        <v>0.326607469854542</v>
      </c>
      <c r="U2028" t="s">
        <v>14</v>
      </c>
      <c r="V2028" t="s">
        <v>50</v>
      </c>
      <c r="W2028" t="s">
        <v>50</v>
      </c>
      <c r="X2028" t="s">
        <v>35</v>
      </c>
      <c r="Y2028" t="s">
        <v>3360</v>
      </c>
      <c r="Z2028" t="s">
        <v>80</v>
      </c>
    </row>
    <row r="2029" spans="1:26">
      <c r="A2029" t="s">
        <v>4124</v>
      </c>
      <c r="B2029" t="s">
        <v>4124</v>
      </c>
      <c r="C2029" s="4">
        <v>45953</v>
      </c>
      <c r="D2029">
        <v>2025</v>
      </c>
      <c r="E2029">
        <v>10</v>
      </c>
      <c r="F2029" t="s">
        <v>26</v>
      </c>
      <c r="G2029" t="s">
        <v>137</v>
      </c>
      <c r="H2029" t="s">
        <v>1335</v>
      </c>
      <c r="I2029" t="s">
        <v>2606</v>
      </c>
      <c r="J2029" t="s">
        <v>1122</v>
      </c>
      <c r="K2029" t="s">
        <v>1123</v>
      </c>
      <c r="L2029">
        <v>1</v>
      </c>
      <c r="M2029" s="5">
        <v>444.49</v>
      </c>
      <c r="N2029" s="6">
        <v>0</v>
      </c>
      <c r="O2029" s="5">
        <v>0</v>
      </c>
      <c r="P2029" s="5">
        <v>66.67</v>
      </c>
      <c r="Q2029" s="5">
        <v>444.49</v>
      </c>
      <c r="R2029" s="5">
        <v>374.48</v>
      </c>
      <c r="S2029" s="5">
        <v>70.01</v>
      </c>
      <c r="T2029" s="7">
        <v>0.157506355598551</v>
      </c>
      <c r="U2029" t="s">
        <v>10</v>
      </c>
      <c r="V2029" t="s">
        <v>50</v>
      </c>
      <c r="W2029" t="s">
        <v>50</v>
      </c>
      <c r="X2029" t="s">
        <v>35</v>
      </c>
      <c r="Y2029" t="s">
        <v>3078</v>
      </c>
      <c r="Z2029" t="s">
        <v>101</v>
      </c>
    </row>
    <row r="2030" spans="1:26">
      <c r="A2030" t="s">
        <v>4125</v>
      </c>
      <c r="B2030" t="s">
        <v>4125</v>
      </c>
      <c r="C2030" s="4">
        <v>45794</v>
      </c>
      <c r="D2030">
        <v>2025</v>
      </c>
      <c r="E2030">
        <v>5</v>
      </c>
      <c r="F2030" t="s">
        <v>21</v>
      </c>
      <c r="G2030" t="s">
        <v>74</v>
      </c>
      <c r="H2030" t="s">
        <v>2722</v>
      </c>
      <c r="I2030" t="s">
        <v>854</v>
      </c>
      <c r="J2030" t="s">
        <v>40</v>
      </c>
      <c r="K2030" t="s">
        <v>426</v>
      </c>
      <c r="L2030">
        <v>3</v>
      </c>
      <c r="M2030" s="5">
        <v>530.16</v>
      </c>
      <c r="N2030" s="6">
        <v>0</v>
      </c>
      <c r="O2030" s="5">
        <v>0</v>
      </c>
      <c r="P2030" s="5">
        <v>238.57</v>
      </c>
      <c r="Q2030" s="5">
        <v>1829.05</v>
      </c>
      <c r="R2030" s="5">
        <v>1137.57</v>
      </c>
      <c r="S2030" s="5">
        <v>691.48</v>
      </c>
      <c r="T2030" s="7">
        <v>0.378054181132282</v>
      </c>
      <c r="U2030" t="s">
        <v>10</v>
      </c>
      <c r="V2030" t="s">
        <v>50</v>
      </c>
      <c r="W2030" t="s">
        <v>50</v>
      </c>
      <c r="X2030" t="s">
        <v>33</v>
      </c>
      <c r="Y2030" t="s">
        <v>1620</v>
      </c>
      <c r="Z2030" t="s">
        <v>80</v>
      </c>
    </row>
    <row r="2031" spans="1:26">
      <c r="A2031" t="s">
        <v>4126</v>
      </c>
      <c r="B2031" t="s">
        <v>4126</v>
      </c>
      <c r="C2031" s="4">
        <v>45960</v>
      </c>
      <c r="D2031">
        <v>2025</v>
      </c>
      <c r="E2031">
        <v>10</v>
      </c>
      <c r="F2031" t="s">
        <v>26</v>
      </c>
      <c r="G2031" t="s">
        <v>137</v>
      </c>
      <c r="H2031" t="s">
        <v>1459</v>
      </c>
      <c r="I2031" t="s">
        <v>647</v>
      </c>
      <c r="J2031" t="s">
        <v>998</v>
      </c>
      <c r="K2031" t="s">
        <v>1772</v>
      </c>
      <c r="L2031">
        <v>1</v>
      </c>
      <c r="M2031" s="5">
        <v>75.68</v>
      </c>
      <c r="N2031" s="6">
        <v>15</v>
      </c>
      <c r="O2031" s="5">
        <v>11.35</v>
      </c>
      <c r="P2031" s="5">
        <v>9.65</v>
      </c>
      <c r="Q2031" s="5">
        <v>64.33</v>
      </c>
      <c r="R2031" s="5">
        <v>62.14</v>
      </c>
      <c r="S2031" s="5">
        <v>2.19</v>
      </c>
      <c r="T2031" s="7">
        <v>0.0340432146743355</v>
      </c>
      <c r="U2031" t="s">
        <v>10</v>
      </c>
      <c r="V2031" t="s">
        <v>50</v>
      </c>
      <c r="W2031" t="s">
        <v>50</v>
      </c>
      <c r="X2031" t="s">
        <v>35</v>
      </c>
      <c r="Y2031" t="s">
        <v>4127</v>
      </c>
      <c r="Z2031" t="s">
        <v>101</v>
      </c>
    </row>
    <row r="2032" spans="1:26">
      <c r="A2032" t="s">
        <v>4128</v>
      </c>
      <c r="B2032" t="s">
        <v>4128</v>
      </c>
      <c r="C2032" s="4">
        <v>46089</v>
      </c>
      <c r="D2032">
        <v>2026</v>
      </c>
      <c r="E2032">
        <v>3</v>
      </c>
      <c r="F2032" t="s">
        <v>19</v>
      </c>
      <c r="G2032" t="s">
        <v>82</v>
      </c>
      <c r="H2032" t="s">
        <v>428</v>
      </c>
      <c r="I2032" t="s">
        <v>213</v>
      </c>
      <c r="J2032" t="s">
        <v>1361</v>
      </c>
      <c r="K2032" t="s">
        <v>2905</v>
      </c>
      <c r="L2032">
        <v>4</v>
      </c>
      <c r="M2032" s="5">
        <v>191.42</v>
      </c>
      <c r="N2032" s="6">
        <v>0</v>
      </c>
      <c r="O2032" s="5">
        <v>0</v>
      </c>
      <c r="P2032" s="5">
        <v>114.85</v>
      </c>
      <c r="Q2032" s="5">
        <v>880.53</v>
      </c>
      <c r="R2032" s="5">
        <v>613.68</v>
      </c>
      <c r="S2032" s="5">
        <v>266.85</v>
      </c>
      <c r="T2032" s="7">
        <v>0.303056113931382</v>
      </c>
      <c r="U2032" t="s">
        <v>11</v>
      </c>
      <c r="V2032" t="s">
        <v>50</v>
      </c>
      <c r="W2032" t="s">
        <v>50</v>
      </c>
      <c r="X2032" t="s">
        <v>35</v>
      </c>
      <c r="Y2032" t="s">
        <v>2168</v>
      </c>
      <c r="Z2032" t="s">
        <v>80</v>
      </c>
    </row>
    <row r="2033" spans="1:26">
      <c r="A2033" t="s">
        <v>4129</v>
      </c>
      <c r="B2033" t="s">
        <v>4129</v>
      </c>
      <c r="C2033" s="4">
        <v>46068</v>
      </c>
      <c r="D2033">
        <v>2026</v>
      </c>
      <c r="E2033">
        <v>2</v>
      </c>
      <c r="F2033" t="s">
        <v>31</v>
      </c>
      <c r="G2033" t="s">
        <v>82</v>
      </c>
      <c r="H2033" t="s">
        <v>3066</v>
      </c>
      <c r="I2033" t="s">
        <v>104</v>
      </c>
      <c r="J2033" t="s">
        <v>1272</v>
      </c>
      <c r="K2033" t="s">
        <v>971</v>
      </c>
      <c r="L2033">
        <v>4</v>
      </c>
      <c r="M2033" s="5">
        <v>313.47</v>
      </c>
      <c r="N2033" s="6">
        <v>5</v>
      </c>
      <c r="O2033" s="5">
        <v>62.69</v>
      </c>
      <c r="P2033" s="5">
        <v>178.68</v>
      </c>
      <c r="Q2033" s="5">
        <v>1369.87</v>
      </c>
      <c r="R2033" s="5">
        <v>984.48</v>
      </c>
      <c r="S2033" s="5">
        <v>385.39</v>
      </c>
      <c r="T2033" s="7">
        <v>0.281333265200348</v>
      </c>
      <c r="U2033" t="s">
        <v>9</v>
      </c>
      <c r="V2033" t="s">
        <v>50</v>
      </c>
      <c r="W2033" t="s">
        <v>50</v>
      </c>
      <c r="X2033" t="s">
        <v>33</v>
      </c>
      <c r="Y2033" t="s">
        <v>2630</v>
      </c>
      <c r="Z2033" t="s">
        <v>80</v>
      </c>
    </row>
    <row r="2034" spans="1:26">
      <c r="A2034" t="s">
        <v>4130</v>
      </c>
      <c r="B2034" t="s">
        <v>4130</v>
      </c>
      <c r="C2034" s="4">
        <v>46102</v>
      </c>
      <c r="D2034">
        <v>2026</v>
      </c>
      <c r="E2034">
        <v>3</v>
      </c>
      <c r="F2034" t="s">
        <v>19</v>
      </c>
      <c r="G2034" t="s">
        <v>82</v>
      </c>
      <c r="H2034" t="s">
        <v>2097</v>
      </c>
      <c r="I2034" t="s">
        <v>1742</v>
      </c>
      <c r="J2034" t="s">
        <v>92</v>
      </c>
      <c r="K2034" t="s">
        <v>2912</v>
      </c>
      <c r="L2034">
        <v>4</v>
      </c>
      <c r="M2034" s="5">
        <v>268.32</v>
      </c>
      <c r="N2034" s="6">
        <v>15</v>
      </c>
      <c r="O2034" s="5">
        <v>160.99</v>
      </c>
      <c r="P2034" s="5">
        <v>136.84</v>
      </c>
      <c r="Q2034" s="5">
        <v>1049.13</v>
      </c>
      <c r="R2034" s="5">
        <v>965.76</v>
      </c>
      <c r="S2034" s="5">
        <v>83.37</v>
      </c>
      <c r="T2034" s="7">
        <v>0.0794658431271625</v>
      </c>
      <c r="U2034" t="s">
        <v>13</v>
      </c>
      <c r="V2034" t="s">
        <v>50</v>
      </c>
      <c r="W2034" t="s">
        <v>50</v>
      </c>
      <c r="X2034" t="s">
        <v>33</v>
      </c>
      <c r="Y2034" t="s">
        <v>1042</v>
      </c>
      <c r="Z2034" t="s">
        <v>80</v>
      </c>
    </row>
    <row r="2035" spans="1:26">
      <c r="A2035" t="s">
        <v>4131</v>
      </c>
      <c r="B2035" t="s">
        <v>4131</v>
      </c>
      <c r="C2035" s="4">
        <v>45844</v>
      </c>
      <c r="D2035">
        <v>2025</v>
      </c>
      <c r="E2035">
        <v>7</v>
      </c>
      <c r="F2035" t="s">
        <v>23</v>
      </c>
      <c r="G2035" t="s">
        <v>89</v>
      </c>
      <c r="H2035" t="s">
        <v>1446</v>
      </c>
      <c r="I2035" t="s">
        <v>547</v>
      </c>
      <c r="J2035" t="s">
        <v>1208</v>
      </c>
      <c r="K2035" t="s">
        <v>554</v>
      </c>
      <c r="L2035">
        <v>5</v>
      </c>
      <c r="M2035" s="5">
        <v>567</v>
      </c>
      <c r="N2035" s="6">
        <v>0</v>
      </c>
      <c r="O2035" s="5">
        <v>0</v>
      </c>
      <c r="P2035" s="5">
        <v>425.25</v>
      </c>
      <c r="Q2035" s="5">
        <v>3260.25</v>
      </c>
      <c r="R2035" s="5">
        <v>1949</v>
      </c>
      <c r="S2035" s="5">
        <v>1311.25</v>
      </c>
      <c r="T2035" s="7">
        <v>0.402193083352504</v>
      </c>
      <c r="U2035" t="s">
        <v>9</v>
      </c>
      <c r="V2035" t="s">
        <v>50</v>
      </c>
      <c r="W2035" t="s">
        <v>50</v>
      </c>
      <c r="X2035" t="s">
        <v>33</v>
      </c>
      <c r="Y2035" t="s">
        <v>2307</v>
      </c>
      <c r="Z2035" t="s">
        <v>80</v>
      </c>
    </row>
    <row r="2036" spans="1:26">
      <c r="A2036" t="s">
        <v>4132</v>
      </c>
      <c r="B2036" t="s">
        <v>4132</v>
      </c>
      <c r="C2036" s="4">
        <v>46112</v>
      </c>
      <c r="D2036">
        <v>2026</v>
      </c>
      <c r="E2036">
        <v>3</v>
      </c>
      <c r="F2036" t="s">
        <v>19</v>
      </c>
      <c r="G2036" t="s">
        <v>82</v>
      </c>
      <c r="H2036" t="s">
        <v>4107</v>
      </c>
      <c r="I2036" t="s">
        <v>694</v>
      </c>
      <c r="J2036" t="s">
        <v>333</v>
      </c>
      <c r="K2036" t="s">
        <v>287</v>
      </c>
      <c r="L2036">
        <v>3</v>
      </c>
      <c r="M2036" s="5">
        <v>331.35</v>
      </c>
      <c r="N2036" s="6">
        <v>20</v>
      </c>
      <c r="O2036" s="5">
        <v>198.81</v>
      </c>
      <c r="P2036" s="5">
        <v>119.29</v>
      </c>
      <c r="Q2036" s="5">
        <v>795.24</v>
      </c>
      <c r="R2036" s="5">
        <v>870.99</v>
      </c>
      <c r="S2036" s="5">
        <v>-75.75</v>
      </c>
      <c r="T2036" s="7">
        <v>-0.095254262864041</v>
      </c>
      <c r="U2036" t="s">
        <v>13</v>
      </c>
      <c r="V2036" t="s">
        <v>50</v>
      </c>
      <c r="W2036" t="s">
        <v>50</v>
      </c>
      <c r="X2036" t="s">
        <v>33</v>
      </c>
      <c r="Y2036" t="s">
        <v>2066</v>
      </c>
      <c r="Z2036" t="s">
        <v>101</v>
      </c>
    </row>
    <row r="2037" spans="1:26">
      <c r="A2037" t="s">
        <v>4133</v>
      </c>
      <c r="B2037" t="s">
        <v>4133</v>
      </c>
      <c r="C2037" s="4">
        <v>46077</v>
      </c>
      <c r="D2037">
        <v>2026</v>
      </c>
      <c r="E2037">
        <v>2</v>
      </c>
      <c r="F2037" t="s">
        <v>31</v>
      </c>
      <c r="G2037" t="s">
        <v>82</v>
      </c>
      <c r="H2037" t="s">
        <v>1963</v>
      </c>
      <c r="I2037" t="s">
        <v>653</v>
      </c>
      <c r="J2037" t="s">
        <v>111</v>
      </c>
      <c r="K2037" t="s">
        <v>112</v>
      </c>
      <c r="L2037">
        <v>7</v>
      </c>
      <c r="M2037" s="5">
        <v>369.28</v>
      </c>
      <c r="N2037" s="6">
        <v>0</v>
      </c>
      <c r="O2037" s="5">
        <v>0</v>
      </c>
      <c r="P2037" s="5">
        <v>387.74</v>
      </c>
      <c r="Q2037" s="5">
        <v>2584.96</v>
      </c>
      <c r="R2037" s="5">
        <v>1754.76</v>
      </c>
      <c r="S2037" s="5">
        <v>830.2</v>
      </c>
      <c r="T2037" s="7">
        <v>0.321165511265165</v>
      </c>
      <c r="U2037" t="s">
        <v>12</v>
      </c>
      <c r="V2037" t="s">
        <v>50</v>
      </c>
      <c r="W2037" t="s">
        <v>50</v>
      </c>
      <c r="X2037" t="s">
        <v>34</v>
      </c>
      <c r="Y2037" t="s">
        <v>1113</v>
      </c>
      <c r="Z2037" t="s">
        <v>101</v>
      </c>
    </row>
    <row r="2038" spans="1:26">
      <c r="A2038" t="s">
        <v>4134</v>
      </c>
      <c r="B2038" t="s">
        <v>4134</v>
      </c>
      <c r="C2038" s="4">
        <v>45984</v>
      </c>
      <c r="D2038">
        <v>2025</v>
      </c>
      <c r="E2038">
        <v>11</v>
      </c>
      <c r="F2038" t="s">
        <v>27</v>
      </c>
      <c r="G2038" t="s">
        <v>137</v>
      </c>
      <c r="H2038" t="s">
        <v>1811</v>
      </c>
      <c r="I2038" t="s">
        <v>689</v>
      </c>
      <c r="J2038" t="s">
        <v>191</v>
      </c>
      <c r="K2038" t="s">
        <v>499</v>
      </c>
      <c r="L2038">
        <v>4</v>
      </c>
      <c r="M2038" s="5">
        <v>127.16</v>
      </c>
      <c r="N2038" s="6">
        <v>15</v>
      </c>
      <c r="O2038" s="5">
        <v>76.3</v>
      </c>
      <c r="P2038" s="5">
        <v>64.85</v>
      </c>
      <c r="Q2038" s="5">
        <v>497.19</v>
      </c>
      <c r="R2038" s="5">
        <v>364.72</v>
      </c>
      <c r="S2038" s="5">
        <v>132.47</v>
      </c>
      <c r="T2038" s="7">
        <v>0.266437378064724</v>
      </c>
      <c r="U2038" t="s">
        <v>9</v>
      </c>
      <c r="V2038" t="s">
        <v>50</v>
      </c>
      <c r="W2038" t="s">
        <v>50</v>
      </c>
      <c r="X2038" t="s">
        <v>33</v>
      </c>
      <c r="Y2038" t="s">
        <v>2714</v>
      </c>
      <c r="Z2038" t="s">
        <v>80</v>
      </c>
    </row>
    <row r="2039" spans="1:26">
      <c r="A2039" t="s">
        <v>4135</v>
      </c>
      <c r="B2039" t="s">
        <v>4135</v>
      </c>
      <c r="C2039" s="4">
        <v>45922</v>
      </c>
      <c r="D2039">
        <v>2025</v>
      </c>
      <c r="E2039">
        <v>9</v>
      </c>
      <c r="F2039" t="s">
        <v>25</v>
      </c>
      <c r="G2039" t="s">
        <v>89</v>
      </c>
      <c r="H2039" t="s">
        <v>201</v>
      </c>
      <c r="I2039" t="s">
        <v>186</v>
      </c>
      <c r="J2039" t="s">
        <v>77</v>
      </c>
      <c r="K2039" t="s">
        <v>2353</v>
      </c>
      <c r="L2039">
        <v>6</v>
      </c>
      <c r="M2039" s="5">
        <v>101.17</v>
      </c>
      <c r="N2039" s="6">
        <v>5</v>
      </c>
      <c r="O2039" s="5">
        <v>30.35</v>
      </c>
      <c r="P2039" s="5">
        <v>86.5</v>
      </c>
      <c r="Q2039" s="5">
        <v>576.67</v>
      </c>
      <c r="R2039" s="5">
        <v>433.74</v>
      </c>
      <c r="S2039" s="5">
        <v>142.93</v>
      </c>
      <c r="T2039" s="7">
        <v>0.24785405864706</v>
      </c>
      <c r="U2039" t="s">
        <v>12</v>
      </c>
      <c r="V2039" t="s">
        <v>51</v>
      </c>
      <c r="W2039" t="s">
        <v>51</v>
      </c>
      <c r="X2039" t="s">
        <v>35</v>
      </c>
      <c r="Y2039" t="s">
        <v>4127</v>
      </c>
      <c r="Z2039" t="s">
        <v>101</v>
      </c>
    </row>
    <row r="2040" spans="1:26">
      <c r="A2040" t="s">
        <v>4136</v>
      </c>
      <c r="B2040" t="s">
        <v>4136</v>
      </c>
      <c r="C2040" s="4">
        <v>45912</v>
      </c>
      <c r="D2040">
        <v>2025</v>
      </c>
      <c r="E2040">
        <v>9</v>
      </c>
      <c r="F2040" t="s">
        <v>25</v>
      </c>
      <c r="G2040" t="s">
        <v>89</v>
      </c>
      <c r="H2040" t="s">
        <v>1707</v>
      </c>
      <c r="I2040" t="s">
        <v>844</v>
      </c>
      <c r="J2040" t="s">
        <v>610</v>
      </c>
      <c r="K2040" t="s">
        <v>1209</v>
      </c>
      <c r="L2040">
        <v>4</v>
      </c>
      <c r="M2040" s="5">
        <v>298.68</v>
      </c>
      <c r="N2040" s="6">
        <v>20</v>
      </c>
      <c r="O2040" s="5">
        <v>238.94</v>
      </c>
      <c r="P2040" s="5">
        <v>143.37</v>
      </c>
      <c r="Q2040" s="5">
        <v>955.78</v>
      </c>
      <c r="R2040" s="5">
        <v>1002.76</v>
      </c>
      <c r="S2040" s="5">
        <v>-46.98</v>
      </c>
      <c r="T2040" s="7">
        <v>-0.0491535709054385</v>
      </c>
      <c r="U2040" t="s">
        <v>14</v>
      </c>
      <c r="V2040" t="s">
        <v>50</v>
      </c>
      <c r="W2040" t="s">
        <v>50</v>
      </c>
      <c r="X2040" t="s">
        <v>33</v>
      </c>
      <c r="Y2040" t="s">
        <v>309</v>
      </c>
      <c r="Z2040" t="s">
        <v>101</v>
      </c>
    </row>
    <row r="2041" spans="1:26">
      <c r="A2041" t="s">
        <v>4137</v>
      </c>
      <c r="B2041" t="s">
        <v>4137</v>
      </c>
      <c r="C2041" s="4">
        <v>46044</v>
      </c>
      <c r="D2041">
        <v>2026</v>
      </c>
      <c r="E2041">
        <v>1</v>
      </c>
      <c r="F2041" t="s">
        <v>30</v>
      </c>
      <c r="G2041" t="s">
        <v>82</v>
      </c>
      <c r="H2041" t="s">
        <v>1294</v>
      </c>
      <c r="I2041" t="s">
        <v>417</v>
      </c>
      <c r="J2041" t="s">
        <v>538</v>
      </c>
      <c r="K2041" t="s">
        <v>539</v>
      </c>
      <c r="L2041">
        <v>4</v>
      </c>
      <c r="M2041" s="5">
        <v>418.58</v>
      </c>
      <c r="N2041" s="6">
        <v>15</v>
      </c>
      <c r="O2041" s="5">
        <v>251.15</v>
      </c>
      <c r="P2041" s="5">
        <v>213.48</v>
      </c>
      <c r="Q2041" s="5">
        <v>1423.17</v>
      </c>
      <c r="R2041" s="5">
        <v>1239.92</v>
      </c>
      <c r="S2041" s="5">
        <v>183.25</v>
      </c>
      <c r="T2041" s="7">
        <v>0.128761848549365</v>
      </c>
      <c r="U2041" t="s">
        <v>10</v>
      </c>
      <c r="V2041" t="s">
        <v>50</v>
      </c>
      <c r="W2041" t="s">
        <v>50</v>
      </c>
      <c r="X2041" t="s">
        <v>33</v>
      </c>
      <c r="Y2041" t="s">
        <v>335</v>
      </c>
      <c r="Z2041" t="s">
        <v>101</v>
      </c>
    </row>
    <row r="2042" spans="1:26">
      <c r="A2042" t="s">
        <v>4138</v>
      </c>
      <c r="B2042" t="s">
        <v>4138</v>
      </c>
      <c r="C2042" s="4">
        <v>46109</v>
      </c>
      <c r="D2042">
        <v>2026</v>
      </c>
      <c r="E2042">
        <v>3</v>
      </c>
      <c r="F2042" t="s">
        <v>19</v>
      </c>
      <c r="G2042" t="s">
        <v>82</v>
      </c>
      <c r="H2042" t="s">
        <v>4139</v>
      </c>
      <c r="I2042" t="s">
        <v>411</v>
      </c>
      <c r="J2042" t="s">
        <v>92</v>
      </c>
      <c r="K2042" t="s">
        <v>258</v>
      </c>
      <c r="L2042">
        <v>1</v>
      </c>
      <c r="M2042" s="5">
        <v>459.58</v>
      </c>
      <c r="N2042" s="6">
        <v>5</v>
      </c>
      <c r="O2042" s="5">
        <v>22.98</v>
      </c>
      <c r="P2042" s="5">
        <v>65.49</v>
      </c>
      <c r="Q2042" s="5">
        <v>502.09</v>
      </c>
      <c r="R2042" s="5">
        <v>386.89</v>
      </c>
      <c r="S2042" s="5">
        <v>115.2</v>
      </c>
      <c r="T2042" s="7">
        <v>0.229440936883826</v>
      </c>
      <c r="U2042" t="s">
        <v>13</v>
      </c>
      <c r="V2042" t="s">
        <v>50</v>
      </c>
      <c r="W2042" t="s">
        <v>50</v>
      </c>
      <c r="X2042" t="s">
        <v>35</v>
      </c>
      <c r="Y2042" t="s">
        <v>1736</v>
      </c>
      <c r="Z2042" t="s">
        <v>80</v>
      </c>
    </row>
    <row r="2043" spans="1:26">
      <c r="A2043" t="s">
        <v>4140</v>
      </c>
      <c r="B2043" t="s">
        <v>4140</v>
      </c>
      <c r="C2043" s="4">
        <v>45998</v>
      </c>
      <c r="D2043">
        <v>2025</v>
      </c>
      <c r="E2043">
        <v>12</v>
      </c>
      <c r="F2043" t="s">
        <v>28</v>
      </c>
      <c r="G2043" t="s">
        <v>137</v>
      </c>
      <c r="H2043" t="s">
        <v>4141</v>
      </c>
      <c r="I2043" t="s">
        <v>207</v>
      </c>
      <c r="J2043" t="s">
        <v>914</v>
      </c>
      <c r="K2043" t="s">
        <v>1812</v>
      </c>
      <c r="L2043">
        <v>3</v>
      </c>
      <c r="M2043" s="5">
        <v>306.62</v>
      </c>
      <c r="N2043" s="6">
        <v>5</v>
      </c>
      <c r="O2043" s="5">
        <v>45.99</v>
      </c>
      <c r="P2043" s="5">
        <v>131.08</v>
      </c>
      <c r="Q2043" s="5">
        <v>1004.95</v>
      </c>
      <c r="R2043" s="5">
        <v>779.79</v>
      </c>
      <c r="S2043" s="5">
        <v>225.16</v>
      </c>
      <c r="T2043" s="7">
        <v>0.224050947808349</v>
      </c>
      <c r="U2043" t="s">
        <v>13</v>
      </c>
      <c r="V2043" t="s">
        <v>50</v>
      </c>
      <c r="W2043" t="s">
        <v>50</v>
      </c>
      <c r="X2043" t="s">
        <v>35</v>
      </c>
      <c r="Y2043" t="s">
        <v>154</v>
      </c>
      <c r="Z2043" t="s">
        <v>80</v>
      </c>
    </row>
    <row r="2044" spans="1:26">
      <c r="A2044" t="s">
        <v>4142</v>
      </c>
      <c r="B2044" t="s">
        <v>4142</v>
      </c>
      <c r="C2044" s="4">
        <v>45773</v>
      </c>
      <c r="D2044">
        <v>2025</v>
      </c>
      <c r="E2044">
        <v>4</v>
      </c>
      <c r="F2044" t="s">
        <v>20</v>
      </c>
      <c r="G2044" t="s">
        <v>74</v>
      </c>
      <c r="H2044" t="s">
        <v>1936</v>
      </c>
      <c r="I2044" t="s">
        <v>110</v>
      </c>
      <c r="J2044" t="s">
        <v>746</v>
      </c>
      <c r="K2044" t="s">
        <v>2690</v>
      </c>
      <c r="L2044">
        <v>5</v>
      </c>
      <c r="M2044" s="5">
        <v>389.31</v>
      </c>
      <c r="N2044" s="6">
        <v>0</v>
      </c>
      <c r="O2044" s="5">
        <v>0</v>
      </c>
      <c r="P2044" s="5">
        <v>291.98</v>
      </c>
      <c r="Q2044" s="5">
        <v>2238.53</v>
      </c>
      <c r="R2044" s="5">
        <v>1358.9</v>
      </c>
      <c r="S2044" s="5">
        <v>879.63</v>
      </c>
      <c r="T2044" s="7">
        <v>0.39294983761665</v>
      </c>
      <c r="U2044" t="s">
        <v>9</v>
      </c>
      <c r="V2044" t="s">
        <v>50</v>
      </c>
      <c r="W2044" t="s">
        <v>50</v>
      </c>
      <c r="X2044" t="s">
        <v>35</v>
      </c>
      <c r="Y2044" t="s">
        <v>1221</v>
      </c>
      <c r="Z2044" t="s">
        <v>80</v>
      </c>
    </row>
    <row r="2045" spans="1:26">
      <c r="A2045" t="s">
        <v>4143</v>
      </c>
      <c r="B2045" t="s">
        <v>4143</v>
      </c>
      <c r="C2045" s="4">
        <v>45875</v>
      </c>
      <c r="D2045">
        <v>2025</v>
      </c>
      <c r="E2045">
        <v>8</v>
      </c>
      <c r="F2045" t="s">
        <v>24</v>
      </c>
      <c r="G2045" t="s">
        <v>89</v>
      </c>
      <c r="H2045" t="s">
        <v>3783</v>
      </c>
      <c r="I2045" t="s">
        <v>801</v>
      </c>
      <c r="J2045" t="s">
        <v>351</v>
      </c>
      <c r="K2045" t="s">
        <v>1255</v>
      </c>
      <c r="L2045">
        <v>7</v>
      </c>
      <c r="M2045" s="5">
        <v>228.73</v>
      </c>
      <c r="N2045" s="6">
        <v>0</v>
      </c>
      <c r="O2045" s="5">
        <v>0</v>
      </c>
      <c r="P2045" s="5">
        <v>240.17</v>
      </c>
      <c r="Q2045" s="5">
        <v>1601.11</v>
      </c>
      <c r="R2045" s="5">
        <v>1327.83</v>
      </c>
      <c r="S2045" s="5">
        <v>273.28</v>
      </c>
      <c r="T2045" s="7">
        <v>0.170681589647182</v>
      </c>
      <c r="U2045" t="s">
        <v>10</v>
      </c>
      <c r="V2045" t="s">
        <v>50</v>
      </c>
      <c r="W2045" t="s">
        <v>50</v>
      </c>
      <c r="X2045" t="s">
        <v>35</v>
      </c>
      <c r="Y2045" t="s">
        <v>4144</v>
      </c>
      <c r="Z2045" t="s">
        <v>101</v>
      </c>
    </row>
    <row r="2046" spans="1:26">
      <c r="A2046" t="s">
        <v>4145</v>
      </c>
      <c r="B2046" t="s">
        <v>4145</v>
      </c>
      <c r="C2046" s="4">
        <v>45934</v>
      </c>
      <c r="D2046">
        <v>2025</v>
      </c>
      <c r="E2046">
        <v>10</v>
      </c>
      <c r="F2046" t="s">
        <v>26</v>
      </c>
      <c r="G2046" t="s">
        <v>137</v>
      </c>
      <c r="H2046" t="s">
        <v>699</v>
      </c>
      <c r="I2046" t="s">
        <v>285</v>
      </c>
      <c r="J2046" t="s">
        <v>175</v>
      </c>
      <c r="K2046" t="s">
        <v>176</v>
      </c>
      <c r="L2046">
        <v>5</v>
      </c>
      <c r="M2046" s="5">
        <v>541.35</v>
      </c>
      <c r="N2046" s="6">
        <v>5</v>
      </c>
      <c r="O2046" s="5">
        <v>135.34</v>
      </c>
      <c r="P2046" s="5">
        <v>385.71</v>
      </c>
      <c r="Q2046" s="5">
        <v>2957.12</v>
      </c>
      <c r="R2046" s="5">
        <v>1682</v>
      </c>
      <c r="S2046" s="5">
        <v>1275.12</v>
      </c>
      <c r="T2046" s="7">
        <v>0.431203332972622</v>
      </c>
      <c r="U2046" t="s">
        <v>10</v>
      </c>
      <c r="V2046" t="s">
        <v>50</v>
      </c>
      <c r="W2046" t="s">
        <v>50</v>
      </c>
      <c r="X2046" t="s">
        <v>33</v>
      </c>
      <c r="Y2046" t="s">
        <v>1907</v>
      </c>
      <c r="Z2046" t="s">
        <v>80</v>
      </c>
    </row>
    <row r="2047" spans="1:26">
      <c r="A2047" t="s">
        <v>4146</v>
      </c>
      <c r="B2047" t="s">
        <v>4146</v>
      </c>
      <c r="C2047" s="4">
        <v>46007</v>
      </c>
      <c r="D2047">
        <v>2025</v>
      </c>
      <c r="E2047">
        <v>12</v>
      </c>
      <c r="F2047" t="s">
        <v>28</v>
      </c>
      <c r="G2047" t="s">
        <v>137</v>
      </c>
      <c r="H2047" t="s">
        <v>886</v>
      </c>
      <c r="I2047" t="s">
        <v>279</v>
      </c>
      <c r="J2047" t="s">
        <v>654</v>
      </c>
      <c r="K2047" t="s">
        <v>2291</v>
      </c>
      <c r="L2047">
        <v>1</v>
      </c>
      <c r="M2047" s="5">
        <v>418.79</v>
      </c>
      <c r="N2047" s="6">
        <v>15</v>
      </c>
      <c r="O2047" s="5">
        <v>62.82</v>
      </c>
      <c r="P2047" s="5">
        <v>53.4</v>
      </c>
      <c r="Q2047" s="5">
        <v>355.97</v>
      </c>
      <c r="R2047" s="5">
        <v>308.94</v>
      </c>
      <c r="S2047" s="5">
        <v>47.03</v>
      </c>
      <c r="T2047" s="7">
        <v>0.132117875101834</v>
      </c>
      <c r="U2047" t="s">
        <v>10</v>
      </c>
      <c r="V2047" t="s">
        <v>50</v>
      </c>
      <c r="W2047" t="s">
        <v>50</v>
      </c>
      <c r="X2047" t="s">
        <v>35</v>
      </c>
      <c r="Y2047" t="s">
        <v>1465</v>
      </c>
      <c r="Z2047" t="s">
        <v>101</v>
      </c>
    </row>
    <row r="2048" spans="1:26">
      <c r="A2048" t="s">
        <v>4147</v>
      </c>
      <c r="B2048" t="s">
        <v>4147</v>
      </c>
      <c r="C2048" s="4">
        <v>45775</v>
      </c>
      <c r="D2048">
        <v>2025</v>
      </c>
      <c r="E2048">
        <v>4</v>
      </c>
      <c r="F2048" t="s">
        <v>20</v>
      </c>
      <c r="G2048" t="s">
        <v>74</v>
      </c>
      <c r="H2048" t="s">
        <v>1494</v>
      </c>
      <c r="I2048" t="s">
        <v>207</v>
      </c>
      <c r="J2048" t="s">
        <v>246</v>
      </c>
      <c r="K2048" t="s">
        <v>247</v>
      </c>
      <c r="L2048">
        <v>3</v>
      </c>
      <c r="M2048" s="5">
        <v>318.2</v>
      </c>
      <c r="N2048" s="6">
        <v>5</v>
      </c>
      <c r="O2048" s="5">
        <v>47.73</v>
      </c>
      <c r="P2048" s="5">
        <v>136.03</v>
      </c>
      <c r="Q2048" s="5">
        <v>906.87</v>
      </c>
      <c r="R2048" s="5">
        <v>779.79</v>
      </c>
      <c r="S2048" s="5">
        <v>127.08</v>
      </c>
      <c r="T2048" s="7">
        <v>0.140130338416752</v>
      </c>
      <c r="U2048" t="s">
        <v>10</v>
      </c>
      <c r="V2048" t="s">
        <v>50</v>
      </c>
      <c r="W2048" t="s">
        <v>50</v>
      </c>
      <c r="X2048" t="s">
        <v>34</v>
      </c>
      <c r="Y2048" t="s">
        <v>1960</v>
      </c>
      <c r="Z2048" t="s">
        <v>101</v>
      </c>
    </row>
    <row r="2049" spans="1:26">
      <c r="A2049" t="s">
        <v>4148</v>
      </c>
      <c r="B2049" t="s">
        <v>4148</v>
      </c>
      <c r="C2049" s="4">
        <v>46050</v>
      </c>
      <c r="D2049">
        <v>2026</v>
      </c>
      <c r="E2049">
        <v>1</v>
      </c>
      <c r="F2049" t="s">
        <v>30</v>
      </c>
      <c r="G2049" t="s">
        <v>82</v>
      </c>
      <c r="H2049" t="s">
        <v>2884</v>
      </c>
      <c r="I2049" t="s">
        <v>411</v>
      </c>
      <c r="J2049" t="s">
        <v>339</v>
      </c>
      <c r="K2049" t="s">
        <v>375</v>
      </c>
      <c r="L2049">
        <v>5</v>
      </c>
      <c r="M2049" s="5">
        <v>459.58</v>
      </c>
      <c r="N2049" s="6">
        <v>20</v>
      </c>
      <c r="O2049" s="5">
        <v>459.58</v>
      </c>
      <c r="P2049" s="5">
        <v>275.75</v>
      </c>
      <c r="Q2049" s="5">
        <v>1838.32</v>
      </c>
      <c r="R2049" s="5">
        <v>1934.45</v>
      </c>
      <c r="S2049" s="5">
        <v>-96.13</v>
      </c>
      <c r="T2049" s="7">
        <v>-0.0522923103703381</v>
      </c>
      <c r="U2049" t="s">
        <v>13</v>
      </c>
      <c r="V2049" t="s">
        <v>50</v>
      </c>
      <c r="W2049" t="s">
        <v>50</v>
      </c>
      <c r="X2049" t="s">
        <v>34</v>
      </c>
      <c r="Y2049" t="s">
        <v>2630</v>
      </c>
      <c r="Z2049" t="s">
        <v>101</v>
      </c>
    </row>
    <row r="2050" spans="1:26">
      <c r="A2050" t="s">
        <v>4149</v>
      </c>
      <c r="B2050" t="s">
        <v>4149</v>
      </c>
      <c r="C2050" s="4">
        <v>45813</v>
      </c>
      <c r="D2050">
        <v>2025</v>
      </c>
      <c r="E2050">
        <v>6</v>
      </c>
      <c r="F2050" t="s">
        <v>22</v>
      </c>
      <c r="G2050" t="s">
        <v>74</v>
      </c>
      <c r="H2050" t="s">
        <v>1028</v>
      </c>
      <c r="I2050" t="s">
        <v>444</v>
      </c>
      <c r="J2050" t="s">
        <v>2629</v>
      </c>
      <c r="K2050" t="s">
        <v>1080</v>
      </c>
      <c r="L2050">
        <v>6</v>
      </c>
      <c r="M2050" s="5">
        <v>100.88</v>
      </c>
      <c r="N2050" s="6">
        <v>20</v>
      </c>
      <c r="O2050" s="5">
        <v>121.06</v>
      </c>
      <c r="P2050" s="5">
        <v>72.63</v>
      </c>
      <c r="Q2050" s="5">
        <v>484.22</v>
      </c>
      <c r="R2050" s="5">
        <v>516.3</v>
      </c>
      <c r="S2050" s="5">
        <v>-32.08</v>
      </c>
      <c r="T2050" s="7">
        <v>-0.0662508777002189</v>
      </c>
      <c r="U2050" t="s">
        <v>12</v>
      </c>
      <c r="V2050" t="s">
        <v>50</v>
      </c>
      <c r="W2050" t="s">
        <v>50</v>
      </c>
      <c r="X2050" t="s">
        <v>33</v>
      </c>
      <c r="Y2050" t="s">
        <v>3537</v>
      </c>
      <c r="Z2050" t="s">
        <v>101</v>
      </c>
    </row>
    <row r="2051" spans="1:26">
      <c r="A2051" t="s">
        <v>4150</v>
      </c>
      <c r="B2051" t="s">
        <v>4150</v>
      </c>
      <c r="C2051" s="4">
        <v>45990</v>
      </c>
      <c r="D2051">
        <v>2025</v>
      </c>
      <c r="E2051">
        <v>11</v>
      </c>
      <c r="F2051" t="s">
        <v>27</v>
      </c>
      <c r="G2051" t="s">
        <v>137</v>
      </c>
      <c r="H2051" t="s">
        <v>1279</v>
      </c>
      <c r="I2051" t="s">
        <v>592</v>
      </c>
      <c r="J2051" t="s">
        <v>1104</v>
      </c>
      <c r="K2051" t="s">
        <v>1105</v>
      </c>
      <c r="L2051">
        <v>4</v>
      </c>
      <c r="M2051" s="5">
        <v>253.33</v>
      </c>
      <c r="N2051" s="6">
        <v>0</v>
      </c>
      <c r="O2051" s="5">
        <v>0</v>
      </c>
      <c r="P2051" s="5">
        <v>152</v>
      </c>
      <c r="Q2051" s="5">
        <v>1165.32</v>
      </c>
      <c r="R2051" s="5">
        <v>728.68</v>
      </c>
      <c r="S2051" s="5">
        <v>436.64</v>
      </c>
      <c r="T2051" s="7">
        <v>0.37469536264717</v>
      </c>
      <c r="U2051" t="s">
        <v>9</v>
      </c>
      <c r="V2051" t="s">
        <v>50</v>
      </c>
      <c r="W2051" t="s">
        <v>50</v>
      </c>
      <c r="X2051" t="s">
        <v>33</v>
      </c>
      <c r="Y2051" t="s">
        <v>365</v>
      </c>
      <c r="Z2051" t="s">
        <v>80</v>
      </c>
    </row>
    <row r="2052" spans="1:26">
      <c r="A2052" t="s">
        <v>4151</v>
      </c>
      <c r="B2052" t="s">
        <v>4151</v>
      </c>
      <c r="C2052" s="4">
        <v>45920</v>
      </c>
      <c r="D2052">
        <v>2025</v>
      </c>
      <c r="E2052">
        <v>9</v>
      </c>
      <c r="F2052" t="s">
        <v>25</v>
      </c>
      <c r="G2052" t="s">
        <v>89</v>
      </c>
      <c r="H2052" t="s">
        <v>1103</v>
      </c>
      <c r="I2052" t="s">
        <v>1686</v>
      </c>
      <c r="J2052" t="s">
        <v>47</v>
      </c>
      <c r="K2052" t="s">
        <v>1197</v>
      </c>
      <c r="L2052">
        <v>4</v>
      </c>
      <c r="M2052" s="5">
        <v>240.51</v>
      </c>
      <c r="N2052" s="6">
        <v>0</v>
      </c>
      <c r="O2052" s="5">
        <v>0</v>
      </c>
      <c r="P2052" s="5">
        <v>144.31</v>
      </c>
      <c r="Q2052" s="5">
        <v>1106.35</v>
      </c>
      <c r="R2052" s="5">
        <v>643.92</v>
      </c>
      <c r="S2052" s="5">
        <v>462.43</v>
      </c>
      <c r="T2052" s="7">
        <v>0.417978035883762</v>
      </c>
      <c r="U2052" t="s">
        <v>9</v>
      </c>
      <c r="V2052" t="s">
        <v>50</v>
      </c>
      <c r="W2052" t="s">
        <v>50</v>
      </c>
      <c r="X2052" t="s">
        <v>33</v>
      </c>
      <c r="Y2052" t="s">
        <v>1809</v>
      </c>
      <c r="Z2052" t="s">
        <v>80</v>
      </c>
    </row>
    <row r="2053" spans="1:26">
      <c r="A2053" t="s">
        <v>4152</v>
      </c>
      <c r="B2053" t="s">
        <v>4152</v>
      </c>
      <c r="C2053" s="4">
        <v>45987</v>
      </c>
      <c r="D2053">
        <v>2025</v>
      </c>
      <c r="E2053">
        <v>11</v>
      </c>
      <c r="F2053" t="s">
        <v>27</v>
      </c>
      <c r="G2053" t="s">
        <v>137</v>
      </c>
      <c r="H2053" t="s">
        <v>1641</v>
      </c>
      <c r="I2053" t="s">
        <v>174</v>
      </c>
      <c r="J2053" t="s">
        <v>1450</v>
      </c>
      <c r="K2053" t="s">
        <v>1864</v>
      </c>
      <c r="L2053">
        <v>3</v>
      </c>
      <c r="M2053" s="5">
        <v>397.22</v>
      </c>
      <c r="N2053" s="6">
        <v>15</v>
      </c>
      <c r="O2053" s="5">
        <v>178.75</v>
      </c>
      <c r="P2053" s="5">
        <v>151.94</v>
      </c>
      <c r="Q2053" s="5">
        <v>1012.91</v>
      </c>
      <c r="R2053" s="5">
        <v>958.11</v>
      </c>
      <c r="S2053" s="5">
        <v>54.8</v>
      </c>
      <c r="T2053" s="7">
        <v>0.0541015490023793</v>
      </c>
      <c r="U2053" t="s">
        <v>9</v>
      </c>
      <c r="V2053" t="s">
        <v>51</v>
      </c>
      <c r="W2053" t="s">
        <v>51</v>
      </c>
      <c r="X2053" t="s">
        <v>35</v>
      </c>
      <c r="Y2053" t="s">
        <v>1399</v>
      </c>
      <c r="Z2053" t="s">
        <v>101</v>
      </c>
    </row>
    <row r="2054" spans="1:26">
      <c r="A2054" t="s">
        <v>4153</v>
      </c>
      <c r="B2054" t="s">
        <v>4153</v>
      </c>
      <c r="C2054" s="4">
        <v>46032</v>
      </c>
      <c r="D2054">
        <v>2026</v>
      </c>
      <c r="E2054">
        <v>1</v>
      </c>
      <c r="F2054" t="s">
        <v>30</v>
      </c>
      <c r="G2054" t="s">
        <v>82</v>
      </c>
      <c r="H2054" t="s">
        <v>1978</v>
      </c>
      <c r="I2054" t="s">
        <v>498</v>
      </c>
      <c r="J2054" t="s">
        <v>1133</v>
      </c>
      <c r="K2054" t="s">
        <v>1721</v>
      </c>
      <c r="L2054">
        <v>5</v>
      </c>
      <c r="M2054" s="5">
        <v>365.92</v>
      </c>
      <c r="N2054" s="6">
        <v>0</v>
      </c>
      <c r="O2054" s="5">
        <v>0</v>
      </c>
      <c r="P2054" s="5">
        <v>274.44</v>
      </c>
      <c r="Q2054" s="5">
        <v>2104.04</v>
      </c>
      <c r="R2054" s="5">
        <v>1551.9</v>
      </c>
      <c r="S2054" s="5">
        <v>552.14</v>
      </c>
      <c r="T2054" s="7">
        <v>0.262418965418908</v>
      </c>
      <c r="U2054" t="s">
        <v>14</v>
      </c>
      <c r="V2054" t="s">
        <v>50</v>
      </c>
      <c r="W2054" t="s">
        <v>50</v>
      </c>
      <c r="X2054" t="s">
        <v>33</v>
      </c>
      <c r="Y2054" t="s">
        <v>2989</v>
      </c>
      <c r="Z2054" t="s">
        <v>80</v>
      </c>
    </row>
    <row r="2055" spans="1:26">
      <c r="A2055" t="s">
        <v>4154</v>
      </c>
      <c r="B2055" t="s">
        <v>4154</v>
      </c>
      <c r="C2055" s="4">
        <v>45933</v>
      </c>
      <c r="D2055">
        <v>2025</v>
      </c>
      <c r="E2055">
        <v>10</v>
      </c>
      <c r="F2055" t="s">
        <v>26</v>
      </c>
      <c r="G2055" t="s">
        <v>137</v>
      </c>
      <c r="H2055" t="s">
        <v>343</v>
      </c>
      <c r="I2055" t="s">
        <v>84</v>
      </c>
      <c r="J2055" t="s">
        <v>105</v>
      </c>
      <c r="K2055" t="s">
        <v>2311</v>
      </c>
      <c r="L2055">
        <v>3</v>
      </c>
      <c r="M2055" s="5">
        <v>485.57</v>
      </c>
      <c r="N2055" s="6">
        <v>5</v>
      </c>
      <c r="O2055" s="5">
        <v>72.84</v>
      </c>
      <c r="P2055" s="5">
        <v>207.58</v>
      </c>
      <c r="Q2055" s="5">
        <v>1383.87</v>
      </c>
      <c r="R2055" s="5">
        <v>1140.24</v>
      </c>
      <c r="S2055" s="5">
        <v>243.63</v>
      </c>
      <c r="T2055" s="7">
        <v>0.17604977346138</v>
      </c>
      <c r="U2055" t="s">
        <v>9</v>
      </c>
      <c r="V2055" t="s">
        <v>50</v>
      </c>
      <c r="W2055" t="s">
        <v>50</v>
      </c>
      <c r="X2055" t="s">
        <v>33</v>
      </c>
      <c r="Y2055" t="s">
        <v>3356</v>
      </c>
      <c r="Z2055" t="s">
        <v>101</v>
      </c>
    </row>
    <row r="2056" spans="1:26">
      <c r="A2056" t="s">
        <v>4155</v>
      </c>
      <c r="B2056" t="s">
        <v>4155</v>
      </c>
      <c r="C2056" s="4">
        <v>46074</v>
      </c>
      <c r="D2056">
        <v>2026</v>
      </c>
      <c r="E2056">
        <v>2</v>
      </c>
      <c r="F2056" t="s">
        <v>31</v>
      </c>
      <c r="G2056" t="s">
        <v>82</v>
      </c>
      <c r="H2056" t="s">
        <v>1026</v>
      </c>
      <c r="I2056" t="s">
        <v>2093</v>
      </c>
      <c r="J2056" t="s">
        <v>280</v>
      </c>
      <c r="K2056" t="s">
        <v>1702</v>
      </c>
      <c r="L2056">
        <v>8</v>
      </c>
      <c r="M2056" s="5">
        <v>404.08</v>
      </c>
      <c r="N2056" s="6">
        <v>20</v>
      </c>
      <c r="O2056" s="5">
        <v>646.53</v>
      </c>
      <c r="P2056" s="5">
        <v>387.92</v>
      </c>
      <c r="Q2056" s="5">
        <v>2974.03</v>
      </c>
      <c r="R2056" s="5">
        <v>2786.64</v>
      </c>
      <c r="S2056" s="5">
        <v>187.39</v>
      </c>
      <c r="T2056" s="7">
        <v>0.0630087793330935</v>
      </c>
      <c r="U2056" t="s">
        <v>9</v>
      </c>
      <c r="V2056" t="s">
        <v>50</v>
      </c>
      <c r="W2056" t="s">
        <v>50</v>
      </c>
      <c r="X2056" t="s">
        <v>33</v>
      </c>
      <c r="Y2056" t="s">
        <v>1378</v>
      </c>
      <c r="Z2056" t="s">
        <v>80</v>
      </c>
    </row>
    <row r="2057" spans="1:26">
      <c r="A2057" t="s">
        <v>4156</v>
      </c>
      <c r="B2057" t="s">
        <v>4156</v>
      </c>
      <c r="C2057" s="4">
        <v>45869</v>
      </c>
      <c r="D2057">
        <v>2025</v>
      </c>
      <c r="E2057">
        <v>7</v>
      </c>
      <c r="F2057" t="s">
        <v>23</v>
      </c>
      <c r="G2057" t="s">
        <v>89</v>
      </c>
      <c r="H2057" t="s">
        <v>893</v>
      </c>
      <c r="I2057" t="s">
        <v>279</v>
      </c>
      <c r="J2057" t="s">
        <v>369</v>
      </c>
      <c r="K2057" t="s">
        <v>370</v>
      </c>
      <c r="L2057">
        <v>3</v>
      </c>
      <c r="M2057" s="5">
        <v>418.79</v>
      </c>
      <c r="N2057" s="6">
        <v>0</v>
      </c>
      <c r="O2057" s="5">
        <v>0</v>
      </c>
      <c r="P2057" s="5">
        <v>188.46</v>
      </c>
      <c r="Q2057" s="5">
        <v>1256.37</v>
      </c>
      <c r="R2057" s="5">
        <v>926.82</v>
      </c>
      <c r="S2057" s="5">
        <v>329.55</v>
      </c>
      <c r="T2057" s="7">
        <v>0.262303302371117</v>
      </c>
      <c r="U2057" t="s">
        <v>14</v>
      </c>
      <c r="V2057" t="s">
        <v>50</v>
      </c>
      <c r="W2057" t="s">
        <v>50</v>
      </c>
      <c r="X2057" t="s">
        <v>33</v>
      </c>
      <c r="Y2057" t="s">
        <v>500</v>
      </c>
      <c r="Z2057" t="s">
        <v>101</v>
      </c>
    </row>
    <row r="2058" spans="1:26">
      <c r="A2058" t="s">
        <v>4157</v>
      </c>
      <c r="B2058" t="s">
        <v>4157</v>
      </c>
      <c r="C2058" s="4">
        <v>45780</v>
      </c>
      <c r="D2058">
        <v>2025</v>
      </c>
      <c r="E2058">
        <v>5</v>
      </c>
      <c r="F2058" t="s">
        <v>21</v>
      </c>
      <c r="G2058" t="s">
        <v>74</v>
      </c>
      <c r="H2058" t="s">
        <v>1236</v>
      </c>
      <c r="I2058" t="s">
        <v>537</v>
      </c>
      <c r="J2058" t="s">
        <v>92</v>
      </c>
      <c r="K2058" t="s">
        <v>1691</v>
      </c>
      <c r="L2058">
        <v>3</v>
      </c>
      <c r="M2058" s="5">
        <v>254.52</v>
      </c>
      <c r="N2058" s="6">
        <v>0</v>
      </c>
      <c r="O2058" s="5">
        <v>0</v>
      </c>
      <c r="P2058" s="5">
        <v>114.53</v>
      </c>
      <c r="Q2058" s="5">
        <v>878.09</v>
      </c>
      <c r="R2058" s="5">
        <v>573.6</v>
      </c>
      <c r="S2058" s="5">
        <v>304.49</v>
      </c>
      <c r="T2058" s="7">
        <v>0.346763999134485</v>
      </c>
      <c r="U2058" t="s">
        <v>10</v>
      </c>
      <c r="V2058" t="s">
        <v>50</v>
      </c>
      <c r="W2058" t="s">
        <v>50</v>
      </c>
      <c r="X2058" t="s">
        <v>33</v>
      </c>
      <c r="Y2058" t="s">
        <v>1256</v>
      </c>
      <c r="Z2058" t="s">
        <v>80</v>
      </c>
    </row>
    <row r="2059" spans="1:26">
      <c r="A2059" t="s">
        <v>4158</v>
      </c>
      <c r="B2059" t="s">
        <v>4158</v>
      </c>
      <c r="C2059" s="4">
        <v>46106</v>
      </c>
      <c r="D2059">
        <v>2026</v>
      </c>
      <c r="E2059">
        <v>3</v>
      </c>
      <c r="F2059" t="s">
        <v>19</v>
      </c>
      <c r="G2059" t="s">
        <v>82</v>
      </c>
      <c r="H2059" t="s">
        <v>1553</v>
      </c>
      <c r="I2059" t="s">
        <v>774</v>
      </c>
      <c r="J2059" t="s">
        <v>38</v>
      </c>
      <c r="K2059" t="s">
        <v>236</v>
      </c>
      <c r="L2059">
        <v>2</v>
      </c>
      <c r="M2059" s="5">
        <v>661.91</v>
      </c>
      <c r="N2059" s="6">
        <v>15</v>
      </c>
      <c r="O2059" s="5">
        <v>198.57</v>
      </c>
      <c r="P2059" s="5">
        <v>168.79</v>
      </c>
      <c r="Q2059" s="5">
        <v>1125.25</v>
      </c>
      <c r="R2059" s="5">
        <v>797.44</v>
      </c>
      <c r="S2059" s="5">
        <v>327.81</v>
      </c>
      <c r="T2059" s="7">
        <v>0.291321928460342</v>
      </c>
      <c r="U2059" t="s">
        <v>14</v>
      </c>
      <c r="V2059" t="s">
        <v>50</v>
      </c>
      <c r="W2059" t="s">
        <v>50</v>
      </c>
      <c r="X2059" t="s">
        <v>33</v>
      </c>
      <c r="Y2059" t="s">
        <v>2027</v>
      </c>
      <c r="Z2059" t="s">
        <v>101</v>
      </c>
    </row>
    <row r="2060" spans="1:26">
      <c r="A2060" t="s">
        <v>4159</v>
      </c>
      <c r="B2060" t="s">
        <v>4159</v>
      </c>
      <c r="C2060" s="4">
        <v>45824</v>
      </c>
      <c r="D2060">
        <v>2025</v>
      </c>
      <c r="E2060">
        <v>6</v>
      </c>
      <c r="F2060" t="s">
        <v>22</v>
      </c>
      <c r="G2060" t="s">
        <v>74</v>
      </c>
      <c r="H2060" t="s">
        <v>2150</v>
      </c>
      <c r="I2060" t="s">
        <v>1071</v>
      </c>
      <c r="J2060" t="s">
        <v>133</v>
      </c>
      <c r="K2060" t="s">
        <v>340</v>
      </c>
      <c r="L2060">
        <v>3</v>
      </c>
      <c r="M2060" s="5">
        <v>307</v>
      </c>
      <c r="N2060" s="6">
        <v>20</v>
      </c>
      <c r="O2060" s="5">
        <v>184.2</v>
      </c>
      <c r="P2060" s="5">
        <v>110.52</v>
      </c>
      <c r="Q2060" s="5">
        <v>736.8</v>
      </c>
      <c r="R2060" s="5">
        <v>597.48</v>
      </c>
      <c r="S2060" s="5">
        <v>139.32</v>
      </c>
      <c r="T2060" s="7">
        <v>0.189087947882736</v>
      </c>
      <c r="U2060" t="s">
        <v>12</v>
      </c>
      <c r="V2060" t="s">
        <v>50</v>
      </c>
      <c r="W2060" t="s">
        <v>50</v>
      </c>
      <c r="X2060" t="s">
        <v>33</v>
      </c>
      <c r="Y2060" t="s">
        <v>550</v>
      </c>
      <c r="Z2060" t="s">
        <v>101</v>
      </c>
    </row>
    <row r="2061" spans="1:26">
      <c r="A2061" t="s">
        <v>4160</v>
      </c>
      <c r="B2061" t="s">
        <v>4160</v>
      </c>
      <c r="C2061" s="4">
        <v>46069</v>
      </c>
      <c r="D2061">
        <v>2026</v>
      </c>
      <c r="E2061">
        <v>2</v>
      </c>
      <c r="F2061" t="s">
        <v>31</v>
      </c>
      <c r="G2061" t="s">
        <v>82</v>
      </c>
      <c r="H2061" t="s">
        <v>755</v>
      </c>
      <c r="I2061" t="s">
        <v>1714</v>
      </c>
      <c r="J2061" t="s">
        <v>659</v>
      </c>
      <c r="K2061" t="s">
        <v>989</v>
      </c>
      <c r="L2061">
        <v>4</v>
      </c>
      <c r="M2061" s="5">
        <v>342.27</v>
      </c>
      <c r="N2061" s="6">
        <v>0</v>
      </c>
      <c r="O2061" s="5">
        <v>0</v>
      </c>
      <c r="P2061" s="5">
        <v>205.36</v>
      </c>
      <c r="Q2061" s="5">
        <v>1369.08</v>
      </c>
      <c r="R2061" s="5">
        <v>1064.4</v>
      </c>
      <c r="S2061" s="5">
        <v>304.68</v>
      </c>
      <c r="T2061" s="7">
        <v>0.222543605925147</v>
      </c>
      <c r="U2061" t="s">
        <v>9</v>
      </c>
      <c r="V2061" t="s">
        <v>50</v>
      </c>
      <c r="W2061" t="s">
        <v>50</v>
      </c>
      <c r="X2061" t="s">
        <v>33</v>
      </c>
      <c r="Y2061" t="s">
        <v>887</v>
      </c>
      <c r="Z2061" t="s">
        <v>101</v>
      </c>
    </row>
    <row r="2062" spans="1:26">
      <c r="A2062" t="s">
        <v>4161</v>
      </c>
      <c r="B2062" t="s">
        <v>4161</v>
      </c>
      <c r="C2062" s="4">
        <v>45826</v>
      </c>
      <c r="D2062">
        <v>2025</v>
      </c>
      <c r="E2062">
        <v>6</v>
      </c>
      <c r="F2062" t="s">
        <v>22</v>
      </c>
      <c r="G2062" t="s">
        <v>74</v>
      </c>
      <c r="H2062" t="s">
        <v>2464</v>
      </c>
      <c r="I2062" t="s">
        <v>104</v>
      </c>
      <c r="J2062" t="s">
        <v>85</v>
      </c>
      <c r="K2062" t="s">
        <v>86</v>
      </c>
      <c r="L2062">
        <v>2</v>
      </c>
      <c r="M2062" s="5">
        <v>313.47</v>
      </c>
      <c r="N2062" s="6">
        <v>10</v>
      </c>
      <c r="O2062" s="5">
        <v>62.69</v>
      </c>
      <c r="P2062" s="5">
        <v>84.64</v>
      </c>
      <c r="Q2062" s="5">
        <v>564.25</v>
      </c>
      <c r="R2062" s="5">
        <v>492.24</v>
      </c>
      <c r="S2062" s="5">
        <v>72.01</v>
      </c>
      <c r="T2062" s="7">
        <v>0.127620735489588</v>
      </c>
      <c r="U2062" t="s">
        <v>13</v>
      </c>
      <c r="V2062" t="s">
        <v>50</v>
      </c>
      <c r="W2062" t="s">
        <v>50</v>
      </c>
      <c r="X2062" t="s">
        <v>35</v>
      </c>
      <c r="Y2062" t="s">
        <v>1225</v>
      </c>
      <c r="Z2062" t="s">
        <v>101</v>
      </c>
    </row>
    <row r="2063" spans="1:26">
      <c r="A2063" t="s">
        <v>4162</v>
      </c>
      <c r="B2063" t="s">
        <v>4162</v>
      </c>
      <c r="C2063" s="4">
        <v>45756</v>
      </c>
      <c r="D2063">
        <v>2025</v>
      </c>
      <c r="E2063">
        <v>4</v>
      </c>
      <c r="F2063" t="s">
        <v>20</v>
      </c>
      <c r="G2063" t="s">
        <v>74</v>
      </c>
      <c r="H2063" t="s">
        <v>294</v>
      </c>
      <c r="I2063" t="s">
        <v>97</v>
      </c>
      <c r="J2063" t="s">
        <v>833</v>
      </c>
      <c r="K2063" t="s">
        <v>2018</v>
      </c>
      <c r="L2063">
        <v>7</v>
      </c>
      <c r="M2063" s="5">
        <v>413.36</v>
      </c>
      <c r="N2063" s="6">
        <v>0</v>
      </c>
      <c r="O2063" s="5">
        <v>0</v>
      </c>
      <c r="P2063" s="5">
        <v>434.03</v>
      </c>
      <c r="Q2063" s="5">
        <v>2893.52</v>
      </c>
      <c r="R2063" s="5">
        <v>1655.78</v>
      </c>
      <c r="S2063" s="5">
        <v>1237.74</v>
      </c>
      <c r="T2063" s="7">
        <v>0.427762724985485</v>
      </c>
      <c r="U2063" t="s">
        <v>14</v>
      </c>
      <c r="V2063" t="s">
        <v>50</v>
      </c>
      <c r="W2063" t="s">
        <v>50</v>
      </c>
      <c r="X2063" t="s">
        <v>34</v>
      </c>
      <c r="Y2063" t="s">
        <v>2365</v>
      </c>
      <c r="Z2063" t="s">
        <v>101</v>
      </c>
    </row>
    <row r="2064" spans="1:26">
      <c r="A2064" t="s">
        <v>4163</v>
      </c>
      <c r="B2064" t="s">
        <v>4163</v>
      </c>
      <c r="C2064" s="4">
        <v>45909</v>
      </c>
      <c r="D2064">
        <v>2025</v>
      </c>
      <c r="E2064">
        <v>9</v>
      </c>
      <c r="F2064" t="s">
        <v>25</v>
      </c>
      <c r="G2064" t="s">
        <v>89</v>
      </c>
      <c r="H2064" t="s">
        <v>1978</v>
      </c>
      <c r="I2064" t="s">
        <v>110</v>
      </c>
      <c r="J2064" t="s">
        <v>1490</v>
      </c>
      <c r="K2064" t="s">
        <v>1491</v>
      </c>
      <c r="L2064">
        <v>5</v>
      </c>
      <c r="M2064" s="5">
        <v>342.46</v>
      </c>
      <c r="N2064" s="6">
        <v>15</v>
      </c>
      <c r="O2064" s="5">
        <v>256.85</v>
      </c>
      <c r="P2064" s="5">
        <v>218.32</v>
      </c>
      <c r="Q2064" s="5">
        <v>1455.45</v>
      </c>
      <c r="R2064" s="5">
        <v>1358.9</v>
      </c>
      <c r="S2064" s="5">
        <v>96.55</v>
      </c>
      <c r="T2064" s="7">
        <v>0.0663368717578756</v>
      </c>
      <c r="U2064" t="s">
        <v>13</v>
      </c>
      <c r="V2064" t="s">
        <v>50</v>
      </c>
      <c r="W2064" t="s">
        <v>50</v>
      </c>
      <c r="X2064" t="s">
        <v>35</v>
      </c>
      <c r="Y2064" t="s">
        <v>242</v>
      </c>
      <c r="Z2064" t="s">
        <v>101</v>
      </c>
    </row>
    <row r="2065" spans="1:26">
      <c r="A2065" t="s">
        <v>4164</v>
      </c>
      <c r="B2065" t="s">
        <v>4164</v>
      </c>
      <c r="C2065" s="4">
        <v>45820</v>
      </c>
      <c r="D2065">
        <v>2025</v>
      </c>
      <c r="E2065">
        <v>6</v>
      </c>
      <c r="F2065" t="s">
        <v>22</v>
      </c>
      <c r="G2065" t="s">
        <v>74</v>
      </c>
      <c r="H2065" t="s">
        <v>439</v>
      </c>
      <c r="I2065" t="s">
        <v>844</v>
      </c>
      <c r="J2065" t="s">
        <v>208</v>
      </c>
      <c r="K2065" t="s">
        <v>1924</v>
      </c>
      <c r="L2065">
        <v>3</v>
      </c>
      <c r="M2065" s="5">
        <v>298.68</v>
      </c>
      <c r="N2065" s="6">
        <v>10</v>
      </c>
      <c r="O2065" s="5">
        <v>89.6</v>
      </c>
      <c r="P2065" s="5">
        <v>120.97</v>
      </c>
      <c r="Q2065" s="5">
        <v>806.44</v>
      </c>
      <c r="R2065" s="5">
        <v>752.07</v>
      </c>
      <c r="S2065" s="5">
        <v>54.37</v>
      </c>
      <c r="T2065" s="7">
        <v>0.0674197708447002</v>
      </c>
      <c r="U2065" t="s">
        <v>11</v>
      </c>
      <c r="V2065" t="s">
        <v>50</v>
      </c>
      <c r="W2065" t="s">
        <v>50</v>
      </c>
      <c r="X2065" t="s">
        <v>34</v>
      </c>
      <c r="Y2065" t="s">
        <v>2029</v>
      </c>
      <c r="Z2065" t="s">
        <v>101</v>
      </c>
    </row>
    <row r="2066" spans="1:26">
      <c r="A2066" t="s">
        <v>4165</v>
      </c>
      <c r="B2066" t="s">
        <v>4165</v>
      </c>
      <c r="C2066" s="4">
        <v>46018</v>
      </c>
      <c r="D2066">
        <v>2025</v>
      </c>
      <c r="E2066">
        <v>12</v>
      </c>
      <c r="F2066" t="s">
        <v>28</v>
      </c>
      <c r="G2066" t="s">
        <v>137</v>
      </c>
      <c r="H2066" t="s">
        <v>400</v>
      </c>
      <c r="I2066" t="s">
        <v>180</v>
      </c>
      <c r="J2066" t="s">
        <v>1507</v>
      </c>
      <c r="K2066" t="s">
        <v>3084</v>
      </c>
      <c r="L2066">
        <v>5</v>
      </c>
      <c r="M2066" s="5">
        <v>413.29</v>
      </c>
      <c r="N2066" s="6">
        <v>20</v>
      </c>
      <c r="O2066" s="5">
        <v>413.29</v>
      </c>
      <c r="P2066" s="5">
        <v>247.97</v>
      </c>
      <c r="Q2066" s="5">
        <v>1901.13</v>
      </c>
      <c r="R2066" s="5">
        <v>1465.25</v>
      </c>
      <c r="S2066" s="5">
        <v>435.88</v>
      </c>
      <c r="T2066" s="7">
        <v>0.229274168520827</v>
      </c>
      <c r="U2066" t="s">
        <v>10</v>
      </c>
      <c r="V2066" t="s">
        <v>50</v>
      </c>
      <c r="W2066" t="s">
        <v>50</v>
      </c>
      <c r="X2066" t="s">
        <v>33</v>
      </c>
      <c r="Y2066" t="s">
        <v>2331</v>
      </c>
      <c r="Z2066" t="s">
        <v>80</v>
      </c>
    </row>
    <row r="2067" spans="1:26">
      <c r="A2067" t="s">
        <v>4166</v>
      </c>
      <c r="B2067" t="s">
        <v>4166</v>
      </c>
      <c r="C2067" s="4">
        <v>45917</v>
      </c>
      <c r="D2067">
        <v>2025</v>
      </c>
      <c r="E2067">
        <v>9</v>
      </c>
      <c r="F2067" t="s">
        <v>25</v>
      </c>
      <c r="G2067" t="s">
        <v>89</v>
      </c>
      <c r="H2067" t="s">
        <v>1131</v>
      </c>
      <c r="I2067" t="s">
        <v>623</v>
      </c>
      <c r="J2067" t="s">
        <v>291</v>
      </c>
      <c r="K2067" t="s">
        <v>1204</v>
      </c>
      <c r="L2067">
        <v>6</v>
      </c>
      <c r="M2067" s="5">
        <v>157.93</v>
      </c>
      <c r="N2067" s="6">
        <v>0</v>
      </c>
      <c r="O2067" s="5">
        <v>0</v>
      </c>
      <c r="P2067" s="5">
        <v>142.14</v>
      </c>
      <c r="Q2067" s="5">
        <v>947.58</v>
      </c>
      <c r="R2067" s="5">
        <v>641.94</v>
      </c>
      <c r="S2067" s="5">
        <v>305.64</v>
      </c>
      <c r="T2067" s="7">
        <v>0.322547964287976</v>
      </c>
      <c r="U2067" t="s">
        <v>10</v>
      </c>
      <c r="V2067" t="s">
        <v>50</v>
      </c>
      <c r="W2067" t="s">
        <v>50</v>
      </c>
      <c r="X2067" t="s">
        <v>35</v>
      </c>
      <c r="Y2067" t="s">
        <v>887</v>
      </c>
      <c r="Z2067" t="s">
        <v>101</v>
      </c>
    </row>
    <row r="2068" spans="1:26">
      <c r="A2068" t="s">
        <v>4167</v>
      </c>
      <c r="B2068" t="s">
        <v>4167</v>
      </c>
      <c r="C2068" s="4">
        <v>45942</v>
      </c>
      <c r="D2068">
        <v>2025</v>
      </c>
      <c r="E2068">
        <v>10</v>
      </c>
      <c r="F2068" t="s">
        <v>26</v>
      </c>
      <c r="G2068" t="s">
        <v>137</v>
      </c>
      <c r="H2068" t="s">
        <v>331</v>
      </c>
      <c r="I2068" t="s">
        <v>787</v>
      </c>
      <c r="J2068" t="s">
        <v>955</v>
      </c>
      <c r="K2068" t="s">
        <v>1220</v>
      </c>
      <c r="L2068">
        <v>5</v>
      </c>
      <c r="M2068" s="5">
        <v>185.59</v>
      </c>
      <c r="N2068" s="6">
        <v>0</v>
      </c>
      <c r="O2068" s="5">
        <v>0</v>
      </c>
      <c r="P2068" s="5">
        <v>139.19</v>
      </c>
      <c r="Q2068" s="5">
        <v>1067.14</v>
      </c>
      <c r="R2068" s="5">
        <v>511.15</v>
      </c>
      <c r="S2068" s="5">
        <v>555.99</v>
      </c>
      <c r="T2068" s="7">
        <v>0.521009427066739</v>
      </c>
      <c r="U2068" t="s">
        <v>14</v>
      </c>
      <c r="V2068" t="s">
        <v>50</v>
      </c>
      <c r="W2068" t="s">
        <v>50</v>
      </c>
      <c r="X2068" t="s">
        <v>33</v>
      </c>
      <c r="Y2068" t="s">
        <v>4065</v>
      </c>
      <c r="Z2068" t="s">
        <v>80</v>
      </c>
    </row>
    <row r="2069" spans="1:26">
      <c r="A2069" t="s">
        <v>4168</v>
      </c>
      <c r="B2069" t="s">
        <v>4168</v>
      </c>
      <c r="C2069" s="4">
        <v>46037</v>
      </c>
      <c r="D2069">
        <v>2026</v>
      </c>
      <c r="E2069">
        <v>1</v>
      </c>
      <c r="F2069" t="s">
        <v>30</v>
      </c>
      <c r="G2069" t="s">
        <v>82</v>
      </c>
      <c r="H2069" t="s">
        <v>1988</v>
      </c>
      <c r="I2069" t="s">
        <v>186</v>
      </c>
      <c r="J2069" t="s">
        <v>948</v>
      </c>
      <c r="K2069" t="s">
        <v>949</v>
      </c>
      <c r="L2069">
        <v>2</v>
      </c>
      <c r="M2069" s="5">
        <v>93.47</v>
      </c>
      <c r="N2069" s="6">
        <v>15</v>
      </c>
      <c r="O2069" s="5">
        <v>28.04</v>
      </c>
      <c r="P2069" s="5">
        <v>23.84</v>
      </c>
      <c r="Q2069" s="5">
        <v>158.9</v>
      </c>
      <c r="R2069" s="5">
        <v>144.58</v>
      </c>
      <c r="S2069" s="5">
        <v>14.32</v>
      </c>
      <c r="T2069" s="7">
        <v>0.090119572057898</v>
      </c>
      <c r="U2069" t="s">
        <v>14</v>
      </c>
      <c r="V2069" t="s">
        <v>50</v>
      </c>
      <c r="W2069" t="s">
        <v>50</v>
      </c>
      <c r="X2069" t="s">
        <v>33</v>
      </c>
      <c r="Y2069" t="s">
        <v>265</v>
      </c>
      <c r="Z2069" t="s">
        <v>101</v>
      </c>
    </row>
    <row r="2070" spans="1:26">
      <c r="A2070" t="s">
        <v>4169</v>
      </c>
      <c r="B2070" t="s">
        <v>4169</v>
      </c>
      <c r="C2070" s="4">
        <v>46075</v>
      </c>
      <c r="D2070">
        <v>2026</v>
      </c>
      <c r="E2070">
        <v>2</v>
      </c>
      <c r="F2070" t="s">
        <v>31</v>
      </c>
      <c r="G2070" t="s">
        <v>82</v>
      </c>
      <c r="H2070" t="s">
        <v>162</v>
      </c>
      <c r="I2070" t="s">
        <v>797</v>
      </c>
      <c r="J2070" t="s">
        <v>482</v>
      </c>
      <c r="K2070" t="s">
        <v>203</v>
      </c>
      <c r="L2070">
        <v>1</v>
      </c>
      <c r="M2070" s="5">
        <v>442.14</v>
      </c>
      <c r="N2070" s="6">
        <v>0</v>
      </c>
      <c r="O2070" s="5">
        <v>0</v>
      </c>
      <c r="P2070" s="5">
        <v>66.32</v>
      </c>
      <c r="Q2070" s="5">
        <v>508.46</v>
      </c>
      <c r="R2070" s="5">
        <v>351.87</v>
      </c>
      <c r="S2070" s="5">
        <v>156.59</v>
      </c>
      <c r="T2070" s="7">
        <v>0.307969161782638</v>
      </c>
      <c r="U2070" t="s">
        <v>9</v>
      </c>
      <c r="V2070" t="s">
        <v>50</v>
      </c>
      <c r="W2070" t="s">
        <v>50</v>
      </c>
      <c r="X2070" t="s">
        <v>33</v>
      </c>
      <c r="Y2070" t="s">
        <v>1527</v>
      </c>
      <c r="Z2070" t="s">
        <v>80</v>
      </c>
    </row>
    <row r="2071" spans="1:26">
      <c r="A2071" t="s">
        <v>4170</v>
      </c>
      <c r="B2071" t="s">
        <v>4170</v>
      </c>
      <c r="C2071" s="4">
        <v>45942</v>
      </c>
      <c r="D2071">
        <v>2025</v>
      </c>
      <c r="E2071">
        <v>10</v>
      </c>
      <c r="F2071" t="s">
        <v>26</v>
      </c>
      <c r="G2071" t="s">
        <v>137</v>
      </c>
      <c r="H2071" t="s">
        <v>1103</v>
      </c>
      <c r="I2071" t="s">
        <v>1196</v>
      </c>
      <c r="J2071" t="s">
        <v>1107</v>
      </c>
      <c r="K2071" t="s">
        <v>1240</v>
      </c>
      <c r="L2071">
        <v>8</v>
      </c>
      <c r="M2071" s="5">
        <v>158.62</v>
      </c>
      <c r="N2071" s="6">
        <v>15</v>
      </c>
      <c r="O2071" s="5">
        <v>190.34</v>
      </c>
      <c r="P2071" s="5">
        <v>161.79</v>
      </c>
      <c r="Q2071" s="5">
        <v>1240.41</v>
      </c>
      <c r="R2071" s="5">
        <v>873.68</v>
      </c>
      <c r="S2071" s="5">
        <v>366.73</v>
      </c>
      <c r="T2071" s="7">
        <v>0.295652244016092</v>
      </c>
      <c r="U2071" t="s">
        <v>9</v>
      </c>
      <c r="V2071" t="s">
        <v>50</v>
      </c>
      <c r="W2071" t="s">
        <v>50</v>
      </c>
      <c r="X2071" t="s">
        <v>33</v>
      </c>
      <c r="Y2071" t="s">
        <v>4171</v>
      </c>
      <c r="Z2071" t="s">
        <v>80</v>
      </c>
    </row>
    <row r="2072" spans="1:26">
      <c r="A2072" t="s">
        <v>4172</v>
      </c>
      <c r="B2072" t="s">
        <v>4172</v>
      </c>
      <c r="C2072" s="4">
        <v>46084</v>
      </c>
      <c r="D2072">
        <v>2026</v>
      </c>
      <c r="E2072">
        <v>3</v>
      </c>
      <c r="F2072" t="s">
        <v>19</v>
      </c>
      <c r="G2072" t="s">
        <v>82</v>
      </c>
      <c r="H2072" t="s">
        <v>3383</v>
      </c>
      <c r="I2072" t="s">
        <v>157</v>
      </c>
      <c r="J2072" t="s">
        <v>357</v>
      </c>
      <c r="K2072" t="s">
        <v>1204</v>
      </c>
      <c r="L2072">
        <v>3</v>
      </c>
      <c r="M2072" s="5">
        <v>59.92</v>
      </c>
      <c r="N2072" s="6">
        <v>0</v>
      </c>
      <c r="O2072" s="5">
        <v>0</v>
      </c>
      <c r="P2072" s="5">
        <v>26.96</v>
      </c>
      <c r="Q2072" s="5">
        <v>179.76</v>
      </c>
      <c r="R2072" s="5">
        <v>144.45</v>
      </c>
      <c r="S2072" s="5">
        <v>35.31</v>
      </c>
      <c r="T2072" s="7">
        <v>0.196428571428572</v>
      </c>
      <c r="U2072" t="s">
        <v>10</v>
      </c>
      <c r="V2072" t="s">
        <v>50</v>
      </c>
      <c r="W2072" t="s">
        <v>50</v>
      </c>
      <c r="X2072" t="s">
        <v>33</v>
      </c>
      <c r="Y2072" t="s">
        <v>1198</v>
      </c>
      <c r="Z2072" t="s">
        <v>101</v>
      </c>
    </row>
    <row r="2073" spans="1:26">
      <c r="A2073" t="s">
        <v>4173</v>
      </c>
      <c r="B2073" t="s">
        <v>4173</v>
      </c>
      <c r="C2073" s="4">
        <v>45949</v>
      </c>
      <c r="D2073">
        <v>2025</v>
      </c>
      <c r="E2073">
        <v>10</v>
      </c>
      <c r="F2073" t="s">
        <v>26</v>
      </c>
      <c r="G2073" t="s">
        <v>137</v>
      </c>
      <c r="H2073" t="s">
        <v>294</v>
      </c>
      <c r="I2073" t="s">
        <v>213</v>
      </c>
      <c r="J2073" t="s">
        <v>435</v>
      </c>
      <c r="K2073" t="s">
        <v>436</v>
      </c>
      <c r="L2073">
        <v>7</v>
      </c>
      <c r="M2073" s="5">
        <v>203.01</v>
      </c>
      <c r="N2073" s="6">
        <v>0</v>
      </c>
      <c r="O2073" s="5">
        <v>0</v>
      </c>
      <c r="P2073" s="5">
        <v>213.16</v>
      </c>
      <c r="Q2073" s="5">
        <v>1634.23</v>
      </c>
      <c r="R2073" s="5">
        <v>1073.94</v>
      </c>
      <c r="S2073" s="5">
        <v>560.29</v>
      </c>
      <c r="T2073" s="7">
        <v>0.342846478157909</v>
      </c>
      <c r="U2073" t="s">
        <v>9</v>
      </c>
      <c r="V2073" t="s">
        <v>50</v>
      </c>
      <c r="W2073" t="s">
        <v>50</v>
      </c>
      <c r="X2073" t="s">
        <v>34</v>
      </c>
      <c r="Y2073" t="s">
        <v>1611</v>
      </c>
      <c r="Z2073" t="s">
        <v>80</v>
      </c>
    </row>
    <row r="2074" spans="1:26">
      <c r="A2074" t="s">
        <v>4174</v>
      </c>
      <c r="B2074" t="s">
        <v>4174</v>
      </c>
      <c r="C2074" s="4">
        <v>45880</v>
      </c>
      <c r="D2074">
        <v>2025</v>
      </c>
      <c r="E2074">
        <v>8</v>
      </c>
      <c r="F2074" t="s">
        <v>24</v>
      </c>
      <c r="G2074" t="s">
        <v>89</v>
      </c>
      <c r="H2074" t="s">
        <v>4175</v>
      </c>
      <c r="I2074" t="s">
        <v>379</v>
      </c>
      <c r="J2074" t="s">
        <v>138</v>
      </c>
      <c r="K2074" t="s">
        <v>171</v>
      </c>
      <c r="L2074">
        <v>1</v>
      </c>
      <c r="M2074" s="5">
        <v>245.32</v>
      </c>
      <c r="N2074" s="6">
        <v>15</v>
      </c>
      <c r="O2074" s="5">
        <v>36.8</v>
      </c>
      <c r="P2074" s="5">
        <v>31.28</v>
      </c>
      <c r="Q2074" s="5">
        <v>208.52</v>
      </c>
      <c r="R2074" s="5">
        <v>209.38</v>
      </c>
      <c r="S2074" s="5">
        <v>-0.86</v>
      </c>
      <c r="T2074" s="7">
        <v>-0.00412430462305774</v>
      </c>
      <c r="U2074" t="s">
        <v>11</v>
      </c>
      <c r="V2074" t="s">
        <v>50</v>
      </c>
      <c r="W2074" t="s">
        <v>50</v>
      </c>
      <c r="X2074" t="s">
        <v>33</v>
      </c>
      <c r="Y2074" t="s">
        <v>2693</v>
      </c>
      <c r="Z2074" t="s">
        <v>101</v>
      </c>
    </row>
    <row r="2075" spans="1:26">
      <c r="A2075" t="s">
        <v>4176</v>
      </c>
      <c r="B2075" t="s">
        <v>4176</v>
      </c>
      <c r="C2075" s="4">
        <v>46013</v>
      </c>
      <c r="D2075">
        <v>2025</v>
      </c>
      <c r="E2075">
        <v>12</v>
      </c>
      <c r="F2075" t="s">
        <v>28</v>
      </c>
      <c r="G2075" t="s">
        <v>137</v>
      </c>
      <c r="H2075" t="s">
        <v>218</v>
      </c>
      <c r="I2075" t="s">
        <v>207</v>
      </c>
      <c r="J2075" t="s">
        <v>899</v>
      </c>
      <c r="K2075" t="s">
        <v>171</v>
      </c>
      <c r="L2075">
        <v>5</v>
      </c>
      <c r="M2075" s="5">
        <v>306.62</v>
      </c>
      <c r="N2075" s="6">
        <v>10</v>
      </c>
      <c r="O2075" s="5">
        <v>153.31</v>
      </c>
      <c r="P2075" s="5">
        <v>206.97</v>
      </c>
      <c r="Q2075" s="5">
        <v>1379.79</v>
      </c>
      <c r="R2075" s="5">
        <v>1299.65</v>
      </c>
      <c r="S2075" s="5">
        <v>80.14</v>
      </c>
      <c r="T2075" s="7">
        <v>0.0580813022271505</v>
      </c>
      <c r="U2075" t="s">
        <v>12</v>
      </c>
      <c r="V2075" t="s">
        <v>50</v>
      </c>
      <c r="W2075" t="s">
        <v>50</v>
      </c>
      <c r="X2075" t="s">
        <v>33</v>
      </c>
      <c r="Y2075" t="s">
        <v>799</v>
      </c>
      <c r="Z2075" t="s">
        <v>101</v>
      </c>
    </row>
    <row r="2076" spans="1:26">
      <c r="A2076" t="s">
        <v>4177</v>
      </c>
      <c r="B2076" t="s">
        <v>4177</v>
      </c>
      <c r="C2076" s="4">
        <v>45786</v>
      </c>
      <c r="D2076">
        <v>2025</v>
      </c>
      <c r="E2076">
        <v>5</v>
      </c>
      <c r="F2076" t="s">
        <v>21</v>
      </c>
      <c r="G2076" t="s">
        <v>74</v>
      </c>
      <c r="H2076" t="s">
        <v>2823</v>
      </c>
      <c r="I2076" t="s">
        <v>379</v>
      </c>
      <c r="J2076" t="s">
        <v>302</v>
      </c>
      <c r="K2076" t="s">
        <v>303</v>
      </c>
      <c r="L2076">
        <v>2</v>
      </c>
      <c r="M2076" s="5">
        <v>245.32</v>
      </c>
      <c r="N2076" s="6">
        <v>10</v>
      </c>
      <c r="O2076" s="5">
        <v>49.06</v>
      </c>
      <c r="P2076" s="5">
        <v>66.24</v>
      </c>
      <c r="Q2076" s="5">
        <v>441.58</v>
      </c>
      <c r="R2076" s="5">
        <v>418.76</v>
      </c>
      <c r="S2076" s="5">
        <v>22.82</v>
      </c>
      <c r="T2076" s="7">
        <v>0.0516780651297613</v>
      </c>
      <c r="U2076" t="s">
        <v>9</v>
      </c>
      <c r="V2076" t="s">
        <v>50</v>
      </c>
      <c r="W2076" t="s">
        <v>50</v>
      </c>
      <c r="X2076" t="s">
        <v>33</v>
      </c>
      <c r="Y2076" t="s">
        <v>2615</v>
      </c>
      <c r="Z2076" t="s">
        <v>101</v>
      </c>
    </row>
    <row r="2077" spans="1:26">
      <c r="A2077" t="s">
        <v>4178</v>
      </c>
      <c r="B2077" t="s">
        <v>4178</v>
      </c>
      <c r="C2077" s="4">
        <v>45879</v>
      </c>
      <c r="D2077">
        <v>2025</v>
      </c>
      <c r="E2077">
        <v>8</v>
      </c>
      <c r="F2077" t="s">
        <v>24</v>
      </c>
      <c r="G2077" t="s">
        <v>89</v>
      </c>
      <c r="H2077" t="s">
        <v>796</v>
      </c>
      <c r="I2077" t="s">
        <v>157</v>
      </c>
      <c r="J2077" t="s">
        <v>296</v>
      </c>
      <c r="K2077" t="s">
        <v>297</v>
      </c>
      <c r="L2077">
        <v>4</v>
      </c>
      <c r="M2077" s="5">
        <v>59.92</v>
      </c>
      <c r="N2077" s="6">
        <v>0</v>
      </c>
      <c r="O2077" s="5">
        <v>0</v>
      </c>
      <c r="P2077" s="5">
        <v>35.95</v>
      </c>
      <c r="Q2077" s="5">
        <v>275.63</v>
      </c>
      <c r="R2077" s="5">
        <v>192.6</v>
      </c>
      <c r="S2077" s="5">
        <v>83.03</v>
      </c>
      <c r="T2077" s="7">
        <v>0.3012371657657</v>
      </c>
      <c r="U2077" t="s">
        <v>11</v>
      </c>
      <c r="V2077" t="s">
        <v>50</v>
      </c>
      <c r="W2077" t="s">
        <v>50</v>
      </c>
      <c r="X2077" t="s">
        <v>33</v>
      </c>
      <c r="Y2077" t="s">
        <v>1815</v>
      </c>
      <c r="Z2077" t="s">
        <v>80</v>
      </c>
    </row>
    <row r="2078" spans="1:26">
      <c r="A2078" t="s">
        <v>4179</v>
      </c>
      <c r="B2078" t="s">
        <v>4179</v>
      </c>
      <c r="C2078" s="4">
        <v>45942</v>
      </c>
      <c r="D2078">
        <v>2025</v>
      </c>
      <c r="E2078">
        <v>10</v>
      </c>
      <c r="F2078" t="s">
        <v>26</v>
      </c>
      <c r="G2078" t="s">
        <v>137</v>
      </c>
      <c r="H2078" t="s">
        <v>2953</v>
      </c>
      <c r="I2078" t="s">
        <v>750</v>
      </c>
      <c r="J2078" t="s">
        <v>1507</v>
      </c>
      <c r="K2078" t="s">
        <v>2229</v>
      </c>
      <c r="L2078">
        <v>4</v>
      </c>
      <c r="M2078" s="5">
        <v>474.19</v>
      </c>
      <c r="N2078" s="6">
        <v>20</v>
      </c>
      <c r="O2078" s="5">
        <v>379.35</v>
      </c>
      <c r="P2078" s="5">
        <v>227.61</v>
      </c>
      <c r="Q2078" s="5">
        <v>1745.02</v>
      </c>
      <c r="R2078" s="5">
        <v>1375.56</v>
      </c>
      <c r="S2078" s="5">
        <v>369.46</v>
      </c>
      <c r="T2078" s="7">
        <v>0.211722501747831</v>
      </c>
      <c r="U2078" t="s">
        <v>11</v>
      </c>
      <c r="V2078" t="s">
        <v>50</v>
      </c>
      <c r="W2078" t="s">
        <v>50</v>
      </c>
      <c r="X2078" t="s">
        <v>35</v>
      </c>
      <c r="Y2078" t="s">
        <v>2623</v>
      </c>
      <c r="Z2078" t="s">
        <v>80</v>
      </c>
    </row>
    <row r="2079" spans="1:26">
      <c r="A2079" t="s">
        <v>4180</v>
      </c>
      <c r="B2079" t="s">
        <v>4180</v>
      </c>
      <c r="C2079" s="4">
        <v>46089</v>
      </c>
      <c r="D2079">
        <v>2026</v>
      </c>
      <c r="E2079">
        <v>3</v>
      </c>
      <c r="F2079" t="s">
        <v>19</v>
      </c>
      <c r="G2079" t="s">
        <v>82</v>
      </c>
      <c r="H2079" t="s">
        <v>2065</v>
      </c>
      <c r="I2079" t="s">
        <v>423</v>
      </c>
      <c r="J2079" t="s">
        <v>558</v>
      </c>
      <c r="K2079" t="s">
        <v>2985</v>
      </c>
      <c r="L2079">
        <v>4</v>
      </c>
      <c r="M2079" s="5">
        <v>53.39</v>
      </c>
      <c r="N2079" s="6">
        <v>0</v>
      </c>
      <c r="O2079" s="5">
        <v>0</v>
      </c>
      <c r="P2079" s="5">
        <v>32.03</v>
      </c>
      <c r="Q2079" s="5">
        <v>245.59</v>
      </c>
      <c r="R2079" s="5">
        <v>172.04</v>
      </c>
      <c r="S2079" s="5">
        <v>73.55</v>
      </c>
      <c r="T2079" s="7">
        <v>0.299482877967344</v>
      </c>
      <c r="U2079" t="s">
        <v>10</v>
      </c>
      <c r="V2079" t="s">
        <v>50</v>
      </c>
      <c r="W2079" t="s">
        <v>50</v>
      </c>
      <c r="X2079" t="s">
        <v>33</v>
      </c>
      <c r="Y2079" t="s">
        <v>667</v>
      </c>
      <c r="Z2079" t="s">
        <v>80</v>
      </c>
    </row>
    <row r="2080" spans="1:26">
      <c r="A2080" t="s">
        <v>4181</v>
      </c>
      <c r="B2080" t="s">
        <v>4181</v>
      </c>
      <c r="C2080" s="4">
        <v>45968</v>
      </c>
      <c r="D2080">
        <v>2025</v>
      </c>
      <c r="E2080">
        <v>11</v>
      </c>
      <c r="F2080" t="s">
        <v>27</v>
      </c>
      <c r="G2080" t="s">
        <v>137</v>
      </c>
      <c r="H2080" t="s">
        <v>1282</v>
      </c>
      <c r="I2080" t="s">
        <v>708</v>
      </c>
      <c r="J2080" t="s">
        <v>894</v>
      </c>
      <c r="K2080" t="s">
        <v>895</v>
      </c>
      <c r="L2080">
        <v>3</v>
      </c>
      <c r="M2080" s="5">
        <v>372.61</v>
      </c>
      <c r="N2080" s="6">
        <v>0</v>
      </c>
      <c r="O2080" s="5">
        <v>0</v>
      </c>
      <c r="P2080" s="5">
        <v>167.67</v>
      </c>
      <c r="Q2080" s="5">
        <v>1117.83</v>
      </c>
      <c r="R2080" s="5">
        <v>959.73</v>
      </c>
      <c r="S2080" s="5">
        <v>158.1</v>
      </c>
      <c r="T2080" s="7">
        <v>0.141434744102413</v>
      </c>
      <c r="U2080" t="s">
        <v>14</v>
      </c>
      <c r="V2080" t="s">
        <v>50</v>
      </c>
      <c r="W2080" t="s">
        <v>50</v>
      </c>
      <c r="X2080" t="s">
        <v>33</v>
      </c>
      <c r="Y2080" t="s">
        <v>2304</v>
      </c>
      <c r="Z2080" t="s">
        <v>101</v>
      </c>
    </row>
    <row r="2081" spans="1:26">
      <c r="A2081" t="s">
        <v>4182</v>
      </c>
      <c r="B2081" t="s">
        <v>4182</v>
      </c>
      <c r="C2081" s="4">
        <v>45781</v>
      </c>
      <c r="D2081">
        <v>2025</v>
      </c>
      <c r="E2081">
        <v>5</v>
      </c>
      <c r="F2081" t="s">
        <v>21</v>
      </c>
      <c r="G2081" t="s">
        <v>74</v>
      </c>
      <c r="H2081" t="s">
        <v>179</v>
      </c>
      <c r="I2081" t="s">
        <v>1233</v>
      </c>
      <c r="J2081" t="s">
        <v>1347</v>
      </c>
      <c r="K2081" t="s">
        <v>2051</v>
      </c>
      <c r="L2081">
        <v>7</v>
      </c>
      <c r="M2081" s="5">
        <v>123.44</v>
      </c>
      <c r="N2081" s="6">
        <v>0</v>
      </c>
      <c r="O2081" s="5">
        <v>0</v>
      </c>
      <c r="P2081" s="5">
        <v>129.61</v>
      </c>
      <c r="Q2081" s="5">
        <v>993.69</v>
      </c>
      <c r="R2081" s="5">
        <v>650.72</v>
      </c>
      <c r="S2081" s="5">
        <v>342.97</v>
      </c>
      <c r="T2081" s="7">
        <v>0.34514788314263</v>
      </c>
      <c r="U2081" t="s">
        <v>14</v>
      </c>
      <c r="V2081" t="s">
        <v>50</v>
      </c>
      <c r="W2081" t="s">
        <v>50</v>
      </c>
      <c r="X2081" t="s">
        <v>33</v>
      </c>
      <c r="Y2081" t="s">
        <v>1181</v>
      </c>
      <c r="Z2081" t="s">
        <v>80</v>
      </c>
    </row>
    <row r="2082" spans="1:26">
      <c r="A2082" t="s">
        <v>4183</v>
      </c>
      <c r="B2082" t="s">
        <v>4183</v>
      </c>
      <c r="C2082" s="4">
        <v>45902</v>
      </c>
      <c r="D2082">
        <v>2025</v>
      </c>
      <c r="E2082">
        <v>9</v>
      </c>
      <c r="F2082" t="s">
        <v>25</v>
      </c>
      <c r="G2082" t="s">
        <v>89</v>
      </c>
      <c r="H2082" t="s">
        <v>201</v>
      </c>
      <c r="I2082" t="s">
        <v>151</v>
      </c>
      <c r="J2082" t="s">
        <v>1009</v>
      </c>
      <c r="K2082" t="s">
        <v>1775</v>
      </c>
      <c r="L2082">
        <v>5</v>
      </c>
      <c r="M2082" s="5">
        <v>491.45</v>
      </c>
      <c r="N2082" s="6">
        <v>0</v>
      </c>
      <c r="O2082" s="5">
        <v>0</v>
      </c>
      <c r="P2082" s="5">
        <v>368.59</v>
      </c>
      <c r="Q2082" s="5">
        <v>2457.25</v>
      </c>
      <c r="R2082" s="5">
        <v>1758.15</v>
      </c>
      <c r="S2082" s="5">
        <v>699.1</v>
      </c>
      <c r="T2082" s="7">
        <v>0.284505036117611</v>
      </c>
      <c r="U2082" t="s">
        <v>9</v>
      </c>
      <c r="V2082" t="s">
        <v>50</v>
      </c>
      <c r="W2082" t="s">
        <v>50</v>
      </c>
      <c r="X2082" t="s">
        <v>33</v>
      </c>
      <c r="Y2082" t="s">
        <v>3033</v>
      </c>
      <c r="Z2082" t="s">
        <v>101</v>
      </c>
    </row>
    <row r="2083" spans="1:26">
      <c r="A2083" t="s">
        <v>4184</v>
      </c>
      <c r="B2083" t="s">
        <v>4184</v>
      </c>
      <c r="C2083" s="4">
        <v>45954</v>
      </c>
      <c r="D2083">
        <v>2025</v>
      </c>
      <c r="E2083">
        <v>10</v>
      </c>
      <c r="F2083" t="s">
        <v>26</v>
      </c>
      <c r="G2083" t="s">
        <v>137</v>
      </c>
      <c r="H2083" t="s">
        <v>1215</v>
      </c>
      <c r="I2083" t="s">
        <v>374</v>
      </c>
      <c r="J2083" t="s">
        <v>1133</v>
      </c>
      <c r="K2083" t="s">
        <v>1134</v>
      </c>
      <c r="L2083">
        <v>2</v>
      </c>
      <c r="M2083" s="5">
        <v>400.33</v>
      </c>
      <c r="N2083" s="6">
        <v>10</v>
      </c>
      <c r="O2083" s="5">
        <v>80.07</v>
      </c>
      <c r="P2083" s="5">
        <v>108.09</v>
      </c>
      <c r="Q2083" s="5">
        <v>720.59</v>
      </c>
      <c r="R2083" s="5">
        <v>681.8</v>
      </c>
      <c r="S2083" s="5">
        <v>38.79</v>
      </c>
      <c r="T2083" s="7">
        <v>0.0538308885774157</v>
      </c>
      <c r="U2083" t="s">
        <v>11</v>
      </c>
      <c r="V2083" t="s">
        <v>50</v>
      </c>
      <c r="W2083" t="s">
        <v>50</v>
      </c>
      <c r="X2083" t="s">
        <v>33</v>
      </c>
      <c r="Y2083" t="s">
        <v>705</v>
      </c>
      <c r="Z2083" t="s">
        <v>101</v>
      </c>
    </row>
    <row r="2084" spans="1:26">
      <c r="A2084" t="s">
        <v>4185</v>
      </c>
      <c r="B2084" t="s">
        <v>4185</v>
      </c>
      <c r="C2084" s="4">
        <v>45830</v>
      </c>
      <c r="D2084">
        <v>2025</v>
      </c>
      <c r="E2084">
        <v>6</v>
      </c>
      <c r="F2084" t="s">
        <v>22</v>
      </c>
      <c r="G2084" t="s">
        <v>74</v>
      </c>
      <c r="H2084" t="s">
        <v>1709</v>
      </c>
      <c r="I2084" t="s">
        <v>207</v>
      </c>
      <c r="J2084" t="s">
        <v>46</v>
      </c>
      <c r="K2084" t="s">
        <v>2021</v>
      </c>
      <c r="L2084">
        <v>5</v>
      </c>
      <c r="M2084" s="5">
        <v>337.35</v>
      </c>
      <c r="N2084" s="6">
        <v>10</v>
      </c>
      <c r="O2084" s="5">
        <v>168.68</v>
      </c>
      <c r="P2084" s="5">
        <v>227.71</v>
      </c>
      <c r="Q2084" s="5">
        <v>1745.78</v>
      </c>
      <c r="R2084" s="5">
        <v>1299.65</v>
      </c>
      <c r="S2084" s="5">
        <v>446.13</v>
      </c>
      <c r="T2084" s="7">
        <v>0.255547663508575</v>
      </c>
      <c r="U2084" t="s">
        <v>12</v>
      </c>
      <c r="V2084" t="s">
        <v>50</v>
      </c>
      <c r="W2084" t="s">
        <v>50</v>
      </c>
      <c r="X2084" t="s">
        <v>33</v>
      </c>
      <c r="Y2084" t="s">
        <v>3419</v>
      </c>
      <c r="Z2084" t="s">
        <v>80</v>
      </c>
    </row>
    <row r="2085" spans="1:26">
      <c r="A2085" t="s">
        <v>4186</v>
      </c>
      <c r="B2085" t="s">
        <v>4186</v>
      </c>
      <c r="C2085" s="4">
        <v>45990</v>
      </c>
      <c r="D2085">
        <v>2025</v>
      </c>
      <c r="E2085">
        <v>11</v>
      </c>
      <c r="F2085" t="s">
        <v>27</v>
      </c>
      <c r="G2085" t="s">
        <v>137</v>
      </c>
      <c r="H2085" t="s">
        <v>2065</v>
      </c>
      <c r="I2085" t="s">
        <v>574</v>
      </c>
      <c r="J2085" t="s">
        <v>445</v>
      </c>
      <c r="K2085" t="s">
        <v>446</v>
      </c>
      <c r="L2085">
        <v>3</v>
      </c>
      <c r="M2085" s="5">
        <v>125.15</v>
      </c>
      <c r="N2085" s="6">
        <v>10</v>
      </c>
      <c r="O2085" s="5">
        <v>37.55</v>
      </c>
      <c r="P2085" s="5">
        <v>50.68</v>
      </c>
      <c r="Q2085" s="5">
        <v>388.59</v>
      </c>
      <c r="R2085" s="5">
        <v>287.1</v>
      </c>
      <c r="S2085" s="5">
        <v>101.49</v>
      </c>
      <c r="T2085" s="7">
        <v>0.261175017370493</v>
      </c>
      <c r="U2085" t="s">
        <v>10</v>
      </c>
      <c r="V2085" t="s">
        <v>50</v>
      </c>
      <c r="W2085" t="s">
        <v>50</v>
      </c>
      <c r="X2085" t="s">
        <v>33</v>
      </c>
      <c r="Y2085" t="s">
        <v>118</v>
      </c>
      <c r="Z2085" t="s">
        <v>80</v>
      </c>
    </row>
    <row r="2086" spans="1:26">
      <c r="A2086" t="s">
        <v>4187</v>
      </c>
      <c r="B2086" t="s">
        <v>4187</v>
      </c>
      <c r="C2086" s="4">
        <v>45963</v>
      </c>
      <c r="D2086">
        <v>2025</v>
      </c>
      <c r="E2086">
        <v>11</v>
      </c>
      <c r="F2086" t="s">
        <v>27</v>
      </c>
      <c r="G2086" t="s">
        <v>137</v>
      </c>
      <c r="H2086" t="s">
        <v>3505</v>
      </c>
      <c r="I2086" t="s">
        <v>514</v>
      </c>
      <c r="J2086" t="s">
        <v>1107</v>
      </c>
      <c r="K2086" t="s">
        <v>1240</v>
      </c>
      <c r="L2086">
        <v>2</v>
      </c>
      <c r="M2086" s="5">
        <v>589.75</v>
      </c>
      <c r="N2086" s="6">
        <v>20</v>
      </c>
      <c r="O2086" s="5">
        <v>235.9</v>
      </c>
      <c r="P2086" s="5">
        <v>141.54</v>
      </c>
      <c r="Q2086" s="5">
        <v>1085.14</v>
      </c>
      <c r="R2086" s="5">
        <v>687.3</v>
      </c>
      <c r="S2086" s="5">
        <v>397.84</v>
      </c>
      <c r="T2086" s="7">
        <v>0.366625504543192</v>
      </c>
      <c r="U2086" t="s">
        <v>10</v>
      </c>
      <c r="V2086" t="s">
        <v>50</v>
      </c>
      <c r="W2086" t="s">
        <v>50</v>
      </c>
      <c r="X2086" t="s">
        <v>33</v>
      </c>
      <c r="Y2086" t="s">
        <v>365</v>
      </c>
      <c r="Z2086" t="s">
        <v>80</v>
      </c>
    </row>
    <row r="2087" spans="1:26">
      <c r="A2087" t="s">
        <v>4188</v>
      </c>
      <c r="B2087" t="s">
        <v>4188</v>
      </c>
      <c r="C2087" s="4">
        <v>45922</v>
      </c>
      <c r="D2087">
        <v>2025</v>
      </c>
      <c r="E2087">
        <v>9</v>
      </c>
      <c r="F2087" t="s">
        <v>25</v>
      </c>
      <c r="G2087" t="s">
        <v>89</v>
      </c>
      <c r="H2087" t="s">
        <v>2872</v>
      </c>
      <c r="I2087" t="s">
        <v>592</v>
      </c>
      <c r="J2087" t="s">
        <v>460</v>
      </c>
      <c r="K2087" t="s">
        <v>461</v>
      </c>
      <c r="L2087">
        <v>3</v>
      </c>
      <c r="M2087" s="5">
        <v>221.61</v>
      </c>
      <c r="N2087" s="6">
        <v>15</v>
      </c>
      <c r="O2087" s="5">
        <v>99.72</v>
      </c>
      <c r="P2087" s="5">
        <v>84.77</v>
      </c>
      <c r="Q2087" s="5">
        <v>565.11</v>
      </c>
      <c r="R2087" s="5">
        <v>546.51</v>
      </c>
      <c r="S2087" s="5">
        <v>18.6</v>
      </c>
      <c r="T2087" s="7">
        <v>0.0329139459574242</v>
      </c>
      <c r="U2087" t="s">
        <v>10</v>
      </c>
      <c r="V2087" t="s">
        <v>50</v>
      </c>
      <c r="W2087" t="s">
        <v>50</v>
      </c>
      <c r="X2087" t="s">
        <v>33</v>
      </c>
      <c r="Y2087" t="s">
        <v>606</v>
      </c>
      <c r="Z2087" t="s">
        <v>101</v>
      </c>
    </row>
    <row r="2088" spans="1:26">
      <c r="A2088" t="s">
        <v>4189</v>
      </c>
      <c r="B2088" t="s">
        <v>4189</v>
      </c>
      <c r="C2088" s="4">
        <v>46104</v>
      </c>
      <c r="D2088">
        <v>2026</v>
      </c>
      <c r="E2088">
        <v>3</v>
      </c>
      <c r="F2088" t="s">
        <v>19</v>
      </c>
      <c r="G2088" t="s">
        <v>82</v>
      </c>
      <c r="H2088" t="s">
        <v>1041</v>
      </c>
      <c r="I2088" t="s">
        <v>312</v>
      </c>
      <c r="J2088" t="s">
        <v>2044</v>
      </c>
      <c r="K2088" t="s">
        <v>2171</v>
      </c>
      <c r="L2088">
        <v>1</v>
      </c>
      <c r="M2088" s="5">
        <v>383.51</v>
      </c>
      <c r="N2088" s="6">
        <v>10</v>
      </c>
      <c r="O2088" s="5">
        <v>38.35</v>
      </c>
      <c r="P2088" s="5">
        <v>51.77</v>
      </c>
      <c r="Q2088" s="5">
        <v>345.16</v>
      </c>
      <c r="R2088" s="5">
        <v>285.9</v>
      </c>
      <c r="S2088" s="5">
        <v>59.26</v>
      </c>
      <c r="T2088" s="7">
        <v>0.171688492293429</v>
      </c>
      <c r="U2088" t="s">
        <v>14</v>
      </c>
      <c r="V2088" t="s">
        <v>50</v>
      </c>
      <c r="W2088" t="s">
        <v>50</v>
      </c>
      <c r="X2088" t="s">
        <v>33</v>
      </c>
      <c r="Y2088" t="s">
        <v>2859</v>
      </c>
      <c r="Z2088" t="s">
        <v>101</v>
      </c>
    </row>
    <row r="2089" spans="1:26">
      <c r="A2089" t="s">
        <v>4190</v>
      </c>
      <c r="B2089" t="s">
        <v>4190</v>
      </c>
      <c r="C2089" s="4">
        <v>45960</v>
      </c>
      <c r="D2089">
        <v>2025</v>
      </c>
      <c r="E2089">
        <v>10</v>
      </c>
      <c r="F2089" t="s">
        <v>26</v>
      </c>
      <c r="G2089" t="s">
        <v>137</v>
      </c>
      <c r="H2089" t="s">
        <v>602</v>
      </c>
      <c r="I2089" t="s">
        <v>84</v>
      </c>
      <c r="J2089" t="s">
        <v>522</v>
      </c>
      <c r="K2089" t="s">
        <v>1869</v>
      </c>
      <c r="L2089">
        <v>6</v>
      </c>
      <c r="M2089" s="5">
        <v>481.85</v>
      </c>
      <c r="N2089" s="6">
        <v>0</v>
      </c>
      <c r="O2089" s="5">
        <v>0</v>
      </c>
      <c r="P2089" s="5">
        <v>433.66</v>
      </c>
      <c r="Q2089" s="5">
        <v>2891.1</v>
      </c>
      <c r="R2089" s="5">
        <v>2280.48</v>
      </c>
      <c r="S2089" s="5">
        <v>610.62</v>
      </c>
      <c r="T2089" s="7">
        <v>0.211206807097644</v>
      </c>
      <c r="U2089" t="s">
        <v>11</v>
      </c>
      <c r="V2089" t="s">
        <v>50</v>
      </c>
      <c r="W2089" t="s">
        <v>50</v>
      </c>
      <c r="X2089" t="s">
        <v>33</v>
      </c>
      <c r="Y2089" t="s">
        <v>2537</v>
      </c>
      <c r="Z2089" t="s">
        <v>101</v>
      </c>
    </row>
    <row r="2090" spans="1:26">
      <c r="A2090" t="s">
        <v>4191</v>
      </c>
      <c r="B2090" t="s">
        <v>4191</v>
      </c>
      <c r="C2090" s="4">
        <v>45944</v>
      </c>
      <c r="D2090">
        <v>2025</v>
      </c>
      <c r="E2090">
        <v>10</v>
      </c>
      <c r="F2090" t="s">
        <v>26</v>
      </c>
      <c r="G2090" t="s">
        <v>137</v>
      </c>
      <c r="H2090" t="s">
        <v>973</v>
      </c>
      <c r="I2090" t="s">
        <v>2587</v>
      </c>
      <c r="J2090" t="s">
        <v>1940</v>
      </c>
      <c r="K2090" t="s">
        <v>1004</v>
      </c>
      <c r="L2090">
        <v>7</v>
      </c>
      <c r="M2090" s="5">
        <v>78.75</v>
      </c>
      <c r="N2090" s="6">
        <v>10</v>
      </c>
      <c r="O2090" s="5">
        <v>55.12</v>
      </c>
      <c r="P2090" s="5">
        <v>74.42</v>
      </c>
      <c r="Q2090" s="5">
        <v>496.13</v>
      </c>
      <c r="R2090" s="5">
        <v>379.75</v>
      </c>
      <c r="S2090" s="5">
        <v>116.38</v>
      </c>
      <c r="T2090" s="7">
        <v>0.234575615262129</v>
      </c>
      <c r="U2090" t="s">
        <v>10</v>
      </c>
      <c r="V2090" t="s">
        <v>50</v>
      </c>
      <c r="W2090" t="s">
        <v>50</v>
      </c>
      <c r="X2090" t="s">
        <v>33</v>
      </c>
      <c r="Y2090" t="s">
        <v>941</v>
      </c>
      <c r="Z2090" t="s">
        <v>101</v>
      </c>
    </row>
    <row r="2091" spans="1:26">
      <c r="A2091" t="s">
        <v>4192</v>
      </c>
      <c r="B2091" t="s">
        <v>4192</v>
      </c>
      <c r="C2091" s="4">
        <v>45916</v>
      </c>
      <c r="D2091">
        <v>2025</v>
      </c>
      <c r="E2091">
        <v>9</v>
      </c>
      <c r="F2091" t="s">
        <v>25</v>
      </c>
      <c r="G2091" t="s">
        <v>89</v>
      </c>
      <c r="H2091" t="s">
        <v>2842</v>
      </c>
      <c r="I2091" t="s">
        <v>110</v>
      </c>
      <c r="J2091" t="s">
        <v>654</v>
      </c>
      <c r="K2091" t="s">
        <v>655</v>
      </c>
      <c r="L2091">
        <v>2</v>
      </c>
      <c r="M2091" s="5">
        <v>342.46</v>
      </c>
      <c r="N2091" s="6">
        <v>20</v>
      </c>
      <c r="O2091" s="5">
        <v>136.98</v>
      </c>
      <c r="P2091" s="5">
        <v>82.19</v>
      </c>
      <c r="Q2091" s="5">
        <v>547.94</v>
      </c>
      <c r="R2091" s="5">
        <v>543.56</v>
      </c>
      <c r="S2091" s="5">
        <v>4.38</v>
      </c>
      <c r="T2091" s="7">
        <v>0.00799357593897142</v>
      </c>
      <c r="U2091" t="s">
        <v>12</v>
      </c>
      <c r="V2091" t="s">
        <v>50</v>
      </c>
      <c r="W2091" t="s">
        <v>50</v>
      </c>
      <c r="X2091" t="s">
        <v>33</v>
      </c>
      <c r="Y2091" t="s">
        <v>187</v>
      </c>
      <c r="Z2091" t="s">
        <v>101</v>
      </c>
    </row>
    <row r="2092" spans="1:26">
      <c r="A2092" t="s">
        <v>4193</v>
      </c>
      <c r="B2092" t="s">
        <v>4193</v>
      </c>
      <c r="C2092" s="4">
        <v>45844</v>
      </c>
      <c r="D2092">
        <v>2025</v>
      </c>
      <c r="E2092">
        <v>7</v>
      </c>
      <c r="F2092" t="s">
        <v>23</v>
      </c>
      <c r="G2092" t="s">
        <v>89</v>
      </c>
      <c r="H2092" t="s">
        <v>1126</v>
      </c>
      <c r="I2092" t="s">
        <v>970</v>
      </c>
      <c r="J2092" t="s">
        <v>435</v>
      </c>
      <c r="K2092" t="s">
        <v>863</v>
      </c>
      <c r="L2092">
        <v>5</v>
      </c>
      <c r="M2092" s="5">
        <v>365.14</v>
      </c>
      <c r="N2092" s="6">
        <v>0</v>
      </c>
      <c r="O2092" s="5">
        <v>0</v>
      </c>
      <c r="P2092" s="5">
        <v>273.85</v>
      </c>
      <c r="Q2092" s="5">
        <v>2099.55</v>
      </c>
      <c r="R2092" s="5">
        <v>1269.15</v>
      </c>
      <c r="S2092" s="5">
        <v>830.4</v>
      </c>
      <c r="T2092" s="7">
        <v>0.395513324283775</v>
      </c>
      <c r="U2092" t="s">
        <v>14</v>
      </c>
      <c r="V2092" t="s">
        <v>50</v>
      </c>
      <c r="W2092" t="s">
        <v>50</v>
      </c>
      <c r="X2092" t="s">
        <v>33</v>
      </c>
      <c r="Y2092" t="s">
        <v>1205</v>
      </c>
      <c r="Z2092" t="s">
        <v>80</v>
      </c>
    </row>
    <row r="2093" spans="1:26">
      <c r="A2093" t="s">
        <v>4194</v>
      </c>
      <c r="B2093" t="s">
        <v>4194</v>
      </c>
      <c r="C2093" s="4">
        <v>45905</v>
      </c>
      <c r="D2093">
        <v>2025</v>
      </c>
      <c r="E2093">
        <v>9</v>
      </c>
      <c r="F2093" t="s">
        <v>25</v>
      </c>
      <c r="G2093" t="s">
        <v>89</v>
      </c>
      <c r="H2093" t="s">
        <v>458</v>
      </c>
      <c r="I2093" t="s">
        <v>132</v>
      </c>
      <c r="J2093" t="s">
        <v>460</v>
      </c>
      <c r="K2093" t="s">
        <v>3511</v>
      </c>
      <c r="L2093">
        <v>8</v>
      </c>
      <c r="M2093" s="5">
        <v>270.83</v>
      </c>
      <c r="N2093" s="6">
        <v>0</v>
      </c>
      <c r="O2093" s="5">
        <v>0</v>
      </c>
      <c r="P2093" s="5">
        <v>325</v>
      </c>
      <c r="Q2093" s="5">
        <v>2166.64</v>
      </c>
      <c r="R2093" s="5">
        <v>1552.48</v>
      </c>
      <c r="S2093" s="5">
        <v>614.16</v>
      </c>
      <c r="T2093" s="7">
        <v>0.283461950300927</v>
      </c>
      <c r="U2093" t="s">
        <v>13</v>
      </c>
      <c r="V2093" t="s">
        <v>50</v>
      </c>
      <c r="W2093" t="s">
        <v>50</v>
      </c>
      <c r="X2093" t="s">
        <v>33</v>
      </c>
      <c r="Y2093" t="s">
        <v>2045</v>
      </c>
      <c r="Z2093" t="s">
        <v>101</v>
      </c>
    </row>
    <row r="2094" spans="1:26">
      <c r="A2094" t="s">
        <v>4195</v>
      </c>
      <c r="B2094" t="s">
        <v>4195</v>
      </c>
      <c r="C2094" s="4">
        <v>45955</v>
      </c>
      <c r="D2094">
        <v>2025</v>
      </c>
      <c r="E2094">
        <v>10</v>
      </c>
      <c r="F2094" t="s">
        <v>26</v>
      </c>
      <c r="G2094" t="s">
        <v>137</v>
      </c>
      <c r="H2094" t="s">
        <v>1768</v>
      </c>
      <c r="I2094" t="s">
        <v>2640</v>
      </c>
      <c r="J2094" t="s">
        <v>345</v>
      </c>
      <c r="K2094" t="s">
        <v>346</v>
      </c>
      <c r="L2094">
        <v>3</v>
      </c>
      <c r="M2094" s="5">
        <v>263.31</v>
      </c>
      <c r="N2094" s="6">
        <v>0</v>
      </c>
      <c r="O2094" s="5">
        <v>0</v>
      </c>
      <c r="P2094" s="5">
        <v>118.49</v>
      </c>
      <c r="Q2094" s="5">
        <v>908.42</v>
      </c>
      <c r="R2094" s="5">
        <v>689.58</v>
      </c>
      <c r="S2094" s="5">
        <v>218.84</v>
      </c>
      <c r="T2094" s="7">
        <v>0.240901785517712</v>
      </c>
      <c r="U2094" t="s">
        <v>9</v>
      </c>
      <c r="V2094" t="s">
        <v>50</v>
      </c>
      <c r="W2094" t="s">
        <v>50</v>
      </c>
      <c r="X2094" t="s">
        <v>33</v>
      </c>
      <c r="Y2094" t="s">
        <v>2674</v>
      </c>
      <c r="Z2094" t="s">
        <v>80</v>
      </c>
    </row>
    <row r="2095" spans="1:26">
      <c r="A2095" t="s">
        <v>4196</v>
      </c>
      <c r="B2095" t="s">
        <v>4196</v>
      </c>
      <c r="C2095" s="4">
        <v>45935</v>
      </c>
      <c r="D2095">
        <v>2025</v>
      </c>
      <c r="E2095">
        <v>10</v>
      </c>
      <c r="F2095" t="s">
        <v>26</v>
      </c>
      <c r="G2095" t="s">
        <v>137</v>
      </c>
      <c r="H2095" t="s">
        <v>1923</v>
      </c>
      <c r="I2095" t="s">
        <v>583</v>
      </c>
      <c r="J2095" t="s">
        <v>191</v>
      </c>
      <c r="K2095" t="s">
        <v>192</v>
      </c>
      <c r="L2095">
        <v>4</v>
      </c>
      <c r="M2095" s="5">
        <v>251.73</v>
      </c>
      <c r="N2095" s="6">
        <v>10</v>
      </c>
      <c r="O2095" s="5">
        <v>100.69</v>
      </c>
      <c r="P2095" s="5">
        <v>135.93</v>
      </c>
      <c r="Q2095" s="5">
        <v>1042.16</v>
      </c>
      <c r="R2095" s="5">
        <v>842.08</v>
      </c>
      <c r="S2095" s="5">
        <v>200.08</v>
      </c>
      <c r="T2095" s="7">
        <v>0.191985875489368</v>
      </c>
      <c r="U2095" t="s">
        <v>12</v>
      </c>
      <c r="V2095" t="s">
        <v>50</v>
      </c>
      <c r="W2095" t="s">
        <v>50</v>
      </c>
      <c r="X2095" t="s">
        <v>33</v>
      </c>
      <c r="Y2095" t="s">
        <v>2471</v>
      </c>
      <c r="Z2095" t="s">
        <v>80</v>
      </c>
    </row>
    <row r="2096" spans="1:26">
      <c r="A2096" t="s">
        <v>4197</v>
      </c>
      <c r="B2096" t="s">
        <v>4197</v>
      </c>
      <c r="C2096" s="4">
        <v>46100</v>
      </c>
      <c r="D2096">
        <v>2026</v>
      </c>
      <c r="E2096">
        <v>3</v>
      </c>
      <c r="F2096" t="s">
        <v>19</v>
      </c>
      <c r="G2096" t="s">
        <v>82</v>
      </c>
      <c r="H2096" t="s">
        <v>3187</v>
      </c>
      <c r="I2096" t="s">
        <v>251</v>
      </c>
      <c r="J2096" t="s">
        <v>1327</v>
      </c>
      <c r="K2096" t="s">
        <v>364</v>
      </c>
      <c r="L2096">
        <v>7</v>
      </c>
      <c r="M2096" s="5">
        <v>218.72</v>
      </c>
      <c r="N2096" s="6">
        <v>0</v>
      </c>
      <c r="O2096" s="5">
        <v>0</v>
      </c>
      <c r="P2096" s="5">
        <v>229.66</v>
      </c>
      <c r="Q2096" s="5">
        <v>1531.04</v>
      </c>
      <c r="R2096" s="5">
        <v>1191.4</v>
      </c>
      <c r="S2096" s="5">
        <v>339.64</v>
      </c>
      <c r="T2096" s="7">
        <v>0.221836137527432</v>
      </c>
      <c r="U2096" t="s">
        <v>11</v>
      </c>
      <c r="V2096" t="s">
        <v>50</v>
      </c>
      <c r="W2096" t="s">
        <v>50</v>
      </c>
      <c r="X2096" t="s">
        <v>33</v>
      </c>
      <c r="Y2096" t="s">
        <v>1585</v>
      </c>
      <c r="Z2096" t="s">
        <v>101</v>
      </c>
    </row>
    <row r="2097" spans="1:26">
      <c r="A2097" t="s">
        <v>4198</v>
      </c>
      <c r="B2097" t="s">
        <v>4198</v>
      </c>
      <c r="C2097" s="4">
        <v>45844</v>
      </c>
      <c r="D2097">
        <v>2025</v>
      </c>
      <c r="E2097">
        <v>7</v>
      </c>
      <c r="F2097" t="s">
        <v>23</v>
      </c>
      <c r="G2097" t="s">
        <v>89</v>
      </c>
      <c r="H2097" t="s">
        <v>2092</v>
      </c>
      <c r="I2097" t="s">
        <v>1233</v>
      </c>
      <c r="J2097" t="s">
        <v>1272</v>
      </c>
      <c r="K2097" t="s">
        <v>971</v>
      </c>
      <c r="L2097">
        <v>4</v>
      </c>
      <c r="M2097" s="5">
        <v>109.69</v>
      </c>
      <c r="N2097" s="6">
        <v>15</v>
      </c>
      <c r="O2097" s="5">
        <v>65.81</v>
      </c>
      <c r="P2097" s="5">
        <v>55.94</v>
      </c>
      <c r="Q2097" s="5">
        <v>428.89</v>
      </c>
      <c r="R2097" s="5">
        <v>371.84</v>
      </c>
      <c r="S2097" s="5">
        <v>57.05</v>
      </c>
      <c r="T2097" s="7">
        <v>0.133017790109352</v>
      </c>
      <c r="U2097" t="s">
        <v>10</v>
      </c>
      <c r="V2097" t="s">
        <v>50</v>
      </c>
      <c r="W2097" t="s">
        <v>50</v>
      </c>
      <c r="X2097" t="s">
        <v>33</v>
      </c>
      <c r="Y2097" t="s">
        <v>2191</v>
      </c>
      <c r="Z2097" t="s">
        <v>80</v>
      </c>
    </row>
    <row r="2098" spans="1:26">
      <c r="A2098" t="s">
        <v>4199</v>
      </c>
      <c r="B2098" t="s">
        <v>4199</v>
      </c>
      <c r="C2098" s="4">
        <v>45836</v>
      </c>
      <c r="D2098">
        <v>2025</v>
      </c>
      <c r="E2098">
        <v>6</v>
      </c>
      <c r="F2098" t="s">
        <v>22</v>
      </c>
      <c r="G2098" t="s">
        <v>74</v>
      </c>
      <c r="H2098" t="s">
        <v>2290</v>
      </c>
      <c r="I2098" t="s">
        <v>924</v>
      </c>
      <c r="J2098" t="s">
        <v>1512</v>
      </c>
      <c r="K2098" t="s">
        <v>2780</v>
      </c>
      <c r="L2098">
        <v>2</v>
      </c>
      <c r="M2098" s="5">
        <v>262.77</v>
      </c>
      <c r="N2098" s="6">
        <v>15</v>
      </c>
      <c r="O2098" s="5">
        <v>78.83</v>
      </c>
      <c r="P2098" s="5">
        <v>67.01</v>
      </c>
      <c r="Q2098" s="5">
        <v>513.72</v>
      </c>
      <c r="R2098" s="5">
        <v>389.28</v>
      </c>
      <c r="S2098" s="5">
        <v>124.44</v>
      </c>
      <c r="T2098" s="7">
        <v>0.242233123102079</v>
      </c>
      <c r="U2098" t="s">
        <v>11</v>
      </c>
      <c r="V2098" t="s">
        <v>50</v>
      </c>
      <c r="W2098" t="s">
        <v>50</v>
      </c>
      <c r="X2098" t="s">
        <v>33</v>
      </c>
      <c r="Y2098" t="s">
        <v>2121</v>
      </c>
      <c r="Z2098" t="s">
        <v>80</v>
      </c>
    </row>
    <row r="2099" spans="1:26">
      <c r="A2099" t="s">
        <v>4200</v>
      </c>
      <c r="B2099" t="s">
        <v>4200</v>
      </c>
      <c r="C2099" s="4">
        <v>45823</v>
      </c>
      <c r="D2099">
        <v>2025</v>
      </c>
      <c r="E2099">
        <v>6</v>
      </c>
      <c r="F2099" t="s">
        <v>22</v>
      </c>
      <c r="G2099" t="s">
        <v>74</v>
      </c>
      <c r="H2099" t="s">
        <v>745</v>
      </c>
      <c r="I2099" t="s">
        <v>76</v>
      </c>
      <c r="J2099" t="s">
        <v>197</v>
      </c>
      <c r="K2099" t="s">
        <v>198</v>
      </c>
      <c r="L2099">
        <v>4</v>
      </c>
      <c r="M2099" s="5">
        <v>416.08</v>
      </c>
      <c r="N2099" s="6">
        <v>20</v>
      </c>
      <c r="O2099" s="5">
        <v>332.86</v>
      </c>
      <c r="P2099" s="5">
        <v>199.72</v>
      </c>
      <c r="Q2099" s="5">
        <v>1531.18</v>
      </c>
      <c r="R2099" s="5">
        <v>1278.56</v>
      </c>
      <c r="S2099" s="5">
        <v>252.62</v>
      </c>
      <c r="T2099" s="7">
        <v>0.164983868650322</v>
      </c>
      <c r="U2099" t="s">
        <v>11</v>
      </c>
      <c r="V2099" t="s">
        <v>50</v>
      </c>
      <c r="W2099" t="s">
        <v>50</v>
      </c>
      <c r="X2099" t="s">
        <v>35</v>
      </c>
      <c r="Y2099" t="s">
        <v>3922</v>
      </c>
      <c r="Z2099" t="s">
        <v>80</v>
      </c>
    </row>
    <row r="2100" spans="1:26">
      <c r="A2100" t="s">
        <v>4201</v>
      </c>
      <c r="B2100" t="s">
        <v>4201</v>
      </c>
      <c r="C2100" s="4">
        <v>46004</v>
      </c>
      <c r="D2100">
        <v>2025</v>
      </c>
      <c r="E2100">
        <v>12</v>
      </c>
      <c r="F2100" t="s">
        <v>28</v>
      </c>
      <c r="G2100" t="s">
        <v>137</v>
      </c>
      <c r="H2100" t="s">
        <v>3459</v>
      </c>
      <c r="I2100" t="s">
        <v>1526</v>
      </c>
      <c r="J2100" t="s">
        <v>889</v>
      </c>
      <c r="K2100" t="s">
        <v>1727</v>
      </c>
      <c r="L2100">
        <v>2</v>
      </c>
      <c r="M2100" s="5">
        <v>102.51</v>
      </c>
      <c r="N2100" s="6">
        <v>10</v>
      </c>
      <c r="O2100" s="5">
        <v>20.5</v>
      </c>
      <c r="P2100" s="5">
        <v>27.68</v>
      </c>
      <c r="Q2100" s="5">
        <v>212.2</v>
      </c>
      <c r="R2100" s="5">
        <v>177.44</v>
      </c>
      <c r="S2100" s="5">
        <v>34.76</v>
      </c>
      <c r="T2100" s="7">
        <v>0.163807728557964</v>
      </c>
      <c r="U2100" t="s">
        <v>9</v>
      </c>
      <c r="V2100" t="s">
        <v>50</v>
      </c>
      <c r="W2100" t="s">
        <v>50</v>
      </c>
      <c r="X2100" t="s">
        <v>34</v>
      </c>
      <c r="Y2100" t="s">
        <v>996</v>
      </c>
      <c r="Z2100" t="s">
        <v>80</v>
      </c>
    </row>
    <row r="2101" spans="1:26">
      <c r="A2101" t="s">
        <v>4202</v>
      </c>
      <c r="B2101" t="s">
        <v>4202</v>
      </c>
      <c r="C2101" s="4">
        <v>45871</v>
      </c>
      <c r="D2101">
        <v>2025</v>
      </c>
      <c r="E2101">
        <v>8</v>
      </c>
      <c r="F2101" t="s">
        <v>24</v>
      </c>
      <c r="G2101" t="s">
        <v>89</v>
      </c>
      <c r="H2101" t="s">
        <v>1168</v>
      </c>
      <c r="I2101" t="s">
        <v>498</v>
      </c>
      <c r="J2101" t="s">
        <v>445</v>
      </c>
      <c r="K2101" t="s">
        <v>446</v>
      </c>
      <c r="L2101">
        <v>6</v>
      </c>
      <c r="M2101" s="5">
        <v>408.46</v>
      </c>
      <c r="N2101" s="6">
        <v>0</v>
      </c>
      <c r="O2101" s="5">
        <v>0</v>
      </c>
      <c r="P2101" s="5">
        <v>367.61</v>
      </c>
      <c r="Q2101" s="5">
        <v>2818.37</v>
      </c>
      <c r="R2101" s="5">
        <v>1862.28</v>
      </c>
      <c r="S2101" s="5">
        <v>956.09</v>
      </c>
      <c r="T2101" s="7">
        <v>0.33923508978594</v>
      </c>
      <c r="U2101" t="s">
        <v>14</v>
      </c>
      <c r="V2101" t="s">
        <v>50</v>
      </c>
      <c r="W2101" t="s">
        <v>50</v>
      </c>
      <c r="X2101" t="s">
        <v>33</v>
      </c>
      <c r="Y2101" t="s">
        <v>3759</v>
      </c>
      <c r="Z2101" t="s">
        <v>80</v>
      </c>
    </row>
    <row r="2102" spans="1:26">
      <c r="A2102" t="s">
        <v>4203</v>
      </c>
      <c r="B2102" t="s">
        <v>4203</v>
      </c>
      <c r="C2102" s="4">
        <v>46038</v>
      </c>
      <c r="D2102">
        <v>2026</v>
      </c>
      <c r="E2102">
        <v>1</v>
      </c>
      <c r="F2102" t="s">
        <v>30</v>
      </c>
      <c r="G2102" t="s">
        <v>82</v>
      </c>
      <c r="H2102" t="s">
        <v>2420</v>
      </c>
      <c r="I2102" t="s">
        <v>609</v>
      </c>
      <c r="J2102" t="s">
        <v>2629</v>
      </c>
      <c r="K2102" t="s">
        <v>1080</v>
      </c>
      <c r="L2102">
        <v>3</v>
      </c>
      <c r="M2102" s="5">
        <v>328.59</v>
      </c>
      <c r="N2102" s="6">
        <v>0</v>
      </c>
      <c r="O2102" s="5">
        <v>0</v>
      </c>
      <c r="P2102" s="5">
        <v>147.87</v>
      </c>
      <c r="Q2102" s="5">
        <v>985.77</v>
      </c>
      <c r="R2102" s="5">
        <v>766.47</v>
      </c>
      <c r="S2102" s="5">
        <v>219.3</v>
      </c>
      <c r="T2102" s="7">
        <v>0.222465686722055</v>
      </c>
      <c r="U2102" t="s">
        <v>10</v>
      </c>
      <c r="V2102" t="s">
        <v>50</v>
      </c>
      <c r="W2102" t="s">
        <v>50</v>
      </c>
      <c r="X2102" t="s">
        <v>33</v>
      </c>
      <c r="Y2102" t="s">
        <v>3322</v>
      </c>
      <c r="Z2102" t="s">
        <v>101</v>
      </c>
    </row>
    <row r="2103" spans="1:26">
      <c r="A2103" t="s">
        <v>4204</v>
      </c>
      <c r="B2103" t="s">
        <v>4204</v>
      </c>
      <c r="C2103" s="4">
        <v>46060</v>
      </c>
      <c r="D2103">
        <v>2026</v>
      </c>
      <c r="E2103">
        <v>2</v>
      </c>
      <c r="F2103" t="s">
        <v>31</v>
      </c>
      <c r="G2103" t="s">
        <v>82</v>
      </c>
      <c r="H2103" t="s">
        <v>4205</v>
      </c>
      <c r="I2103" t="s">
        <v>1360</v>
      </c>
      <c r="J2103" t="s">
        <v>181</v>
      </c>
      <c r="K2103" t="s">
        <v>808</v>
      </c>
      <c r="L2103">
        <v>2</v>
      </c>
      <c r="M2103" s="5">
        <v>229.81</v>
      </c>
      <c r="N2103" s="6">
        <v>15</v>
      </c>
      <c r="O2103" s="5">
        <v>68.94</v>
      </c>
      <c r="P2103" s="5">
        <v>58.6</v>
      </c>
      <c r="Q2103" s="5">
        <v>449.28</v>
      </c>
      <c r="R2103" s="5">
        <v>416.44</v>
      </c>
      <c r="S2103" s="5">
        <v>32.84</v>
      </c>
      <c r="T2103" s="7">
        <v>0.0730947293447294</v>
      </c>
      <c r="U2103" t="s">
        <v>13</v>
      </c>
      <c r="V2103" t="s">
        <v>50</v>
      </c>
      <c r="W2103" t="s">
        <v>50</v>
      </c>
      <c r="X2103" t="s">
        <v>33</v>
      </c>
      <c r="Y2103" t="s">
        <v>3245</v>
      </c>
      <c r="Z2103" t="s">
        <v>80</v>
      </c>
    </row>
    <row r="2104" spans="1:26">
      <c r="A2104" t="s">
        <v>4206</v>
      </c>
      <c r="B2104" t="s">
        <v>4206</v>
      </c>
      <c r="C2104" s="4">
        <v>45962</v>
      </c>
      <c r="D2104">
        <v>2025</v>
      </c>
      <c r="E2104">
        <v>11</v>
      </c>
      <c r="F2104" t="s">
        <v>27</v>
      </c>
      <c r="G2104" t="s">
        <v>137</v>
      </c>
      <c r="H2104" t="s">
        <v>4207</v>
      </c>
      <c r="I2104" t="s">
        <v>379</v>
      </c>
      <c r="J2104" t="s">
        <v>77</v>
      </c>
      <c r="K2104" t="s">
        <v>1753</v>
      </c>
      <c r="L2104">
        <v>4</v>
      </c>
      <c r="M2104" s="5">
        <v>245.32</v>
      </c>
      <c r="N2104" s="6">
        <v>5</v>
      </c>
      <c r="O2104" s="5">
        <v>49.06</v>
      </c>
      <c r="P2104" s="5">
        <v>139.83</v>
      </c>
      <c r="Q2104" s="5">
        <v>1072.05</v>
      </c>
      <c r="R2104" s="5">
        <v>837.52</v>
      </c>
      <c r="S2104" s="5">
        <v>234.53</v>
      </c>
      <c r="T2104" s="7">
        <v>0.218767781353482</v>
      </c>
      <c r="U2104" t="s">
        <v>10</v>
      </c>
      <c r="V2104" t="s">
        <v>50</v>
      </c>
      <c r="W2104" t="s">
        <v>50</v>
      </c>
      <c r="X2104" t="s">
        <v>33</v>
      </c>
      <c r="Y2104" t="s">
        <v>2300</v>
      </c>
      <c r="Z2104" t="s">
        <v>80</v>
      </c>
    </row>
    <row r="2105" spans="1:26">
      <c r="A2105" t="s">
        <v>4208</v>
      </c>
      <c r="B2105" t="s">
        <v>4208</v>
      </c>
      <c r="C2105" s="4">
        <v>46017</v>
      </c>
      <c r="D2105">
        <v>2025</v>
      </c>
      <c r="E2105">
        <v>12</v>
      </c>
      <c r="F2105" t="s">
        <v>28</v>
      </c>
      <c r="G2105" t="s">
        <v>137</v>
      </c>
      <c r="H2105" t="s">
        <v>109</v>
      </c>
      <c r="I2105" t="s">
        <v>547</v>
      </c>
      <c r="J2105" t="s">
        <v>307</v>
      </c>
      <c r="K2105" t="s">
        <v>308</v>
      </c>
      <c r="L2105">
        <v>5</v>
      </c>
      <c r="M2105" s="5">
        <v>519.71</v>
      </c>
      <c r="N2105" s="6">
        <v>5</v>
      </c>
      <c r="O2105" s="5">
        <v>129.93</v>
      </c>
      <c r="P2105" s="5">
        <v>370.29</v>
      </c>
      <c r="Q2105" s="5">
        <v>2468.62</v>
      </c>
      <c r="R2105" s="5">
        <v>1949</v>
      </c>
      <c r="S2105" s="5">
        <v>519.62</v>
      </c>
      <c r="T2105" s="7">
        <v>0.21049007137591</v>
      </c>
      <c r="U2105" t="s">
        <v>9</v>
      </c>
      <c r="V2105" t="s">
        <v>50</v>
      </c>
      <c r="W2105" t="s">
        <v>50</v>
      </c>
      <c r="X2105" t="s">
        <v>33</v>
      </c>
      <c r="Y2105" t="s">
        <v>298</v>
      </c>
      <c r="Z2105" t="s">
        <v>101</v>
      </c>
    </row>
    <row r="2106" spans="1:26">
      <c r="A2106" t="s">
        <v>4209</v>
      </c>
      <c r="B2106" t="s">
        <v>4209</v>
      </c>
      <c r="C2106" s="4">
        <v>45903</v>
      </c>
      <c r="D2106">
        <v>2025</v>
      </c>
      <c r="E2106">
        <v>9</v>
      </c>
      <c r="F2106" t="s">
        <v>25</v>
      </c>
      <c r="G2106" t="s">
        <v>89</v>
      </c>
      <c r="H2106" t="s">
        <v>355</v>
      </c>
      <c r="I2106" t="s">
        <v>196</v>
      </c>
      <c r="J2106" t="s">
        <v>43</v>
      </c>
      <c r="K2106" t="s">
        <v>934</v>
      </c>
      <c r="L2106">
        <v>4</v>
      </c>
      <c r="M2106" s="5">
        <v>334.24</v>
      </c>
      <c r="N2106" s="6">
        <v>20</v>
      </c>
      <c r="O2106" s="5">
        <v>267.39</v>
      </c>
      <c r="P2106" s="5">
        <v>160.44</v>
      </c>
      <c r="Q2106" s="5">
        <v>1069.57</v>
      </c>
      <c r="R2106" s="5">
        <v>1044.88</v>
      </c>
      <c r="S2106" s="5">
        <v>24.69</v>
      </c>
      <c r="T2106" s="7">
        <v>0.0230840431201324</v>
      </c>
      <c r="U2106" t="s">
        <v>12</v>
      </c>
      <c r="V2106" t="s">
        <v>50</v>
      </c>
      <c r="W2106" t="s">
        <v>50</v>
      </c>
      <c r="X2106" t="s">
        <v>33</v>
      </c>
      <c r="Y2106" t="s">
        <v>2121</v>
      </c>
      <c r="Z2106" t="s">
        <v>101</v>
      </c>
    </row>
    <row r="2107" spans="1:26">
      <c r="A2107" t="s">
        <v>4210</v>
      </c>
      <c r="B2107" t="s">
        <v>4210</v>
      </c>
      <c r="C2107" s="4">
        <v>45904</v>
      </c>
      <c r="D2107">
        <v>2025</v>
      </c>
      <c r="E2107">
        <v>9</v>
      </c>
      <c r="F2107" t="s">
        <v>25</v>
      </c>
      <c r="G2107" t="s">
        <v>89</v>
      </c>
      <c r="H2107" t="s">
        <v>571</v>
      </c>
      <c r="I2107" t="s">
        <v>498</v>
      </c>
      <c r="J2107" t="s">
        <v>1781</v>
      </c>
      <c r="K2107" t="s">
        <v>1782</v>
      </c>
      <c r="L2107">
        <v>5</v>
      </c>
      <c r="M2107" s="5">
        <v>365.92</v>
      </c>
      <c r="N2107" s="6">
        <v>5</v>
      </c>
      <c r="O2107" s="5">
        <v>91.48</v>
      </c>
      <c r="P2107" s="5">
        <v>260.72</v>
      </c>
      <c r="Q2107" s="5">
        <v>1738.12</v>
      </c>
      <c r="R2107" s="5">
        <v>1551.9</v>
      </c>
      <c r="S2107" s="5">
        <v>186.22</v>
      </c>
      <c r="T2107" s="7">
        <v>0.107138747612363</v>
      </c>
      <c r="U2107" t="s">
        <v>10</v>
      </c>
      <c r="V2107" t="s">
        <v>50</v>
      </c>
      <c r="W2107" t="s">
        <v>50</v>
      </c>
      <c r="X2107" t="s">
        <v>33</v>
      </c>
      <c r="Y2107" t="s">
        <v>3808</v>
      </c>
      <c r="Z2107" t="s">
        <v>101</v>
      </c>
    </row>
    <row r="2108" spans="1:26">
      <c r="A2108" t="s">
        <v>4211</v>
      </c>
      <c r="B2108" t="s">
        <v>4211</v>
      </c>
      <c r="C2108" s="4">
        <v>45891</v>
      </c>
      <c r="D2108">
        <v>2025</v>
      </c>
      <c r="E2108">
        <v>8</v>
      </c>
      <c r="F2108" t="s">
        <v>24</v>
      </c>
      <c r="G2108" t="s">
        <v>89</v>
      </c>
      <c r="H2108" t="s">
        <v>1556</v>
      </c>
      <c r="I2108" t="s">
        <v>268</v>
      </c>
      <c r="J2108" t="s">
        <v>401</v>
      </c>
      <c r="K2108" t="s">
        <v>402</v>
      </c>
      <c r="L2108">
        <v>3</v>
      </c>
      <c r="M2108" s="5">
        <v>332.74</v>
      </c>
      <c r="N2108" s="6">
        <v>10</v>
      </c>
      <c r="O2108" s="5">
        <v>99.82</v>
      </c>
      <c r="P2108" s="5">
        <v>134.76</v>
      </c>
      <c r="Q2108" s="5">
        <v>898.4</v>
      </c>
      <c r="R2108" s="5">
        <v>615.81</v>
      </c>
      <c r="S2108" s="5">
        <v>282.59</v>
      </c>
      <c r="T2108" s="7">
        <v>0.314548085485307</v>
      </c>
      <c r="U2108" t="s">
        <v>14</v>
      </c>
      <c r="V2108" t="s">
        <v>50</v>
      </c>
      <c r="W2108" t="s">
        <v>50</v>
      </c>
      <c r="X2108" t="s">
        <v>33</v>
      </c>
      <c r="Y2108" t="s">
        <v>1541</v>
      </c>
      <c r="Z2108" t="s">
        <v>101</v>
      </c>
    </row>
    <row r="2109" spans="1:26">
      <c r="A2109" t="s">
        <v>4212</v>
      </c>
      <c r="B2109" t="s">
        <v>4212</v>
      </c>
      <c r="C2109" s="4">
        <v>45748</v>
      </c>
      <c r="D2109">
        <v>2025</v>
      </c>
      <c r="E2109">
        <v>4</v>
      </c>
      <c r="F2109" t="s">
        <v>20</v>
      </c>
      <c r="G2109" t="s">
        <v>74</v>
      </c>
      <c r="H2109" t="s">
        <v>582</v>
      </c>
      <c r="I2109" t="s">
        <v>1190</v>
      </c>
      <c r="J2109" t="s">
        <v>746</v>
      </c>
      <c r="K2109" t="s">
        <v>1691</v>
      </c>
      <c r="L2109">
        <v>6</v>
      </c>
      <c r="M2109" s="5">
        <v>479.54</v>
      </c>
      <c r="N2109" s="6">
        <v>0</v>
      </c>
      <c r="O2109" s="5">
        <v>0</v>
      </c>
      <c r="P2109" s="5">
        <v>431.59</v>
      </c>
      <c r="Q2109" s="5">
        <v>2877.24</v>
      </c>
      <c r="R2109" s="5">
        <v>2020.8</v>
      </c>
      <c r="S2109" s="5">
        <v>856.44</v>
      </c>
      <c r="T2109" s="7">
        <v>0.297660257747008</v>
      </c>
      <c r="U2109" t="s">
        <v>12</v>
      </c>
      <c r="V2109" t="s">
        <v>50</v>
      </c>
      <c r="W2109" t="s">
        <v>50</v>
      </c>
      <c r="X2109" t="s">
        <v>33</v>
      </c>
      <c r="Y2109" t="s">
        <v>2007</v>
      </c>
      <c r="Z2109" t="s">
        <v>101</v>
      </c>
    </row>
    <row r="2110" spans="1:26">
      <c r="A2110" t="s">
        <v>4213</v>
      </c>
      <c r="B2110" t="s">
        <v>4213</v>
      </c>
      <c r="C2110" s="4">
        <v>45950</v>
      </c>
      <c r="D2110">
        <v>2025</v>
      </c>
      <c r="E2110">
        <v>10</v>
      </c>
      <c r="F2110" t="s">
        <v>26</v>
      </c>
      <c r="G2110" t="s">
        <v>137</v>
      </c>
      <c r="H2110" t="s">
        <v>1617</v>
      </c>
      <c r="I2110" t="s">
        <v>1714</v>
      </c>
      <c r="J2110" t="s">
        <v>445</v>
      </c>
      <c r="K2110" t="s">
        <v>1262</v>
      </c>
      <c r="L2110">
        <v>3</v>
      </c>
      <c r="M2110" s="5">
        <v>342.27</v>
      </c>
      <c r="N2110" s="6">
        <v>10</v>
      </c>
      <c r="O2110" s="5">
        <v>102.68</v>
      </c>
      <c r="P2110" s="5">
        <v>138.62</v>
      </c>
      <c r="Q2110" s="5">
        <v>924.13</v>
      </c>
      <c r="R2110" s="5">
        <v>798.3</v>
      </c>
      <c r="S2110" s="5">
        <v>125.83</v>
      </c>
      <c r="T2110" s="7">
        <v>0.136160496899787</v>
      </c>
      <c r="U2110" t="s">
        <v>13</v>
      </c>
      <c r="V2110" t="s">
        <v>50</v>
      </c>
      <c r="W2110" t="s">
        <v>50</v>
      </c>
      <c r="X2110" t="s">
        <v>33</v>
      </c>
      <c r="Y2110" t="s">
        <v>719</v>
      </c>
      <c r="Z2110" t="s">
        <v>101</v>
      </c>
    </row>
    <row r="2111" spans="1:26">
      <c r="A2111" t="s">
        <v>4214</v>
      </c>
      <c r="B2111" t="s">
        <v>4214</v>
      </c>
      <c r="C2111" s="4">
        <v>45823</v>
      </c>
      <c r="D2111">
        <v>2025</v>
      </c>
      <c r="E2111">
        <v>6</v>
      </c>
      <c r="F2111" t="s">
        <v>22</v>
      </c>
      <c r="G2111" t="s">
        <v>74</v>
      </c>
      <c r="H2111" t="s">
        <v>1103</v>
      </c>
      <c r="I2111" t="s">
        <v>574</v>
      </c>
      <c r="J2111" t="s">
        <v>44</v>
      </c>
      <c r="K2111" t="s">
        <v>1286</v>
      </c>
      <c r="L2111">
        <v>5</v>
      </c>
      <c r="M2111" s="5">
        <v>133.51</v>
      </c>
      <c r="N2111" s="6">
        <v>10</v>
      </c>
      <c r="O2111" s="5">
        <v>66.75</v>
      </c>
      <c r="P2111" s="5">
        <v>90.12</v>
      </c>
      <c r="Q2111" s="5">
        <v>690.92</v>
      </c>
      <c r="R2111" s="5">
        <v>478.5</v>
      </c>
      <c r="S2111" s="5">
        <v>212.42</v>
      </c>
      <c r="T2111" s="7">
        <v>0.307445145602964</v>
      </c>
      <c r="U2111" t="s">
        <v>9</v>
      </c>
      <c r="V2111" t="s">
        <v>50</v>
      </c>
      <c r="W2111" t="s">
        <v>50</v>
      </c>
      <c r="X2111" t="s">
        <v>33</v>
      </c>
      <c r="Y2111" t="s">
        <v>2625</v>
      </c>
      <c r="Z2111" t="s">
        <v>80</v>
      </c>
    </row>
    <row r="2112" spans="1:26">
      <c r="A2112" t="s">
        <v>4215</v>
      </c>
      <c r="B2112" t="s">
        <v>4215</v>
      </c>
      <c r="C2112" s="4">
        <v>45941</v>
      </c>
      <c r="D2112">
        <v>2025</v>
      </c>
      <c r="E2112">
        <v>10</v>
      </c>
      <c r="F2112" t="s">
        <v>26</v>
      </c>
      <c r="G2112" t="s">
        <v>137</v>
      </c>
      <c r="H2112" t="s">
        <v>300</v>
      </c>
      <c r="I2112" t="s">
        <v>251</v>
      </c>
      <c r="J2112" t="s">
        <v>390</v>
      </c>
      <c r="K2112" t="s">
        <v>391</v>
      </c>
      <c r="L2112">
        <v>3</v>
      </c>
      <c r="M2112" s="5">
        <v>211.16</v>
      </c>
      <c r="N2112" s="6">
        <v>20</v>
      </c>
      <c r="O2112" s="5">
        <v>126.7</v>
      </c>
      <c r="P2112" s="5">
        <v>76.02</v>
      </c>
      <c r="Q2112" s="5">
        <v>582.8</v>
      </c>
      <c r="R2112" s="5">
        <v>510.6</v>
      </c>
      <c r="S2112" s="5">
        <v>72.2</v>
      </c>
      <c r="T2112" s="7">
        <v>0.1238846945779</v>
      </c>
      <c r="U2112" t="s">
        <v>14</v>
      </c>
      <c r="V2112" t="s">
        <v>50</v>
      </c>
      <c r="W2112" t="s">
        <v>50</v>
      </c>
      <c r="X2112" t="s">
        <v>34</v>
      </c>
      <c r="Y2112" t="s">
        <v>939</v>
      </c>
      <c r="Z2112" t="s">
        <v>80</v>
      </c>
    </row>
    <row r="2113" spans="1:26">
      <c r="A2113" t="s">
        <v>4216</v>
      </c>
      <c r="B2113" t="s">
        <v>4216</v>
      </c>
      <c r="C2113" s="4">
        <v>46038</v>
      </c>
      <c r="D2113">
        <v>2026</v>
      </c>
      <c r="E2113">
        <v>1</v>
      </c>
      <c r="F2113" t="s">
        <v>30</v>
      </c>
      <c r="G2113" t="s">
        <v>82</v>
      </c>
      <c r="H2113" t="s">
        <v>1050</v>
      </c>
      <c r="I2113" t="s">
        <v>623</v>
      </c>
      <c r="J2113" t="s">
        <v>746</v>
      </c>
      <c r="K2113" t="s">
        <v>907</v>
      </c>
      <c r="L2113">
        <v>4</v>
      </c>
      <c r="M2113" s="5">
        <v>139.21</v>
      </c>
      <c r="N2113" s="6">
        <v>0</v>
      </c>
      <c r="O2113" s="5">
        <v>0</v>
      </c>
      <c r="P2113" s="5">
        <v>83.53</v>
      </c>
      <c r="Q2113" s="5">
        <v>556.84</v>
      </c>
      <c r="R2113" s="5">
        <v>427.96</v>
      </c>
      <c r="S2113" s="5">
        <v>128.88</v>
      </c>
      <c r="T2113" s="7">
        <v>0.231448890165936</v>
      </c>
      <c r="U2113" t="s">
        <v>11</v>
      </c>
      <c r="V2113" t="s">
        <v>50</v>
      </c>
      <c r="W2113" t="s">
        <v>50</v>
      </c>
      <c r="X2113" t="s">
        <v>33</v>
      </c>
      <c r="Y2113" t="s">
        <v>2568</v>
      </c>
      <c r="Z2113" t="s">
        <v>101</v>
      </c>
    </row>
    <row r="2114" spans="1:26">
      <c r="A2114" t="s">
        <v>4217</v>
      </c>
      <c r="B2114" t="s">
        <v>4217</v>
      </c>
      <c r="C2114" s="4">
        <v>45818</v>
      </c>
      <c r="D2114">
        <v>2025</v>
      </c>
      <c r="E2114">
        <v>6</v>
      </c>
      <c r="F2114" t="s">
        <v>22</v>
      </c>
      <c r="G2114" t="s">
        <v>74</v>
      </c>
      <c r="H2114" t="s">
        <v>995</v>
      </c>
      <c r="I2114" t="s">
        <v>174</v>
      </c>
      <c r="J2114" t="s">
        <v>46</v>
      </c>
      <c r="K2114" t="s">
        <v>466</v>
      </c>
      <c r="L2114">
        <v>3</v>
      </c>
      <c r="M2114" s="5">
        <v>397.22</v>
      </c>
      <c r="N2114" s="6">
        <v>10</v>
      </c>
      <c r="O2114" s="5">
        <v>119.17</v>
      </c>
      <c r="P2114" s="5">
        <v>160.87</v>
      </c>
      <c r="Q2114" s="5">
        <v>1072.49</v>
      </c>
      <c r="R2114" s="5">
        <v>958.11</v>
      </c>
      <c r="S2114" s="5">
        <v>114.38</v>
      </c>
      <c r="T2114" s="7">
        <v>0.106649013044411</v>
      </c>
      <c r="U2114" t="s">
        <v>13</v>
      </c>
      <c r="V2114" t="s">
        <v>50</v>
      </c>
      <c r="W2114" t="s">
        <v>50</v>
      </c>
      <c r="X2114" t="s">
        <v>33</v>
      </c>
      <c r="Y2114" t="s">
        <v>486</v>
      </c>
      <c r="Z2114" t="s">
        <v>101</v>
      </c>
    </row>
    <row r="2115" spans="1:26">
      <c r="A2115" t="s">
        <v>4218</v>
      </c>
      <c r="B2115" t="s">
        <v>4218</v>
      </c>
      <c r="C2115" s="4">
        <v>45853</v>
      </c>
      <c r="D2115">
        <v>2025</v>
      </c>
      <c r="E2115">
        <v>7</v>
      </c>
      <c r="F2115" t="s">
        <v>23</v>
      </c>
      <c r="G2115" t="s">
        <v>89</v>
      </c>
      <c r="H2115" t="s">
        <v>3530</v>
      </c>
      <c r="I2115" t="s">
        <v>623</v>
      </c>
      <c r="J2115" t="s">
        <v>351</v>
      </c>
      <c r="K2115" t="s">
        <v>1351</v>
      </c>
      <c r="L2115">
        <v>1</v>
      </c>
      <c r="M2115" s="5">
        <v>139.21</v>
      </c>
      <c r="N2115" s="6">
        <v>0</v>
      </c>
      <c r="O2115" s="5">
        <v>0</v>
      </c>
      <c r="P2115" s="5">
        <v>20.88</v>
      </c>
      <c r="Q2115" s="5">
        <v>139.21</v>
      </c>
      <c r="R2115" s="5">
        <v>106.99</v>
      </c>
      <c r="S2115" s="5">
        <v>32.22</v>
      </c>
      <c r="T2115" s="7">
        <v>0.231448890165936</v>
      </c>
      <c r="U2115" t="s">
        <v>14</v>
      </c>
      <c r="V2115" t="s">
        <v>50</v>
      </c>
      <c r="W2115" t="s">
        <v>50</v>
      </c>
      <c r="X2115" t="s">
        <v>33</v>
      </c>
      <c r="Y2115" t="s">
        <v>2968</v>
      </c>
      <c r="Z2115" t="s">
        <v>101</v>
      </c>
    </row>
    <row r="2116" spans="1:26">
      <c r="A2116" t="s">
        <v>4219</v>
      </c>
      <c r="B2116" t="s">
        <v>4219</v>
      </c>
      <c r="C2116" s="4">
        <v>45991</v>
      </c>
      <c r="D2116">
        <v>2025</v>
      </c>
      <c r="E2116">
        <v>11</v>
      </c>
      <c r="F2116" t="s">
        <v>27</v>
      </c>
      <c r="G2116" t="s">
        <v>137</v>
      </c>
      <c r="H2116" t="s">
        <v>1489</v>
      </c>
      <c r="I2116" t="s">
        <v>583</v>
      </c>
      <c r="J2116" t="s">
        <v>1347</v>
      </c>
      <c r="K2116" t="s">
        <v>270</v>
      </c>
      <c r="L2116">
        <v>1</v>
      </c>
      <c r="M2116" s="5">
        <v>251.73</v>
      </c>
      <c r="N2116" s="6">
        <v>15</v>
      </c>
      <c r="O2116" s="5">
        <v>37.76</v>
      </c>
      <c r="P2116" s="5">
        <v>32.1</v>
      </c>
      <c r="Q2116" s="5">
        <v>246.07</v>
      </c>
      <c r="R2116" s="5">
        <v>210.52</v>
      </c>
      <c r="S2116" s="5">
        <v>35.55</v>
      </c>
      <c r="T2116" s="7">
        <v>0.144471085463486</v>
      </c>
      <c r="U2116" t="s">
        <v>14</v>
      </c>
      <c r="V2116" t="s">
        <v>50</v>
      </c>
      <c r="W2116" t="s">
        <v>50</v>
      </c>
      <c r="X2116" t="s">
        <v>33</v>
      </c>
      <c r="Y2116" t="s">
        <v>600</v>
      </c>
      <c r="Z2116" t="s">
        <v>80</v>
      </c>
    </row>
    <row r="2117" spans="1:26">
      <c r="A2117" t="s">
        <v>4220</v>
      </c>
      <c r="B2117" t="s">
        <v>4220</v>
      </c>
      <c r="C2117" s="4">
        <v>45950</v>
      </c>
      <c r="D2117">
        <v>2025</v>
      </c>
      <c r="E2117">
        <v>10</v>
      </c>
      <c r="F2117" t="s">
        <v>26</v>
      </c>
      <c r="G2117" t="s">
        <v>137</v>
      </c>
      <c r="H2117" t="s">
        <v>973</v>
      </c>
      <c r="I2117" t="s">
        <v>196</v>
      </c>
      <c r="J2117" t="s">
        <v>676</v>
      </c>
      <c r="K2117" t="s">
        <v>677</v>
      </c>
      <c r="L2117">
        <v>7</v>
      </c>
      <c r="M2117" s="5">
        <v>377.86</v>
      </c>
      <c r="N2117" s="6">
        <v>0</v>
      </c>
      <c r="O2117" s="5">
        <v>0</v>
      </c>
      <c r="P2117" s="5">
        <v>396.75</v>
      </c>
      <c r="Q2117" s="5">
        <v>2645.02</v>
      </c>
      <c r="R2117" s="5">
        <v>1828.54</v>
      </c>
      <c r="S2117" s="5">
        <v>816.48</v>
      </c>
      <c r="T2117" s="7">
        <v>0.308685756629439</v>
      </c>
      <c r="U2117" t="s">
        <v>13</v>
      </c>
      <c r="V2117" t="s">
        <v>50</v>
      </c>
      <c r="W2117" t="s">
        <v>50</v>
      </c>
      <c r="X2117" t="s">
        <v>34</v>
      </c>
      <c r="Y2117" t="s">
        <v>1111</v>
      </c>
      <c r="Z2117" t="s">
        <v>101</v>
      </c>
    </row>
    <row r="2118" spans="1:26">
      <c r="A2118" t="s">
        <v>4221</v>
      </c>
      <c r="B2118" t="s">
        <v>4221</v>
      </c>
      <c r="C2118" s="4">
        <v>45762</v>
      </c>
      <c r="D2118">
        <v>2025</v>
      </c>
      <c r="E2118">
        <v>4</v>
      </c>
      <c r="F2118" t="s">
        <v>20</v>
      </c>
      <c r="G2118" t="s">
        <v>74</v>
      </c>
      <c r="H2118" t="s">
        <v>2834</v>
      </c>
      <c r="I2118" t="s">
        <v>647</v>
      </c>
      <c r="J2118" t="s">
        <v>85</v>
      </c>
      <c r="K2118" t="s">
        <v>86</v>
      </c>
      <c r="L2118">
        <v>5</v>
      </c>
      <c r="M2118" s="5">
        <v>75.68</v>
      </c>
      <c r="N2118" s="6">
        <v>15</v>
      </c>
      <c r="O2118" s="5">
        <v>56.76</v>
      </c>
      <c r="P2118" s="5">
        <v>48.25</v>
      </c>
      <c r="Q2118" s="5">
        <v>321.64</v>
      </c>
      <c r="R2118" s="5">
        <v>310.7</v>
      </c>
      <c r="S2118" s="5">
        <v>10.94</v>
      </c>
      <c r="T2118" s="7">
        <v>0.034013182439995</v>
      </c>
      <c r="U2118" t="s">
        <v>14</v>
      </c>
      <c r="V2118" t="s">
        <v>50</v>
      </c>
      <c r="W2118" t="s">
        <v>50</v>
      </c>
      <c r="X2118" t="s">
        <v>33</v>
      </c>
      <c r="Y2118" t="s">
        <v>2202</v>
      </c>
      <c r="Z2118" t="s">
        <v>101</v>
      </c>
    </row>
    <row r="2119" spans="1:26">
      <c r="A2119" t="s">
        <v>4222</v>
      </c>
      <c r="B2119" t="s">
        <v>4222</v>
      </c>
      <c r="C2119" s="4">
        <v>46062</v>
      </c>
      <c r="D2119">
        <v>2026</v>
      </c>
      <c r="E2119">
        <v>2</v>
      </c>
      <c r="F2119" t="s">
        <v>31</v>
      </c>
      <c r="G2119" t="s">
        <v>82</v>
      </c>
      <c r="H2119" t="s">
        <v>475</v>
      </c>
      <c r="I2119" t="s">
        <v>350</v>
      </c>
      <c r="J2119" t="s">
        <v>263</v>
      </c>
      <c r="K2119" t="s">
        <v>264</v>
      </c>
      <c r="L2119">
        <v>1</v>
      </c>
      <c r="M2119" s="5">
        <v>343.56</v>
      </c>
      <c r="N2119" s="6">
        <v>0</v>
      </c>
      <c r="O2119" s="5">
        <v>0</v>
      </c>
      <c r="P2119" s="5">
        <v>51.53</v>
      </c>
      <c r="Q2119" s="5">
        <v>343.56</v>
      </c>
      <c r="R2119" s="5">
        <v>216.32</v>
      </c>
      <c r="S2119" s="5">
        <v>127.24</v>
      </c>
      <c r="T2119" s="7">
        <v>0.370357433927116</v>
      </c>
      <c r="U2119" t="s">
        <v>13</v>
      </c>
      <c r="V2119" t="s">
        <v>50</v>
      </c>
      <c r="W2119" t="s">
        <v>50</v>
      </c>
      <c r="X2119" t="s">
        <v>34</v>
      </c>
      <c r="Y2119" t="s">
        <v>794</v>
      </c>
      <c r="Z2119" t="s">
        <v>101</v>
      </c>
    </row>
    <row r="2120" spans="1:26">
      <c r="A2120" t="s">
        <v>4223</v>
      </c>
      <c r="B2120" t="s">
        <v>4223</v>
      </c>
      <c r="C2120" s="4">
        <v>45825</v>
      </c>
      <c r="D2120">
        <v>2025</v>
      </c>
      <c r="E2120">
        <v>6</v>
      </c>
      <c r="F2120" t="s">
        <v>22</v>
      </c>
      <c r="G2120" t="s">
        <v>74</v>
      </c>
      <c r="H2120" t="s">
        <v>597</v>
      </c>
      <c r="I2120" t="s">
        <v>145</v>
      </c>
      <c r="J2120" t="s">
        <v>1009</v>
      </c>
      <c r="K2120" t="s">
        <v>1775</v>
      </c>
      <c r="L2120">
        <v>2</v>
      </c>
      <c r="M2120" s="5">
        <v>522.78</v>
      </c>
      <c r="N2120" s="6">
        <v>15</v>
      </c>
      <c r="O2120" s="5">
        <v>156.83</v>
      </c>
      <c r="P2120" s="5">
        <v>133.31</v>
      </c>
      <c r="Q2120" s="5">
        <v>888.73</v>
      </c>
      <c r="R2120" s="5">
        <v>791.74</v>
      </c>
      <c r="S2120" s="5">
        <v>96.99</v>
      </c>
      <c r="T2120" s="7">
        <v>0.109133257569791</v>
      </c>
      <c r="U2120" t="s">
        <v>12</v>
      </c>
      <c r="V2120" t="s">
        <v>50</v>
      </c>
      <c r="W2120" t="s">
        <v>50</v>
      </c>
      <c r="X2120" t="s">
        <v>33</v>
      </c>
      <c r="Y2120" t="s">
        <v>1374</v>
      </c>
      <c r="Z2120" t="s">
        <v>101</v>
      </c>
    </row>
    <row r="2121" spans="1:26">
      <c r="A2121" t="s">
        <v>4224</v>
      </c>
      <c r="B2121" t="s">
        <v>4224</v>
      </c>
      <c r="C2121" s="4">
        <v>45808</v>
      </c>
      <c r="D2121">
        <v>2025</v>
      </c>
      <c r="E2121">
        <v>5</v>
      </c>
      <c r="F2121" t="s">
        <v>21</v>
      </c>
      <c r="G2121" t="s">
        <v>74</v>
      </c>
      <c r="H2121" t="s">
        <v>1294</v>
      </c>
      <c r="I2121" t="s">
        <v>689</v>
      </c>
      <c r="J2121" t="s">
        <v>1718</v>
      </c>
      <c r="K2121" t="s">
        <v>370</v>
      </c>
      <c r="L2121">
        <v>4</v>
      </c>
      <c r="M2121" s="5">
        <v>128.26</v>
      </c>
      <c r="N2121" s="6">
        <v>0</v>
      </c>
      <c r="O2121" s="5">
        <v>0</v>
      </c>
      <c r="P2121" s="5">
        <v>76.96</v>
      </c>
      <c r="Q2121" s="5">
        <v>590</v>
      </c>
      <c r="R2121" s="5">
        <v>364.72</v>
      </c>
      <c r="S2121" s="5">
        <v>225.28</v>
      </c>
      <c r="T2121" s="7">
        <v>0.381830508474576</v>
      </c>
      <c r="U2121" t="s">
        <v>9</v>
      </c>
      <c r="V2121" t="s">
        <v>50</v>
      </c>
      <c r="W2121" t="s">
        <v>50</v>
      </c>
      <c r="X2121" t="s">
        <v>33</v>
      </c>
      <c r="Y2121" t="s">
        <v>1315</v>
      </c>
      <c r="Z2121" t="s">
        <v>80</v>
      </c>
    </row>
    <row r="2122" spans="1:26">
      <c r="A2122" t="s">
        <v>4225</v>
      </c>
      <c r="B2122" t="s">
        <v>4225</v>
      </c>
      <c r="C2122" s="4">
        <v>45938</v>
      </c>
      <c r="D2122">
        <v>2025</v>
      </c>
      <c r="E2122">
        <v>10</v>
      </c>
      <c r="F2122" t="s">
        <v>26</v>
      </c>
      <c r="G2122" t="s">
        <v>137</v>
      </c>
      <c r="H2122" t="s">
        <v>367</v>
      </c>
      <c r="I2122" t="s">
        <v>574</v>
      </c>
      <c r="J2122" t="s">
        <v>1450</v>
      </c>
      <c r="K2122" t="s">
        <v>2838</v>
      </c>
      <c r="L2122">
        <v>6</v>
      </c>
      <c r="M2122" s="5">
        <v>135.41</v>
      </c>
      <c r="N2122" s="6">
        <v>0</v>
      </c>
      <c r="O2122" s="5">
        <v>0</v>
      </c>
      <c r="P2122" s="5">
        <v>121.87</v>
      </c>
      <c r="Q2122" s="5">
        <v>812.46</v>
      </c>
      <c r="R2122" s="5">
        <v>574.2</v>
      </c>
      <c r="S2122" s="5">
        <v>238.26</v>
      </c>
      <c r="T2122" s="7">
        <v>0.293257514216084</v>
      </c>
      <c r="U2122" t="s">
        <v>13</v>
      </c>
      <c r="V2122" t="s">
        <v>51</v>
      </c>
      <c r="W2122" t="s">
        <v>51</v>
      </c>
      <c r="X2122" t="s">
        <v>33</v>
      </c>
      <c r="Y2122" t="s">
        <v>1719</v>
      </c>
      <c r="Z2122" t="s">
        <v>101</v>
      </c>
    </row>
    <row r="2123" spans="1:26">
      <c r="A2123" t="s">
        <v>4226</v>
      </c>
      <c r="B2123" t="s">
        <v>4226</v>
      </c>
      <c r="C2123" s="4">
        <v>46065</v>
      </c>
      <c r="D2123">
        <v>2026</v>
      </c>
      <c r="E2123">
        <v>2</v>
      </c>
      <c r="F2123" t="s">
        <v>31</v>
      </c>
      <c r="G2123" t="s">
        <v>82</v>
      </c>
      <c r="H2123" t="s">
        <v>1649</v>
      </c>
      <c r="I2123" t="s">
        <v>854</v>
      </c>
      <c r="J2123" t="s">
        <v>906</v>
      </c>
      <c r="K2123" t="s">
        <v>3670</v>
      </c>
      <c r="L2123">
        <v>2</v>
      </c>
      <c r="M2123" s="5">
        <v>530.16</v>
      </c>
      <c r="N2123" s="6">
        <v>5</v>
      </c>
      <c r="O2123" s="5">
        <v>53.02</v>
      </c>
      <c r="P2123" s="5">
        <v>151.1</v>
      </c>
      <c r="Q2123" s="5">
        <v>1007.3</v>
      </c>
      <c r="R2123" s="5">
        <v>758.38</v>
      </c>
      <c r="S2123" s="5">
        <v>248.92</v>
      </c>
      <c r="T2123" s="7">
        <v>0.247116052814455</v>
      </c>
      <c r="U2123" t="s">
        <v>14</v>
      </c>
      <c r="V2123" t="s">
        <v>50</v>
      </c>
      <c r="W2123" t="s">
        <v>50</v>
      </c>
      <c r="X2123" t="s">
        <v>33</v>
      </c>
      <c r="Y2123" t="s">
        <v>94</v>
      </c>
      <c r="Z2123" t="s">
        <v>101</v>
      </c>
    </row>
    <row r="2124" spans="1:26">
      <c r="A2124" t="s">
        <v>4227</v>
      </c>
      <c r="B2124" t="s">
        <v>4227</v>
      </c>
      <c r="C2124" s="4">
        <v>45885</v>
      </c>
      <c r="D2124">
        <v>2025</v>
      </c>
      <c r="E2124">
        <v>8</v>
      </c>
      <c r="F2124" t="s">
        <v>24</v>
      </c>
      <c r="G2124" t="s">
        <v>89</v>
      </c>
      <c r="H2124" t="s">
        <v>1983</v>
      </c>
      <c r="I2124" t="s">
        <v>444</v>
      </c>
      <c r="J2124" t="s">
        <v>202</v>
      </c>
      <c r="K2124" t="s">
        <v>2247</v>
      </c>
      <c r="L2124">
        <v>4</v>
      </c>
      <c r="M2124" s="5">
        <v>114.38</v>
      </c>
      <c r="N2124" s="6">
        <v>20</v>
      </c>
      <c r="O2124" s="5">
        <v>91.5</v>
      </c>
      <c r="P2124" s="5">
        <v>54.9</v>
      </c>
      <c r="Q2124" s="5">
        <v>420.92</v>
      </c>
      <c r="R2124" s="5">
        <v>344.2</v>
      </c>
      <c r="S2124" s="5">
        <v>76.72</v>
      </c>
      <c r="T2124" s="7">
        <v>0.182267414235484</v>
      </c>
      <c r="U2124" t="s">
        <v>13</v>
      </c>
      <c r="V2124" t="s">
        <v>50</v>
      </c>
      <c r="W2124" t="s">
        <v>50</v>
      </c>
      <c r="X2124" t="s">
        <v>33</v>
      </c>
      <c r="Y2124" t="s">
        <v>1129</v>
      </c>
      <c r="Z2124" t="s">
        <v>80</v>
      </c>
    </row>
    <row r="2125" spans="1:26">
      <c r="A2125" t="s">
        <v>4228</v>
      </c>
      <c r="B2125" t="s">
        <v>4228</v>
      </c>
      <c r="C2125" s="4">
        <v>45748</v>
      </c>
      <c r="D2125">
        <v>2025</v>
      </c>
      <c r="E2125">
        <v>4</v>
      </c>
      <c r="F2125" t="s">
        <v>20</v>
      </c>
      <c r="G2125" t="s">
        <v>74</v>
      </c>
      <c r="H2125" t="s">
        <v>428</v>
      </c>
      <c r="I2125" t="s">
        <v>476</v>
      </c>
      <c r="J2125" t="s">
        <v>1440</v>
      </c>
      <c r="K2125" t="s">
        <v>1916</v>
      </c>
      <c r="L2125">
        <v>5</v>
      </c>
      <c r="M2125" s="5">
        <v>326.66</v>
      </c>
      <c r="N2125" s="6">
        <v>10</v>
      </c>
      <c r="O2125" s="5">
        <v>163.33</v>
      </c>
      <c r="P2125" s="5">
        <v>220.5</v>
      </c>
      <c r="Q2125" s="5">
        <v>1469.97</v>
      </c>
      <c r="R2125" s="5">
        <v>1257.1</v>
      </c>
      <c r="S2125" s="5">
        <v>212.87</v>
      </c>
      <c r="T2125" s="7">
        <v>0.144812479166241</v>
      </c>
      <c r="U2125" t="s">
        <v>12</v>
      </c>
      <c r="V2125" t="s">
        <v>50</v>
      </c>
      <c r="W2125" t="s">
        <v>50</v>
      </c>
      <c r="X2125" t="s">
        <v>33</v>
      </c>
      <c r="Y2125" t="s">
        <v>1048</v>
      </c>
      <c r="Z2125" t="s">
        <v>101</v>
      </c>
    </row>
    <row r="2126" spans="1:26">
      <c r="A2126" t="s">
        <v>4229</v>
      </c>
      <c r="B2126" t="s">
        <v>4229</v>
      </c>
      <c r="C2126" s="4">
        <v>46004</v>
      </c>
      <c r="D2126">
        <v>2025</v>
      </c>
      <c r="E2126">
        <v>12</v>
      </c>
      <c r="F2126" t="s">
        <v>28</v>
      </c>
      <c r="G2126" t="s">
        <v>137</v>
      </c>
      <c r="H2126" t="s">
        <v>3187</v>
      </c>
      <c r="I2126" t="s">
        <v>1343</v>
      </c>
      <c r="J2126" t="s">
        <v>1855</v>
      </c>
      <c r="K2126" t="s">
        <v>78</v>
      </c>
      <c r="L2126">
        <v>3</v>
      </c>
      <c r="M2126" s="5">
        <v>490.73</v>
      </c>
      <c r="N2126" s="6">
        <v>10</v>
      </c>
      <c r="O2126" s="5">
        <v>147.22</v>
      </c>
      <c r="P2126" s="5">
        <v>198.75</v>
      </c>
      <c r="Q2126" s="5">
        <v>1523.72</v>
      </c>
      <c r="R2126" s="5">
        <v>1120.74</v>
      </c>
      <c r="S2126" s="5">
        <v>402.98</v>
      </c>
      <c r="T2126" s="7">
        <v>0.264471162680808</v>
      </c>
      <c r="U2126" t="s">
        <v>14</v>
      </c>
      <c r="V2126" t="s">
        <v>50</v>
      </c>
      <c r="W2126" t="s">
        <v>50</v>
      </c>
      <c r="X2126" t="s">
        <v>35</v>
      </c>
      <c r="Y2126" t="s">
        <v>1826</v>
      </c>
      <c r="Z2126" t="s">
        <v>80</v>
      </c>
    </row>
    <row r="2127" spans="1:26">
      <c r="A2127" t="s">
        <v>4230</v>
      </c>
      <c r="B2127" t="s">
        <v>4230</v>
      </c>
      <c r="C2127" s="4">
        <v>45800</v>
      </c>
      <c r="D2127">
        <v>2025</v>
      </c>
      <c r="E2127">
        <v>5</v>
      </c>
      <c r="F2127" t="s">
        <v>21</v>
      </c>
      <c r="G2127" t="s">
        <v>74</v>
      </c>
      <c r="H2127" t="s">
        <v>3605</v>
      </c>
      <c r="I2127" t="s">
        <v>470</v>
      </c>
      <c r="J2127" t="s">
        <v>390</v>
      </c>
      <c r="K2127" t="s">
        <v>391</v>
      </c>
      <c r="L2127">
        <v>1</v>
      </c>
      <c r="M2127" s="5">
        <v>290.45</v>
      </c>
      <c r="N2127" s="6">
        <v>0</v>
      </c>
      <c r="O2127" s="5">
        <v>0</v>
      </c>
      <c r="P2127" s="5">
        <v>43.57</v>
      </c>
      <c r="Q2127" s="5">
        <v>290.45</v>
      </c>
      <c r="R2127" s="5">
        <v>237.89</v>
      </c>
      <c r="S2127" s="5">
        <v>52.56</v>
      </c>
      <c r="T2127" s="7">
        <v>0.180960578412808</v>
      </c>
      <c r="U2127" t="s">
        <v>11</v>
      </c>
      <c r="V2127" t="s">
        <v>50</v>
      </c>
      <c r="W2127" t="s">
        <v>50</v>
      </c>
      <c r="X2127" t="s">
        <v>34</v>
      </c>
      <c r="Y2127" t="s">
        <v>1437</v>
      </c>
      <c r="Z2127" t="s">
        <v>101</v>
      </c>
    </row>
    <row r="2128" spans="1:26">
      <c r="A2128" t="s">
        <v>4231</v>
      </c>
      <c r="B2128" t="s">
        <v>4231</v>
      </c>
      <c r="C2128" s="4">
        <v>45857</v>
      </c>
      <c r="D2128">
        <v>2025</v>
      </c>
      <c r="E2128">
        <v>7</v>
      </c>
      <c r="F2128" t="s">
        <v>23</v>
      </c>
      <c r="G2128" t="s">
        <v>89</v>
      </c>
      <c r="H2128" t="s">
        <v>1354</v>
      </c>
      <c r="I2128" t="s">
        <v>245</v>
      </c>
      <c r="J2128" t="s">
        <v>1512</v>
      </c>
      <c r="K2128" t="s">
        <v>2073</v>
      </c>
      <c r="L2128">
        <v>5</v>
      </c>
      <c r="M2128" s="5">
        <v>121.9</v>
      </c>
      <c r="N2128" s="6">
        <v>0</v>
      </c>
      <c r="O2128" s="5">
        <v>0</v>
      </c>
      <c r="P2128" s="5">
        <v>91.42</v>
      </c>
      <c r="Q2128" s="5">
        <v>700.92</v>
      </c>
      <c r="R2128" s="5">
        <v>544.6</v>
      </c>
      <c r="S2128" s="5">
        <v>156.32</v>
      </c>
      <c r="T2128" s="7">
        <v>0.223021172173715</v>
      </c>
      <c r="U2128" t="s">
        <v>13</v>
      </c>
      <c r="V2128" t="s">
        <v>50</v>
      </c>
      <c r="W2128" t="s">
        <v>50</v>
      </c>
      <c r="X2128" t="s">
        <v>33</v>
      </c>
      <c r="Y2128" t="s">
        <v>2615</v>
      </c>
      <c r="Z2128" t="s">
        <v>80</v>
      </c>
    </row>
    <row r="2129" spans="1:26">
      <c r="A2129" t="s">
        <v>4232</v>
      </c>
      <c r="B2129" t="s">
        <v>4232</v>
      </c>
      <c r="C2129" s="4">
        <v>46080</v>
      </c>
      <c r="D2129">
        <v>2026</v>
      </c>
      <c r="E2129">
        <v>2</v>
      </c>
      <c r="F2129" t="s">
        <v>31</v>
      </c>
      <c r="G2129" t="s">
        <v>82</v>
      </c>
      <c r="H2129" t="s">
        <v>3147</v>
      </c>
      <c r="I2129" t="s">
        <v>268</v>
      </c>
      <c r="J2129" t="s">
        <v>837</v>
      </c>
      <c r="K2129" t="s">
        <v>1032</v>
      </c>
      <c r="L2129">
        <v>4</v>
      </c>
      <c r="M2129" s="5">
        <v>332.74</v>
      </c>
      <c r="N2129" s="6">
        <v>20</v>
      </c>
      <c r="O2129" s="5">
        <v>266.19</v>
      </c>
      <c r="P2129" s="5">
        <v>159.72</v>
      </c>
      <c r="Q2129" s="5">
        <v>1064.77</v>
      </c>
      <c r="R2129" s="5">
        <v>821.08</v>
      </c>
      <c r="S2129" s="5">
        <v>243.69</v>
      </c>
      <c r="T2129" s="7">
        <v>0.228866327939367</v>
      </c>
      <c r="U2129" t="s">
        <v>9</v>
      </c>
      <c r="V2129" t="s">
        <v>50</v>
      </c>
      <c r="W2129" t="s">
        <v>50</v>
      </c>
      <c r="X2129" t="s">
        <v>33</v>
      </c>
      <c r="Y2129" t="s">
        <v>2239</v>
      </c>
      <c r="Z2129" t="s">
        <v>101</v>
      </c>
    </row>
    <row r="2130" spans="1:26">
      <c r="A2130" t="s">
        <v>4233</v>
      </c>
      <c r="B2130" t="s">
        <v>4233</v>
      </c>
      <c r="C2130" s="4">
        <v>45938</v>
      </c>
      <c r="D2130">
        <v>2025</v>
      </c>
      <c r="E2130">
        <v>10</v>
      </c>
      <c r="F2130" t="s">
        <v>26</v>
      </c>
      <c r="G2130" t="s">
        <v>137</v>
      </c>
      <c r="H2130" t="s">
        <v>912</v>
      </c>
      <c r="I2130" t="s">
        <v>429</v>
      </c>
      <c r="J2130" t="s">
        <v>1718</v>
      </c>
      <c r="K2130" t="s">
        <v>2291</v>
      </c>
      <c r="L2130">
        <v>3</v>
      </c>
      <c r="M2130" s="5">
        <v>447.63</v>
      </c>
      <c r="N2130" s="6">
        <v>20</v>
      </c>
      <c r="O2130" s="5">
        <v>268.58</v>
      </c>
      <c r="P2130" s="5">
        <v>161.15</v>
      </c>
      <c r="Q2130" s="5">
        <v>1074.31</v>
      </c>
      <c r="R2130" s="5">
        <v>1008.21</v>
      </c>
      <c r="S2130" s="5">
        <v>66.1</v>
      </c>
      <c r="T2130" s="7">
        <v>0.0615278643966825</v>
      </c>
      <c r="U2130" t="s">
        <v>11</v>
      </c>
      <c r="V2130" t="s">
        <v>50</v>
      </c>
      <c r="W2130" t="s">
        <v>50</v>
      </c>
      <c r="X2130" t="s">
        <v>33</v>
      </c>
      <c r="Y2130" t="s">
        <v>2443</v>
      </c>
      <c r="Z2130" t="s">
        <v>101</v>
      </c>
    </row>
    <row r="2131" spans="1:26">
      <c r="A2131" t="s">
        <v>4234</v>
      </c>
      <c r="B2131" t="s">
        <v>4234</v>
      </c>
      <c r="C2131" s="4">
        <v>46056</v>
      </c>
      <c r="D2131">
        <v>2026</v>
      </c>
      <c r="E2131">
        <v>2</v>
      </c>
      <c r="F2131" t="s">
        <v>31</v>
      </c>
      <c r="G2131" t="s">
        <v>82</v>
      </c>
      <c r="H2131" t="s">
        <v>1207</v>
      </c>
      <c r="I2131" t="s">
        <v>196</v>
      </c>
      <c r="J2131" t="s">
        <v>1133</v>
      </c>
      <c r="K2131" t="s">
        <v>619</v>
      </c>
      <c r="L2131">
        <v>8</v>
      </c>
      <c r="M2131" s="5">
        <v>373.95</v>
      </c>
      <c r="N2131" s="6">
        <v>5</v>
      </c>
      <c r="O2131" s="5">
        <v>149.58</v>
      </c>
      <c r="P2131" s="5">
        <v>426.3</v>
      </c>
      <c r="Q2131" s="5">
        <v>2842.02</v>
      </c>
      <c r="R2131" s="5">
        <v>2089.76</v>
      </c>
      <c r="S2131" s="5">
        <v>752.26</v>
      </c>
      <c r="T2131" s="7">
        <v>0.264692014834519</v>
      </c>
      <c r="U2131" t="s">
        <v>10</v>
      </c>
      <c r="V2131" t="s">
        <v>50</v>
      </c>
      <c r="W2131" t="s">
        <v>50</v>
      </c>
      <c r="X2131" t="s">
        <v>35</v>
      </c>
      <c r="Y2131" t="s">
        <v>661</v>
      </c>
      <c r="Z2131" t="s">
        <v>101</v>
      </c>
    </row>
    <row r="2132" spans="1:26">
      <c r="A2132" t="s">
        <v>4235</v>
      </c>
      <c r="B2132" t="s">
        <v>4235</v>
      </c>
      <c r="C2132" s="4">
        <v>46107</v>
      </c>
      <c r="D2132">
        <v>2026</v>
      </c>
      <c r="E2132">
        <v>3</v>
      </c>
      <c r="F2132" t="s">
        <v>19</v>
      </c>
      <c r="G2132" t="s">
        <v>82</v>
      </c>
      <c r="H2132" t="s">
        <v>738</v>
      </c>
      <c r="I2132" t="s">
        <v>279</v>
      </c>
      <c r="J2132" t="s">
        <v>138</v>
      </c>
      <c r="K2132" t="s">
        <v>1262</v>
      </c>
      <c r="L2132">
        <v>3</v>
      </c>
      <c r="M2132" s="5">
        <v>465.22</v>
      </c>
      <c r="N2132" s="6">
        <v>0</v>
      </c>
      <c r="O2132" s="5">
        <v>0</v>
      </c>
      <c r="P2132" s="5">
        <v>209.35</v>
      </c>
      <c r="Q2132" s="5">
        <v>1395.66</v>
      </c>
      <c r="R2132" s="5">
        <v>926.82</v>
      </c>
      <c r="S2132" s="5">
        <v>468.84</v>
      </c>
      <c r="T2132" s="7">
        <v>0.335927088259318</v>
      </c>
      <c r="U2132" t="s">
        <v>11</v>
      </c>
      <c r="V2132" t="s">
        <v>50</v>
      </c>
      <c r="W2132" t="s">
        <v>50</v>
      </c>
      <c r="X2132" t="s">
        <v>33</v>
      </c>
      <c r="Y2132" t="s">
        <v>1309</v>
      </c>
      <c r="Z2132" t="s">
        <v>101</v>
      </c>
    </row>
    <row r="2133" spans="1:26">
      <c r="A2133" t="s">
        <v>4236</v>
      </c>
      <c r="B2133" t="s">
        <v>4236</v>
      </c>
      <c r="C2133" s="4">
        <v>45936</v>
      </c>
      <c r="D2133">
        <v>2025</v>
      </c>
      <c r="E2133">
        <v>10</v>
      </c>
      <c r="F2133" t="s">
        <v>26</v>
      </c>
      <c r="G2133" t="s">
        <v>137</v>
      </c>
      <c r="H2133" t="s">
        <v>355</v>
      </c>
      <c r="I2133" t="s">
        <v>1904</v>
      </c>
      <c r="J2133" t="s">
        <v>42</v>
      </c>
      <c r="K2133" t="s">
        <v>1191</v>
      </c>
      <c r="L2133">
        <v>5</v>
      </c>
      <c r="M2133" s="5">
        <v>123.39</v>
      </c>
      <c r="N2133" s="6">
        <v>15</v>
      </c>
      <c r="O2133" s="5">
        <v>92.54</v>
      </c>
      <c r="P2133" s="5">
        <v>78.66</v>
      </c>
      <c r="Q2133" s="5">
        <v>524.41</v>
      </c>
      <c r="R2133" s="5">
        <v>416.65</v>
      </c>
      <c r="S2133" s="5">
        <v>107.76</v>
      </c>
      <c r="T2133" s="7">
        <v>0.205488072309834</v>
      </c>
      <c r="U2133" t="s">
        <v>9</v>
      </c>
      <c r="V2133" t="s">
        <v>50</v>
      </c>
      <c r="W2133" t="s">
        <v>50</v>
      </c>
      <c r="X2133" t="s">
        <v>35</v>
      </c>
      <c r="Y2133" t="s">
        <v>2013</v>
      </c>
      <c r="Z2133" t="s">
        <v>101</v>
      </c>
    </row>
    <row r="2134" spans="1:26">
      <c r="A2134" t="s">
        <v>4237</v>
      </c>
      <c r="B2134" t="s">
        <v>2257</v>
      </c>
      <c r="C2134" s="4">
        <v>45952</v>
      </c>
      <c r="D2134">
        <v>2025</v>
      </c>
      <c r="E2134">
        <v>10</v>
      </c>
      <c r="F2134" t="s">
        <v>26</v>
      </c>
      <c r="G2134" t="s">
        <v>137</v>
      </c>
      <c r="H2134" t="s">
        <v>1274</v>
      </c>
      <c r="I2134" t="s">
        <v>235</v>
      </c>
      <c r="J2134" t="s">
        <v>357</v>
      </c>
      <c r="K2134" t="s">
        <v>358</v>
      </c>
      <c r="L2134">
        <v>1</v>
      </c>
      <c r="M2134" s="5">
        <v>217.42</v>
      </c>
      <c r="N2134" s="6">
        <v>15</v>
      </c>
      <c r="O2134" s="5">
        <v>32.61</v>
      </c>
      <c r="P2134" s="5">
        <v>27.72</v>
      </c>
      <c r="Q2134" s="5">
        <v>184.81</v>
      </c>
      <c r="R2134" s="5">
        <v>177.03</v>
      </c>
      <c r="S2134" s="5">
        <v>7.78</v>
      </c>
      <c r="T2134" s="7">
        <v>0.0420972891077323</v>
      </c>
      <c r="U2134" t="s">
        <v>10</v>
      </c>
      <c r="V2134" t="s">
        <v>50</v>
      </c>
      <c r="W2134" t="s">
        <v>50</v>
      </c>
      <c r="X2134" t="s">
        <v>35</v>
      </c>
      <c r="Y2134" t="s">
        <v>2445</v>
      </c>
      <c r="Z2134" t="s">
        <v>101</v>
      </c>
    </row>
    <row r="2135" spans="1:26">
      <c r="A2135" t="s">
        <v>4238</v>
      </c>
      <c r="B2135" t="s">
        <v>4238</v>
      </c>
      <c r="C2135" s="4">
        <v>45873</v>
      </c>
      <c r="D2135">
        <v>2025</v>
      </c>
      <c r="E2135">
        <v>8</v>
      </c>
      <c r="F2135" t="s">
        <v>24</v>
      </c>
      <c r="G2135" t="s">
        <v>89</v>
      </c>
      <c r="H2135" t="s">
        <v>4239</v>
      </c>
      <c r="I2135" t="s">
        <v>703</v>
      </c>
      <c r="J2135" t="s">
        <v>648</v>
      </c>
      <c r="K2135" t="s">
        <v>1308</v>
      </c>
      <c r="L2135">
        <v>1</v>
      </c>
      <c r="M2135" s="5">
        <v>224.28</v>
      </c>
      <c r="N2135" s="6">
        <v>0</v>
      </c>
      <c r="O2135" s="5">
        <v>0</v>
      </c>
      <c r="P2135" s="5">
        <v>33.64</v>
      </c>
      <c r="Q2135" s="5">
        <v>224.28</v>
      </c>
      <c r="R2135" s="5">
        <v>192.39</v>
      </c>
      <c r="S2135" s="5">
        <v>31.89</v>
      </c>
      <c r="T2135" s="7">
        <v>0.142188336008561</v>
      </c>
      <c r="U2135" t="s">
        <v>13</v>
      </c>
      <c r="V2135" t="s">
        <v>50</v>
      </c>
      <c r="W2135" t="s">
        <v>50</v>
      </c>
      <c r="X2135" t="s">
        <v>33</v>
      </c>
      <c r="Y2135" t="s">
        <v>2375</v>
      </c>
      <c r="Z2135" t="s">
        <v>101</v>
      </c>
    </row>
    <row r="2136" spans="1:26">
      <c r="A2136" t="s">
        <v>4240</v>
      </c>
      <c r="B2136" t="s">
        <v>4240</v>
      </c>
      <c r="C2136" s="4">
        <v>45960</v>
      </c>
      <c r="D2136">
        <v>2025</v>
      </c>
      <c r="E2136">
        <v>10</v>
      </c>
      <c r="F2136" t="s">
        <v>26</v>
      </c>
      <c r="G2136" t="s">
        <v>137</v>
      </c>
      <c r="H2136" t="s">
        <v>1506</v>
      </c>
      <c r="I2136" t="s">
        <v>295</v>
      </c>
      <c r="J2136" t="s">
        <v>998</v>
      </c>
      <c r="K2136" t="s">
        <v>999</v>
      </c>
      <c r="L2136">
        <v>6</v>
      </c>
      <c r="M2136" s="5">
        <v>339.33</v>
      </c>
      <c r="N2136" s="6">
        <v>20</v>
      </c>
      <c r="O2136" s="5">
        <v>407.2</v>
      </c>
      <c r="P2136" s="5">
        <v>244.32</v>
      </c>
      <c r="Q2136" s="5">
        <v>1628.78</v>
      </c>
      <c r="R2136" s="5">
        <v>1629.18</v>
      </c>
      <c r="S2136" s="5">
        <v>-0.4</v>
      </c>
      <c r="T2136" s="7">
        <v>-0.000245582583283193</v>
      </c>
      <c r="U2136" t="s">
        <v>13</v>
      </c>
      <c r="V2136" t="s">
        <v>50</v>
      </c>
      <c r="W2136" t="s">
        <v>50</v>
      </c>
      <c r="X2136" t="s">
        <v>35</v>
      </c>
      <c r="Y2136" t="s">
        <v>1803</v>
      </c>
      <c r="Z2136" t="s">
        <v>101</v>
      </c>
    </row>
    <row r="2137" spans="1:26">
      <c r="A2137" t="s">
        <v>4241</v>
      </c>
      <c r="B2137" t="s">
        <v>4241</v>
      </c>
      <c r="C2137" s="4">
        <v>46004</v>
      </c>
      <c r="D2137">
        <v>2025</v>
      </c>
      <c r="E2137">
        <v>12</v>
      </c>
      <c r="F2137" t="s">
        <v>28</v>
      </c>
      <c r="G2137" t="s">
        <v>137</v>
      </c>
      <c r="H2137" t="s">
        <v>2040</v>
      </c>
      <c r="I2137" t="s">
        <v>235</v>
      </c>
      <c r="J2137" t="s">
        <v>440</v>
      </c>
      <c r="K2137" t="s">
        <v>4242</v>
      </c>
      <c r="L2137">
        <v>1</v>
      </c>
      <c r="M2137" s="5">
        <v>217.42</v>
      </c>
      <c r="N2137" s="6">
        <v>0</v>
      </c>
      <c r="O2137" s="5">
        <v>0</v>
      </c>
      <c r="P2137" s="5">
        <v>32.61</v>
      </c>
      <c r="Q2137" s="5">
        <v>250.03</v>
      </c>
      <c r="R2137" s="5">
        <v>177.03</v>
      </c>
      <c r="S2137" s="5">
        <v>73</v>
      </c>
      <c r="T2137" s="7">
        <v>0.291964964204296</v>
      </c>
      <c r="U2137" t="s">
        <v>11</v>
      </c>
      <c r="V2137" t="s">
        <v>50</v>
      </c>
      <c r="W2137" t="s">
        <v>50</v>
      </c>
      <c r="X2137" t="s">
        <v>33</v>
      </c>
      <c r="Y2137" t="s">
        <v>839</v>
      </c>
      <c r="Z2137" t="s">
        <v>80</v>
      </c>
    </row>
    <row r="2138" spans="1:26">
      <c r="A2138" t="s">
        <v>4243</v>
      </c>
      <c r="B2138" t="s">
        <v>4243</v>
      </c>
      <c r="C2138" s="4">
        <v>45973</v>
      </c>
      <c r="D2138">
        <v>2025</v>
      </c>
      <c r="E2138">
        <v>11</v>
      </c>
      <c r="F2138" t="s">
        <v>27</v>
      </c>
      <c r="G2138" t="s">
        <v>137</v>
      </c>
      <c r="H2138" t="s">
        <v>2340</v>
      </c>
      <c r="I2138" t="s">
        <v>180</v>
      </c>
      <c r="J2138" t="s">
        <v>133</v>
      </c>
      <c r="K2138" t="s">
        <v>2235</v>
      </c>
      <c r="L2138">
        <v>4</v>
      </c>
      <c r="M2138" s="5">
        <v>379.12</v>
      </c>
      <c r="N2138" s="6">
        <v>5</v>
      </c>
      <c r="O2138" s="5">
        <v>75.82</v>
      </c>
      <c r="P2138" s="5">
        <v>216.1</v>
      </c>
      <c r="Q2138" s="5">
        <v>1440.66</v>
      </c>
      <c r="R2138" s="5">
        <v>1172.2</v>
      </c>
      <c r="S2138" s="5">
        <v>268.46</v>
      </c>
      <c r="T2138" s="7">
        <v>0.186345147363014</v>
      </c>
      <c r="U2138" t="s">
        <v>14</v>
      </c>
      <c r="V2138" t="s">
        <v>50</v>
      </c>
      <c r="W2138" t="s">
        <v>50</v>
      </c>
      <c r="X2138" t="s">
        <v>35</v>
      </c>
      <c r="Y2138" t="s">
        <v>148</v>
      </c>
      <c r="Z2138" t="s">
        <v>101</v>
      </c>
    </row>
    <row r="2139" spans="1:26">
      <c r="A2139" t="s">
        <v>4244</v>
      </c>
      <c r="B2139" t="s">
        <v>4244</v>
      </c>
      <c r="C2139" s="4">
        <v>46004</v>
      </c>
      <c r="D2139">
        <v>2025</v>
      </c>
      <c r="E2139">
        <v>12</v>
      </c>
      <c r="F2139" t="s">
        <v>28</v>
      </c>
      <c r="G2139" t="s">
        <v>137</v>
      </c>
      <c r="H2139" t="s">
        <v>2256</v>
      </c>
      <c r="I2139" t="s">
        <v>317</v>
      </c>
      <c r="J2139" t="s">
        <v>435</v>
      </c>
      <c r="K2139" t="s">
        <v>436</v>
      </c>
      <c r="L2139">
        <v>3</v>
      </c>
      <c r="M2139" s="5">
        <v>155.55</v>
      </c>
      <c r="N2139" s="6">
        <v>5</v>
      </c>
      <c r="O2139" s="5">
        <v>23.33</v>
      </c>
      <c r="P2139" s="5">
        <v>66.5</v>
      </c>
      <c r="Q2139" s="5">
        <v>509.82</v>
      </c>
      <c r="R2139" s="5">
        <v>412.92</v>
      </c>
      <c r="S2139" s="5">
        <v>96.9</v>
      </c>
      <c r="T2139" s="7">
        <v>0.190067082499706</v>
      </c>
      <c r="U2139" t="s">
        <v>13</v>
      </c>
      <c r="V2139" t="s">
        <v>50</v>
      </c>
      <c r="W2139" t="s">
        <v>50</v>
      </c>
      <c r="X2139" t="s">
        <v>33</v>
      </c>
      <c r="Y2139" t="s">
        <v>1498</v>
      </c>
      <c r="Z2139" t="s">
        <v>80</v>
      </c>
    </row>
    <row r="2140" spans="1:26">
      <c r="A2140" t="s">
        <v>4245</v>
      </c>
      <c r="B2140" t="s">
        <v>4245</v>
      </c>
      <c r="C2140" s="4">
        <v>45857</v>
      </c>
      <c r="D2140">
        <v>2025</v>
      </c>
      <c r="E2140">
        <v>7</v>
      </c>
      <c r="F2140" t="s">
        <v>23</v>
      </c>
      <c r="G2140" t="s">
        <v>89</v>
      </c>
      <c r="H2140" t="s">
        <v>521</v>
      </c>
      <c r="I2140" t="s">
        <v>323</v>
      </c>
      <c r="J2140" t="s">
        <v>191</v>
      </c>
      <c r="K2140" t="s">
        <v>192</v>
      </c>
      <c r="L2140">
        <v>6</v>
      </c>
      <c r="M2140" s="5">
        <v>53.72</v>
      </c>
      <c r="N2140" s="6">
        <v>0</v>
      </c>
      <c r="O2140" s="5">
        <v>0</v>
      </c>
      <c r="P2140" s="5">
        <v>48.35</v>
      </c>
      <c r="Q2140" s="5">
        <v>370.67</v>
      </c>
      <c r="R2140" s="5">
        <v>224.88</v>
      </c>
      <c r="S2140" s="5">
        <v>145.79</v>
      </c>
      <c r="T2140" s="7">
        <v>0.393314808320069</v>
      </c>
      <c r="U2140" t="s">
        <v>10</v>
      </c>
      <c r="V2140" t="s">
        <v>50</v>
      </c>
      <c r="W2140" t="s">
        <v>50</v>
      </c>
      <c r="X2140" t="s">
        <v>33</v>
      </c>
      <c r="Y2140" t="s">
        <v>4020</v>
      </c>
      <c r="Z2140" t="s">
        <v>80</v>
      </c>
    </row>
    <row r="2141" spans="1:26">
      <c r="A2141" t="s">
        <v>4246</v>
      </c>
      <c r="B2141" t="s">
        <v>4246</v>
      </c>
      <c r="C2141" s="4">
        <v>46097</v>
      </c>
      <c r="D2141">
        <v>2026</v>
      </c>
      <c r="E2141">
        <v>3</v>
      </c>
      <c r="F2141" t="s">
        <v>19</v>
      </c>
      <c r="G2141" t="s">
        <v>82</v>
      </c>
      <c r="H2141" t="s">
        <v>1983</v>
      </c>
      <c r="I2141" t="s">
        <v>374</v>
      </c>
      <c r="J2141" t="s">
        <v>2259</v>
      </c>
      <c r="K2141" t="s">
        <v>1141</v>
      </c>
      <c r="L2141">
        <v>6</v>
      </c>
      <c r="M2141" s="5">
        <v>421.98</v>
      </c>
      <c r="N2141" s="6">
        <v>15</v>
      </c>
      <c r="O2141" s="5">
        <v>379.78</v>
      </c>
      <c r="P2141" s="5">
        <v>322.82</v>
      </c>
      <c r="Q2141" s="5">
        <v>2152.1</v>
      </c>
      <c r="R2141" s="5">
        <v>2045.4</v>
      </c>
      <c r="S2141" s="5">
        <v>106.7</v>
      </c>
      <c r="T2141" s="7">
        <v>0.0495794805074114</v>
      </c>
      <c r="U2141" t="s">
        <v>11</v>
      </c>
      <c r="V2141" t="s">
        <v>50</v>
      </c>
      <c r="W2141" t="s">
        <v>50</v>
      </c>
      <c r="X2141" t="s">
        <v>33</v>
      </c>
      <c r="Y2141" t="s">
        <v>1852</v>
      </c>
      <c r="Z2141" t="s">
        <v>101</v>
      </c>
    </row>
    <row r="2142" spans="1:26">
      <c r="A2142" t="s">
        <v>4247</v>
      </c>
      <c r="B2142" t="s">
        <v>4247</v>
      </c>
      <c r="C2142" s="4">
        <v>46051</v>
      </c>
      <c r="D2142">
        <v>2026</v>
      </c>
      <c r="E2142">
        <v>1</v>
      </c>
      <c r="F2142" t="s">
        <v>30</v>
      </c>
      <c r="G2142" t="s">
        <v>82</v>
      </c>
      <c r="H2142" t="s">
        <v>1506</v>
      </c>
      <c r="I2142" t="s">
        <v>574</v>
      </c>
      <c r="J2142" t="s">
        <v>1422</v>
      </c>
      <c r="K2142" t="s">
        <v>4248</v>
      </c>
      <c r="L2142">
        <v>7</v>
      </c>
      <c r="M2142" s="5">
        <v>140.67</v>
      </c>
      <c r="N2142" s="6">
        <v>5</v>
      </c>
      <c r="O2142" s="5">
        <v>49.23</v>
      </c>
      <c r="P2142" s="5">
        <v>140.32</v>
      </c>
      <c r="Q2142" s="5">
        <v>935.46</v>
      </c>
      <c r="R2142" s="5">
        <v>669.9</v>
      </c>
      <c r="S2142" s="5">
        <v>265.56</v>
      </c>
      <c r="T2142" s="7">
        <v>0.283881726637162</v>
      </c>
      <c r="U2142" t="s">
        <v>14</v>
      </c>
      <c r="V2142" t="s">
        <v>50</v>
      </c>
      <c r="W2142" t="s">
        <v>50</v>
      </c>
      <c r="X2142" t="s">
        <v>33</v>
      </c>
      <c r="Y2142" t="s">
        <v>2874</v>
      </c>
      <c r="Z2142" t="s">
        <v>101</v>
      </c>
    </row>
    <row r="2143" spans="1:26">
      <c r="A2143" t="s">
        <v>4249</v>
      </c>
      <c r="B2143" t="s">
        <v>4249</v>
      </c>
      <c r="C2143" s="4">
        <v>46086</v>
      </c>
      <c r="D2143">
        <v>2026</v>
      </c>
      <c r="E2143">
        <v>3</v>
      </c>
      <c r="F2143" t="s">
        <v>19</v>
      </c>
      <c r="G2143" t="s">
        <v>82</v>
      </c>
      <c r="H2143" t="s">
        <v>2258</v>
      </c>
      <c r="I2143" t="s">
        <v>609</v>
      </c>
      <c r="J2143" t="s">
        <v>45</v>
      </c>
      <c r="K2143" t="s">
        <v>1351</v>
      </c>
      <c r="L2143">
        <v>4</v>
      </c>
      <c r="M2143" s="5">
        <v>328.59</v>
      </c>
      <c r="N2143" s="6">
        <v>0</v>
      </c>
      <c r="O2143" s="5">
        <v>0</v>
      </c>
      <c r="P2143" s="5">
        <v>197.15</v>
      </c>
      <c r="Q2143" s="5">
        <v>1314.36</v>
      </c>
      <c r="R2143" s="5">
        <v>1021.96</v>
      </c>
      <c r="S2143" s="5">
        <v>292.4</v>
      </c>
      <c r="T2143" s="7">
        <v>0.222465686722055</v>
      </c>
      <c r="U2143" t="s">
        <v>12</v>
      </c>
      <c r="V2143" t="s">
        <v>51</v>
      </c>
      <c r="W2143" t="s">
        <v>51</v>
      </c>
      <c r="X2143" t="s">
        <v>33</v>
      </c>
      <c r="Y2143" t="s">
        <v>2488</v>
      </c>
      <c r="Z2143" t="s">
        <v>101</v>
      </c>
    </row>
    <row r="2144" spans="1:26">
      <c r="A2144" t="s">
        <v>4250</v>
      </c>
      <c r="B2144" t="s">
        <v>4250</v>
      </c>
      <c r="C2144" s="4">
        <v>45826</v>
      </c>
      <c r="D2144">
        <v>2025</v>
      </c>
      <c r="E2144">
        <v>6</v>
      </c>
      <c r="F2144" t="s">
        <v>22</v>
      </c>
      <c r="G2144" t="s">
        <v>74</v>
      </c>
      <c r="H2144" t="s">
        <v>1034</v>
      </c>
      <c r="I2144" t="s">
        <v>225</v>
      </c>
      <c r="J2144" t="s">
        <v>1201</v>
      </c>
      <c r="K2144" t="s">
        <v>165</v>
      </c>
      <c r="L2144">
        <v>7</v>
      </c>
      <c r="M2144" s="5">
        <v>399.42</v>
      </c>
      <c r="N2144" s="6">
        <v>0</v>
      </c>
      <c r="O2144" s="5">
        <v>0</v>
      </c>
      <c r="P2144" s="5">
        <v>419.39</v>
      </c>
      <c r="Q2144" s="5">
        <v>2795.94</v>
      </c>
      <c r="R2144" s="5">
        <v>2123.87</v>
      </c>
      <c r="S2144" s="5">
        <v>672.07</v>
      </c>
      <c r="T2144" s="7">
        <v>0.240373541635371</v>
      </c>
      <c r="U2144" t="s">
        <v>10</v>
      </c>
      <c r="V2144" t="s">
        <v>50</v>
      </c>
      <c r="W2144" t="s">
        <v>50</v>
      </c>
      <c r="X2144" t="s">
        <v>35</v>
      </c>
      <c r="Y2144" t="s">
        <v>2267</v>
      </c>
      <c r="Z2144" t="s">
        <v>101</v>
      </c>
    </row>
    <row r="2145" spans="1:26">
      <c r="A2145" t="s">
        <v>4251</v>
      </c>
      <c r="B2145" t="s">
        <v>4251</v>
      </c>
      <c r="C2145" s="4">
        <v>45760</v>
      </c>
      <c r="D2145">
        <v>2025</v>
      </c>
      <c r="E2145">
        <v>4</v>
      </c>
      <c r="F2145" t="s">
        <v>20</v>
      </c>
      <c r="G2145" t="s">
        <v>74</v>
      </c>
      <c r="H2145" t="s">
        <v>2731</v>
      </c>
      <c r="I2145" t="s">
        <v>498</v>
      </c>
      <c r="J2145" t="s">
        <v>681</v>
      </c>
      <c r="K2145" t="s">
        <v>4252</v>
      </c>
      <c r="L2145">
        <v>3</v>
      </c>
      <c r="M2145" s="5">
        <v>365.92</v>
      </c>
      <c r="N2145" s="6">
        <v>0</v>
      </c>
      <c r="O2145" s="5">
        <v>0</v>
      </c>
      <c r="P2145" s="5">
        <v>164.66</v>
      </c>
      <c r="Q2145" s="5">
        <v>1262.42</v>
      </c>
      <c r="R2145" s="5">
        <v>931.14</v>
      </c>
      <c r="S2145" s="5">
        <v>331.28</v>
      </c>
      <c r="T2145" s="7">
        <v>0.262416628380412</v>
      </c>
      <c r="U2145" t="s">
        <v>12</v>
      </c>
      <c r="V2145" t="s">
        <v>50</v>
      </c>
      <c r="W2145" t="s">
        <v>50</v>
      </c>
      <c r="X2145" t="s">
        <v>33</v>
      </c>
      <c r="Y2145" t="s">
        <v>4253</v>
      </c>
      <c r="Z2145" t="s">
        <v>80</v>
      </c>
    </row>
    <row r="2146" spans="1:26">
      <c r="A2146" t="s">
        <v>4254</v>
      </c>
      <c r="B2146" t="s">
        <v>4254</v>
      </c>
      <c r="C2146" s="4">
        <v>45995</v>
      </c>
      <c r="D2146">
        <v>2025</v>
      </c>
      <c r="E2146">
        <v>12</v>
      </c>
      <c r="F2146" t="s">
        <v>28</v>
      </c>
      <c r="G2146" t="s">
        <v>137</v>
      </c>
      <c r="H2146" t="s">
        <v>1271</v>
      </c>
      <c r="I2146" t="s">
        <v>332</v>
      </c>
      <c r="J2146" t="s">
        <v>2513</v>
      </c>
      <c r="K2146" t="s">
        <v>1913</v>
      </c>
      <c r="L2146">
        <v>3</v>
      </c>
      <c r="M2146" s="5">
        <v>73.83</v>
      </c>
      <c r="N2146" s="6">
        <v>0</v>
      </c>
      <c r="O2146" s="5">
        <v>0</v>
      </c>
      <c r="P2146" s="5">
        <v>33.22</v>
      </c>
      <c r="Q2146" s="5">
        <v>221.49</v>
      </c>
      <c r="R2146" s="5">
        <v>162.96</v>
      </c>
      <c r="S2146" s="5">
        <v>58.53</v>
      </c>
      <c r="T2146" s="7">
        <v>0.264255722605987</v>
      </c>
      <c r="U2146" t="s">
        <v>13</v>
      </c>
      <c r="V2146" t="s">
        <v>50</v>
      </c>
      <c r="W2146" t="s">
        <v>50</v>
      </c>
      <c r="X2146" t="s">
        <v>34</v>
      </c>
      <c r="Y2146" t="s">
        <v>589</v>
      </c>
      <c r="Z2146" t="s">
        <v>101</v>
      </c>
    </row>
    <row r="2147" spans="1:26">
      <c r="A2147" t="s">
        <v>4255</v>
      </c>
      <c r="B2147" t="s">
        <v>4255</v>
      </c>
      <c r="C2147" s="4">
        <v>46072</v>
      </c>
      <c r="D2147">
        <v>2026</v>
      </c>
      <c r="E2147">
        <v>2</v>
      </c>
      <c r="F2147" t="s">
        <v>31</v>
      </c>
      <c r="G2147" t="s">
        <v>82</v>
      </c>
      <c r="H2147" t="s">
        <v>2352</v>
      </c>
      <c r="I2147" t="s">
        <v>423</v>
      </c>
      <c r="J2147" t="s">
        <v>1272</v>
      </c>
      <c r="K2147" t="s">
        <v>971</v>
      </c>
      <c r="L2147">
        <v>2</v>
      </c>
      <c r="M2147" s="5">
        <v>53.39</v>
      </c>
      <c r="N2147" s="6">
        <v>15</v>
      </c>
      <c r="O2147" s="5">
        <v>16.02</v>
      </c>
      <c r="P2147" s="5">
        <v>13.61</v>
      </c>
      <c r="Q2147" s="5">
        <v>90.76</v>
      </c>
      <c r="R2147" s="5">
        <v>86.02</v>
      </c>
      <c r="S2147" s="5">
        <v>4.74</v>
      </c>
      <c r="T2147" s="7">
        <v>0.0522256500661084</v>
      </c>
      <c r="U2147" t="s">
        <v>12</v>
      </c>
      <c r="V2147" t="s">
        <v>50</v>
      </c>
      <c r="W2147" t="s">
        <v>50</v>
      </c>
      <c r="X2147" t="s">
        <v>34</v>
      </c>
      <c r="Y2147" t="s">
        <v>2252</v>
      </c>
      <c r="Z2147" t="s">
        <v>101</v>
      </c>
    </row>
    <row r="2148" spans="1:26">
      <c r="A2148" t="s">
        <v>4256</v>
      </c>
      <c r="B2148" t="s">
        <v>4256</v>
      </c>
      <c r="C2148" s="4">
        <v>46040</v>
      </c>
      <c r="D2148">
        <v>2026</v>
      </c>
      <c r="E2148">
        <v>1</v>
      </c>
      <c r="F2148" t="s">
        <v>30</v>
      </c>
      <c r="G2148" t="s">
        <v>82</v>
      </c>
      <c r="H2148" t="s">
        <v>1034</v>
      </c>
      <c r="I2148" t="s">
        <v>598</v>
      </c>
      <c r="J2148" t="s">
        <v>41</v>
      </c>
      <c r="K2148" t="s">
        <v>588</v>
      </c>
      <c r="L2148">
        <v>8</v>
      </c>
      <c r="M2148" s="5">
        <v>551.24</v>
      </c>
      <c r="N2148" s="6">
        <v>0</v>
      </c>
      <c r="O2148" s="5">
        <v>0</v>
      </c>
      <c r="P2148" s="5">
        <v>661.49</v>
      </c>
      <c r="Q2148" s="5">
        <v>5071.41</v>
      </c>
      <c r="R2148" s="5">
        <v>2924.56</v>
      </c>
      <c r="S2148" s="5">
        <v>2146.85</v>
      </c>
      <c r="T2148" s="7">
        <v>0.423324085412144</v>
      </c>
      <c r="U2148" t="s">
        <v>14</v>
      </c>
      <c r="V2148" t="s">
        <v>50</v>
      </c>
      <c r="W2148" t="s">
        <v>50</v>
      </c>
      <c r="X2148" t="s">
        <v>33</v>
      </c>
      <c r="Y2148" t="s">
        <v>2113</v>
      </c>
      <c r="Z2148" t="s">
        <v>80</v>
      </c>
    </row>
    <row r="2149" spans="1:26">
      <c r="A2149" t="s">
        <v>4257</v>
      </c>
      <c r="B2149" t="s">
        <v>4257</v>
      </c>
      <c r="C2149" s="4">
        <v>46011</v>
      </c>
      <c r="D2149">
        <v>2025</v>
      </c>
      <c r="E2149">
        <v>12</v>
      </c>
      <c r="F2149" t="s">
        <v>28</v>
      </c>
      <c r="G2149" t="s">
        <v>137</v>
      </c>
      <c r="H2149" t="s">
        <v>1641</v>
      </c>
      <c r="I2149" t="s">
        <v>498</v>
      </c>
      <c r="J2149" t="s">
        <v>396</v>
      </c>
      <c r="K2149" t="s">
        <v>397</v>
      </c>
      <c r="L2149">
        <v>5</v>
      </c>
      <c r="M2149" s="5">
        <v>365.92</v>
      </c>
      <c r="N2149" s="6">
        <v>15</v>
      </c>
      <c r="O2149" s="5">
        <v>274.44</v>
      </c>
      <c r="P2149" s="5">
        <v>233.27</v>
      </c>
      <c r="Q2149" s="5">
        <v>1788.43</v>
      </c>
      <c r="R2149" s="5">
        <v>1551.9</v>
      </c>
      <c r="S2149" s="5">
        <v>236.53</v>
      </c>
      <c r="T2149" s="7">
        <v>0.13225566558378</v>
      </c>
      <c r="U2149" t="s">
        <v>12</v>
      </c>
      <c r="V2149" t="s">
        <v>50</v>
      </c>
      <c r="W2149" t="s">
        <v>50</v>
      </c>
      <c r="X2149" t="s">
        <v>35</v>
      </c>
      <c r="Y2149" t="s">
        <v>3651</v>
      </c>
      <c r="Z2149" t="s">
        <v>80</v>
      </c>
    </row>
    <row r="2150" spans="1:26">
      <c r="A2150" t="s">
        <v>4258</v>
      </c>
      <c r="B2150" t="s">
        <v>4258</v>
      </c>
      <c r="C2150" s="4">
        <v>45951</v>
      </c>
      <c r="D2150">
        <v>2025</v>
      </c>
      <c r="E2150">
        <v>10</v>
      </c>
      <c r="F2150" t="s">
        <v>26</v>
      </c>
      <c r="G2150" t="s">
        <v>137</v>
      </c>
      <c r="H2150" t="s">
        <v>96</v>
      </c>
      <c r="I2150" t="s">
        <v>1686</v>
      </c>
      <c r="J2150" t="s">
        <v>85</v>
      </c>
      <c r="K2150" t="s">
        <v>86</v>
      </c>
      <c r="L2150">
        <v>2</v>
      </c>
      <c r="M2150" s="5">
        <v>232.2</v>
      </c>
      <c r="N2150" s="6">
        <v>10</v>
      </c>
      <c r="O2150" s="5">
        <v>46.44</v>
      </c>
      <c r="P2150" s="5">
        <v>62.69</v>
      </c>
      <c r="Q2150" s="5">
        <v>417.96</v>
      </c>
      <c r="R2150" s="5">
        <v>321.96</v>
      </c>
      <c r="S2150" s="5">
        <v>96</v>
      </c>
      <c r="T2150" s="7">
        <v>0.229687051392478</v>
      </c>
      <c r="U2150" t="s">
        <v>10</v>
      </c>
      <c r="V2150" t="s">
        <v>50</v>
      </c>
      <c r="W2150" t="s">
        <v>50</v>
      </c>
      <c r="X2150" t="s">
        <v>35</v>
      </c>
      <c r="Y2150" t="s">
        <v>3141</v>
      </c>
      <c r="Z2150" t="s">
        <v>101</v>
      </c>
    </row>
    <row r="2151" spans="1:26">
      <c r="A2151" t="s">
        <v>4259</v>
      </c>
      <c r="B2151" t="s">
        <v>4259</v>
      </c>
      <c r="C2151" s="4">
        <v>46112</v>
      </c>
      <c r="D2151">
        <v>2026</v>
      </c>
      <c r="E2151">
        <v>3</v>
      </c>
      <c r="F2151" t="s">
        <v>19</v>
      </c>
      <c r="G2151" t="s">
        <v>82</v>
      </c>
      <c r="H2151" t="s">
        <v>1322</v>
      </c>
      <c r="I2151" t="s">
        <v>1264</v>
      </c>
      <c r="J2151" t="s">
        <v>1104</v>
      </c>
      <c r="K2151" t="s">
        <v>1105</v>
      </c>
      <c r="L2151">
        <v>2</v>
      </c>
      <c r="M2151" s="5">
        <v>182.3</v>
      </c>
      <c r="N2151" s="6">
        <v>5</v>
      </c>
      <c r="O2151" s="5">
        <v>18.23</v>
      </c>
      <c r="P2151" s="5">
        <v>51.96</v>
      </c>
      <c r="Q2151" s="5">
        <v>346.37</v>
      </c>
      <c r="R2151" s="5">
        <v>215.2</v>
      </c>
      <c r="S2151" s="5">
        <v>131.17</v>
      </c>
      <c r="T2151" s="7">
        <v>0.378699079019546</v>
      </c>
      <c r="U2151" t="s">
        <v>13</v>
      </c>
      <c r="V2151" t="s">
        <v>50</v>
      </c>
      <c r="W2151" t="s">
        <v>50</v>
      </c>
      <c r="X2151" t="s">
        <v>35</v>
      </c>
      <c r="Y2151" t="s">
        <v>4260</v>
      </c>
      <c r="Z2151" t="s">
        <v>101</v>
      </c>
    </row>
    <row r="2152" spans="1:26">
      <c r="A2152" t="s">
        <v>4261</v>
      </c>
      <c r="B2152" t="s">
        <v>4261</v>
      </c>
      <c r="C2152" s="4">
        <v>46103</v>
      </c>
      <c r="D2152">
        <v>2026</v>
      </c>
      <c r="E2152">
        <v>3</v>
      </c>
      <c r="F2152" t="s">
        <v>19</v>
      </c>
      <c r="G2152" t="s">
        <v>82</v>
      </c>
      <c r="H2152" t="s">
        <v>3104</v>
      </c>
      <c r="I2152" t="s">
        <v>913</v>
      </c>
      <c r="J2152" t="s">
        <v>1940</v>
      </c>
      <c r="K2152" t="s">
        <v>3691</v>
      </c>
      <c r="L2152">
        <v>7</v>
      </c>
      <c r="M2152" s="5">
        <v>224.08</v>
      </c>
      <c r="N2152" s="6">
        <v>15</v>
      </c>
      <c r="O2152" s="5">
        <v>235.28</v>
      </c>
      <c r="P2152" s="5">
        <v>199.99</v>
      </c>
      <c r="Q2152" s="5">
        <v>1533.27</v>
      </c>
      <c r="R2152" s="5">
        <v>1106.42</v>
      </c>
      <c r="S2152" s="5">
        <v>426.85</v>
      </c>
      <c r="T2152" s="7">
        <v>0.278391933579865</v>
      </c>
      <c r="U2152" t="s">
        <v>14</v>
      </c>
      <c r="V2152" t="s">
        <v>50</v>
      </c>
      <c r="W2152" t="s">
        <v>50</v>
      </c>
      <c r="X2152" t="s">
        <v>33</v>
      </c>
      <c r="Y2152" t="s">
        <v>1119</v>
      </c>
      <c r="Z2152" t="s">
        <v>80</v>
      </c>
    </row>
    <row r="2153" spans="1:26">
      <c r="A2153" t="s">
        <v>4262</v>
      </c>
      <c r="B2153" t="s">
        <v>4262</v>
      </c>
      <c r="C2153" s="4">
        <v>45836</v>
      </c>
      <c r="D2153">
        <v>2025</v>
      </c>
      <c r="E2153">
        <v>6</v>
      </c>
      <c r="F2153" t="s">
        <v>22</v>
      </c>
      <c r="G2153" t="s">
        <v>74</v>
      </c>
      <c r="H2153" t="s">
        <v>2713</v>
      </c>
      <c r="I2153" t="s">
        <v>694</v>
      </c>
      <c r="J2153" t="s">
        <v>333</v>
      </c>
      <c r="K2153" t="s">
        <v>709</v>
      </c>
      <c r="L2153">
        <v>5</v>
      </c>
      <c r="M2153" s="5">
        <v>363.01</v>
      </c>
      <c r="N2153" s="6">
        <v>10</v>
      </c>
      <c r="O2153" s="5">
        <v>181.5</v>
      </c>
      <c r="P2153" s="5">
        <v>245.03</v>
      </c>
      <c r="Q2153" s="5">
        <v>1878.58</v>
      </c>
      <c r="R2153" s="5">
        <v>1451.65</v>
      </c>
      <c r="S2153" s="5">
        <v>426.93</v>
      </c>
      <c r="T2153" s="7">
        <v>0.227262080933471</v>
      </c>
      <c r="U2153" t="s">
        <v>9</v>
      </c>
      <c r="V2153" t="s">
        <v>50</v>
      </c>
      <c r="W2153" t="s">
        <v>50</v>
      </c>
      <c r="X2153" t="s">
        <v>35</v>
      </c>
      <c r="Y2153" t="s">
        <v>2514</v>
      </c>
      <c r="Z2153" t="s">
        <v>80</v>
      </c>
    </row>
    <row r="2154" spans="1:26">
      <c r="A2154" t="s">
        <v>4263</v>
      </c>
      <c r="B2154" t="s">
        <v>4263</v>
      </c>
      <c r="C2154" s="4">
        <v>45944</v>
      </c>
      <c r="D2154">
        <v>2025</v>
      </c>
      <c r="E2154">
        <v>10</v>
      </c>
      <c r="F2154" t="s">
        <v>26</v>
      </c>
      <c r="G2154" t="s">
        <v>137</v>
      </c>
      <c r="H2154" t="s">
        <v>641</v>
      </c>
      <c r="I2154" t="s">
        <v>1196</v>
      </c>
      <c r="J2154" t="s">
        <v>665</v>
      </c>
      <c r="K2154" t="s">
        <v>784</v>
      </c>
      <c r="L2154">
        <v>2</v>
      </c>
      <c r="M2154" s="5">
        <v>147.72</v>
      </c>
      <c r="N2154" s="6">
        <v>0</v>
      </c>
      <c r="O2154" s="5">
        <v>0</v>
      </c>
      <c r="P2154" s="5">
        <v>44.32</v>
      </c>
      <c r="Q2154" s="5">
        <v>295.44</v>
      </c>
      <c r="R2154" s="5">
        <v>218.42</v>
      </c>
      <c r="S2154" s="5">
        <v>77.02</v>
      </c>
      <c r="T2154" s="7">
        <v>0.26069591118332</v>
      </c>
      <c r="U2154" t="s">
        <v>9</v>
      </c>
      <c r="V2154" t="s">
        <v>50</v>
      </c>
      <c r="W2154" t="s">
        <v>50</v>
      </c>
      <c r="X2154" t="s">
        <v>33</v>
      </c>
      <c r="Y2154" t="s">
        <v>753</v>
      </c>
      <c r="Z2154" t="s">
        <v>101</v>
      </c>
    </row>
    <row r="2155" spans="1:26">
      <c r="A2155" t="s">
        <v>4264</v>
      </c>
      <c r="B2155" t="s">
        <v>4264</v>
      </c>
      <c r="C2155" s="4">
        <v>45963</v>
      </c>
      <c r="D2155">
        <v>2025</v>
      </c>
      <c r="E2155">
        <v>11</v>
      </c>
      <c r="F2155" t="s">
        <v>27</v>
      </c>
      <c r="G2155" t="s">
        <v>137</v>
      </c>
      <c r="H2155" t="s">
        <v>150</v>
      </c>
      <c r="I2155" t="s">
        <v>417</v>
      </c>
      <c r="J2155" t="s">
        <v>435</v>
      </c>
      <c r="K2155" t="s">
        <v>863</v>
      </c>
      <c r="L2155">
        <v>7</v>
      </c>
      <c r="M2155" s="5">
        <v>389</v>
      </c>
      <c r="N2155" s="6">
        <v>0</v>
      </c>
      <c r="O2155" s="5">
        <v>0</v>
      </c>
      <c r="P2155" s="5">
        <v>408.45</v>
      </c>
      <c r="Q2155" s="5">
        <v>3131.45</v>
      </c>
      <c r="R2155" s="5">
        <v>2169.86</v>
      </c>
      <c r="S2155" s="5">
        <v>961.59</v>
      </c>
      <c r="T2155" s="7">
        <v>0.307074997205767</v>
      </c>
      <c r="U2155" t="s">
        <v>14</v>
      </c>
      <c r="V2155" t="s">
        <v>50</v>
      </c>
      <c r="W2155" t="s">
        <v>50</v>
      </c>
      <c r="X2155" t="s">
        <v>33</v>
      </c>
      <c r="Y2155" t="s">
        <v>1442</v>
      </c>
      <c r="Z2155" t="s">
        <v>80</v>
      </c>
    </row>
    <row r="2156" spans="1:26">
      <c r="A2156" t="s">
        <v>4265</v>
      </c>
      <c r="B2156" t="s">
        <v>4265</v>
      </c>
      <c r="C2156" s="4">
        <v>45798</v>
      </c>
      <c r="D2156">
        <v>2025</v>
      </c>
      <c r="E2156">
        <v>5</v>
      </c>
      <c r="F2156" t="s">
        <v>21</v>
      </c>
      <c r="G2156" t="s">
        <v>74</v>
      </c>
      <c r="H2156" t="s">
        <v>1110</v>
      </c>
      <c r="I2156" t="s">
        <v>417</v>
      </c>
      <c r="J2156" t="s">
        <v>146</v>
      </c>
      <c r="K2156" t="s">
        <v>287</v>
      </c>
      <c r="L2156">
        <v>5</v>
      </c>
      <c r="M2156" s="5">
        <v>433.97</v>
      </c>
      <c r="N2156" s="6">
        <v>10</v>
      </c>
      <c r="O2156" s="5">
        <v>216.99</v>
      </c>
      <c r="P2156" s="5">
        <v>292.93</v>
      </c>
      <c r="Q2156" s="5">
        <v>1952.86</v>
      </c>
      <c r="R2156" s="5">
        <v>1549.9</v>
      </c>
      <c r="S2156" s="5">
        <v>402.96</v>
      </c>
      <c r="T2156" s="7">
        <v>0.206343516688344</v>
      </c>
      <c r="U2156" t="s">
        <v>12</v>
      </c>
      <c r="V2156" t="s">
        <v>50</v>
      </c>
      <c r="W2156" t="s">
        <v>50</v>
      </c>
      <c r="X2156" t="s">
        <v>33</v>
      </c>
      <c r="Y2156" t="s">
        <v>1476</v>
      </c>
      <c r="Z2156" t="s">
        <v>101</v>
      </c>
    </row>
    <row r="2157" spans="1:26">
      <c r="A2157" t="s">
        <v>4266</v>
      </c>
      <c r="B2157" t="s">
        <v>4266</v>
      </c>
      <c r="C2157" s="4">
        <v>45955</v>
      </c>
      <c r="D2157">
        <v>2025</v>
      </c>
      <c r="E2157">
        <v>10</v>
      </c>
      <c r="F2157" t="s">
        <v>26</v>
      </c>
      <c r="G2157" t="s">
        <v>137</v>
      </c>
      <c r="H2157" t="s">
        <v>702</v>
      </c>
      <c r="I2157" t="s">
        <v>1686</v>
      </c>
      <c r="J2157" t="s">
        <v>92</v>
      </c>
      <c r="K2157" t="s">
        <v>2638</v>
      </c>
      <c r="L2157">
        <v>3</v>
      </c>
      <c r="M2157" s="5">
        <v>232.2</v>
      </c>
      <c r="N2157" s="6">
        <v>0</v>
      </c>
      <c r="O2157" s="5">
        <v>0</v>
      </c>
      <c r="P2157" s="5">
        <v>104.49</v>
      </c>
      <c r="Q2157" s="5">
        <v>801.09</v>
      </c>
      <c r="R2157" s="5">
        <v>482.94</v>
      </c>
      <c r="S2157" s="5">
        <v>318.15</v>
      </c>
      <c r="T2157" s="7">
        <v>0.397146388046287</v>
      </c>
      <c r="U2157" t="s">
        <v>13</v>
      </c>
      <c r="V2157" t="s">
        <v>50</v>
      </c>
      <c r="W2157" t="s">
        <v>50</v>
      </c>
      <c r="X2157" t="s">
        <v>33</v>
      </c>
      <c r="Y2157" t="s">
        <v>2116</v>
      </c>
      <c r="Z2157" t="s">
        <v>80</v>
      </c>
    </row>
    <row r="2158" spans="1:26">
      <c r="A2158" t="s">
        <v>4267</v>
      </c>
      <c r="B2158" t="s">
        <v>4267</v>
      </c>
      <c r="C2158" s="4">
        <v>45805</v>
      </c>
      <c r="D2158">
        <v>2025</v>
      </c>
      <c r="E2158">
        <v>5</v>
      </c>
      <c r="F2158" t="s">
        <v>21</v>
      </c>
      <c r="G2158" t="s">
        <v>74</v>
      </c>
      <c r="H2158" t="s">
        <v>1807</v>
      </c>
      <c r="I2158" t="s">
        <v>225</v>
      </c>
      <c r="J2158" t="s">
        <v>1855</v>
      </c>
      <c r="K2158" t="s">
        <v>1328</v>
      </c>
      <c r="L2158">
        <v>4</v>
      </c>
      <c r="M2158" s="5">
        <v>355.64</v>
      </c>
      <c r="N2158" s="6">
        <v>0</v>
      </c>
      <c r="O2158" s="5">
        <v>0</v>
      </c>
      <c r="P2158" s="5">
        <v>213.38</v>
      </c>
      <c r="Q2158" s="5">
        <v>1422.56</v>
      </c>
      <c r="R2158" s="5">
        <v>1213.64</v>
      </c>
      <c r="S2158" s="5">
        <v>208.92</v>
      </c>
      <c r="T2158" s="7">
        <v>0.146861995276122</v>
      </c>
      <c r="U2158" t="s">
        <v>10</v>
      </c>
      <c r="V2158" t="s">
        <v>50</v>
      </c>
      <c r="W2158" t="s">
        <v>50</v>
      </c>
      <c r="X2158" t="s">
        <v>33</v>
      </c>
      <c r="Y2158" t="s">
        <v>1187</v>
      </c>
      <c r="Z2158" t="s">
        <v>101</v>
      </c>
    </row>
    <row r="2159" spans="1:26">
      <c r="A2159" t="s">
        <v>4268</v>
      </c>
      <c r="B2159" t="s">
        <v>4268</v>
      </c>
      <c r="C2159" s="4">
        <v>45830</v>
      </c>
      <c r="D2159">
        <v>2025</v>
      </c>
      <c r="E2159">
        <v>6</v>
      </c>
      <c r="F2159" t="s">
        <v>22</v>
      </c>
      <c r="G2159" t="s">
        <v>74</v>
      </c>
      <c r="H2159" t="s">
        <v>96</v>
      </c>
      <c r="I2159" t="s">
        <v>503</v>
      </c>
      <c r="J2159" t="s">
        <v>882</v>
      </c>
      <c r="K2159" t="s">
        <v>883</v>
      </c>
      <c r="L2159">
        <v>5</v>
      </c>
      <c r="M2159" s="5">
        <v>71.29</v>
      </c>
      <c r="N2159" s="6">
        <v>0</v>
      </c>
      <c r="O2159" s="5">
        <v>0</v>
      </c>
      <c r="P2159" s="5">
        <v>53.47</v>
      </c>
      <c r="Q2159" s="5">
        <v>409.92</v>
      </c>
      <c r="R2159" s="5">
        <v>296.85</v>
      </c>
      <c r="S2159" s="5">
        <v>113.07</v>
      </c>
      <c r="T2159" s="7">
        <v>0.275834309133489</v>
      </c>
      <c r="U2159" t="s">
        <v>10</v>
      </c>
      <c r="V2159" t="s">
        <v>50</v>
      </c>
      <c r="W2159" t="s">
        <v>50</v>
      </c>
      <c r="X2159" t="s">
        <v>35</v>
      </c>
      <c r="Y2159" t="s">
        <v>1292</v>
      </c>
      <c r="Z2159" t="s">
        <v>80</v>
      </c>
    </row>
    <row r="2160" spans="1:26">
      <c r="A2160" t="s">
        <v>4269</v>
      </c>
      <c r="B2160" t="s">
        <v>4269</v>
      </c>
      <c r="C2160" s="4">
        <v>45916</v>
      </c>
      <c r="D2160">
        <v>2025</v>
      </c>
      <c r="E2160">
        <v>9</v>
      </c>
      <c r="F2160" t="s">
        <v>25</v>
      </c>
      <c r="G2160" t="s">
        <v>89</v>
      </c>
      <c r="H2160" t="s">
        <v>2178</v>
      </c>
      <c r="I2160" t="s">
        <v>970</v>
      </c>
      <c r="J2160" t="s">
        <v>626</v>
      </c>
      <c r="K2160" t="s">
        <v>2353</v>
      </c>
      <c r="L2160">
        <v>3</v>
      </c>
      <c r="M2160" s="5">
        <v>351.78</v>
      </c>
      <c r="N2160" s="6">
        <v>0</v>
      </c>
      <c r="O2160" s="5">
        <v>0</v>
      </c>
      <c r="P2160" s="5">
        <v>158.3</v>
      </c>
      <c r="Q2160" s="5">
        <v>1055.34</v>
      </c>
      <c r="R2160" s="5">
        <v>761.49</v>
      </c>
      <c r="S2160" s="5">
        <v>293.85</v>
      </c>
      <c r="T2160" s="7">
        <v>0.278441071123998</v>
      </c>
      <c r="U2160" t="s">
        <v>13</v>
      </c>
      <c r="V2160" t="s">
        <v>50</v>
      </c>
      <c r="W2160" t="s">
        <v>50</v>
      </c>
      <c r="X2160" t="s">
        <v>33</v>
      </c>
      <c r="Y2160" t="s">
        <v>3057</v>
      </c>
      <c r="Z2160" t="s">
        <v>101</v>
      </c>
    </row>
    <row r="2161" spans="1:26">
      <c r="A2161" t="s">
        <v>4270</v>
      </c>
      <c r="B2161" t="s">
        <v>4270</v>
      </c>
      <c r="C2161" s="4">
        <v>45972</v>
      </c>
      <c r="D2161">
        <v>2025</v>
      </c>
      <c r="E2161">
        <v>11</v>
      </c>
      <c r="F2161" t="s">
        <v>27</v>
      </c>
      <c r="G2161" t="s">
        <v>137</v>
      </c>
      <c r="H2161" t="s">
        <v>4107</v>
      </c>
      <c r="I2161" t="s">
        <v>1071</v>
      </c>
      <c r="J2161" t="s">
        <v>642</v>
      </c>
      <c r="K2161" t="s">
        <v>2524</v>
      </c>
      <c r="L2161">
        <v>1</v>
      </c>
      <c r="M2161" s="5">
        <v>277.42</v>
      </c>
      <c r="N2161" s="6">
        <v>0</v>
      </c>
      <c r="O2161" s="5">
        <v>0</v>
      </c>
      <c r="P2161" s="5">
        <v>41.61</v>
      </c>
      <c r="Q2161" s="5">
        <v>277.42</v>
      </c>
      <c r="R2161" s="5">
        <v>199.16</v>
      </c>
      <c r="S2161" s="5">
        <v>78.26</v>
      </c>
      <c r="T2161" s="7">
        <v>0.282099343955014</v>
      </c>
      <c r="U2161" t="s">
        <v>13</v>
      </c>
      <c r="V2161" t="s">
        <v>50</v>
      </c>
      <c r="W2161" t="s">
        <v>50</v>
      </c>
      <c r="X2161" t="s">
        <v>33</v>
      </c>
      <c r="Y2161" t="s">
        <v>733</v>
      </c>
      <c r="Z2161" t="s">
        <v>101</v>
      </c>
    </row>
    <row r="2162" spans="1:26">
      <c r="A2162" t="s">
        <v>4271</v>
      </c>
      <c r="B2162" t="s">
        <v>4271</v>
      </c>
      <c r="C2162" s="4">
        <v>45949</v>
      </c>
      <c r="D2162">
        <v>2025</v>
      </c>
      <c r="E2162">
        <v>10</v>
      </c>
      <c r="F2162" t="s">
        <v>26</v>
      </c>
      <c r="G2162" t="s">
        <v>137</v>
      </c>
      <c r="H2162" t="s">
        <v>1157</v>
      </c>
      <c r="I2162" t="s">
        <v>1419</v>
      </c>
      <c r="J2162" t="s">
        <v>85</v>
      </c>
      <c r="K2162" t="s">
        <v>86</v>
      </c>
      <c r="L2162">
        <v>4</v>
      </c>
      <c r="M2162" s="5">
        <v>356.08</v>
      </c>
      <c r="N2162" s="6">
        <v>10</v>
      </c>
      <c r="O2162" s="5">
        <v>142.43</v>
      </c>
      <c r="P2162" s="5">
        <v>192.28</v>
      </c>
      <c r="Q2162" s="5">
        <v>1474.17</v>
      </c>
      <c r="R2162" s="5">
        <v>940.2</v>
      </c>
      <c r="S2162" s="5">
        <v>533.97</v>
      </c>
      <c r="T2162" s="7">
        <v>0.362217383341134</v>
      </c>
      <c r="U2162" t="s">
        <v>14</v>
      </c>
      <c r="V2162" t="s">
        <v>50</v>
      </c>
      <c r="W2162" t="s">
        <v>50</v>
      </c>
      <c r="X2162" t="s">
        <v>33</v>
      </c>
      <c r="Y2162" t="s">
        <v>2623</v>
      </c>
      <c r="Z2162" t="s">
        <v>80</v>
      </c>
    </row>
    <row r="2163" spans="1:26">
      <c r="A2163" t="s">
        <v>4272</v>
      </c>
      <c r="B2163" t="s">
        <v>4272</v>
      </c>
      <c r="C2163" s="4">
        <v>45963</v>
      </c>
      <c r="D2163">
        <v>2025</v>
      </c>
      <c r="E2163">
        <v>11</v>
      </c>
      <c r="F2163" t="s">
        <v>27</v>
      </c>
      <c r="G2163" t="s">
        <v>137</v>
      </c>
      <c r="H2163" t="s">
        <v>4273</v>
      </c>
      <c r="I2163" t="s">
        <v>1714</v>
      </c>
      <c r="J2163" t="s">
        <v>813</v>
      </c>
      <c r="K2163" t="s">
        <v>611</v>
      </c>
      <c r="L2163">
        <v>1</v>
      </c>
      <c r="M2163" s="5">
        <v>342.27</v>
      </c>
      <c r="N2163" s="6">
        <v>0</v>
      </c>
      <c r="O2163" s="5">
        <v>0</v>
      </c>
      <c r="P2163" s="5">
        <v>51.34</v>
      </c>
      <c r="Q2163" s="5">
        <v>393.61</v>
      </c>
      <c r="R2163" s="5">
        <v>266.1</v>
      </c>
      <c r="S2163" s="5">
        <v>127.51</v>
      </c>
      <c r="T2163" s="7">
        <v>0.323950102893727</v>
      </c>
      <c r="U2163" t="s">
        <v>11</v>
      </c>
      <c r="V2163" t="s">
        <v>50</v>
      </c>
      <c r="W2163" t="s">
        <v>50</v>
      </c>
      <c r="X2163" t="s">
        <v>33</v>
      </c>
      <c r="Y2163" t="s">
        <v>839</v>
      </c>
      <c r="Z2163" t="s">
        <v>80</v>
      </c>
    </row>
    <row r="2164" spans="1:26">
      <c r="A2164" t="s">
        <v>4274</v>
      </c>
      <c r="B2164" t="s">
        <v>4274</v>
      </c>
      <c r="C2164" s="4">
        <v>45976</v>
      </c>
      <c r="D2164">
        <v>2025</v>
      </c>
      <c r="E2164">
        <v>11</v>
      </c>
      <c r="F2164" t="s">
        <v>27</v>
      </c>
      <c r="G2164" t="s">
        <v>137</v>
      </c>
      <c r="H2164" t="s">
        <v>806</v>
      </c>
      <c r="I2164" t="s">
        <v>2170</v>
      </c>
      <c r="J2164" t="s">
        <v>146</v>
      </c>
      <c r="K2164" t="s">
        <v>147</v>
      </c>
      <c r="L2164">
        <v>6</v>
      </c>
      <c r="M2164" s="5">
        <v>70.9</v>
      </c>
      <c r="N2164" s="6">
        <v>15</v>
      </c>
      <c r="O2164" s="5">
        <v>63.81</v>
      </c>
      <c r="P2164" s="5">
        <v>54.24</v>
      </c>
      <c r="Q2164" s="5">
        <v>415.83</v>
      </c>
      <c r="R2164" s="5">
        <v>347.34</v>
      </c>
      <c r="S2164" s="5">
        <v>68.49</v>
      </c>
      <c r="T2164" s="7">
        <v>0.164706731116081</v>
      </c>
      <c r="U2164" t="s">
        <v>12</v>
      </c>
      <c r="V2164" t="s">
        <v>50</v>
      </c>
      <c r="W2164" t="s">
        <v>50</v>
      </c>
      <c r="X2164" t="s">
        <v>33</v>
      </c>
      <c r="Y2164" t="s">
        <v>2445</v>
      </c>
      <c r="Z2164" t="s">
        <v>80</v>
      </c>
    </row>
    <row r="2165" spans="1:26">
      <c r="A2165" t="s">
        <v>4275</v>
      </c>
      <c r="B2165" t="s">
        <v>4275</v>
      </c>
      <c r="C2165" s="4">
        <v>45813</v>
      </c>
      <c r="D2165">
        <v>2025</v>
      </c>
      <c r="E2165">
        <v>6</v>
      </c>
      <c r="F2165" t="s">
        <v>22</v>
      </c>
      <c r="G2165" t="s">
        <v>74</v>
      </c>
      <c r="H2165" t="s">
        <v>4276</v>
      </c>
      <c r="I2165" t="s">
        <v>928</v>
      </c>
      <c r="J2165" t="s">
        <v>626</v>
      </c>
      <c r="K2165" t="s">
        <v>2353</v>
      </c>
      <c r="L2165">
        <v>3</v>
      </c>
      <c r="M2165" s="5">
        <v>232.92</v>
      </c>
      <c r="N2165" s="6">
        <v>10</v>
      </c>
      <c r="O2165" s="5">
        <v>69.88</v>
      </c>
      <c r="P2165" s="5">
        <v>94.33</v>
      </c>
      <c r="Q2165" s="5">
        <v>628.88</v>
      </c>
      <c r="R2165" s="5">
        <v>577.23</v>
      </c>
      <c r="S2165" s="5">
        <v>51.65</v>
      </c>
      <c r="T2165" s="7">
        <v>0.0821301361149981</v>
      </c>
      <c r="U2165" t="s">
        <v>10</v>
      </c>
      <c r="V2165" t="s">
        <v>50</v>
      </c>
      <c r="W2165" t="s">
        <v>50</v>
      </c>
      <c r="X2165" t="s">
        <v>35</v>
      </c>
      <c r="Y2165" t="s">
        <v>589</v>
      </c>
      <c r="Z2165" t="s">
        <v>101</v>
      </c>
    </row>
    <row r="2166" spans="1:26">
      <c r="A2166" t="s">
        <v>4277</v>
      </c>
      <c r="B2166" t="s">
        <v>4277</v>
      </c>
      <c r="C2166" s="4">
        <v>45872</v>
      </c>
      <c r="D2166">
        <v>2025</v>
      </c>
      <c r="E2166">
        <v>8</v>
      </c>
      <c r="F2166" t="s">
        <v>24</v>
      </c>
      <c r="G2166" t="s">
        <v>89</v>
      </c>
      <c r="H2166" t="s">
        <v>1980</v>
      </c>
      <c r="I2166" t="s">
        <v>312</v>
      </c>
      <c r="J2166" t="s">
        <v>44</v>
      </c>
      <c r="K2166" t="s">
        <v>518</v>
      </c>
      <c r="L2166">
        <v>8</v>
      </c>
      <c r="M2166" s="5">
        <v>388.66</v>
      </c>
      <c r="N2166" s="6">
        <v>15</v>
      </c>
      <c r="O2166" s="5">
        <v>466.39</v>
      </c>
      <c r="P2166" s="5">
        <v>396.43</v>
      </c>
      <c r="Q2166" s="5">
        <v>3039.32</v>
      </c>
      <c r="R2166" s="5">
        <v>2287.2</v>
      </c>
      <c r="S2166" s="5">
        <v>752.12</v>
      </c>
      <c r="T2166" s="7">
        <v>0.247463248358185</v>
      </c>
      <c r="U2166" t="s">
        <v>10</v>
      </c>
      <c r="V2166" t="s">
        <v>50</v>
      </c>
      <c r="W2166" t="s">
        <v>50</v>
      </c>
      <c r="X2166" t="s">
        <v>33</v>
      </c>
      <c r="Y2166" t="s">
        <v>1146</v>
      </c>
      <c r="Z2166" t="s">
        <v>80</v>
      </c>
    </row>
    <row r="2167" spans="1:26">
      <c r="A2167" t="s">
        <v>4278</v>
      </c>
      <c r="B2167" t="s">
        <v>4278</v>
      </c>
      <c r="C2167" s="4">
        <v>45778</v>
      </c>
      <c r="D2167">
        <v>2025</v>
      </c>
      <c r="E2167">
        <v>5</v>
      </c>
      <c r="F2167" t="s">
        <v>21</v>
      </c>
      <c r="G2167" t="s">
        <v>74</v>
      </c>
      <c r="H2167" t="s">
        <v>675</v>
      </c>
      <c r="I2167" t="s">
        <v>2093</v>
      </c>
      <c r="J2167" t="s">
        <v>41</v>
      </c>
      <c r="K2167" t="s">
        <v>588</v>
      </c>
      <c r="L2167">
        <v>3</v>
      </c>
      <c r="M2167" s="5">
        <v>392.79</v>
      </c>
      <c r="N2167" s="6">
        <v>0</v>
      </c>
      <c r="O2167" s="5">
        <v>0</v>
      </c>
      <c r="P2167" s="5">
        <v>176.76</v>
      </c>
      <c r="Q2167" s="5">
        <v>1178.37</v>
      </c>
      <c r="R2167" s="5">
        <v>1044.99</v>
      </c>
      <c r="S2167" s="5">
        <v>133.38</v>
      </c>
      <c r="T2167" s="7">
        <v>0.113190254334377</v>
      </c>
      <c r="U2167" t="s">
        <v>13</v>
      </c>
      <c r="V2167" t="s">
        <v>50</v>
      </c>
      <c r="W2167" t="s">
        <v>50</v>
      </c>
      <c r="X2167" t="s">
        <v>33</v>
      </c>
      <c r="Y2167" t="s">
        <v>2595</v>
      </c>
      <c r="Z2167" t="s">
        <v>101</v>
      </c>
    </row>
    <row r="2168" spans="1:26">
      <c r="A2168" t="s">
        <v>4279</v>
      </c>
      <c r="B2168" t="s">
        <v>4279</v>
      </c>
      <c r="C2168" s="4">
        <v>46047</v>
      </c>
      <c r="D2168">
        <v>2026</v>
      </c>
      <c r="E2168">
        <v>1</v>
      </c>
      <c r="F2168" t="s">
        <v>30</v>
      </c>
      <c r="G2168" t="s">
        <v>82</v>
      </c>
      <c r="H2168" t="s">
        <v>2238</v>
      </c>
      <c r="I2168" t="s">
        <v>126</v>
      </c>
      <c r="J2168" t="s">
        <v>465</v>
      </c>
      <c r="K2168" t="s">
        <v>829</v>
      </c>
      <c r="L2168">
        <v>1</v>
      </c>
      <c r="M2168" s="5">
        <v>131.03</v>
      </c>
      <c r="N2168" s="6">
        <v>15</v>
      </c>
      <c r="O2168" s="5">
        <v>19.65</v>
      </c>
      <c r="P2168" s="5">
        <v>16.71</v>
      </c>
      <c r="Q2168" s="5">
        <v>128.09</v>
      </c>
      <c r="R2168" s="5">
        <v>117.27</v>
      </c>
      <c r="S2168" s="5">
        <v>10.82</v>
      </c>
      <c r="T2168" s="7">
        <v>0.0844718557264423</v>
      </c>
      <c r="U2168" t="s">
        <v>9</v>
      </c>
      <c r="V2168" t="s">
        <v>50</v>
      </c>
      <c r="W2168" t="s">
        <v>50</v>
      </c>
      <c r="X2168" t="s">
        <v>33</v>
      </c>
      <c r="Y2168" t="s">
        <v>1403</v>
      </c>
      <c r="Z2168" t="s">
        <v>80</v>
      </c>
    </row>
    <row r="2169" spans="1:26">
      <c r="A2169" t="s">
        <v>4280</v>
      </c>
      <c r="B2169" t="s">
        <v>4280</v>
      </c>
      <c r="C2169" s="4">
        <v>46074</v>
      </c>
      <c r="D2169">
        <v>2026</v>
      </c>
      <c r="E2169">
        <v>2</v>
      </c>
      <c r="F2169" t="s">
        <v>31</v>
      </c>
      <c r="G2169" t="s">
        <v>82</v>
      </c>
      <c r="H2169" t="s">
        <v>3134</v>
      </c>
      <c r="I2169" t="s">
        <v>986</v>
      </c>
      <c r="J2169" t="s">
        <v>1072</v>
      </c>
      <c r="K2169" t="s">
        <v>1830</v>
      </c>
      <c r="L2169">
        <v>4</v>
      </c>
      <c r="M2169" s="5">
        <v>333.54</v>
      </c>
      <c r="N2169" s="6">
        <v>10</v>
      </c>
      <c r="O2169" s="5">
        <v>133.42</v>
      </c>
      <c r="P2169" s="5">
        <v>180.11</v>
      </c>
      <c r="Q2169" s="5">
        <v>1380.85</v>
      </c>
      <c r="R2169" s="5">
        <v>953.72</v>
      </c>
      <c r="S2169" s="5">
        <v>427.13</v>
      </c>
      <c r="T2169" s="7">
        <v>0.3093239671217</v>
      </c>
      <c r="U2169" t="s">
        <v>11</v>
      </c>
      <c r="V2169" t="s">
        <v>50</v>
      </c>
      <c r="W2169" t="s">
        <v>50</v>
      </c>
      <c r="X2169" t="s">
        <v>33</v>
      </c>
      <c r="Y2169" t="s">
        <v>1921</v>
      </c>
      <c r="Z2169" t="s">
        <v>80</v>
      </c>
    </row>
    <row r="2170" spans="1:26">
      <c r="A2170" t="s">
        <v>4281</v>
      </c>
      <c r="B2170" t="s">
        <v>4281</v>
      </c>
      <c r="C2170" s="4">
        <v>45749</v>
      </c>
      <c r="D2170">
        <v>2025</v>
      </c>
      <c r="E2170">
        <v>4</v>
      </c>
      <c r="F2170" t="s">
        <v>20</v>
      </c>
      <c r="G2170" t="s">
        <v>74</v>
      </c>
      <c r="H2170" t="s">
        <v>4282</v>
      </c>
      <c r="I2170" t="s">
        <v>722</v>
      </c>
      <c r="J2170" t="s">
        <v>445</v>
      </c>
      <c r="K2170" t="s">
        <v>1262</v>
      </c>
      <c r="L2170">
        <v>1</v>
      </c>
      <c r="M2170" s="5">
        <v>157.98</v>
      </c>
      <c r="N2170" s="6">
        <v>15</v>
      </c>
      <c r="O2170" s="5">
        <v>23.7</v>
      </c>
      <c r="P2170" s="5">
        <v>20.14</v>
      </c>
      <c r="Q2170" s="5">
        <v>134.28</v>
      </c>
      <c r="R2170" s="5">
        <v>137.95</v>
      </c>
      <c r="S2170" s="5">
        <v>-3.67</v>
      </c>
      <c r="T2170" s="7">
        <v>-0.0273309502532023</v>
      </c>
      <c r="U2170" t="s">
        <v>13</v>
      </c>
      <c r="V2170" t="s">
        <v>50</v>
      </c>
      <c r="W2170" t="s">
        <v>50</v>
      </c>
      <c r="X2170" t="s">
        <v>34</v>
      </c>
      <c r="Y2170" t="s">
        <v>3752</v>
      </c>
      <c r="Z2170" t="s">
        <v>101</v>
      </c>
    </row>
    <row r="2171" spans="1:26">
      <c r="A2171" t="s">
        <v>4283</v>
      </c>
      <c r="B2171" t="s">
        <v>4283</v>
      </c>
      <c r="C2171" s="4">
        <v>46111</v>
      </c>
      <c r="D2171">
        <v>2026</v>
      </c>
      <c r="E2171">
        <v>3</v>
      </c>
      <c r="F2171" t="s">
        <v>19</v>
      </c>
      <c r="G2171" t="s">
        <v>82</v>
      </c>
      <c r="H2171" t="s">
        <v>3194</v>
      </c>
      <c r="I2171" t="s">
        <v>1742</v>
      </c>
      <c r="J2171" t="s">
        <v>2259</v>
      </c>
      <c r="K2171" t="s">
        <v>1141</v>
      </c>
      <c r="L2171">
        <v>5</v>
      </c>
      <c r="M2171" s="5">
        <v>279.74</v>
      </c>
      <c r="N2171" s="6">
        <v>0</v>
      </c>
      <c r="O2171" s="5">
        <v>0</v>
      </c>
      <c r="P2171" s="5">
        <v>209.8</v>
      </c>
      <c r="Q2171" s="5">
        <v>1398.7</v>
      </c>
      <c r="R2171" s="5">
        <v>1207.2</v>
      </c>
      <c r="S2171" s="5">
        <v>191.5</v>
      </c>
      <c r="T2171" s="7">
        <v>0.136912847644241</v>
      </c>
      <c r="U2171" t="s">
        <v>12</v>
      </c>
      <c r="V2171" t="s">
        <v>50</v>
      </c>
      <c r="W2171" t="s">
        <v>50</v>
      </c>
      <c r="X2171" t="s">
        <v>33</v>
      </c>
      <c r="Y2171" t="s">
        <v>3284</v>
      </c>
      <c r="Z2171" t="s">
        <v>101</v>
      </c>
    </row>
    <row r="2172" spans="1:26">
      <c r="A2172" t="s">
        <v>4284</v>
      </c>
      <c r="B2172" t="s">
        <v>4284</v>
      </c>
      <c r="C2172" s="4">
        <v>45773</v>
      </c>
      <c r="D2172">
        <v>2025</v>
      </c>
      <c r="E2172">
        <v>4</v>
      </c>
      <c r="F2172" t="s">
        <v>20</v>
      </c>
      <c r="G2172" t="s">
        <v>74</v>
      </c>
      <c r="H2172" t="s">
        <v>1768</v>
      </c>
      <c r="I2172" t="s">
        <v>126</v>
      </c>
      <c r="J2172" t="s">
        <v>92</v>
      </c>
      <c r="K2172" t="s">
        <v>2102</v>
      </c>
      <c r="L2172">
        <v>6</v>
      </c>
      <c r="M2172" s="5">
        <v>143.56</v>
      </c>
      <c r="N2172" s="6">
        <v>0</v>
      </c>
      <c r="O2172" s="5">
        <v>0</v>
      </c>
      <c r="P2172" s="5">
        <v>129.2</v>
      </c>
      <c r="Q2172" s="5">
        <v>990.56</v>
      </c>
      <c r="R2172" s="5">
        <v>703.62</v>
      </c>
      <c r="S2172" s="5">
        <v>286.94</v>
      </c>
      <c r="T2172" s="7">
        <v>0.289674527539977</v>
      </c>
      <c r="U2172" t="s">
        <v>10</v>
      </c>
      <c r="V2172" t="s">
        <v>50</v>
      </c>
      <c r="W2172" t="s">
        <v>50</v>
      </c>
      <c r="X2172" t="s">
        <v>35</v>
      </c>
      <c r="Y2172" t="s">
        <v>1623</v>
      </c>
      <c r="Z2172" t="s">
        <v>80</v>
      </c>
    </row>
    <row r="2173" spans="1:26">
      <c r="A2173" t="s">
        <v>4285</v>
      </c>
      <c r="B2173" t="s">
        <v>4285</v>
      </c>
      <c r="C2173" s="4">
        <v>45961</v>
      </c>
      <c r="D2173">
        <v>2025</v>
      </c>
      <c r="E2173">
        <v>10</v>
      </c>
      <c r="F2173" t="s">
        <v>26</v>
      </c>
      <c r="G2173" t="s">
        <v>137</v>
      </c>
      <c r="H2173" t="s">
        <v>1456</v>
      </c>
      <c r="I2173" t="s">
        <v>274</v>
      </c>
      <c r="J2173" t="s">
        <v>563</v>
      </c>
      <c r="K2173" t="s">
        <v>564</v>
      </c>
      <c r="L2173">
        <v>1</v>
      </c>
      <c r="M2173" s="5">
        <v>318.62</v>
      </c>
      <c r="N2173" s="6">
        <v>0</v>
      </c>
      <c r="O2173" s="5">
        <v>0</v>
      </c>
      <c r="P2173" s="5">
        <v>47.79</v>
      </c>
      <c r="Q2173" s="5">
        <v>318.62</v>
      </c>
      <c r="R2173" s="5">
        <v>221.72</v>
      </c>
      <c r="S2173" s="5">
        <v>96.9</v>
      </c>
      <c r="T2173" s="7">
        <v>0.304124034900508</v>
      </c>
      <c r="U2173" t="s">
        <v>11</v>
      </c>
      <c r="V2173" t="s">
        <v>50</v>
      </c>
      <c r="W2173" t="s">
        <v>50</v>
      </c>
      <c r="X2173" t="s">
        <v>35</v>
      </c>
      <c r="Y2173" t="s">
        <v>2333</v>
      </c>
      <c r="Z2173" t="s">
        <v>101</v>
      </c>
    </row>
    <row r="2174" spans="1:26">
      <c r="A2174" t="s">
        <v>4286</v>
      </c>
      <c r="B2174" t="s">
        <v>4286</v>
      </c>
      <c r="C2174" s="4">
        <v>45911</v>
      </c>
      <c r="D2174">
        <v>2025</v>
      </c>
      <c r="E2174">
        <v>9</v>
      </c>
      <c r="F2174" t="s">
        <v>25</v>
      </c>
      <c r="G2174" t="s">
        <v>89</v>
      </c>
      <c r="H2174" t="s">
        <v>973</v>
      </c>
      <c r="I2174" t="s">
        <v>434</v>
      </c>
      <c r="J2174" t="s">
        <v>1940</v>
      </c>
      <c r="K2174" t="s">
        <v>324</v>
      </c>
      <c r="L2174">
        <v>3</v>
      </c>
      <c r="M2174" s="5">
        <v>93.33</v>
      </c>
      <c r="N2174" s="6">
        <v>10</v>
      </c>
      <c r="O2174" s="5">
        <v>28</v>
      </c>
      <c r="P2174" s="5">
        <v>37.8</v>
      </c>
      <c r="Q2174" s="5">
        <v>251.99</v>
      </c>
      <c r="R2174" s="5">
        <v>207.27</v>
      </c>
      <c r="S2174" s="5">
        <v>44.72</v>
      </c>
      <c r="T2174" s="7">
        <v>0.177467359815866</v>
      </c>
      <c r="U2174" t="s">
        <v>11</v>
      </c>
      <c r="V2174" t="s">
        <v>50</v>
      </c>
      <c r="W2174" t="s">
        <v>50</v>
      </c>
      <c r="X2174" t="s">
        <v>35</v>
      </c>
      <c r="Y2174" t="s">
        <v>1403</v>
      </c>
      <c r="Z2174" t="s">
        <v>101</v>
      </c>
    </row>
    <row r="2175" spans="1:26">
      <c r="A2175" t="s">
        <v>4287</v>
      </c>
      <c r="B2175" t="s">
        <v>4287</v>
      </c>
      <c r="C2175" s="4">
        <v>46021</v>
      </c>
      <c r="D2175">
        <v>2025</v>
      </c>
      <c r="E2175">
        <v>12</v>
      </c>
      <c r="F2175" t="s">
        <v>28</v>
      </c>
      <c r="G2175" t="s">
        <v>137</v>
      </c>
      <c r="H2175" t="s">
        <v>3704</v>
      </c>
      <c r="I2175" t="s">
        <v>312</v>
      </c>
      <c r="J2175" t="s">
        <v>291</v>
      </c>
      <c r="K2175" t="s">
        <v>270</v>
      </c>
      <c r="L2175">
        <v>3</v>
      </c>
      <c r="M2175" s="5">
        <v>383.51</v>
      </c>
      <c r="N2175" s="6">
        <v>20</v>
      </c>
      <c r="O2175" s="5">
        <v>230.11</v>
      </c>
      <c r="P2175" s="5">
        <v>138.06</v>
      </c>
      <c r="Q2175" s="5">
        <v>920.42</v>
      </c>
      <c r="R2175" s="5">
        <v>857.7</v>
      </c>
      <c r="S2175" s="5">
        <v>62.72</v>
      </c>
      <c r="T2175" s="7">
        <v>0.0681428043719172</v>
      </c>
      <c r="U2175" t="s">
        <v>13</v>
      </c>
      <c r="V2175" t="s">
        <v>51</v>
      </c>
      <c r="W2175" t="s">
        <v>51</v>
      </c>
      <c r="X2175" t="s">
        <v>35</v>
      </c>
      <c r="Y2175" t="s">
        <v>1097</v>
      </c>
      <c r="Z2175" t="s">
        <v>101</v>
      </c>
    </row>
    <row r="2176" spans="1:26">
      <c r="A2176" t="s">
        <v>4288</v>
      </c>
      <c r="B2176" t="s">
        <v>4288</v>
      </c>
      <c r="C2176" s="4">
        <v>46077</v>
      </c>
      <c r="D2176">
        <v>2026</v>
      </c>
      <c r="E2176">
        <v>2</v>
      </c>
      <c r="F2176" t="s">
        <v>31</v>
      </c>
      <c r="G2176" t="s">
        <v>82</v>
      </c>
      <c r="H2176" t="s">
        <v>1126</v>
      </c>
      <c r="I2176" t="s">
        <v>174</v>
      </c>
      <c r="J2176" t="s">
        <v>770</v>
      </c>
      <c r="K2176" t="s">
        <v>771</v>
      </c>
      <c r="L2176">
        <v>4</v>
      </c>
      <c r="M2176" s="5">
        <v>431.14</v>
      </c>
      <c r="N2176" s="6">
        <v>5</v>
      </c>
      <c r="O2176" s="5">
        <v>86.23</v>
      </c>
      <c r="P2176" s="5">
        <v>245.75</v>
      </c>
      <c r="Q2176" s="5">
        <v>1638.33</v>
      </c>
      <c r="R2176" s="5">
        <v>1277.48</v>
      </c>
      <c r="S2176" s="5">
        <v>360.85</v>
      </c>
      <c r="T2176" s="7">
        <v>0.220254771627206</v>
      </c>
      <c r="U2176" t="s">
        <v>14</v>
      </c>
      <c r="V2176" t="s">
        <v>50</v>
      </c>
      <c r="W2176" t="s">
        <v>50</v>
      </c>
      <c r="X2176" t="s">
        <v>33</v>
      </c>
      <c r="Y2176" t="s">
        <v>1483</v>
      </c>
      <c r="Z2176" t="s">
        <v>101</v>
      </c>
    </row>
    <row r="2177" spans="1:26">
      <c r="A2177" t="s">
        <v>4289</v>
      </c>
      <c r="B2177" t="s">
        <v>4289</v>
      </c>
      <c r="C2177" s="4">
        <v>45850</v>
      </c>
      <c r="D2177">
        <v>2025</v>
      </c>
      <c r="E2177">
        <v>7</v>
      </c>
      <c r="F2177" t="s">
        <v>23</v>
      </c>
      <c r="G2177" t="s">
        <v>89</v>
      </c>
      <c r="H2177" t="s">
        <v>138</v>
      </c>
      <c r="I2177" t="s">
        <v>97</v>
      </c>
      <c r="J2177" t="s">
        <v>914</v>
      </c>
      <c r="K2177" t="s">
        <v>915</v>
      </c>
      <c r="L2177">
        <v>4</v>
      </c>
      <c r="M2177" s="5">
        <v>398.25</v>
      </c>
      <c r="N2177" s="6">
        <v>10</v>
      </c>
      <c r="O2177" s="5">
        <v>159.3</v>
      </c>
      <c r="P2177" s="5">
        <v>215.06</v>
      </c>
      <c r="Q2177" s="5">
        <v>1648.75</v>
      </c>
      <c r="R2177" s="5">
        <v>946.16</v>
      </c>
      <c r="S2177" s="5">
        <v>702.59</v>
      </c>
      <c r="T2177" s="7">
        <v>0.426134950720243</v>
      </c>
      <c r="U2177" t="s">
        <v>14</v>
      </c>
      <c r="V2177" t="s">
        <v>50</v>
      </c>
      <c r="W2177" t="s">
        <v>50</v>
      </c>
      <c r="X2177" t="s">
        <v>35</v>
      </c>
      <c r="Y2177" t="s">
        <v>794</v>
      </c>
      <c r="Z2177" t="s">
        <v>80</v>
      </c>
    </row>
    <row r="2178" spans="1:26">
      <c r="A2178" t="s">
        <v>4290</v>
      </c>
      <c r="B2178" t="s">
        <v>4290</v>
      </c>
      <c r="C2178" s="4">
        <v>46005</v>
      </c>
      <c r="D2178">
        <v>2025</v>
      </c>
      <c r="E2178">
        <v>12</v>
      </c>
      <c r="F2178" t="s">
        <v>28</v>
      </c>
      <c r="G2178" t="s">
        <v>137</v>
      </c>
      <c r="H2178" t="s">
        <v>912</v>
      </c>
      <c r="I2178" t="s">
        <v>708</v>
      </c>
      <c r="J2178" t="s">
        <v>339</v>
      </c>
      <c r="K2178" t="s">
        <v>227</v>
      </c>
      <c r="L2178">
        <v>3</v>
      </c>
      <c r="M2178" s="5">
        <v>387.87</v>
      </c>
      <c r="N2178" s="6">
        <v>0</v>
      </c>
      <c r="O2178" s="5">
        <v>0</v>
      </c>
      <c r="P2178" s="5">
        <v>174.54</v>
      </c>
      <c r="Q2178" s="5">
        <v>1338.15</v>
      </c>
      <c r="R2178" s="5">
        <v>959.73</v>
      </c>
      <c r="S2178" s="5">
        <v>378.42</v>
      </c>
      <c r="T2178" s="7">
        <v>0.282793408810671</v>
      </c>
      <c r="U2178" t="s">
        <v>10</v>
      </c>
      <c r="V2178" t="s">
        <v>50</v>
      </c>
      <c r="W2178" t="s">
        <v>50</v>
      </c>
      <c r="X2178" t="s">
        <v>33</v>
      </c>
      <c r="Y2178" t="s">
        <v>1746</v>
      </c>
      <c r="Z2178" t="s">
        <v>80</v>
      </c>
    </row>
    <row r="2179" spans="1:26">
      <c r="A2179" t="s">
        <v>4291</v>
      </c>
      <c r="B2179" t="s">
        <v>4291</v>
      </c>
      <c r="C2179" s="4">
        <v>45785</v>
      </c>
      <c r="D2179">
        <v>2025</v>
      </c>
      <c r="E2179">
        <v>5</v>
      </c>
      <c r="F2179" t="s">
        <v>21</v>
      </c>
      <c r="G2179" t="s">
        <v>74</v>
      </c>
      <c r="H2179" t="s">
        <v>1670</v>
      </c>
      <c r="I2179" t="s">
        <v>970</v>
      </c>
      <c r="J2179" t="s">
        <v>2342</v>
      </c>
      <c r="K2179" t="s">
        <v>3252</v>
      </c>
      <c r="L2179">
        <v>2</v>
      </c>
      <c r="M2179" s="5">
        <v>351.78</v>
      </c>
      <c r="N2179" s="6">
        <v>0</v>
      </c>
      <c r="O2179" s="5">
        <v>0</v>
      </c>
      <c r="P2179" s="5">
        <v>105.53</v>
      </c>
      <c r="Q2179" s="5">
        <v>703.56</v>
      </c>
      <c r="R2179" s="5">
        <v>507.66</v>
      </c>
      <c r="S2179" s="5">
        <v>195.9</v>
      </c>
      <c r="T2179" s="7">
        <v>0.278441071123998</v>
      </c>
      <c r="U2179" t="s">
        <v>12</v>
      </c>
      <c r="V2179" t="s">
        <v>50</v>
      </c>
      <c r="W2179" t="s">
        <v>50</v>
      </c>
      <c r="X2179" t="s">
        <v>33</v>
      </c>
      <c r="Y2179" t="s">
        <v>1733</v>
      </c>
      <c r="Z2179" t="s">
        <v>101</v>
      </c>
    </row>
    <row r="2180" spans="1:26">
      <c r="A2180" t="s">
        <v>4292</v>
      </c>
      <c r="B2180" t="s">
        <v>4292</v>
      </c>
      <c r="C2180" s="4">
        <v>45990</v>
      </c>
      <c r="D2180">
        <v>2025</v>
      </c>
      <c r="E2180">
        <v>11</v>
      </c>
      <c r="F2180" t="s">
        <v>27</v>
      </c>
      <c r="G2180" t="s">
        <v>137</v>
      </c>
      <c r="H2180" t="s">
        <v>2355</v>
      </c>
      <c r="I2180" t="s">
        <v>623</v>
      </c>
      <c r="J2180" t="s">
        <v>1072</v>
      </c>
      <c r="K2180" t="s">
        <v>1073</v>
      </c>
      <c r="L2180">
        <v>2</v>
      </c>
      <c r="M2180" s="5">
        <v>139.21</v>
      </c>
      <c r="N2180" s="6">
        <v>10</v>
      </c>
      <c r="O2180" s="5">
        <v>27.84</v>
      </c>
      <c r="P2180" s="5">
        <v>37.59</v>
      </c>
      <c r="Q2180" s="5">
        <v>288.17</v>
      </c>
      <c r="R2180" s="5">
        <v>213.98</v>
      </c>
      <c r="S2180" s="5">
        <v>74.19</v>
      </c>
      <c r="T2180" s="7">
        <v>0.257452198355138</v>
      </c>
      <c r="U2180" t="s">
        <v>10</v>
      </c>
      <c r="V2180" t="s">
        <v>50</v>
      </c>
      <c r="W2180" t="s">
        <v>50</v>
      </c>
      <c r="X2180" t="s">
        <v>33</v>
      </c>
      <c r="Y2180" t="s">
        <v>4260</v>
      </c>
      <c r="Z2180" t="s">
        <v>80</v>
      </c>
    </row>
    <row r="2181" spans="1:26">
      <c r="A2181" t="s">
        <v>4293</v>
      </c>
      <c r="B2181" t="s">
        <v>4293</v>
      </c>
      <c r="C2181" s="4">
        <v>45864</v>
      </c>
      <c r="D2181">
        <v>2025</v>
      </c>
      <c r="E2181">
        <v>7</v>
      </c>
      <c r="F2181" t="s">
        <v>23</v>
      </c>
      <c r="G2181" t="s">
        <v>89</v>
      </c>
      <c r="H2181" t="s">
        <v>1215</v>
      </c>
      <c r="I2181" t="s">
        <v>854</v>
      </c>
      <c r="J2181" t="s">
        <v>440</v>
      </c>
      <c r="K2181" t="s">
        <v>441</v>
      </c>
      <c r="L2181">
        <v>4</v>
      </c>
      <c r="M2181" s="5">
        <v>530.16</v>
      </c>
      <c r="N2181" s="6">
        <v>15</v>
      </c>
      <c r="O2181" s="5">
        <v>318.1</v>
      </c>
      <c r="P2181" s="5">
        <v>270.38</v>
      </c>
      <c r="Q2181" s="5">
        <v>2072.92</v>
      </c>
      <c r="R2181" s="5">
        <v>1516.76</v>
      </c>
      <c r="S2181" s="5">
        <v>556.16</v>
      </c>
      <c r="T2181" s="7">
        <v>0.268297860023542</v>
      </c>
      <c r="U2181" t="s">
        <v>14</v>
      </c>
      <c r="V2181" t="s">
        <v>50</v>
      </c>
      <c r="W2181" t="s">
        <v>50</v>
      </c>
      <c r="X2181" t="s">
        <v>35</v>
      </c>
      <c r="Y2181" t="s">
        <v>817</v>
      </c>
      <c r="Z2181" t="s">
        <v>80</v>
      </c>
    </row>
    <row r="2182" spans="1:26">
      <c r="A2182" t="s">
        <v>4294</v>
      </c>
      <c r="B2182" t="s">
        <v>4294</v>
      </c>
      <c r="C2182" s="4">
        <v>45922</v>
      </c>
      <c r="D2182">
        <v>2025</v>
      </c>
      <c r="E2182">
        <v>9</v>
      </c>
      <c r="F2182" t="s">
        <v>25</v>
      </c>
      <c r="G2182" t="s">
        <v>89</v>
      </c>
      <c r="H2182" t="s">
        <v>1633</v>
      </c>
      <c r="I2182" t="s">
        <v>722</v>
      </c>
      <c r="J2182" t="s">
        <v>302</v>
      </c>
      <c r="K2182" t="s">
        <v>303</v>
      </c>
      <c r="L2182">
        <v>3</v>
      </c>
      <c r="M2182" s="5">
        <v>157.98</v>
      </c>
      <c r="N2182" s="6">
        <v>20</v>
      </c>
      <c r="O2182" s="5">
        <v>94.79</v>
      </c>
      <c r="P2182" s="5">
        <v>56.87</v>
      </c>
      <c r="Q2182" s="5">
        <v>379.15</v>
      </c>
      <c r="R2182" s="5">
        <v>413.85</v>
      </c>
      <c r="S2182" s="5">
        <v>-34.7</v>
      </c>
      <c r="T2182" s="7">
        <v>-0.0915205063958855</v>
      </c>
      <c r="U2182" t="s">
        <v>13</v>
      </c>
      <c r="V2182" t="s">
        <v>50</v>
      </c>
      <c r="W2182" t="s">
        <v>50</v>
      </c>
      <c r="X2182" t="s">
        <v>33</v>
      </c>
      <c r="Y2182" t="s">
        <v>939</v>
      </c>
      <c r="Z2182" t="s">
        <v>101</v>
      </c>
    </row>
    <row r="2183" spans="1:26">
      <c r="A2183" t="s">
        <v>4295</v>
      </c>
      <c r="B2183" t="s">
        <v>4295</v>
      </c>
      <c r="C2183" s="4">
        <v>45971</v>
      </c>
      <c r="D2183">
        <v>2025</v>
      </c>
      <c r="E2183">
        <v>11</v>
      </c>
      <c r="F2183" t="s">
        <v>27</v>
      </c>
      <c r="G2183" t="s">
        <v>137</v>
      </c>
      <c r="H2183" t="s">
        <v>591</v>
      </c>
      <c r="I2183" t="s">
        <v>653</v>
      </c>
      <c r="J2183" t="s">
        <v>610</v>
      </c>
      <c r="K2183" t="s">
        <v>106</v>
      </c>
      <c r="L2183">
        <v>6</v>
      </c>
      <c r="M2183" s="5">
        <v>358.32</v>
      </c>
      <c r="N2183" s="6">
        <v>0</v>
      </c>
      <c r="O2183" s="5">
        <v>0</v>
      </c>
      <c r="P2183" s="5">
        <v>322.49</v>
      </c>
      <c r="Q2183" s="5">
        <v>2149.92</v>
      </c>
      <c r="R2183" s="5">
        <v>1504.08</v>
      </c>
      <c r="S2183" s="5">
        <v>645.84</v>
      </c>
      <c r="T2183" s="7">
        <v>0.30040187541862</v>
      </c>
      <c r="U2183" t="s">
        <v>14</v>
      </c>
      <c r="V2183" t="s">
        <v>50</v>
      </c>
      <c r="W2183" t="s">
        <v>50</v>
      </c>
      <c r="X2183" t="s">
        <v>33</v>
      </c>
      <c r="Y2183" t="s">
        <v>3316</v>
      </c>
      <c r="Z2183" t="s">
        <v>101</v>
      </c>
    </row>
    <row r="2184" spans="1:26">
      <c r="A2184" t="s">
        <v>4296</v>
      </c>
      <c r="B2184" t="s">
        <v>4296</v>
      </c>
      <c r="C2184" s="4">
        <v>46008</v>
      </c>
      <c r="D2184">
        <v>2025</v>
      </c>
      <c r="E2184">
        <v>12</v>
      </c>
      <c r="F2184" t="s">
        <v>28</v>
      </c>
      <c r="G2184" t="s">
        <v>137</v>
      </c>
      <c r="H2184" t="s">
        <v>361</v>
      </c>
      <c r="I2184" t="s">
        <v>2587</v>
      </c>
      <c r="J2184" t="s">
        <v>257</v>
      </c>
      <c r="K2184" t="s">
        <v>258</v>
      </c>
      <c r="L2184">
        <v>3</v>
      </c>
      <c r="M2184" s="5">
        <v>78.72</v>
      </c>
      <c r="N2184" s="6">
        <v>0</v>
      </c>
      <c r="O2184" s="5">
        <v>0</v>
      </c>
      <c r="P2184" s="5">
        <v>35.42</v>
      </c>
      <c r="Q2184" s="5">
        <v>236.16</v>
      </c>
      <c r="R2184" s="5">
        <v>162.75</v>
      </c>
      <c r="S2184" s="5">
        <v>73.41</v>
      </c>
      <c r="T2184" s="7">
        <v>0.310848577235772</v>
      </c>
      <c r="U2184" t="s">
        <v>12</v>
      </c>
      <c r="V2184" t="s">
        <v>50</v>
      </c>
      <c r="W2184" t="s">
        <v>50</v>
      </c>
      <c r="X2184" t="s">
        <v>35</v>
      </c>
      <c r="Y2184" t="s">
        <v>3189</v>
      </c>
      <c r="Z2184" t="s">
        <v>101</v>
      </c>
    </row>
    <row r="2185" spans="1:26">
      <c r="A2185" t="s">
        <v>4297</v>
      </c>
      <c r="B2185" t="s">
        <v>4297</v>
      </c>
      <c r="C2185" s="4">
        <v>45845</v>
      </c>
      <c r="D2185">
        <v>2025</v>
      </c>
      <c r="E2185">
        <v>7</v>
      </c>
      <c r="F2185" t="s">
        <v>23</v>
      </c>
      <c r="G2185" t="s">
        <v>89</v>
      </c>
      <c r="H2185" t="s">
        <v>2677</v>
      </c>
      <c r="I2185" t="s">
        <v>235</v>
      </c>
      <c r="J2185" t="s">
        <v>158</v>
      </c>
      <c r="K2185" t="s">
        <v>1985</v>
      </c>
      <c r="L2185">
        <v>2</v>
      </c>
      <c r="M2185" s="5">
        <v>217.42</v>
      </c>
      <c r="N2185" s="6">
        <v>0</v>
      </c>
      <c r="O2185" s="5">
        <v>0</v>
      </c>
      <c r="P2185" s="5">
        <v>65.23</v>
      </c>
      <c r="Q2185" s="5">
        <v>434.84</v>
      </c>
      <c r="R2185" s="5">
        <v>354.06</v>
      </c>
      <c r="S2185" s="5">
        <v>80.78</v>
      </c>
      <c r="T2185" s="7">
        <v>0.185769478428847</v>
      </c>
      <c r="U2185" t="s">
        <v>13</v>
      </c>
      <c r="V2185" t="s">
        <v>50</v>
      </c>
      <c r="W2185" t="s">
        <v>50</v>
      </c>
      <c r="X2185" t="s">
        <v>33</v>
      </c>
      <c r="Y2185" t="s">
        <v>753</v>
      </c>
      <c r="Z2185" t="s">
        <v>101</v>
      </c>
    </row>
    <row r="2186" spans="1:26">
      <c r="A2186" t="s">
        <v>4298</v>
      </c>
      <c r="B2186" t="s">
        <v>4298</v>
      </c>
      <c r="C2186" s="4">
        <v>46052</v>
      </c>
      <c r="D2186">
        <v>2026</v>
      </c>
      <c r="E2186">
        <v>1</v>
      </c>
      <c r="F2186" t="s">
        <v>30</v>
      </c>
      <c r="G2186" t="s">
        <v>82</v>
      </c>
      <c r="H2186" t="s">
        <v>781</v>
      </c>
      <c r="I2186" t="s">
        <v>450</v>
      </c>
      <c r="J2186" t="s">
        <v>681</v>
      </c>
      <c r="K2186" t="s">
        <v>1067</v>
      </c>
      <c r="L2186">
        <v>5</v>
      </c>
      <c r="M2186" s="5">
        <v>440.5</v>
      </c>
      <c r="N2186" s="6">
        <v>15</v>
      </c>
      <c r="O2186" s="5">
        <v>330.38</v>
      </c>
      <c r="P2186" s="5">
        <v>280.82</v>
      </c>
      <c r="Q2186" s="5">
        <v>1872.12</v>
      </c>
      <c r="R2186" s="5">
        <v>1270.25</v>
      </c>
      <c r="S2186" s="5">
        <v>601.87</v>
      </c>
      <c r="T2186" s="7">
        <v>0.321491143730103</v>
      </c>
      <c r="U2186" t="s">
        <v>10</v>
      </c>
      <c r="V2186" t="s">
        <v>50</v>
      </c>
      <c r="W2186" t="s">
        <v>50</v>
      </c>
      <c r="X2186" t="s">
        <v>33</v>
      </c>
      <c r="Y2186" t="s">
        <v>1803</v>
      </c>
      <c r="Z2186" t="s">
        <v>101</v>
      </c>
    </row>
    <row r="2187" spans="1:26">
      <c r="A2187" t="s">
        <v>4299</v>
      </c>
      <c r="B2187" t="s">
        <v>4299</v>
      </c>
      <c r="C2187" s="4">
        <v>45939</v>
      </c>
      <c r="D2187">
        <v>2025</v>
      </c>
      <c r="E2187">
        <v>10</v>
      </c>
      <c r="F2187" t="s">
        <v>26</v>
      </c>
      <c r="G2187" t="s">
        <v>137</v>
      </c>
      <c r="H2187" t="s">
        <v>1236</v>
      </c>
      <c r="I2187" t="s">
        <v>2640</v>
      </c>
      <c r="J2187" t="s">
        <v>626</v>
      </c>
      <c r="K2187" t="s">
        <v>627</v>
      </c>
      <c r="L2187">
        <v>6</v>
      </c>
      <c r="M2187" s="5">
        <v>270.91</v>
      </c>
      <c r="N2187" s="6">
        <v>0</v>
      </c>
      <c r="O2187" s="5">
        <v>0</v>
      </c>
      <c r="P2187" s="5">
        <v>243.82</v>
      </c>
      <c r="Q2187" s="5">
        <v>1625.46</v>
      </c>
      <c r="R2187" s="5">
        <v>1379.16</v>
      </c>
      <c r="S2187" s="5">
        <v>246.3</v>
      </c>
      <c r="T2187" s="7">
        <v>0.151526337159942</v>
      </c>
      <c r="U2187" t="s">
        <v>9</v>
      </c>
      <c r="V2187" t="s">
        <v>50</v>
      </c>
      <c r="W2187" t="s">
        <v>50</v>
      </c>
      <c r="X2187" t="s">
        <v>34</v>
      </c>
      <c r="Y2187" t="s">
        <v>799</v>
      </c>
      <c r="Z2187" t="s">
        <v>101</v>
      </c>
    </row>
    <row r="2188" spans="1:26">
      <c r="A2188" t="s">
        <v>4300</v>
      </c>
      <c r="B2188" t="s">
        <v>4300</v>
      </c>
      <c r="C2188" s="4">
        <v>45790</v>
      </c>
      <c r="D2188">
        <v>2025</v>
      </c>
      <c r="E2188">
        <v>5</v>
      </c>
      <c r="F2188" t="s">
        <v>21</v>
      </c>
      <c r="G2188" t="s">
        <v>74</v>
      </c>
      <c r="H2188" t="s">
        <v>367</v>
      </c>
      <c r="I2188" t="s">
        <v>2193</v>
      </c>
      <c r="J2188" t="s">
        <v>742</v>
      </c>
      <c r="K2188" t="s">
        <v>743</v>
      </c>
      <c r="L2188">
        <v>6</v>
      </c>
      <c r="M2188" s="5">
        <v>93.93</v>
      </c>
      <c r="N2188" s="6">
        <v>20</v>
      </c>
      <c r="O2188" s="5">
        <v>112.72</v>
      </c>
      <c r="P2188" s="5">
        <v>67.63</v>
      </c>
      <c r="Q2188" s="5">
        <v>450.86</v>
      </c>
      <c r="R2188" s="5">
        <v>424.2</v>
      </c>
      <c r="S2188" s="5">
        <v>26.66</v>
      </c>
      <c r="T2188" s="7">
        <v>0.059131437696846</v>
      </c>
      <c r="U2188" t="s">
        <v>12</v>
      </c>
      <c r="V2188" t="s">
        <v>50</v>
      </c>
      <c r="W2188" t="s">
        <v>50</v>
      </c>
      <c r="X2188" t="s">
        <v>35</v>
      </c>
      <c r="Y2188" t="s">
        <v>1042</v>
      </c>
      <c r="Z2188" t="s">
        <v>101</v>
      </c>
    </row>
    <row r="2189" spans="1:26">
      <c r="A2189" t="s">
        <v>4301</v>
      </c>
      <c r="B2189" t="s">
        <v>4301</v>
      </c>
      <c r="C2189" s="4">
        <v>45878</v>
      </c>
      <c r="D2189">
        <v>2025</v>
      </c>
      <c r="E2189">
        <v>8</v>
      </c>
      <c r="F2189" t="s">
        <v>24</v>
      </c>
      <c r="G2189" t="s">
        <v>89</v>
      </c>
      <c r="H2189" t="s">
        <v>3318</v>
      </c>
      <c r="I2189" t="s">
        <v>174</v>
      </c>
      <c r="J2189" t="s">
        <v>333</v>
      </c>
      <c r="K2189" t="s">
        <v>334</v>
      </c>
      <c r="L2189">
        <v>3</v>
      </c>
      <c r="M2189" s="5">
        <v>397.22</v>
      </c>
      <c r="N2189" s="6">
        <v>10</v>
      </c>
      <c r="O2189" s="5">
        <v>119.17</v>
      </c>
      <c r="P2189" s="5">
        <v>160.87</v>
      </c>
      <c r="Q2189" s="5">
        <v>1233.36</v>
      </c>
      <c r="R2189" s="5">
        <v>958.11</v>
      </c>
      <c r="S2189" s="5">
        <v>275.25</v>
      </c>
      <c r="T2189" s="7">
        <v>0.223170850359992</v>
      </c>
      <c r="U2189" t="s">
        <v>11</v>
      </c>
      <c r="V2189" t="s">
        <v>50</v>
      </c>
      <c r="W2189" t="s">
        <v>50</v>
      </c>
      <c r="X2189" t="s">
        <v>35</v>
      </c>
      <c r="Y2189" t="s">
        <v>1674</v>
      </c>
      <c r="Z2189" t="s">
        <v>80</v>
      </c>
    </row>
    <row r="2190" spans="1:26">
      <c r="A2190" t="s">
        <v>4302</v>
      </c>
      <c r="B2190" t="s">
        <v>4302</v>
      </c>
      <c r="C2190" s="4">
        <v>46042</v>
      </c>
      <c r="D2190">
        <v>2026</v>
      </c>
      <c r="E2190">
        <v>1</v>
      </c>
      <c r="F2190" t="s">
        <v>30</v>
      </c>
      <c r="G2190" t="s">
        <v>82</v>
      </c>
      <c r="H2190" t="s">
        <v>542</v>
      </c>
      <c r="I2190" t="s">
        <v>138</v>
      </c>
      <c r="J2190" t="s">
        <v>899</v>
      </c>
      <c r="K2190" t="s">
        <v>171</v>
      </c>
      <c r="L2190">
        <v>4</v>
      </c>
      <c r="M2190" s="5">
        <v>503.36</v>
      </c>
      <c r="N2190" s="6">
        <v>20</v>
      </c>
      <c r="O2190" s="5">
        <v>402.69</v>
      </c>
      <c r="P2190" s="5">
        <v>241.61</v>
      </c>
      <c r="Q2190" s="5">
        <v>1610.75</v>
      </c>
      <c r="R2190" s="5">
        <v>1559.2</v>
      </c>
      <c r="S2190" s="5">
        <v>51.55</v>
      </c>
      <c r="T2190" s="7">
        <v>0.0320037249728387</v>
      </c>
      <c r="U2190" t="s">
        <v>9</v>
      </c>
      <c r="V2190" t="s">
        <v>50</v>
      </c>
      <c r="W2190" t="s">
        <v>50</v>
      </c>
      <c r="X2190" t="s">
        <v>33</v>
      </c>
      <c r="Y2190" t="s">
        <v>2057</v>
      </c>
      <c r="Z2190" t="s">
        <v>101</v>
      </c>
    </row>
    <row r="2191" spans="1:26">
      <c r="A2191" t="s">
        <v>4303</v>
      </c>
      <c r="B2191" t="s">
        <v>4303</v>
      </c>
      <c r="C2191" s="4">
        <v>45948</v>
      </c>
      <c r="D2191">
        <v>2025</v>
      </c>
      <c r="E2191">
        <v>10</v>
      </c>
      <c r="F2191" t="s">
        <v>26</v>
      </c>
      <c r="G2191" t="s">
        <v>137</v>
      </c>
      <c r="H2191" t="s">
        <v>4304</v>
      </c>
      <c r="I2191" t="s">
        <v>2580</v>
      </c>
      <c r="J2191" t="s">
        <v>257</v>
      </c>
      <c r="K2191" t="s">
        <v>258</v>
      </c>
      <c r="L2191">
        <v>1</v>
      </c>
      <c r="M2191" s="5">
        <v>57.06</v>
      </c>
      <c r="N2191" s="6">
        <v>0</v>
      </c>
      <c r="O2191" s="5">
        <v>0</v>
      </c>
      <c r="P2191" s="5">
        <v>8.56</v>
      </c>
      <c r="Q2191" s="5">
        <v>65.62</v>
      </c>
      <c r="R2191" s="5">
        <v>48.43</v>
      </c>
      <c r="S2191" s="5">
        <v>17.19</v>
      </c>
      <c r="T2191" s="7">
        <v>0.261962816214569</v>
      </c>
      <c r="U2191" t="s">
        <v>13</v>
      </c>
      <c r="V2191" t="s">
        <v>50</v>
      </c>
      <c r="W2191" t="s">
        <v>50</v>
      </c>
      <c r="X2191" t="s">
        <v>33</v>
      </c>
      <c r="Y2191" t="s">
        <v>3503</v>
      </c>
      <c r="Z2191" t="s">
        <v>80</v>
      </c>
    </row>
    <row r="2192" spans="1:26">
      <c r="A2192" t="s">
        <v>4305</v>
      </c>
      <c r="B2192" t="s">
        <v>4305</v>
      </c>
      <c r="C2192" s="4">
        <v>45916</v>
      </c>
      <c r="D2192">
        <v>2025</v>
      </c>
      <c r="E2192">
        <v>9</v>
      </c>
      <c r="F2192" t="s">
        <v>25</v>
      </c>
      <c r="G2192" t="s">
        <v>89</v>
      </c>
      <c r="H2192" t="s">
        <v>608</v>
      </c>
      <c r="I2192" t="s">
        <v>454</v>
      </c>
      <c r="J2192" t="s">
        <v>1272</v>
      </c>
      <c r="K2192" t="s">
        <v>971</v>
      </c>
      <c r="L2192">
        <v>7</v>
      </c>
      <c r="M2192" s="5">
        <v>343.32</v>
      </c>
      <c r="N2192" s="6">
        <v>0</v>
      </c>
      <c r="O2192" s="5">
        <v>0</v>
      </c>
      <c r="P2192" s="5">
        <v>360.49</v>
      </c>
      <c r="Q2192" s="5">
        <v>2403.24</v>
      </c>
      <c r="R2192" s="5">
        <v>1293.18</v>
      </c>
      <c r="S2192" s="5">
        <v>1110.06</v>
      </c>
      <c r="T2192" s="7">
        <v>0.461901433065362</v>
      </c>
      <c r="U2192" t="s">
        <v>14</v>
      </c>
      <c r="V2192" t="s">
        <v>50</v>
      </c>
      <c r="W2192" t="s">
        <v>50</v>
      </c>
      <c r="X2192" t="s">
        <v>33</v>
      </c>
      <c r="Y2192" t="s">
        <v>4260</v>
      </c>
      <c r="Z2192" t="s">
        <v>101</v>
      </c>
    </row>
    <row r="2193" spans="1:26">
      <c r="A2193" t="s">
        <v>4306</v>
      </c>
      <c r="B2193" t="s">
        <v>4306</v>
      </c>
      <c r="C2193" s="4">
        <v>45750</v>
      </c>
      <c r="D2193">
        <v>2025</v>
      </c>
      <c r="E2193">
        <v>4</v>
      </c>
      <c r="F2193" t="s">
        <v>20</v>
      </c>
      <c r="G2193" t="s">
        <v>74</v>
      </c>
      <c r="H2193" t="s">
        <v>218</v>
      </c>
      <c r="I2193" t="s">
        <v>285</v>
      </c>
      <c r="J2193" t="s">
        <v>2513</v>
      </c>
      <c r="K2193" t="s">
        <v>1916</v>
      </c>
      <c r="L2193">
        <v>1</v>
      </c>
      <c r="M2193" s="5">
        <v>541.35</v>
      </c>
      <c r="N2193" s="6">
        <v>10</v>
      </c>
      <c r="O2193" s="5">
        <v>54.13</v>
      </c>
      <c r="P2193" s="5">
        <v>73.08</v>
      </c>
      <c r="Q2193" s="5">
        <v>487.22</v>
      </c>
      <c r="R2193" s="5">
        <v>336.4</v>
      </c>
      <c r="S2193" s="5">
        <v>150.82</v>
      </c>
      <c r="T2193" s="7">
        <v>0.309552153031485</v>
      </c>
      <c r="U2193" t="s">
        <v>11</v>
      </c>
      <c r="V2193" t="s">
        <v>50</v>
      </c>
      <c r="W2193" t="s">
        <v>50</v>
      </c>
      <c r="X2193" t="s">
        <v>33</v>
      </c>
      <c r="Y2193" t="s">
        <v>1809</v>
      </c>
      <c r="Z2193" t="s">
        <v>101</v>
      </c>
    </row>
    <row r="2194" spans="1:26">
      <c r="A2194" t="s">
        <v>4307</v>
      </c>
      <c r="B2194" t="s">
        <v>4307</v>
      </c>
      <c r="C2194" s="4">
        <v>45802</v>
      </c>
      <c r="D2194">
        <v>2025</v>
      </c>
      <c r="E2194">
        <v>5</v>
      </c>
      <c r="F2194" t="s">
        <v>21</v>
      </c>
      <c r="G2194" t="s">
        <v>74</v>
      </c>
      <c r="H2194" t="s">
        <v>792</v>
      </c>
      <c r="I2194" t="s">
        <v>196</v>
      </c>
      <c r="J2194" t="s">
        <v>1009</v>
      </c>
      <c r="K2194" t="s">
        <v>1234</v>
      </c>
      <c r="L2194">
        <v>8</v>
      </c>
      <c r="M2194" s="5">
        <v>343.55</v>
      </c>
      <c r="N2194" s="6">
        <v>0</v>
      </c>
      <c r="O2194" s="5">
        <v>0</v>
      </c>
      <c r="P2194" s="5">
        <v>412.26</v>
      </c>
      <c r="Q2194" s="5">
        <v>3160.66</v>
      </c>
      <c r="R2194" s="5">
        <v>2089.76</v>
      </c>
      <c r="S2194" s="5">
        <v>1070.9</v>
      </c>
      <c r="T2194" s="7">
        <v>0.338821638518537</v>
      </c>
      <c r="U2194" t="s">
        <v>11</v>
      </c>
      <c r="V2194" t="s">
        <v>50</v>
      </c>
      <c r="W2194" t="s">
        <v>50</v>
      </c>
      <c r="X2194" t="s">
        <v>33</v>
      </c>
      <c r="Y2194" t="s">
        <v>1483</v>
      </c>
      <c r="Z2194" t="s">
        <v>80</v>
      </c>
    </row>
    <row r="2195" spans="1:26">
      <c r="A2195" t="s">
        <v>4308</v>
      </c>
      <c r="B2195" t="s">
        <v>4308</v>
      </c>
      <c r="C2195" s="4">
        <v>45856</v>
      </c>
      <c r="D2195">
        <v>2025</v>
      </c>
      <c r="E2195">
        <v>7</v>
      </c>
      <c r="F2195" t="s">
        <v>23</v>
      </c>
      <c r="G2195" t="s">
        <v>89</v>
      </c>
      <c r="H2195" t="s">
        <v>327</v>
      </c>
      <c r="I2195" t="s">
        <v>1511</v>
      </c>
      <c r="J2195" t="s">
        <v>1272</v>
      </c>
      <c r="K2195" t="s">
        <v>971</v>
      </c>
      <c r="L2195">
        <v>4</v>
      </c>
      <c r="M2195" s="5">
        <v>183.39</v>
      </c>
      <c r="N2195" s="6">
        <v>5</v>
      </c>
      <c r="O2195" s="5">
        <v>36.68</v>
      </c>
      <c r="P2195" s="5">
        <v>104.53</v>
      </c>
      <c r="Q2195" s="5">
        <v>696.88</v>
      </c>
      <c r="R2195" s="5">
        <v>633.72</v>
      </c>
      <c r="S2195" s="5">
        <v>63.16</v>
      </c>
      <c r="T2195" s="7">
        <v>0.0906325335782344</v>
      </c>
      <c r="U2195" t="s">
        <v>10</v>
      </c>
      <c r="V2195" t="s">
        <v>51</v>
      </c>
      <c r="W2195" t="s">
        <v>51</v>
      </c>
      <c r="X2195" t="s">
        <v>33</v>
      </c>
      <c r="Y2195" t="s">
        <v>3825</v>
      </c>
      <c r="Z2195" t="s">
        <v>101</v>
      </c>
    </row>
    <row r="2196" spans="1:26">
      <c r="A2196" t="s">
        <v>4309</v>
      </c>
      <c r="B2196" t="s">
        <v>4309</v>
      </c>
      <c r="C2196" s="4">
        <v>45934</v>
      </c>
      <c r="D2196">
        <v>2025</v>
      </c>
      <c r="E2196">
        <v>10</v>
      </c>
      <c r="F2196" t="s">
        <v>26</v>
      </c>
      <c r="G2196" t="s">
        <v>137</v>
      </c>
      <c r="H2196" t="s">
        <v>2355</v>
      </c>
      <c r="I2196" t="s">
        <v>756</v>
      </c>
      <c r="J2196" t="s">
        <v>723</v>
      </c>
      <c r="K2196" t="s">
        <v>287</v>
      </c>
      <c r="L2196">
        <v>4</v>
      </c>
      <c r="M2196" s="5">
        <v>161.03</v>
      </c>
      <c r="N2196" s="6">
        <v>5</v>
      </c>
      <c r="O2196" s="5">
        <v>32.21</v>
      </c>
      <c r="P2196" s="5">
        <v>91.79</v>
      </c>
      <c r="Q2196" s="5">
        <v>703.7</v>
      </c>
      <c r="R2196" s="5">
        <v>496.96</v>
      </c>
      <c r="S2196" s="5">
        <v>206.74</v>
      </c>
      <c r="T2196" s="7">
        <v>0.293789967315618</v>
      </c>
      <c r="U2196" t="s">
        <v>14</v>
      </c>
      <c r="V2196" t="s">
        <v>50</v>
      </c>
      <c r="W2196" t="s">
        <v>50</v>
      </c>
      <c r="X2196" t="s">
        <v>34</v>
      </c>
      <c r="Y2196" t="s">
        <v>1005</v>
      </c>
      <c r="Z2196" t="s">
        <v>80</v>
      </c>
    </row>
    <row r="2197" spans="1:26">
      <c r="A2197" t="s">
        <v>4310</v>
      </c>
      <c r="B2197" t="s">
        <v>4310</v>
      </c>
      <c r="C2197" s="4">
        <v>45823</v>
      </c>
      <c r="D2197">
        <v>2025</v>
      </c>
      <c r="E2197">
        <v>6</v>
      </c>
      <c r="F2197" t="s">
        <v>22</v>
      </c>
      <c r="G2197" t="s">
        <v>74</v>
      </c>
      <c r="H2197" t="s">
        <v>3941</v>
      </c>
      <c r="I2197" t="s">
        <v>574</v>
      </c>
      <c r="J2197" t="s">
        <v>44</v>
      </c>
      <c r="K2197" t="s">
        <v>518</v>
      </c>
      <c r="L2197">
        <v>4</v>
      </c>
      <c r="M2197" s="5">
        <v>125.15</v>
      </c>
      <c r="N2197" s="6">
        <v>20</v>
      </c>
      <c r="O2197" s="5">
        <v>100.12</v>
      </c>
      <c r="P2197" s="5">
        <v>60.07</v>
      </c>
      <c r="Q2197" s="5">
        <v>460.55</v>
      </c>
      <c r="R2197" s="5">
        <v>382.8</v>
      </c>
      <c r="S2197" s="5">
        <v>77.75</v>
      </c>
      <c r="T2197" s="7">
        <v>0.168819889262838</v>
      </c>
      <c r="U2197" t="s">
        <v>11</v>
      </c>
      <c r="V2197" t="s">
        <v>50</v>
      </c>
      <c r="W2197" t="s">
        <v>50</v>
      </c>
      <c r="X2197" t="s">
        <v>35</v>
      </c>
      <c r="Y2197" t="s">
        <v>1495</v>
      </c>
      <c r="Z2197" t="s">
        <v>80</v>
      </c>
    </row>
    <row r="2198" spans="1:26">
      <c r="A2198" t="s">
        <v>4311</v>
      </c>
      <c r="B2198" t="s">
        <v>4311</v>
      </c>
      <c r="C2198" s="4">
        <v>45937</v>
      </c>
      <c r="D2198">
        <v>2025</v>
      </c>
      <c r="E2198">
        <v>10</v>
      </c>
      <c r="F2198" t="s">
        <v>26</v>
      </c>
      <c r="G2198" t="s">
        <v>137</v>
      </c>
      <c r="H2198" t="s">
        <v>1778</v>
      </c>
      <c r="I2198" t="s">
        <v>769</v>
      </c>
      <c r="J2198" t="s">
        <v>302</v>
      </c>
      <c r="K2198" t="s">
        <v>303</v>
      </c>
      <c r="L2198">
        <v>7</v>
      </c>
      <c r="M2198" s="5">
        <v>257.97</v>
      </c>
      <c r="N2198" s="6">
        <v>5</v>
      </c>
      <c r="O2198" s="5">
        <v>90.29</v>
      </c>
      <c r="P2198" s="5">
        <v>257.33</v>
      </c>
      <c r="Q2198" s="5">
        <v>1715.5</v>
      </c>
      <c r="R2198" s="5">
        <v>1374.1</v>
      </c>
      <c r="S2198" s="5">
        <v>341.4</v>
      </c>
      <c r="T2198" s="7">
        <v>0.199009035266686</v>
      </c>
      <c r="U2198" t="s">
        <v>9</v>
      </c>
      <c r="V2198" t="s">
        <v>50</v>
      </c>
      <c r="W2198" t="s">
        <v>50</v>
      </c>
      <c r="X2198" t="s">
        <v>33</v>
      </c>
      <c r="Y2198" t="s">
        <v>506</v>
      </c>
      <c r="Z2198" t="s">
        <v>101</v>
      </c>
    </row>
    <row r="2199" spans="1:26">
      <c r="A2199" t="s">
        <v>4312</v>
      </c>
      <c r="B2199" t="s">
        <v>4312</v>
      </c>
      <c r="C2199" s="4">
        <v>45823</v>
      </c>
      <c r="D2199">
        <v>2025</v>
      </c>
      <c r="E2199">
        <v>6</v>
      </c>
      <c r="F2199" t="s">
        <v>22</v>
      </c>
      <c r="G2199" t="s">
        <v>74</v>
      </c>
      <c r="H2199" t="s">
        <v>3621</v>
      </c>
      <c r="I2199" t="s">
        <v>2170</v>
      </c>
      <c r="J2199" t="s">
        <v>1150</v>
      </c>
      <c r="K2199" t="s">
        <v>2062</v>
      </c>
      <c r="L2199">
        <v>1</v>
      </c>
      <c r="M2199" s="5">
        <v>68.95</v>
      </c>
      <c r="N2199" s="6">
        <v>15</v>
      </c>
      <c r="O2199" s="5">
        <v>10.34</v>
      </c>
      <c r="P2199" s="5">
        <v>8.79</v>
      </c>
      <c r="Q2199" s="5">
        <v>67.4</v>
      </c>
      <c r="R2199" s="5">
        <v>57.89</v>
      </c>
      <c r="S2199" s="5">
        <v>9.51</v>
      </c>
      <c r="T2199" s="7">
        <v>0.141097922848665</v>
      </c>
      <c r="U2199" t="s">
        <v>14</v>
      </c>
      <c r="V2199" t="s">
        <v>50</v>
      </c>
      <c r="W2199" t="s">
        <v>50</v>
      </c>
      <c r="X2199" t="s">
        <v>33</v>
      </c>
      <c r="Y2199" t="s">
        <v>2448</v>
      </c>
      <c r="Z2199" t="s">
        <v>80</v>
      </c>
    </row>
    <row r="2200" spans="1:26">
      <c r="A2200" t="s">
        <v>4313</v>
      </c>
      <c r="B2200" t="s">
        <v>4313</v>
      </c>
      <c r="C2200" s="4">
        <v>45932</v>
      </c>
      <c r="D2200">
        <v>2025</v>
      </c>
      <c r="E2200">
        <v>10</v>
      </c>
      <c r="F2200" t="s">
        <v>26</v>
      </c>
      <c r="G2200" t="s">
        <v>137</v>
      </c>
      <c r="H2200" t="s">
        <v>712</v>
      </c>
      <c r="I2200" t="s">
        <v>196</v>
      </c>
      <c r="J2200" t="s">
        <v>820</v>
      </c>
      <c r="K2200" t="s">
        <v>821</v>
      </c>
      <c r="L2200">
        <v>1</v>
      </c>
      <c r="M2200" s="5">
        <v>332.73</v>
      </c>
      <c r="N2200" s="6">
        <v>20</v>
      </c>
      <c r="O2200" s="5">
        <v>66.55</v>
      </c>
      <c r="P2200" s="5">
        <v>39.93</v>
      </c>
      <c r="Q2200" s="5">
        <v>266.18</v>
      </c>
      <c r="R2200" s="5">
        <v>261.22</v>
      </c>
      <c r="S2200" s="5">
        <v>4.96</v>
      </c>
      <c r="T2200" s="7">
        <v>0.0186340070628898</v>
      </c>
      <c r="U2200" t="s">
        <v>12</v>
      </c>
      <c r="V2200" t="s">
        <v>50</v>
      </c>
      <c r="W2200" t="s">
        <v>50</v>
      </c>
      <c r="X2200" t="s">
        <v>33</v>
      </c>
      <c r="Y2200" t="s">
        <v>3041</v>
      </c>
      <c r="Z2200" t="s">
        <v>101</v>
      </c>
    </row>
    <row r="2201" spans="1:26">
      <c r="A2201" t="s">
        <v>4314</v>
      </c>
      <c r="B2201" t="s">
        <v>4314</v>
      </c>
      <c r="C2201" s="4">
        <v>45906</v>
      </c>
      <c r="D2201">
        <v>2025</v>
      </c>
      <c r="E2201">
        <v>9</v>
      </c>
      <c r="F2201" t="s">
        <v>25</v>
      </c>
      <c r="G2201" t="s">
        <v>89</v>
      </c>
      <c r="H2201" t="s">
        <v>1649</v>
      </c>
      <c r="I2201" t="s">
        <v>186</v>
      </c>
      <c r="J2201" t="s">
        <v>345</v>
      </c>
      <c r="K2201" t="s">
        <v>346</v>
      </c>
      <c r="L2201">
        <v>1</v>
      </c>
      <c r="M2201" s="5">
        <v>93.47</v>
      </c>
      <c r="N2201" s="6">
        <v>5</v>
      </c>
      <c r="O2201" s="5">
        <v>4.67</v>
      </c>
      <c r="P2201" s="5">
        <v>13.32</v>
      </c>
      <c r="Q2201" s="5">
        <v>102.12</v>
      </c>
      <c r="R2201" s="5">
        <v>72.29</v>
      </c>
      <c r="S2201" s="5">
        <v>29.83</v>
      </c>
      <c r="T2201" s="7">
        <v>0.29210732471602</v>
      </c>
      <c r="U2201" t="s">
        <v>14</v>
      </c>
      <c r="V2201" t="s">
        <v>50</v>
      </c>
      <c r="W2201" t="s">
        <v>50</v>
      </c>
      <c r="X2201" t="s">
        <v>33</v>
      </c>
      <c r="Y2201" t="s">
        <v>2445</v>
      </c>
      <c r="Z2201" t="s">
        <v>80</v>
      </c>
    </row>
    <row r="2202" spans="1:26">
      <c r="A2202" t="s">
        <v>4315</v>
      </c>
      <c r="B2202" t="s">
        <v>4315</v>
      </c>
      <c r="C2202" s="4">
        <v>45795</v>
      </c>
      <c r="D2202">
        <v>2025</v>
      </c>
      <c r="E2202">
        <v>5</v>
      </c>
      <c r="F2202" t="s">
        <v>21</v>
      </c>
      <c r="G2202" t="s">
        <v>74</v>
      </c>
      <c r="H2202" t="s">
        <v>120</v>
      </c>
      <c r="I2202" t="s">
        <v>898</v>
      </c>
      <c r="J2202" t="s">
        <v>872</v>
      </c>
      <c r="K2202" t="s">
        <v>873</v>
      </c>
      <c r="L2202">
        <v>2</v>
      </c>
      <c r="M2202" s="5">
        <v>275.71</v>
      </c>
      <c r="N2202" s="6">
        <v>0</v>
      </c>
      <c r="O2202" s="5">
        <v>0</v>
      </c>
      <c r="P2202" s="5">
        <v>82.71</v>
      </c>
      <c r="Q2202" s="5">
        <v>634.13</v>
      </c>
      <c r="R2202" s="5">
        <v>412.6</v>
      </c>
      <c r="S2202" s="5">
        <v>221.53</v>
      </c>
      <c r="T2202" s="7">
        <v>0.349344771576806</v>
      </c>
      <c r="U2202" t="s">
        <v>14</v>
      </c>
      <c r="V2202" t="s">
        <v>50</v>
      </c>
      <c r="W2202" t="s">
        <v>50</v>
      </c>
      <c r="X2202" t="s">
        <v>33</v>
      </c>
      <c r="Y2202" t="s">
        <v>1158</v>
      </c>
      <c r="Z2202" t="s">
        <v>80</v>
      </c>
    </row>
    <row r="2203" spans="1:26">
      <c r="A2203" t="s">
        <v>4316</v>
      </c>
      <c r="B2203" t="s">
        <v>4316</v>
      </c>
      <c r="C2203" s="4">
        <v>45781</v>
      </c>
      <c r="D2203">
        <v>2025</v>
      </c>
      <c r="E2203">
        <v>5</v>
      </c>
      <c r="F2203" t="s">
        <v>21</v>
      </c>
      <c r="G2203" t="s">
        <v>74</v>
      </c>
      <c r="H2203" t="s">
        <v>2464</v>
      </c>
      <c r="I2203" t="s">
        <v>587</v>
      </c>
      <c r="J2203" t="s">
        <v>1014</v>
      </c>
      <c r="K2203" t="s">
        <v>1015</v>
      </c>
      <c r="L2203">
        <v>1</v>
      </c>
      <c r="M2203" s="5">
        <v>386.17</v>
      </c>
      <c r="N2203" s="6">
        <v>5</v>
      </c>
      <c r="O2203" s="5">
        <v>19.31</v>
      </c>
      <c r="P2203" s="5">
        <v>55.03</v>
      </c>
      <c r="Q2203" s="5">
        <v>421.89</v>
      </c>
      <c r="R2203" s="5">
        <v>275.67</v>
      </c>
      <c r="S2203" s="5">
        <v>146.22</v>
      </c>
      <c r="T2203" s="7">
        <v>0.346583232596174</v>
      </c>
      <c r="U2203" t="s">
        <v>13</v>
      </c>
      <c r="V2203" t="s">
        <v>50</v>
      </c>
      <c r="W2203" t="s">
        <v>50</v>
      </c>
      <c r="X2203" t="s">
        <v>35</v>
      </c>
      <c r="Y2203" t="s">
        <v>785</v>
      </c>
      <c r="Z2203" t="s">
        <v>80</v>
      </c>
    </row>
    <row r="2204" spans="1:26">
      <c r="A2204" t="s">
        <v>4317</v>
      </c>
      <c r="B2204" t="s">
        <v>4317</v>
      </c>
      <c r="C2204" s="4">
        <v>46007</v>
      </c>
      <c r="D2204">
        <v>2025</v>
      </c>
      <c r="E2204">
        <v>12</v>
      </c>
      <c r="F2204" t="s">
        <v>28</v>
      </c>
      <c r="G2204" t="s">
        <v>137</v>
      </c>
      <c r="H2204" t="s">
        <v>1376</v>
      </c>
      <c r="I2204" t="s">
        <v>384</v>
      </c>
      <c r="J2204" t="s">
        <v>41</v>
      </c>
      <c r="K2204" t="s">
        <v>588</v>
      </c>
      <c r="L2204">
        <v>1</v>
      </c>
      <c r="M2204" s="5">
        <v>186.38</v>
      </c>
      <c r="N2204" s="6">
        <v>15</v>
      </c>
      <c r="O2204" s="5">
        <v>27.96</v>
      </c>
      <c r="P2204" s="5">
        <v>23.76</v>
      </c>
      <c r="Q2204" s="5">
        <v>158.42</v>
      </c>
      <c r="R2204" s="5">
        <v>135.66</v>
      </c>
      <c r="S2204" s="5">
        <v>22.76</v>
      </c>
      <c r="T2204" s="7">
        <v>0.143668728695872</v>
      </c>
      <c r="U2204" t="s">
        <v>9</v>
      </c>
      <c r="V2204" t="s">
        <v>50</v>
      </c>
      <c r="W2204" t="s">
        <v>50</v>
      </c>
      <c r="X2204" t="s">
        <v>33</v>
      </c>
      <c r="Y2204" t="s">
        <v>1902</v>
      </c>
      <c r="Z2204" t="s">
        <v>101</v>
      </c>
    </row>
    <row r="2205" spans="1:26">
      <c r="A2205" t="s">
        <v>4318</v>
      </c>
      <c r="B2205" t="s">
        <v>4318</v>
      </c>
      <c r="C2205" s="4">
        <v>46011</v>
      </c>
      <c r="D2205">
        <v>2025</v>
      </c>
      <c r="E2205">
        <v>12</v>
      </c>
      <c r="F2205" t="s">
        <v>28</v>
      </c>
      <c r="G2205" t="s">
        <v>137</v>
      </c>
      <c r="H2205" t="s">
        <v>2068</v>
      </c>
      <c r="I2205" t="s">
        <v>1233</v>
      </c>
      <c r="J2205" t="s">
        <v>152</v>
      </c>
      <c r="K2205" t="s">
        <v>153</v>
      </c>
      <c r="L2205">
        <v>3</v>
      </c>
      <c r="M2205" s="5">
        <v>112.64</v>
      </c>
      <c r="N2205" s="6">
        <v>0</v>
      </c>
      <c r="O2205" s="5">
        <v>0</v>
      </c>
      <c r="P2205" s="5">
        <v>50.69</v>
      </c>
      <c r="Q2205" s="5">
        <v>388.61</v>
      </c>
      <c r="R2205" s="5">
        <v>278.88</v>
      </c>
      <c r="S2205" s="5">
        <v>109.73</v>
      </c>
      <c r="T2205" s="7">
        <v>0.282365353439181</v>
      </c>
      <c r="U2205" t="s">
        <v>11</v>
      </c>
      <c r="V2205" t="s">
        <v>50</v>
      </c>
      <c r="W2205" t="s">
        <v>50</v>
      </c>
      <c r="X2205" t="s">
        <v>33</v>
      </c>
      <c r="Y2205" t="s">
        <v>962</v>
      </c>
      <c r="Z2205" t="s">
        <v>80</v>
      </c>
    </row>
    <row r="2206" spans="1:26">
      <c r="A2206" t="s">
        <v>4319</v>
      </c>
      <c r="B2206" t="s">
        <v>4319</v>
      </c>
      <c r="C2206" s="4">
        <v>45753</v>
      </c>
      <c r="D2206">
        <v>2025</v>
      </c>
      <c r="E2206">
        <v>4</v>
      </c>
      <c r="F2206" t="s">
        <v>20</v>
      </c>
      <c r="G2206" t="s">
        <v>74</v>
      </c>
      <c r="H2206" t="s">
        <v>449</v>
      </c>
      <c r="I2206" t="s">
        <v>350</v>
      </c>
      <c r="J2206" t="s">
        <v>280</v>
      </c>
      <c r="K2206" t="s">
        <v>281</v>
      </c>
      <c r="L2206">
        <v>2</v>
      </c>
      <c r="M2206" s="5">
        <v>343.56</v>
      </c>
      <c r="N2206" s="6">
        <v>0</v>
      </c>
      <c r="O2206" s="5">
        <v>0</v>
      </c>
      <c r="P2206" s="5">
        <v>103.07</v>
      </c>
      <c r="Q2206" s="5">
        <v>790.19</v>
      </c>
      <c r="R2206" s="5">
        <v>432.64</v>
      </c>
      <c r="S2206" s="5">
        <v>357.55</v>
      </c>
      <c r="T2206" s="7">
        <v>0.452486110935345</v>
      </c>
      <c r="U2206" t="s">
        <v>12</v>
      </c>
      <c r="V2206" t="s">
        <v>50</v>
      </c>
      <c r="W2206" t="s">
        <v>50</v>
      </c>
      <c r="X2206" t="s">
        <v>33</v>
      </c>
      <c r="Y2206" t="s">
        <v>2393</v>
      </c>
      <c r="Z2206" t="s">
        <v>80</v>
      </c>
    </row>
    <row r="2207" spans="1:26">
      <c r="A2207" t="s">
        <v>4320</v>
      </c>
      <c r="B2207" t="s">
        <v>4320</v>
      </c>
      <c r="C2207" s="4">
        <v>45757</v>
      </c>
      <c r="D2207">
        <v>2025</v>
      </c>
      <c r="E2207">
        <v>4</v>
      </c>
      <c r="F2207" t="s">
        <v>20</v>
      </c>
      <c r="G2207" t="s">
        <v>74</v>
      </c>
      <c r="H2207" t="s">
        <v>792</v>
      </c>
      <c r="I2207" t="s">
        <v>1714</v>
      </c>
      <c r="J2207" t="s">
        <v>226</v>
      </c>
      <c r="K2207" t="s">
        <v>380</v>
      </c>
      <c r="L2207">
        <v>3</v>
      </c>
      <c r="M2207" s="5">
        <v>360.8</v>
      </c>
      <c r="N2207" s="6">
        <v>0</v>
      </c>
      <c r="O2207" s="5">
        <v>0</v>
      </c>
      <c r="P2207" s="5">
        <v>162.36</v>
      </c>
      <c r="Q2207" s="5">
        <v>1082.4</v>
      </c>
      <c r="R2207" s="5">
        <v>798.3</v>
      </c>
      <c r="S2207" s="5">
        <v>284.1</v>
      </c>
      <c r="T2207" s="7">
        <v>0.262472283813747</v>
      </c>
      <c r="U2207" t="s">
        <v>9</v>
      </c>
      <c r="V2207" t="s">
        <v>50</v>
      </c>
      <c r="W2207" t="s">
        <v>50</v>
      </c>
      <c r="X2207" t="s">
        <v>33</v>
      </c>
      <c r="Y2207" t="s">
        <v>248</v>
      </c>
      <c r="Z2207" t="s">
        <v>101</v>
      </c>
    </row>
    <row r="2208" spans="1:26">
      <c r="A2208" t="s">
        <v>4321</v>
      </c>
      <c r="B2208" t="s">
        <v>4321</v>
      </c>
      <c r="C2208" s="4">
        <v>45962</v>
      </c>
      <c r="D2208">
        <v>2025</v>
      </c>
      <c r="E2208">
        <v>11</v>
      </c>
      <c r="F2208" t="s">
        <v>27</v>
      </c>
      <c r="G2208" t="s">
        <v>137</v>
      </c>
      <c r="H2208" t="s">
        <v>1223</v>
      </c>
      <c r="I2208" t="s">
        <v>498</v>
      </c>
      <c r="J2208" t="s">
        <v>357</v>
      </c>
      <c r="K2208" t="s">
        <v>494</v>
      </c>
      <c r="L2208">
        <v>7</v>
      </c>
      <c r="M2208" s="5">
        <v>380.16</v>
      </c>
      <c r="N2208" s="6">
        <v>0</v>
      </c>
      <c r="O2208" s="5">
        <v>0</v>
      </c>
      <c r="P2208" s="5">
        <v>399.17</v>
      </c>
      <c r="Q2208" s="5">
        <v>3060.29</v>
      </c>
      <c r="R2208" s="5">
        <v>2172.66</v>
      </c>
      <c r="S2208" s="5">
        <v>887.63</v>
      </c>
      <c r="T2208" s="7">
        <v>0.290047675220322</v>
      </c>
      <c r="U2208" t="s">
        <v>10</v>
      </c>
      <c r="V2208" t="s">
        <v>50</v>
      </c>
      <c r="W2208" t="s">
        <v>50</v>
      </c>
      <c r="X2208" t="s">
        <v>33</v>
      </c>
      <c r="Y2208" t="s">
        <v>2363</v>
      </c>
      <c r="Z2208" t="s">
        <v>80</v>
      </c>
    </row>
    <row r="2209" spans="1:26">
      <c r="A2209" t="s">
        <v>4322</v>
      </c>
      <c r="B2209" t="s">
        <v>4322</v>
      </c>
      <c r="C2209" s="4">
        <v>46068</v>
      </c>
      <c r="D2209">
        <v>2026</v>
      </c>
      <c r="E2209">
        <v>2</v>
      </c>
      <c r="F2209" t="s">
        <v>31</v>
      </c>
      <c r="G2209" t="s">
        <v>82</v>
      </c>
      <c r="H2209" t="s">
        <v>597</v>
      </c>
      <c r="I2209" t="s">
        <v>1419</v>
      </c>
      <c r="J2209" t="s">
        <v>44</v>
      </c>
      <c r="K2209" t="s">
        <v>1286</v>
      </c>
      <c r="L2209">
        <v>5</v>
      </c>
      <c r="M2209" s="5">
        <v>317.99</v>
      </c>
      <c r="N2209" s="6">
        <v>5</v>
      </c>
      <c r="O2209" s="5">
        <v>79.5</v>
      </c>
      <c r="P2209" s="5">
        <v>226.57</v>
      </c>
      <c r="Q2209" s="5">
        <v>1737.02</v>
      </c>
      <c r="R2209" s="5">
        <v>1175.25</v>
      </c>
      <c r="S2209" s="5">
        <v>561.77</v>
      </c>
      <c r="T2209" s="7">
        <v>0.323410208287757</v>
      </c>
      <c r="U2209" t="s">
        <v>9</v>
      </c>
      <c r="V2209" t="s">
        <v>50</v>
      </c>
      <c r="W2209" t="s">
        <v>50</v>
      </c>
      <c r="X2209" t="s">
        <v>33</v>
      </c>
      <c r="Y2209" t="s">
        <v>2435</v>
      </c>
      <c r="Z2209" t="s">
        <v>80</v>
      </c>
    </row>
    <row r="2210" spans="1:26">
      <c r="A2210" t="s">
        <v>4323</v>
      </c>
      <c r="B2210" t="s">
        <v>4323</v>
      </c>
      <c r="C2210" s="4">
        <v>45941</v>
      </c>
      <c r="D2210">
        <v>2025</v>
      </c>
      <c r="E2210">
        <v>10</v>
      </c>
      <c r="F2210" t="s">
        <v>26</v>
      </c>
      <c r="G2210" t="s">
        <v>137</v>
      </c>
      <c r="H2210" t="s">
        <v>727</v>
      </c>
      <c r="I2210" t="s">
        <v>139</v>
      </c>
      <c r="J2210" t="s">
        <v>318</v>
      </c>
      <c r="K2210" t="s">
        <v>2912</v>
      </c>
      <c r="L2210">
        <v>7</v>
      </c>
      <c r="M2210" s="5">
        <v>40.01</v>
      </c>
      <c r="N2210" s="6">
        <v>0</v>
      </c>
      <c r="O2210" s="5">
        <v>0</v>
      </c>
      <c r="P2210" s="5">
        <v>42.01</v>
      </c>
      <c r="Q2210" s="5">
        <v>322.08</v>
      </c>
      <c r="R2210" s="5">
        <v>226.8</v>
      </c>
      <c r="S2210" s="5">
        <v>95.28</v>
      </c>
      <c r="T2210" s="7">
        <v>0.295827123695976</v>
      </c>
      <c r="U2210" t="s">
        <v>14</v>
      </c>
      <c r="V2210" t="s">
        <v>50</v>
      </c>
      <c r="W2210" t="s">
        <v>50</v>
      </c>
      <c r="X2210" t="s">
        <v>33</v>
      </c>
      <c r="Y2210" t="s">
        <v>580</v>
      </c>
      <c r="Z2210" t="s">
        <v>80</v>
      </c>
    </row>
    <row r="2211" spans="1:26">
      <c r="A2211" t="s">
        <v>4324</v>
      </c>
      <c r="B2211" t="s">
        <v>4324</v>
      </c>
      <c r="C2211" s="4">
        <v>45856</v>
      </c>
      <c r="D2211">
        <v>2025</v>
      </c>
      <c r="E2211">
        <v>7</v>
      </c>
      <c r="F2211" t="s">
        <v>23</v>
      </c>
      <c r="G2211" t="s">
        <v>89</v>
      </c>
      <c r="H2211" t="s">
        <v>3017</v>
      </c>
      <c r="I2211" t="s">
        <v>423</v>
      </c>
      <c r="J2211" t="s">
        <v>42</v>
      </c>
      <c r="K2211" t="s">
        <v>1191</v>
      </c>
      <c r="L2211">
        <v>4</v>
      </c>
      <c r="M2211" s="5">
        <v>54.43</v>
      </c>
      <c r="N2211" s="6">
        <v>0</v>
      </c>
      <c r="O2211" s="5">
        <v>0</v>
      </c>
      <c r="P2211" s="5">
        <v>32.66</v>
      </c>
      <c r="Q2211" s="5">
        <v>217.72</v>
      </c>
      <c r="R2211" s="5">
        <v>172.04</v>
      </c>
      <c r="S2211" s="5">
        <v>45.68</v>
      </c>
      <c r="T2211" s="7">
        <v>0.209810766121624</v>
      </c>
      <c r="U2211" t="s">
        <v>9</v>
      </c>
      <c r="V2211" t="s">
        <v>50</v>
      </c>
      <c r="W2211" t="s">
        <v>50</v>
      </c>
      <c r="X2211" t="s">
        <v>33</v>
      </c>
      <c r="Y2211" t="s">
        <v>1974</v>
      </c>
      <c r="Z2211" t="s">
        <v>101</v>
      </c>
    </row>
    <row r="2212" spans="1:26">
      <c r="A2212" t="s">
        <v>4325</v>
      </c>
      <c r="B2212" t="s">
        <v>4325</v>
      </c>
      <c r="C2212" s="4">
        <v>45750</v>
      </c>
      <c r="D2212">
        <v>2025</v>
      </c>
      <c r="E2212">
        <v>4</v>
      </c>
      <c r="F2212" t="s">
        <v>20</v>
      </c>
      <c r="G2212" t="s">
        <v>74</v>
      </c>
      <c r="H2212" t="s">
        <v>985</v>
      </c>
      <c r="I2212" t="s">
        <v>537</v>
      </c>
      <c r="J2212" t="s">
        <v>44</v>
      </c>
      <c r="K2212" t="s">
        <v>518</v>
      </c>
      <c r="L2212">
        <v>7</v>
      </c>
      <c r="M2212" s="5">
        <v>233.96</v>
      </c>
      <c r="N2212" s="6">
        <v>0</v>
      </c>
      <c r="O2212" s="5">
        <v>0</v>
      </c>
      <c r="P2212" s="5">
        <v>245.66</v>
      </c>
      <c r="Q2212" s="5">
        <v>1637.72</v>
      </c>
      <c r="R2212" s="5">
        <v>1338.4</v>
      </c>
      <c r="S2212" s="5">
        <v>299.32</v>
      </c>
      <c r="T2212" s="7">
        <v>0.182766284835015</v>
      </c>
      <c r="U2212" t="s">
        <v>13</v>
      </c>
      <c r="V2212" t="s">
        <v>50</v>
      </c>
      <c r="W2212" t="s">
        <v>50</v>
      </c>
      <c r="X2212" t="s">
        <v>33</v>
      </c>
      <c r="Y2212" t="s">
        <v>325</v>
      </c>
      <c r="Z2212" t="s">
        <v>101</v>
      </c>
    </row>
    <row r="2213" spans="1:26">
      <c r="A2213" t="s">
        <v>4326</v>
      </c>
      <c r="B2213" t="s">
        <v>4326</v>
      </c>
      <c r="C2213" s="4">
        <v>46096</v>
      </c>
      <c r="D2213">
        <v>2026</v>
      </c>
      <c r="E2213">
        <v>3</v>
      </c>
      <c r="F2213" t="s">
        <v>19</v>
      </c>
      <c r="G2213" t="s">
        <v>82</v>
      </c>
      <c r="H2213" t="s">
        <v>428</v>
      </c>
      <c r="I2213" t="s">
        <v>664</v>
      </c>
      <c r="J2213" t="s">
        <v>263</v>
      </c>
      <c r="K2213" t="s">
        <v>264</v>
      </c>
      <c r="L2213">
        <v>0</v>
      </c>
      <c r="M2213" s="5">
        <v>359.87</v>
      </c>
      <c r="N2213" s="6">
        <v>0</v>
      </c>
      <c r="O2213" s="5">
        <v>0</v>
      </c>
      <c r="P2213" s="5">
        <v>0</v>
      </c>
      <c r="Q2213" s="5">
        <v>1241.55</v>
      </c>
      <c r="R2213" s="5">
        <v>823.83</v>
      </c>
      <c r="S2213" s="5">
        <v>417.72</v>
      </c>
      <c r="T2213" s="7">
        <v>0.336450404736016</v>
      </c>
      <c r="U2213" t="s">
        <v>12</v>
      </c>
      <c r="V2213" t="s">
        <v>50</v>
      </c>
      <c r="W2213" t="s">
        <v>50</v>
      </c>
      <c r="X2213" t="s">
        <v>35</v>
      </c>
      <c r="Y2213" t="s">
        <v>4327</v>
      </c>
      <c r="Z2213" t="s">
        <v>80</v>
      </c>
    </row>
    <row r="2214" spans="1:26">
      <c r="A2214" t="s">
        <v>4328</v>
      </c>
      <c r="B2214" t="s">
        <v>4328</v>
      </c>
      <c r="C2214" s="4">
        <v>45921</v>
      </c>
      <c r="D2214">
        <v>2025</v>
      </c>
      <c r="E2214">
        <v>9</v>
      </c>
      <c r="F2214" t="s">
        <v>25</v>
      </c>
      <c r="G2214" t="s">
        <v>89</v>
      </c>
      <c r="H2214" t="s">
        <v>591</v>
      </c>
      <c r="I2214" t="s">
        <v>1051</v>
      </c>
      <c r="J2214" t="s">
        <v>757</v>
      </c>
      <c r="K2214" t="s">
        <v>2546</v>
      </c>
      <c r="L2214">
        <v>8</v>
      </c>
      <c r="M2214" s="5">
        <v>265.06</v>
      </c>
      <c r="N2214" s="6">
        <v>20</v>
      </c>
      <c r="O2214" s="5">
        <v>424.1</v>
      </c>
      <c r="P2214" s="5">
        <v>254.46</v>
      </c>
      <c r="Q2214" s="5">
        <v>1950.84</v>
      </c>
      <c r="R2214" s="5">
        <v>1720.24</v>
      </c>
      <c r="S2214" s="5">
        <v>230.6</v>
      </c>
      <c r="T2214" s="7">
        <v>0.118205490967993</v>
      </c>
      <c r="U2214" t="s">
        <v>11</v>
      </c>
      <c r="V2214" t="s">
        <v>50</v>
      </c>
      <c r="W2214" t="s">
        <v>50</v>
      </c>
      <c r="X2214" t="s">
        <v>33</v>
      </c>
      <c r="Y2214" t="s">
        <v>3200</v>
      </c>
      <c r="Z2214" t="s">
        <v>80</v>
      </c>
    </row>
    <row r="2215" spans="1:26">
      <c r="A2215" t="s">
        <v>4329</v>
      </c>
      <c r="B2215" t="s">
        <v>4329</v>
      </c>
      <c r="C2215" s="4">
        <v>45816</v>
      </c>
      <c r="D2215">
        <v>2025</v>
      </c>
      <c r="E2215">
        <v>6</v>
      </c>
      <c r="F2215" t="s">
        <v>22</v>
      </c>
      <c r="G2215" t="s">
        <v>74</v>
      </c>
      <c r="H2215" t="s">
        <v>488</v>
      </c>
      <c r="I2215" t="s">
        <v>728</v>
      </c>
      <c r="J2215" t="s">
        <v>1409</v>
      </c>
      <c r="K2215" t="s">
        <v>2665</v>
      </c>
      <c r="L2215">
        <v>7</v>
      </c>
      <c r="M2215" s="5">
        <v>518.5</v>
      </c>
      <c r="N2215" s="6">
        <v>10</v>
      </c>
      <c r="O2215" s="5">
        <v>362.95</v>
      </c>
      <c r="P2215" s="5">
        <v>489.98</v>
      </c>
      <c r="Q2215" s="5">
        <v>3756.53</v>
      </c>
      <c r="R2215" s="5">
        <v>2710.12</v>
      </c>
      <c r="S2215" s="5">
        <v>1046.41</v>
      </c>
      <c r="T2215" s="7">
        <v>0.278557605023785</v>
      </c>
      <c r="U2215" t="s">
        <v>9</v>
      </c>
      <c r="V2215" t="s">
        <v>50</v>
      </c>
      <c r="W2215" t="s">
        <v>50</v>
      </c>
      <c r="X2215" t="s">
        <v>34</v>
      </c>
      <c r="Y2215" t="s">
        <v>1205</v>
      </c>
      <c r="Z2215" t="s">
        <v>80</v>
      </c>
    </row>
    <row r="2216" spans="1:26">
      <c r="A2216" t="s">
        <v>4330</v>
      </c>
      <c r="B2216" t="s">
        <v>4330</v>
      </c>
      <c r="C2216" s="4">
        <v>45984</v>
      </c>
      <c r="D2216">
        <v>2025</v>
      </c>
      <c r="E2216">
        <v>11</v>
      </c>
      <c r="F2216" t="s">
        <v>27</v>
      </c>
      <c r="G2216" t="s">
        <v>137</v>
      </c>
      <c r="H2216" t="s">
        <v>2817</v>
      </c>
      <c r="I2216" t="s">
        <v>301</v>
      </c>
      <c r="J2216" t="s">
        <v>369</v>
      </c>
      <c r="K2216" t="s">
        <v>1545</v>
      </c>
      <c r="L2216">
        <v>4</v>
      </c>
      <c r="M2216" s="5">
        <v>219.39</v>
      </c>
      <c r="N2216" s="6">
        <v>5</v>
      </c>
      <c r="O2216" s="5">
        <v>43.88</v>
      </c>
      <c r="P2216" s="5">
        <v>125.05</v>
      </c>
      <c r="Q2216" s="5">
        <v>958.73</v>
      </c>
      <c r="R2216" s="5">
        <v>781.76</v>
      </c>
      <c r="S2216" s="5">
        <v>176.97</v>
      </c>
      <c r="T2216" s="7">
        <v>0.184587944468203</v>
      </c>
      <c r="U2216" t="s">
        <v>14</v>
      </c>
      <c r="V2216" t="s">
        <v>50</v>
      </c>
      <c r="W2216" t="s">
        <v>50</v>
      </c>
      <c r="X2216" t="s">
        <v>33</v>
      </c>
      <c r="Y2216" t="s">
        <v>2682</v>
      </c>
      <c r="Z2216" t="s">
        <v>80</v>
      </c>
    </row>
    <row r="2217" spans="1:26">
      <c r="A2217" t="s">
        <v>4331</v>
      </c>
      <c r="B2217" t="s">
        <v>4331</v>
      </c>
      <c r="C2217" s="4">
        <v>46015</v>
      </c>
      <c r="D2217">
        <v>2025</v>
      </c>
      <c r="E2217">
        <v>12</v>
      </c>
      <c r="F2217" t="s">
        <v>28</v>
      </c>
      <c r="G2217" t="s">
        <v>137</v>
      </c>
      <c r="H2217" t="s">
        <v>425</v>
      </c>
      <c r="I2217" t="s">
        <v>1153</v>
      </c>
      <c r="J2217" t="s">
        <v>44</v>
      </c>
      <c r="K2217" t="s">
        <v>518</v>
      </c>
      <c r="L2217">
        <v>3</v>
      </c>
      <c r="M2217" s="5">
        <v>384.85</v>
      </c>
      <c r="N2217" s="6">
        <v>0</v>
      </c>
      <c r="O2217" s="5">
        <v>0</v>
      </c>
      <c r="P2217" s="5">
        <v>173.18</v>
      </c>
      <c r="Q2217" s="5">
        <v>1154.55</v>
      </c>
      <c r="R2217" s="5">
        <v>973.44</v>
      </c>
      <c r="S2217" s="5">
        <v>181.11</v>
      </c>
      <c r="T2217" s="7">
        <v>0.156866311549955</v>
      </c>
      <c r="U2217" t="s">
        <v>11</v>
      </c>
      <c r="V2217" t="s">
        <v>50</v>
      </c>
      <c r="W2217" t="s">
        <v>50</v>
      </c>
      <c r="X2217" t="s">
        <v>35</v>
      </c>
      <c r="Y2217" t="s">
        <v>1527</v>
      </c>
      <c r="Z2217" t="s">
        <v>101</v>
      </c>
    </row>
    <row r="2218" spans="1:26">
      <c r="A2218" t="s">
        <v>4332</v>
      </c>
      <c r="B2218" t="s">
        <v>4332</v>
      </c>
      <c r="C2218" s="4">
        <v>45918</v>
      </c>
      <c r="D2218">
        <v>2025</v>
      </c>
      <c r="E2218">
        <v>9</v>
      </c>
      <c r="F2218" t="s">
        <v>25</v>
      </c>
      <c r="G2218" t="s">
        <v>89</v>
      </c>
      <c r="H2218" t="s">
        <v>3658</v>
      </c>
      <c r="I2218" t="s">
        <v>317</v>
      </c>
      <c r="J2218" t="s">
        <v>877</v>
      </c>
      <c r="K2218" t="s">
        <v>878</v>
      </c>
      <c r="L2218">
        <v>5</v>
      </c>
      <c r="M2218" s="5">
        <v>155.55</v>
      </c>
      <c r="N2218" s="6">
        <v>20</v>
      </c>
      <c r="O2218" s="5">
        <v>155.55</v>
      </c>
      <c r="P2218" s="5">
        <v>93.33</v>
      </c>
      <c r="Q2218" s="5">
        <v>622.2</v>
      </c>
      <c r="R2218" s="5">
        <v>688.2</v>
      </c>
      <c r="S2218" s="5">
        <v>-66</v>
      </c>
      <c r="T2218" s="7">
        <v>-0.106075216972035</v>
      </c>
      <c r="U2218" t="s">
        <v>10</v>
      </c>
      <c r="V2218" t="s">
        <v>50</v>
      </c>
      <c r="W2218" t="s">
        <v>50</v>
      </c>
      <c r="X2218" t="s">
        <v>33</v>
      </c>
      <c r="Y2218" t="s">
        <v>908</v>
      </c>
      <c r="Z2218" t="s">
        <v>101</v>
      </c>
    </row>
    <row r="2219" spans="1:26">
      <c r="A2219" t="s">
        <v>4333</v>
      </c>
      <c r="B2219" t="s">
        <v>4333</v>
      </c>
      <c r="C2219" s="4">
        <v>45982</v>
      </c>
      <c r="D2219">
        <v>2025</v>
      </c>
      <c r="E2219">
        <v>11</v>
      </c>
      <c r="F2219" t="s">
        <v>27</v>
      </c>
      <c r="G2219" t="s">
        <v>137</v>
      </c>
      <c r="H2219" t="s">
        <v>3635</v>
      </c>
      <c r="I2219" t="s">
        <v>169</v>
      </c>
      <c r="J2219" t="s">
        <v>889</v>
      </c>
      <c r="K2219" t="s">
        <v>890</v>
      </c>
      <c r="L2219">
        <v>2</v>
      </c>
      <c r="M2219" s="5">
        <v>141.11</v>
      </c>
      <c r="N2219" s="6">
        <v>10</v>
      </c>
      <c r="O2219" s="5">
        <v>28.22</v>
      </c>
      <c r="P2219" s="5">
        <v>38.1</v>
      </c>
      <c r="Q2219" s="5">
        <v>254</v>
      </c>
      <c r="R2219" s="5">
        <v>231.82</v>
      </c>
      <c r="S2219" s="5">
        <v>-382.91</v>
      </c>
      <c r="T2219" s="7">
        <v>-1.50751968503937</v>
      </c>
      <c r="U2219" t="s">
        <v>11</v>
      </c>
      <c r="V2219" t="s">
        <v>50</v>
      </c>
      <c r="W2219" t="s">
        <v>50</v>
      </c>
      <c r="X2219" t="s">
        <v>33</v>
      </c>
      <c r="Y2219" t="s">
        <v>650</v>
      </c>
      <c r="Z2219" t="s">
        <v>101</v>
      </c>
    </row>
    <row r="2220" spans="1:26">
      <c r="A2220" t="s">
        <v>4334</v>
      </c>
      <c r="B2220" t="s">
        <v>4334</v>
      </c>
      <c r="C2220" s="4">
        <v>46059</v>
      </c>
      <c r="D2220">
        <v>2026</v>
      </c>
      <c r="E2220">
        <v>2</v>
      </c>
      <c r="F2220" t="s">
        <v>31</v>
      </c>
      <c r="G2220" t="s">
        <v>82</v>
      </c>
      <c r="H2220" t="s">
        <v>2222</v>
      </c>
      <c r="I2220" t="s">
        <v>323</v>
      </c>
      <c r="J2220" t="s">
        <v>40</v>
      </c>
      <c r="K2220" t="s">
        <v>978</v>
      </c>
      <c r="L2220">
        <v>2</v>
      </c>
      <c r="M2220" s="5">
        <v>51.33</v>
      </c>
      <c r="N2220" s="6">
        <v>0</v>
      </c>
      <c r="O2220" s="5">
        <v>0</v>
      </c>
      <c r="P2220" s="5">
        <v>15.4</v>
      </c>
      <c r="Q2220" s="5">
        <v>102.66</v>
      </c>
      <c r="R2220" s="5">
        <v>74.96</v>
      </c>
      <c r="S2220" s="5">
        <v>27.7</v>
      </c>
      <c r="T2220" s="7">
        <v>0.269822715760764</v>
      </c>
      <c r="U2220" t="s">
        <v>14</v>
      </c>
      <c r="V2220" t="s">
        <v>50</v>
      </c>
      <c r="W2220" t="s">
        <v>50</v>
      </c>
      <c r="X2220" t="s">
        <v>35</v>
      </c>
      <c r="Y2220" t="s">
        <v>2300</v>
      </c>
      <c r="Z2220" t="s">
        <v>101</v>
      </c>
    </row>
    <row r="2221" spans="1:26">
      <c r="A2221" t="s">
        <v>4335</v>
      </c>
      <c r="B2221" t="s">
        <v>4335</v>
      </c>
      <c r="C2221" s="4">
        <v>45776</v>
      </c>
      <c r="D2221">
        <v>2025</v>
      </c>
      <c r="E2221">
        <v>4</v>
      </c>
      <c r="F2221" t="s">
        <v>20</v>
      </c>
      <c r="G2221" t="s">
        <v>74</v>
      </c>
      <c r="H2221" t="s">
        <v>1478</v>
      </c>
      <c r="I2221" t="s">
        <v>947</v>
      </c>
      <c r="J2221" t="s">
        <v>333</v>
      </c>
      <c r="K2221" t="s">
        <v>709</v>
      </c>
      <c r="L2221">
        <v>4</v>
      </c>
      <c r="M2221" s="5">
        <v>504.49</v>
      </c>
      <c r="N2221" s="6">
        <v>5</v>
      </c>
      <c r="O2221" s="5">
        <v>100.9</v>
      </c>
      <c r="P2221" s="5">
        <v>287.56</v>
      </c>
      <c r="Q2221" s="5">
        <v>1917.06</v>
      </c>
      <c r="R2221" s="5">
        <v>1590.76</v>
      </c>
      <c r="S2221" s="5">
        <v>326.3</v>
      </c>
      <c r="T2221" s="7">
        <v>0.170208548506567</v>
      </c>
      <c r="U2221" t="s">
        <v>14</v>
      </c>
      <c r="V2221" t="s">
        <v>50</v>
      </c>
      <c r="W2221" t="s">
        <v>50</v>
      </c>
      <c r="X2221" t="s">
        <v>35</v>
      </c>
      <c r="Y2221" t="s">
        <v>3138</v>
      </c>
      <c r="Z2221" t="s">
        <v>101</v>
      </c>
    </row>
    <row r="2222" spans="1:26">
      <c r="A2222" t="s">
        <v>4336</v>
      </c>
      <c r="B2222" t="s">
        <v>4336</v>
      </c>
      <c r="C2222" s="4">
        <v>45949</v>
      </c>
      <c r="D2222">
        <v>2025</v>
      </c>
      <c r="E2222">
        <v>10</v>
      </c>
      <c r="F2222" t="s">
        <v>26</v>
      </c>
      <c r="G2222" t="s">
        <v>137</v>
      </c>
      <c r="H2222" t="s">
        <v>1245</v>
      </c>
      <c r="I2222" t="s">
        <v>609</v>
      </c>
      <c r="J2222" t="s">
        <v>532</v>
      </c>
      <c r="K2222" t="s">
        <v>533</v>
      </c>
      <c r="L2222">
        <v>5</v>
      </c>
      <c r="M2222" s="5">
        <v>328.59</v>
      </c>
      <c r="N2222" s="6">
        <v>0</v>
      </c>
      <c r="O2222" s="5">
        <v>0</v>
      </c>
      <c r="P2222" s="5">
        <v>246.44</v>
      </c>
      <c r="Q2222" s="5">
        <v>1889.39</v>
      </c>
      <c r="R2222" s="5">
        <v>1277.45</v>
      </c>
      <c r="S2222" s="5">
        <v>611.94</v>
      </c>
      <c r="T2222" s="7">
        <v>0.323882311222141</v>
      </c>
      <c r="U2222" t="s">
        <v>11</v>
      </c>
      <c r="V2222" t="s">
        <v>50</v>
      </c>
      <c r="W2222" t="s">
        <v>50</v>
      </c>
      <c r="X2222" t="s">
        <v>33</v>
      </c>
      <c r="Y2222" t="s">
        <v>1615</v>
      </c>
      <c r="Z2222" t="s">
        <v>80</v>
      </c>
    </row>
    <row r="2223" spans="1:26">
      <c r="A2223" t="s">
        <v>4337</v>
      </c>
      <c r="B2223" t="s">
        <v>4337</v>
      </c>
      <c r="C2223" s="4">
        <v>46044</v>
      </c>
      <c r="D2223">
        <v>2026</v>
      </c>
      <c r="E2223">
        <v>1</v>
      </c>
      <c r="F2223" t="s">
        <v>30</v>
      </c>
      <c r="G2223" t="s">
        <v>82</v>
      </c>
      <c r="H2223" t="s">
        <v>3783</v>
      </c>
      <c r="I2223" t="s">
        <v>301</v>
      </c>
      <c r="J2223" t="s">
        <v>820</v>
      </c>
      <c r="K2223" t="s">
        <v>821</v>
      </c>
      <c r="L2223">
        <v>4</v>
      </c>
      <c r="M2223" s="5">
        <v>245.36</v>
      </c>
      <c r="N2223" s="6">
        <v>0</v>
      </c>
      <c r="O2223" s="5">
        <v>0</v>
      </c>
      <c r="P2223" s="5">
        <v>147.22</v>
      </c>
      <c r="Q2223" s="5">
        <v>981.44</v>
      </c>
      <c r="R2223" s="5">
        <v>781.76</v>
      </c>
      <c r="S2223" s="5">
        <v>199.68</v>
      </c>
      <c r="T2223" s="7">
        <v>0.203456146071079</v>
      </c>
      <c r="U2223" t="s">
        <v>13</v>
      </c>
      <c r="V2223" t="s">
        <v>50</v>
      </c>
      <c r="W2223" t="s">
        <v>50</v>
      </c>
      <c r="X2223" t="s">
        <v>34</v>
      </c>
      <c r="Y2223" t="s">
        <v>2216</v>
      </c>
      <c r="Z2223" t="s">
        <v>101</v>
      </c>
    </row>
    <row r="2224" spans="1:26">
      <c r="A2224" t="s">
        <v>4338</v>
      </c>
      <c r="B2224" t="s">
        <v>4338</v>
      </c>
      <c r="C2224" s="4">
        <v>46012</v>
      </c>
      <c r="D2224">
        <v>2025</v>
      </c>
      <c r="E2224">
        <v>12</v>
      </c>
      <c r="F2224" t="s">
        <v>28</v>
      </c>
      <c r="G2224" t="s">
        <v>137</v>
      </c>
      <c r="H2224" t="s">
        <v>1936</v>
      </c>
      <c r="I2224" t="s">
        <v>470</v>
      </c>
      <c r="J2224" t="s">
        <v>471</v>
      </c>
      <c r="K2224" t="s">
        <v>766</v>
      </c>
      <c r="L2224">
        <v>4</v>
      </c>
      <c r="M2224" s="5">
        <v>292.91</v>
      </c>
      <c r="N2224" s="6">
        <v>0</v>
      </c>
      <c r="O2224" s="5">
        <v>0</v>
      </c>
      <c r="P2224" s="5">
        <v>175.75</v>
      </c>
      <c r="Q2224" s="5">
        <v>1347.39</v>
      </c>
      <c r="R2224" s="5">
        <v>951.56</v>
      </c>
      <c r="S2224" s="5">
        <v>395.83</v>
      </c>
      <c r="T2224" s="7">
        <v>0.29377537312879</v>
      </c>
      <c r="U2224" t="s">
        <v>13</v>
      </c>
      <c r="V2224" t="s">
        <v>50</v>
      </c>
      <c r="W2224" t="s">
        <v>50</v>
      </c>
      <c r="X2224" t="s">
        <v>33</v>
      </c>
      <c r="Y2224" t="s">
        <v>3599</v>
      </c>
      <c r="Z2224" t="s">
        <v>80</v>
      </c>
    </row>
    <row r="2225" spans="1:26">
      <c r="A2225" t="s">
        <v>4339</v>
      </c>
      <c r="B2225" t="s">
        <v>4339</v>
      </c>
      <c r="C2225" s="4">
        <v>45997</v>
      </c>
      <c r="D2225">
        <v>2025</v>
      </c>
      <c r="E2225">
        <v>12</v>
      </c>
      <c r="F2225" t="s">
        <v>28</v>
      </c>
      <c r="G2225" t="s">
        <v>137</v>
      </c>
      <c r="H2225" t="s">
        <v>727</v>
      </c>
      <c r="I2225" t="s">
        <v>328</v>
      </c>
      <c r="J2225" t="s">
        <v>41</v>
      </c>
      <c r="K2225" t="s">
        <v>588</v>
      </c>
      <c r="L2225">
        <v>6</v>
      </c>
      <c r="M2225" s="5">
        <v>128.81</v>
      </c>
      <c r="N2225" s="6">
        <v>0</v>
      </c>
      <c r="O2225" s="5">
        <v>0</v>
      </c>
      <c r="P2225" s="5">
        <v>115.93</v>
      </c>
      <c r="Q2225" s="5"/>
      <c r="R2225" s="5">
        <v>584.1</v>
      </c>
      <c r="S2225" s="5">
        <v>304.69</v>
      </c>
      <c r="T2225" s="7"/>
      <c r="U2225" t="s">
        <v>12</v>
      </c>
      <c r="V2225" t="s">
        <v>50</v>
      </c>
      <c r="W2225" t="s">
        <v>50</v>
      </c>
      <c r="X2225" t="s">
        <v>33</v>
      </c>
      <c r="Y2225" t="s">
        <v>2357</v>
      </c>
      <c r="Z2225" t="s">
        <v>80</v>
      </c>
    </row>
    <row r="2226" spans="1:26">
      <c r="A2226" t="s">
        <v>4340</v>
      </c>
      <c r="B2226" t="s">
        <v>4340</v>
      </c>
      <c r="C2226" s="4">
        <v>45942</v>
      </c>
      <c r="D2226">
        <v>2025</v>
      </c>
      <c r="E2226">
        <v>10</v>
      </c>
      <c r="F2226" t="s">
        <v>26</v>
      </c>
      <c r="G2226" t="s">
        <v>137</v>
      </c>
      <c r="H2226" t="s">
        <v>1600</v>
      </c>
      <c r="I2226" t="s">
        <v>1264</v>
      </c>
      <c r="J2226" t="s">
        <v>280</v>
      </c>
      <c r="K2226" t="s">
        <v>1172</v>
      </c>
      <c r="L2226">
        <v>5</v>
      </c>
      <c r="M2226" s="5">
        <v>204.15</v>
      </c>
      <c r="N2226" s="6">
        <v>0</v>
      </c>
      <c r="O2226" s="5">
        <v>0</v>
      </c>
      <c r="P2226" s="5">
        <v>153.11</v>
      </c>
      <c r="Q2226" s="5">
        <v>1173.86</v>
      </c>
      <c r="R2226" s="5">
        <v>538</v>
      </c>
      <c r="S2226" s="5">
        <v>635.86</v>
      </c>
      <c r="T2226" s="7">
        <v>0.54168299456494</v>
      </c>
      <c r="U2226" t="s">
        <v>14</v>
      </c>
      <c r="V2226" t="s">
        <v>50</v>
      </c>
      <c r="W2226" t="s">
        <v>50</v>
      </c>
      <c r="X2226" t="s">
        <v>33</v>
      </c>
      <c r="Y2226" t="s">
        <v>3322</v>
      </c>
      <c r="Z2226" t="s">
        <v>80</v>
      </c>
    </row>
    <row r="2227" spans="1:26">
      <c r="A2227" t="s">
        <v>4341</v>
      </c>
      <c r="B2227" t="s">
        <v>4341</v>
      </c>
      <c r="C2227" s="4">
        <v>45837</v>
      </c>
      <c r="D2227">
        <v>2025</v>
      </c>
      <c r="E2227">
        <v>6</v>
      </c>
      <c r="F2227" t="s">
        <v>22</v>
      </c>
      <c r="G2227" t="s">
        <v>74</v>
      </c>
      <c r="H2227" t="s">
        <v>1026</v>
      </c>
      <c r="I2227" t="s">
        <v>429</v>
      </c>
      <c r="J2227" t="s">
        <v>648</v>
      </c>
      <c r="K2227" t="s">
        <v>649</v>
      </c>
      <c r="L2227">
        <v>7</v>
      </c>
      <c r="M2227" s="5">
        <v>405.1</v>
      </c>
      <c r="N2227" s="6">
        <v>10</v>
      </c>
      <c r="O2227" s="5">
        <v>283.57</v>
      </c>
      <c r="P2227" s="5">
        <v>382.82</v>
      </c>
      <c r="Q2227" s="5">
        <v>2934.95</v>
      </c>
      <c r="R2227" s="5">
        <v>2352.49</v>
      </c>
      <c r="S2227" s="5">
        <v>582.46</v>
      </c>
      <c r="T2227" s="7">
        <v>0.198456532479259</v>
      </c>
      <c r="U2227" t="s">
        <v>11</v>
      </c>
      <c r="V2227" t="s">
        <v>50</v>
      </c>
      <c r="W2227" t="s">
        <v>50</v>
      </c>
      <c r="X2227" t="s">
        <v>33</v>
      </c>
      <c r="Y2227" t="s">
        <v>1016</v>
      </c>
      <c r="Z2227" t="s">
        <v>80</v>
      </c>
    </row>
    <row r="2228" spans="1:26">
      <c r="A2228" t="s">
        <v>4342</v>
      </c>
      <c r="B2228" t="s">
        <v>4342</v>
      </c>
      <c r="C2228" s="4">
        <v>45934</v>
      </c>
      <c r="D2228">
        <v>2025</v>
      </c>
      <c r="E2228">
        <v>10</v>
      </c>
      <c r="F2228" t="s">
        <v>26</v>
      </c>
      <c r="G2228" t="s">
        <v>137</v>
      </c>
      <c r="H2228" t="s">
        <v>1532</v>
      </c>
      <c r="I2228" t="s">
        <v>1071</v>
      </c>
      <c r="J2228" t="s">
        <v>257</v>
      </c>
      <c r="K2228" t="s">
        <v>258</v>
      </c>
      <c r="L2228">
        <v>5</v>
      </c>
      <c r="M2228" s="5">
        <v>280.52</v>
      </c>
      <c r="N2228" s="6">
        <v>10</v>
      </c>
      <c r="O2228" s="5">
        <v>140.26</v>
      </c>
      <c r="P2228" s="5">
        <v>189.35</v>
      </c>
      <c r="Q2228" s="5">
        <v>1451.69</v>
      </c>
      <c r="R2228" s="5">
        <v>995.8</v>
      </c>
      <c r="S2228" s="5">
        <v>455.89</v>
      </c>
      <c r="T2228" s="7">
        <v>0.31404087649567</v>
      </c>
      <c r="U2228" t="s">
        <v>9</v>
      </c>
      <c r="V2228" t="s">
        <v>50</v>
      </c>
      <c r="W2228" t="s">
        <v>50</v>
      </c>
      <c r="X2228" t="s">
        <v>34</v>
      </c>
      <c r="Y2228" t="s">
        <v>962</v>
      </c>
      <c r="Z2228" t="s">
        <v>80</v>
      </c>
    </row>
    <row r="2229" spans="1:26">
      <c r="A2229" t="s">
        <v>4343</v>
      </c>
      <c r="B2229" t="s">
        <v>4343</v>
      </c>
      <c r="C2229" s="4">
        <v>45879</v>
      </c>
      <c r="D2229">
        <v>2025</v>
      </c>
      <c r="E2229">
        <v>8</v>
      </c>
      <c r="F2229" t="s">
        <v>24</v>
      </c>
      <c r="G2229" t="s">
        <v>89</v>
      </c>
      <c r="H2229" t="s">
        <v>1651</v>
      </c>
      <c r="I2229" t="s">
        <v>91</v>
      </c>
      <c r="J2229" t="s">
        <v>286</v>
      </c>
      <c r="K2229" t="s">
        <v>1702</v>
      </c>
      <c r="L2229">
        <v>2</v>
      </c>
      <c r="M2229" s="5">
        <v>234.86</v>
      </c>
      <c r="N2229" s="6">
        <v>10</v>
      </c>
      <c r="O2229" s="5">
        <v>46.97</v>
      </c>
      <c r="P2229" s="5">
        <v>63.41</v>
      </c>
      <c r="Q2229" s="5">
        <v>486.16</v>
      </c>
      <c r="R2229" s="5">
        <v>426.46</v>
      </c>
      <c r="S2229" s="5">
        <v>59.7</v>
      </c>
      <c r="T2229" s="7">
        <v>0.122799078492677</v>
      </c>
      <c r="U2229" t="s">
        <v>12</v>
      </c>
      <c r="V2229" t="s">
        <v>50</v>
      </c>
      <c r="W2229" t="s">
        <v>50</v>
      </c>
      <c r="X2229" t="s">
        <v>34</v>
      </c>
      <c r="Y2229" t="s">
        <v>1874</v>
      </c>
      <c r="Z2229" t="s">
        <v>80</v>
      </c>
    </row>
    <row r="2230" spans="1:26">
      <c r="A2230" t="s">
        <v>4344</v>
      </c>
      <c r="B2230" t="s">
        <v>4344</v>
      </c>
      <c r="C2230" s="4">
        <v>46093</v>
      </c>
      <c r="D2230">
        <v>2026</v>
      </c>
      <c r="E2230">
        <v>3</v>
      </c>
      <c r="F2230" t="s">
        <v>19</v>
      </c>
      <c r="G2230" t="s">
        <v>82</v>
      </c>
      <c r="H2230" t="s">
        <v>732</v>
      </c>
      <c r="I2230" t="s">
        <v>514</v>
      </c>
      <c r="J2230" t="s">
        <v>42</v>
      </c>
      <c r="K2230" t="s">
        <v>619</v>
      </c>
      <c r="L2230">
        <v>5</v>
      </c>
      <c r="M2230" s="5">
        <v>589.75</v>
      </c>
      <c r="N2230" s="6">
        <v>20</v>
      </c>
      <c r="O2230" s="5">
        <v>589.75</v>
      </c>
      <c r="P2230" s="5">
        <v>353.85</v>
      </c>
      <c r="Q2230" s="5">
        <v>2359</v>
      </c>
      <c r="R2230" s="5">
        <v>1718.25</v>
      </c>
      <c r="S2230" s="5">
        <v>640.75</v>
      </c>
      <c r="T2230" s="7">
        <v>0.271619330224671</v>
      </c>
      <c r="U2230" t="s">
        <v>9</v>
      </c>
      <c r="V2230" t="s">
        <v>50</v>
      </c>
      <c r="W2230" t="s">
        <v>50</v>
      </c>
      <c r="X2230" t="s">
        <v>35</v>
      </c>
      <c r="Y2230" t="s">
        <v>288</v>
      </c>
      <c r="Z2230" t="s">
        <v>101</v>
      </c>
    </row>
    <row r="2231" spans="1:26">
      <c r="A2231" t="s">
        <v>4345</v>
      </c>
      <c r="B2231" t="s">
        <v>4345</v>
      </c>
      <c r="C2231" s="4">
        <v>45803</v>
      </c>
      <c r="D2231">
        <v>2025</v>
      </c>
      <c r="E2231">
        <v>5</v>
      </c>
      <c r="F2231" t="s">
        <v>21</v>
      </c>
      <c r="G2231" t="s">
        <v>74</v>
      </c>
      <c r="H2231" t="s">
        <v>1654</v>
      </c>
      <c r="I2231" t="s">
        <v>1190</v>
      </c>
      <c r="J2231" t="s">
        <v>435</v>
      </c>
      <c r="K2231" t="s">
        <v>863</v>
      </c>
      <c r="L2231">
        <v>3</v>
      </c>
      <c r="M2231" s="5">
        <v>468.94</v>
      </c>
      <c r="N2231" s="6">
        <v>5</v>
      </c>
      <c r="O2231" s="5">
        <v>70.34</v>
      </c>
      <c r="P2231" s="5">
        <v>200.47</v>
      </c>
      <c r="Q2231" s="5">
        <v>1336.48</v>
      </c>
      <c r="R2231" s="5">
        <v>1010.4</v>
      </c>
      <c r="S2231" s="5">
        <v>326.08</v>
      </c>
      <c r="T2231" s="7">
        <v>0.243984197294385</v>
      </c>
      <c r="U2231" t="s">
        <v>12</v>
      </c>
      <c r="V2231" t="s">
        <v>50</v>
      </c>
      <c r="W2231" t="s">
        <v>50</v>
      </c>
      <c r="X2231" t="s">
        <v>33</v>
      </c>
      <c r="Y2231" t="s">
        <v>2854</v>
      </c>
      <c r="Z2231" t="s">
        <v>101</v>
      </c>
    </row>
    <row r="2232" spans="1:26">
      <c r="A2232" t="s">
        <v>4346</v>
      </c>
      <c r="B2232" t="s">
        <v>4346</v>
      </c>
      <c r="C2232" s="4">
        <v>45878</v>
      </c>
      <c r="D2232">
        <v>2025</v>
      </c>
      <c r="E2232">
        <v>8</v>
      </c>
      <c r="F2232" t="s">
        <v>24</v>
      </c>
      <c r="G2232" t="s">
        <v>89</v>
      </c>
      <c r="H2232" t="s">
        <v>389</v>
      </c>
      <c r="I2232" t="s">
        <v>312</v>
      </c>
      <c r="J2232" t="s">
        <v>770</v>
      </c>
      <c r="K2232" t="s">
        <v>771</v>
      </c>
      <c r="L2232">
        <v>5</v>
      </c>
      <c r="M2232" s="5">
        <v>426.09</v>
      </c>
      <c r="N2232" s="6">
        <v>0</v>
      </c>
      <c r="O2232" s="5">
        <v>0</v>
      </c>
      <c r="P2232" s="5">
        <v>319.57</v>
      </c>
      <c r="Q2232" s="5">
        <v>2450.02</v>
      </c>
      <c r="R2232" s="5">
        <v>1429.5</v>
      </c>
      <c r="S2232" s="5">
        <v>1020.52</v>
      </c>
      <c r="T2232" s="7">
        <v>0.416535375221427</v>
      </c>
      <c r="U2232" t="s">
        <v>9</v>
      </c>
      <c r="V2232" t="s">
        <v>50</v>
      </c>
      <c r="W2232" t="s">
        <v>50</v>
      </c>
      <c r="X2232" t="s">
        <v>33</v>
      </c>
      <c r="Y2232" t="s">
        <v>1429</v>
      </c>
      <c r="Z2232" t="s">
        <v>80</v>
      </c>
    </row>
    <row r="2233" spans="1:26">
      <c r="A2233" t="s">
        <v>4347</v>
      </c>
      <c r="B2233" t="s">
        <v>4347</v>
      </c>
      <c r="C2233" s="4">
        <v>45998</v>
      </c>
      <c r="D2233">
        <v>2025</v>
      </c>
      <c r="E2233">
        <v>12</v>
      </c>
      <c r="F2233" t="s">
        <v>28</v>
      </c>
      <c r="G2233" t="s">
        <v>137</v>
      </c>
      <c r="H2233" t="s">
        <v>2323</v>
      </c>
      <c r="I2233" t="s">
        <v>2120</v>
      </c>
      <c r="J2233" t="s">
        <v>1014</v>
      </c>
      <c r="K2233" t="s">
        <v>1772</v>
      </c>
      <c r="L2233">
        <v>1</v>
      </c>
      <c r="M2233" s="5">
        <v>392.68</v>
      </c>
      <c r="N2233" s="6">
        <v>20</v>
      </c>
      <c r="O2233" s="5">
        <v>78.54</v>
      </c>
      <c r="P2233" s="5">
        <v>47.12</v>
      </c>
      <c r="Q2233" s="5">
        <v>361.26</v>
      </c>
      <c r="R2233" s="5">
        <v>319.05</v>
      </c>
      <c r="S2233" s="5">
        <v>42.21</v>
      </c>
      <c r="T2233" s="7">
        <v>0.11684105630294</v>
      </c>
      <c r="U2233" t="s">
        <v>14</v>
      </c>
      <c r="V2233" t="s">
        <v>50</v>
      </c>
      <c r="W2233" t="s">
        <v>50</v>
      </c>
      <c r="X2233" t="s">
        <v>33</v>
      </c>
      <c r="Y2233" t="s">
        <v>2743</v>
      </c>
      <c r="Z2233" t="s">
        <v>80</v>
      </c>
    </row>
    <row r="2234" spans="1:26">
      <c r="A2234" t="s">
        <v>4348</v>
      </c>
      <c r="B2234" t="s">
        <v>4348</v>
      </c>
      <c r="C2234" s="4">
        <v>45995</v>
      </c>
      <c r="D2234">
        <v>2025</v>
      </c>
      <c r="E2234">
        <v>12</v>
      </c>
      <c r="F2234" t="s">
        <v>28</v>
      </c>
      <c r="G2234" t="s">
        <v>137</v>
      </c>
      <c r="H2234" t="s">
        <v>144</v>
      </c>
      <c r="I2234" t="s">
        <v>547</v>
      </c>
      <c r="J2234" t="s">
        <v>170</v>
      </c>
      <c r="K2234" t="s">
        <v>1536</v>
      </c>
      <c r="L2234">
        <v>4</v>
      </c>
      <c r="M2234" s="5">
        <v>503.36</v>
      </c>
      <c r="N2234" s="6">
        <v>20</v>
      </c>
      <c r="O2234" s="5">
        <v>402.69</v>
      </c>
      <c r="P2234" s="5">
        <v>241.61</v>
      </c>
      <c r="Q2234" s="5">
        <v>1610.75</v>
      </c>
      <c r="R2234" s="5">
        <v>1559.2</v>
      </c>
      <c r="S2234" s="5">
        <v>51.55</v>
      </c>
      <c r="T2234" s="7">
        <v>0.0320037249728387</v>
      </c>
      <c r="U2234" t="s">
        <v>12</v>
      </c>
      <c r="V2234" t="s">
        <v>50</v>
      </c>
      <c r="W2234" t="s">
        <v>50</v>
      </c>
      <c r="X2234" t="s">
        <v>33</v>
      </c>
      <c r="Y2234" t="s">
        <v>2441</v>
      </c>
      <c r="Z2234" t="s">
        <v>101</v>
      </c>
    </row>
    <row r="2235" spans="1:26">
      <c r="A2235" t="s">
        <v>4349</v>
      </c>
      <c r="B2235" t="s">
        <v>4349</v>
      </c>
      <c r="C2235" s="4">
        <v>45864</v>
      </c>
      <c r="D2235">
        <v>2025</v>
      </c>
      <c r="E2235">
        <v>7</v>
      </c>
      <c r="F2235" t="s">
        <v>23</v>
      </c>
      <c r="G2235" t="s">
        <v>89</v>
      </c>
      <c r="H2235" t="s">
        <v>1050</v>
      </c>
      <c r="I2235" t="s">
        <v>1132</v>
      </c>
      <c r="J2235" t="s">
        <v>1100</v>
      </c>
      <c r="K2235" t="s">
        <v>352</v>
      </c>
      <c r="L2235">
        <v>1</v>
      </c>
      <c r="M2235" s="5">
        <v>297.32</v>
      </c>
      <c r="N2235" s="6">
        <v>10</v>
      </c>
      <c r="O2235" s="5">
        <v>29.73</v>
      </c>
      <c r="P2235" s="5">
        <v>40.14</v>
      </c>
      <c r="Q2235" s="5">
        <v>307.73</v>
      </c>
      <c r="R2235" s="5">
        <v>225.28</v>
      </c>
      <c r="S2235" s="5">
        <v>82.45</v>
      </c>
      <c r="T2235" s="7">
        <v>0.26792967861437</v>
      </c>
      <c r="U2235" t="s">
        <v>13</v>
      </c>
      <c r="V2235" t="s">
        <v>50</v>
      </c>
      <c r="W2235" t="s">
        <v>50</v>
      </c>
      <c r="X2235" t="s">
        <v>35</v>
      </c>
      <c r="Y2235" t="s">
        <v>1828</v>
      </c>
      <c r="Z2235" t="s">
        <v>80</v>
      </c>
    </row>
    <row r="2236" spans="1:26">
      <c r="A2236" t="s">
        <v>4350</v>
      </c>
      <c r="B2236" t="s">
        <v>4350</v>
      </c>
      <c r="C2236" s="4">
        <v>45949</v>
      </c>
      <c r="D2236">
        <v>2025</v>
      </c>
      <c r="E2236">
        <v>10</v>
      </c>
      <c r="F2236" t="s">
        <v>26</v>
      </c>
      <c r="G2236" t="s">
        <v>137</v>
      </c>
      <c r="H2236" t="s">
        <v>3935</v>
      </c>
      <c r="I2236" t="s">
        <v>110</v>
      </c>
      <c r="J2236" t="s">
        <v>894</v>
      </c>
      <c r="K2236" t="s">
        <v>895</v>
      </c>
      <c r="L2236">
        <v>1</v>
      </c>
      <c r="M2236" s="5">
        <v>342.46</v>
      </c>
      <c r="N2236" s="6">
        <v>0</v>
      </c>
      <c r="O2236" s="5">
        <v>0</v>
      </c>
      <c r="P2236" s="5">
        <v>51.37</v>
      </c>
      <c r="Q2236" s="5">
        <v>393.83</v>
      </c>
      <c r="R2236" s="5">
        <v>271.78</v>
      </c>
      <c r="S2236" s="5">
        <v>122.05</v>
      </c>
      <c r="T2236" s="7">
        <v>0.309905289084123</v>
      </c>
      <c r="U2236" t="s">
        <v>9</v>
      </c>
      <c r="V2236" t="s">
        <v>50</v>
      </c>
      <c r="W2236" t="s">
        <v>50</v>
      </c>
      <c r="X2236" t="s">
        <v>33</v>
      </c>
      <c r="Y2236" t="s">
        <v>1569</v>
      </c>
      <c r="Z2236" t="s">
        <v>80</v>
      </c>
    </row>
    <row r="2237" spans="1:26">
      <c r="A2237" t="s">
        <v>4351</v>
      </c>
      <c r="B2237" t="s">
        <v>4351</v>
      </c>
      <c r="C2237" s="4">
        <v>45753</v>
      </c>
      <c r="D2237">
        <v>2025</v>
      </c>
      <c r="E2237">
        <v>4</v>
      </c>
      <c r="F2237" t="s">
        <v>20</v>
      </c>
      <c r="G2237" t="s">
        <v>74</v>
      </c>
      <c r="H2237" t="s">
        <v>201</v>
      </c>
      <c r="I2237" t="s">
        <v>290</v>
      </c>
      <c r="J2237" t="s">
        <v>318</v>
      </c>
      <c r="K2237" t="s">
        <v>494</v>
      </c>
      <c r="L2237">
        <v>6</v>
      </c>
      <c r="M2237" s="5">
        <v>82.49</v>
      </c>
      <c r="N2237" s="6">
        <v>20</v>
      </c>
      <c r="O2237" s="5">
        <v>98.99</v>
      </c>
      <c r="P2237" s="5">
        <v>59.39</v>
      </c>
      <c r="Q2237" s="5">
        <v>455.34</v>
      </c>
      <c r="R2237" s="5">
        <v>373.5</v>
      </c>
      <c r="S2237" s="5">
        <v>81.84</v>
      </c>
      <c r="T2237" s="7">
        <v>0.179733825273422</v>
      </c>
      <c r="U2237" t="s">
        <v>12</v>
      </c>
      <c r="V2237" t="s">
        <v>50</v>
      </c>
      <c r="W2237" t="s">
        <v>50</v>
      </c>
      <c r="X2237" t="s">
        <v>35</v>
      </c>
      <c r="Y2237" t="s">
        <v>1595</v>
      </c>
      <c r="Z2237" t="s">
        <v>80</v>
      </c>
    </row>
    <row r="2238" spans="1:26">
      <c r="A2238" t="s">
        <v>4352</v>
      </c>
      <c r="B2238" t="s">
        <v>4352</v>
      </c>
      <c r="C2238" s="4">
        <v>45871</v>
      </c>
      <c r="D2238">
        <v>2025</v>
      </c>
      <c r="E2238">
        <v>8</v>
      </c>
      <c r="F2238" t="s">
        <v>24</v>
      </c>
      <c r="G2238" t="s">
        <v>89</v>
      </c>
      <c r="H2238" t="s">
        <v>3238</v>
      </c>
      <c r="I2238" t="s">
        <v>694</v>
      </c>
      <c r="J2238" t="s">
        <v>170</v>
      </c>
      <c r="K2238" t="s">
        <v>2003</v>
      </c>
      <c r="L2238">
        <v>7</v>
      </c>
      <c r="M2238" s="5">
        <v>350.79</v>
      </c>
      <c r="N2238" s="6">
        <v>0</v>
      </c>
      <c r="O2238" s="5">
        <v>0</v>
      </c>
      <c r="P2238" s="5">
        <v>368.33</v>
      </c>
      <c r="Q2238" s="5">
        <v>2823.86</v>
      </c>
      <c r="R2238" s="5">
        <v>2032.31</v>
      </c>
      <c r="S2238" s="5">
        <v>791.55</v>
      </c>
      <c r="T2238" s="7">
        <v>0.280307805627758</v>
      </c>
      <c r="U2238" t="s">
        <v>11</v>
      </c>
      <c r="V2238" t="s">
        <v>50</v>
      </c>
      <c r="W2238" t="s">
        <v>50</v>
      </c>
      <c r="X2238" t="s">
        <v>33</v>
      </c>
      <c r="Y2238" t="s">
        <v>4353</v>
      </c>
      <c r="Z2238" t="s">
        <v>80</v>
      </c>
    </row>
    <row r="2239" spans="1:26">
      <c r="A2239" t="s">
        <v>4354</v>
      </c>
      <c r="B2239" t="s">
        <v>4354</v>
      </c>
      <c r="C2239" s="4">
        <v>46073</v>
      </c>
      <c r="D2239">
        <v>2026</v>
      </c>
      <c r="E2239">
        <v>2</v>
      </c>
      <c r="F2239" t="s">
        <v>31</v>
      </c>
      <c r="G2239" t="s">
        <v>82</v>
      </c>
      <c r="H2239" t="s">
        <v>2399</v>
      </c>
      <c r="I2239" t="s">
        <v>647</v>
      </c>
      <c r="J2239" t="s">
        <v>286</v>
      </c>
      <c r="K2239" t="s">
        <v>515</v>
      </c>
      <c r="L2239">
        <v>6</v>
      </c>
      <c r="M2239" s="5">
        <v>82.69</v>
      </c>
      <c r="N2239" s="6">
        <v>20</v>
      </c>
      <c r="O2239" s="5">
        <v>99.23</v>
      </c>
      <c r="P2239" s="5">
        <v>59.54</v>
      </c>
      <c r="Q2239" s="5">
        <v>396.91</v>
      </c>
      <c r="R2239" s="5">
        <v>372.84</v>
      </c>
      <c r="S2239" s="5">
        <v>24.07</v>
      </c>
      <c r="T2239" s="7">
        <v>0.0606434708120229</v>
      </c>
      <c r="U2239" t="s">
        <v>14</v>
      </c>
      <c r="V2239" t="s">
        <v>50</v>
      </c>
      <c r="W2239" t="s">
        <v>50</v>
      </c>
      <c r="X2239" t="s">
        <v>33</v>
      </c>
      <c r="Y2239" t="s">
        <v>2009</v>
      </c>
      <c r="Z2239" t="s">
        <v>101</v>
      </c>
    </row>
    <row r="2240" spans="1:26">
      <c r="A2240" t="s">
        <v>4355</v>
      </c>
      <c r="B2240" t="s">
        <v>4355</v>
      </c>
      <c r="C2240" s="4">
        <v>45935</v>
      </c>
      <c r="D2240">
        <v>2025</v>
      </c>
      <c r="E2240">
        <v>10</v>
      </c>
      <c r="F2240" t="s">
        <v>26</v>
      </c>
      <c r="G2240" t="s">
        <v>137</v>
      </c>
      <c r="H2240" t="s">
        <v>3658</v>
      </c>
      <c r="I2240" t="s">
        <v>279</v>
      </c>
      <c r="J2240" t="s">
        <v>648</v>
      </c>
      <c r="K2240" t="s">
        <v>672</v>
      </c>
      <c r="L2240">
        <v>3</v>
      </c>
      <c r="M2240" s="5">
        <v>418.79</v>
      </c>
      <c r="N2240" s="6">
        <v>5</v>
      </c>
      <c r="O2240" s="5">
        <v>62.82</v>
      </c>
      <c r="P2240" s="5">
        <v>179.03</v>
      </c>
      <c r="Q2240" s="5">
        <v>1372.58</v>
      </c>
      <c r="R2240" s="5">
        <v>926.82</v>
      </c>
      <c r="S2240" s="5">
        <v>445.76</v>
      </c>
      <c r="T2240" s="7">
        <v>0.324760669687741</v>
      </c>
      <c r="U2240" t="s">
        <v>9</v>
      </c>
      <c r="V2240" t="s">
        <v>50</v>
      </c>
      <c r="W2240" t="s">
        <v>50</v>
      </c>
      <c r="X2240" t="s">
        <v>33</v>
      </c>
      <c r="Y2240" t="s">
        <v>2562</v>
      </c>
      <c r="Z2240" t="s">
        <v>80</v>
      </c>
    </row>
    <row r="2241" spans="1:26">
      <c r="A2241" t="s">
        <v>4356</v>
      </c>
      <c r="B2241" t="s">
        <v>4356</v>
      </c>
      <c r="C2241" s="4">
        <v>45800</v>
      </c>
      <c r="D2241">
        <v>2025</v>
      </c>
      <c r="E2241">
        <v>5</v>
      </c>
      <c r="F2241" t="s">
        <v>21</v>
      </c>
      <c r="G2241" t="s">
        <v>74</v>
      </c>
      <c r="H2241" t="s">
        <v>3099</v>
      </c>
      <c r="I2241" t="s">
        <v>362</v>
      </c>
      <c r="J2241" t="s">
        <v>158</v>
      </c>
      <c r="K2241" t="s">
        <v>724</v>
      </c>
      <c r="L2241">
        <v>3</v>
      </c>
      <c r="M2241" s="5">
        <v>329.69</v>
      </c>
      <c r="N2241" s="6">
        <v>0</v>
      </c>
      <c r="O2241" s="5">
        <v>0</v>
      </c>
      <c r="P2241" s="5">
        <v>148.36</v>
      </c>
      <c r="Q2241" s="5">
        <v>989.07</v>
      </c>
      <c r="R2241" s="5">
        <v>741.75</v>
      </c>
      <c r="S2241" s="5">
        <v>247.32</v>
      </c>
      <c r="T2241" s="7">
        <v>0.250053080166217</v>
      </c>
      <c r="U2241" t="s">
        <v>12</v>
      </c>
      <c r="V2241" t="s">
        <v>50</v>
      </c>
      <c r="W2241" t="s">
        <v>50</v>
      </c>
      <c r="X2241" t="s">
        <v>35</v>
      </c>
      <c r="Y2241" t="s">
        <v>2116</v>
      </c>
      <c r="Z2241" t="s">
        <v>101</v>
      </c>
    </row>
    <row r="2242" spans="1:26">
      <c r="A2242" t="s">
        <v>4357</v>
      </c>
      <c r="B2242" t="s">
        <v>4357</v>
      </c>
      <c r="C2242" s="4">
        <v>45983</v>
      </c>
      <c r="D2242">
        <v>2025</v>
      </c>
      <c r="E2242">
        <v>11</v>
      </c>
      <c r="F2242" t="s">
        <v>27</v>
      </c>
      <c r="G2242" t="s">
        <v>137</v>
      </c>
      <c r="H2242" t="s">
        <v>3605</v>
      </c>
      <c r="I2242" t="s">
        <v>285</v>
      </c>
      <c r="J2242" t="s">
        <v>919</v>
      </c>
      <c r="K2242" t="s">
        <v>920</v>
      </c>
      <c r="L2242">
        <v>4</v>
      </c>
      <c r="M2242" s="5">
        <v>541.35</v>
      </c>
      <c r="N2242" s="6">
        <v>15</v>
      </c>
      <c r="O2242" s="5">
        <v>324.81</v>
      </c>
      <c r="P2242" s="5">
        <v>276.09</v>
      </c>
      <c r="Q2242" s="5">
        <v>2116.68</v>
      </c>
      <c r="R2242" s="5">
        <v>1345.6</v>
      </c>
      <c r="S2242" s="5">
        <v>771.08</v>
      </c>
      <c r="T2242" s="7">
        <v>0.364287469055313</v>
      </c>
      <c r="U2242" t="s">
        <v>13</v>
      </c>
      <c r="V2242" t="s">
        <v>50</v>
      </c>
      <c r="W2242" t="s">
        <v>50</v>
      </c>
      <c r="X2242" t="s">
        <v>35</v>
      </c>
      <c r="Y2242" t="s">
        <v>3722</v>
      </c>
      <c r="Z2242" t="s">
        <v>80</v>
      </c>
    </row>
    <row r="2243" spans="1:26">
      <c r="A2243" t="s">
        <v>4358</v>
      </c>
      <c r="B2243" t="s">
        <v>4358</v>
      </c>
      <c r="C2243" s="4">
        <v>45901</v>
      </c>
      <c r="D2243">
        <v>2025</v>
      </c>
      <c r="E2243">
        <v>9</v>
      </c>
      <c r="F2243" t="s">
        <v>25</v>
      </c>
      <c r="G2243" t="s">
        <v>89</v>
      </c>
      <c r="H2243" t="s">
        <v>3658</v>
      </c>
      <c r="I2243" t="s">
        <v>898</v>
      </c>
      <c r="J2243" t="s">
        <v>1219</v>
      </c>
      <c r="K2243" t="s">
        <v>436</v>
      </c>
      <c r="L2243">
        <v>4</v>
      </c>
      <c r="M2243" s="5">
        <v>275.71</v>
      </c>
      <c r="N2243" s="6">
        <v>5</v>
      </c>
      <c r="O2243" s="5">
        <v>55.14</v>
      </c>
      <c r="P2243" s="5">
        <v>157.15</v>
      </c>
      <c r="Q2243" s="5">
        <v>1047.7</v>
      </c>
      <c r="R2243" s="5">
        <v>825.2</v>
      </c>
      <c r="S2243" s="5">
        <v>222.5</v>
      </c>
      <c r="T2243" s="7">
        <v>0.212369953230887</v>
      </c>
      <c r="U2243" t="s">
        <v>12</v>
      </c>
      <c r="V2243" t="s">
        <v>50</v>
      </c>
      <c r="W2243" t="s">
        <v>50</v>
      </c>
      <c r="X2243" t="s">
        <v>35</v>
      </c>
      <c r="Y2243" t="s">
        <v>1417</v>
      </c>
      <c r="Z2243" t="s">
        <v>101</v>
      </c>
    </row>
    <row r="2244" spans="1:26">
      <c r="A2244" t="s">
        <v>4359</v>
      </c>
      <c r="B2244" t="s">
        <v>4359</v>
      </c>
      <c r="C2244" s="4">
        <v>46054</v>
      </c>
      <c r="D2244">
        <v>2026</v>
      </c>
      <c r="E2244">
        <v>2</v>
      </c>
      <c r="F2244" t="s">
        <v>31</v>
      </c>
      <c r="G2244" t="s">
        <v>82</v>
      </c>
      <c r="H2244" t="s">
        <v>337</v>
      </c>
      <c r="I2244" t="s">
        <v>756</v>
      </c>
      <c r="J2244" t="s">
        <v>1107</v>
      </c>
      <c r="K2244" t="s">
        <v>1108</v>
      </c>
      <c r="L2244">
        <v>6</v>
      </c>
      <c r="M2244" s="5">
        <v>168.56</v>
      </c>
      <c r="N2244" s="6">
        <v>15</v>
      </c>
      <c r="O2244" s="5">
        <v>151.7</v>
      </c>
      <c r="P2244" s="5">
        <v>128.95</v>
      </c>
      <c r="Q2244" s="5">
        <v>988.61</v>
      </c>
      <c r="R2244" s="5">
        <v>745.44</v>
      </c>
      <c r="S2244" s="5">
        <v>243.17</v>
      </c>
      <c r="T2244" s="7">
        <v>0.245971616714377</v>
      </c>
      <c r="U2244" t="s">
        <v>9</v>
      </c>
      <c r="V2244" t="s">
        <v>50</v>
      </c>
      <c r="W2244" t="s">
        <v>50</v>
      </c>
      <c r="X2244" t="s">
        <v>33</v>
      </c>
      <c r="Y2244" t="s">
        <v>2699</v>
      </c>
      <c r="Z2244" t="s">
        <v>80</v>
      </c>
    </row>
    <row r="2245" spans="1:26">
      <c r="A2245" t="s">
        <v>4360</v>
      </c>
      <c r="B2245" t="s">
        <v>4360</v>
      </c>
      <c r="C2245" s="4">
        <v>45957</v>
      </c>
      <c r="D2245">
        <v>2025</v>
      </c>
      <c r="E2245">
        <v>10</v>
      </c>
      <c r="F2245" t="s">
        <v>26</v>
      </c>
      <c r="G2245" t="s">
        <v>137</v>
      </c>
      <c r="H2245" t="s">
        <v>1519</v>
      </c>
      <c r="I2245" t="s">
        <v>854</v>
      </c>
      <c r="J2245" t="s">
        <v>1014</v>
      </c>
      <c r="K2245" t="s">
        <v>1015</v>
      </c>
      <c r="L2245">
        <v>1</v>
      </c>
      <c r="M2245" s="5">
        <v>530.16</v>
      </c>
      <c r="N2245" s="6">
        <v>0</v>
      </c>
      <c r="O2245" s="5">
        <v>0</v>
      </c>
      <c r="P2245" s="5">
        <v>79.52</v>
      </c>
      <c r="Q2245" s="5">
        <v>530.16</v>
      </c>
      <c r="R2245" s="5">
        <v>379.19</v>
      </c>
      <c r="S2245" s="5">
        <v>150.97</v>
      </c>
      <c r="T2245" s="7">
        <v>0.284763090387807</v>
      </c>
      <c r="U2245" t="s">
        <v>11</v>
      </c>
      <c r="V2245" t="s">
        <v>50</v>
      </c>
      <c r="W2245" t="s">
        <v>50</v>
      </c>
      <c r="X2245" t="s">
        <v>33</v>
      </c>
      <c r="Y2245" t="s">
        <v>3515</v>
      </c>
      <c r="Z2245" t="s">
        <v>101</v>
      </c>
    </row>
    <row r="2246" spans="1:26">
      <c r="A2246" t="s">
        <v>4361</v>
      </c>
      <c r="B2246" t="s">
        <v>4361</v>
      </c>
      <c r="C2246" s="4">
        <v>46011</v>
      </c>
      <c r="D2246">
        <v>2025</v>
      </c>
      <c r="E2246">
        <v>12</v>
      </c>
      <c r="F2246" t="s">
        <v>28</v>
      </c>
      <c r="G2246" t="s">
        <v>137</v>
      </c>
      <c r="H2246" t="s">
        <v>453</v>
      </c>
      <c r="I2246" t="s">
        <v>328</v>
      </c>
      <c r="J2246" t="s">
        <v>1781</v>
      </c>
      <c r="K2246" t="s">
        <v>1782</v>
      </c>
      <c r="L2246">
        <v>4</v>
      </c>
      <c r="M2246" s="5">
        <v>124.84</v>
      </c>
      <c r="N2246" s="6">
        <v>5</v>
      </c>
      <c r="O2246" s="5">
        <v>24.97</v>
      </c>
      <c r="P2246" s="5">
        <v>71.16</v>
      </c>
      <c r="Q2246" s="5">
        <v>545.55</v>
      </c>
      <c r="R2246" s="5">
        <v>389.4</v>
      </c>
      <c r="S2246" s="5">
        <v>156.15</v>
      </c>
      <c r="T2246" s="7">
        <v>0.286224910640638</v>
      </c>
      <c r="U2246" t="s">
        <v>14</v>
      </c>
      <c r="V2246" t="s">
        <v>51</v>
      </c>
      <c r="W2246" t="s">
        <v>51</v>
      </c>
      <c r="X2246" t="s">
        <v>33</v>
      </c>
      <c r="Y2246" t="s">
        <v>1124</v>
      </c>
      <c r="Z2246" t="s">
        <v>80</v>
      </c>
    </row>
    <row r="2247" spans="1:26">
      <c r="A2247" t="s">
        <v>4362</v>
      </c>
      <c r="B2247" t="s">
        <v>4362</v>
      </c>
      <c r="C2247" s="4">
        <v>45992</v>
      </c>
      <c r="D2247">
        <v>2025</v>
      </c>
      <c r="E2247">
        <v>12</v>
      </c>
      <c r="F2247" t="s">
        <v>28</v>
      </c>
      <c r="G2247" t="s">
        <v>137</v>
      </c>
      <c r="H2247" t="s">
        <v>4139</v>
      </c>
      <c r="I2247" t="s">
        <v>689</v>
      </c>
      <c r="J2247" t="s">
        <v>1272</v>
      </c>
      <c r="K2247" t="s">
        <v>971</v>
      </c>
      <c r="L2247">
        <v>3</v>
      </c>
      <c r="M2247" s="5">
        <v>123.11</v>
      </c>
      <c r="N2247" s="6">
        <v>20</v>
      </c>
      <c r="O2247" s="5">
        <v>73.87</v>
      </c>
      <c r="P2247" s="5">
        <v>44.32</v>
      </c>
      <c r="Q2247" s="5">
        <v>295.46</v>
      </c>
      <c r="R2247" s="5">
        <v>273.54</v>
      </c>
      <c r="S2247" s="5">
        <v>21.92</v>
      </c>
      <c r="T2247" s="7">
        <v>0.0741893995803155</v>
      </c>
      <c r="U2247" t="s">
        <v>9</v>
      </c>
      <c r="V2247" t="s">
        <v>50</v>
      </c>
      <c r="W2247" t="s">
        <v>50</v>
      </c>
      <c r="X2247" t="s">
        <v>33</v>
      </c>
      <c r="Y2247" t="s">
        <v>4363</v>
      </c>
      <c r="Z2247" t="s">
        <v>101</v>
      </c>
    </row>
    <row r="2248" spans="1:26">
      <c r="A2248" t="s">
        <v>4364</v>
      </c>
      <c r="B2248" t="s">
        <v>4364</v>
      </c>
      <c r="C2248" s="4">
        <v>45851</v>
      </c>
      <c r="D2248">
        <v>2025</v>
      </c>
      <c r="E2248">
        <v>7</v>
      </c>
      <c r="F2248" t="s">
        <v>23</v>
      </c>
      <c r="G2248" t="s">
        <v>89</v>
      </c>
      <c r="H2248" t="s">
        <v>3107</v>
      </c>
      <c r="I2248" t="s">
        <v>180</v>
      </c>
      <c r="J2248" t="s">
        <v>40</v>
      </c>
      <c r="K2248" t="s">
        <v>2247</v>
      </c>
      <c r="L2248">
        <v>3</v>
      </c>
      <c r="M2248" s="5">
        <v>379.12</v>
      </c>
      <c r="N2248" s="6">
        <v>20</v>
      </c>
      <c r="O2248" s="5">
        <v>227.47</v>
      </c>
      <c r="P2248" s="5">
        <v>136.48</v>
      </c>
      <c r="Q2248" s="5">
        <v>1046.37</v>
      </c>
      <c r="R2248" s="5">
        <v>879.15</v>
      </c>
      <c r="S2248" s="5">
        <v>167.22</v>
      </c>
      <c r="T2248" s="7">
        <v>0.159809627569598</v>
      </c>
      <c r="U2248" t="s">
        <v>14</v>
      </c>
      <c r="V2248" t="s">
        <v>50</v>
      </c>
      <c r="W2248" t="s">
        <v>50</v>
      </c>
      <c r="X2248" t="s">
        <v>33</v>
      </c>
      <c r="Y2248" t="s">
        <v>2307</v>
      </c>
      <c r="Z2248" t="s">
        <v>80</v>
      </c>
    </row>
    <row r="2249" spans="1:26">
      <c r="A2249" t="s">
        <v>4365</v>
      </c>
      <c r="B2249" t="s">
        <v>4365</v>
      </c>
      <c r="C2249" s="4">
        <v>45980</v>
      </c>
      <c r="D2249">
        <v>2025</v>
      </c>
      <c r="E2249">
        <v>11</v>
      </c>
      <c r="F2249" t="s">
        <v>27</v>
      </c>
      <c r="G2249" t="s">
        <v>137</v>
      </c>
      <c r="H2249" t="s">
        <v>230</v>
      </c>
      <c r="I2249" t="s">
        <v>2993</v>
      </c>
      <c r="J2249" t="s">
        <v>642</v>
      </c>
      <c r="K2249" t="s">
        <v>227</v>
      </c>
      <c r="L2249">
        <v>4</v>
      </c>
      <c r="M2249" s="5">
        <v>434.28</v>
      </c>
      <c r="N2249" s="6">
        <v>0</v>
      </c>
      <c r="O2249" s="5">
        <v>0</v>
      </c>
      <c r="P2249" s="5">
        <v>260.57</v>
      </c>
      <c r="Q2249" s="5">
        <v>1737.12</v>
      </c>
      <c r="R2249" s="5">
        <v>1257.04</v>
      </c>
      <c r="S2249" s="5">
        <v>480.08</v>
      </c>
      <c r="T2249" s="7">
        <v>0.276365478493138</v>
      </c>
      <c r="U2249" t="s">
        <v>10</v>
      </c>
      <c r="V2249" t="s">
        <v>50</v>
      </c>
      <c r="W2249" t="s">
        <v>50</v>
      </c>
      <c r="X2249" t="s">
        <v>35</v>
      </c>
      <c r="Y2249" t="s">
        <v>2252</v>
      </c>
      <c r="Z2249" t="s">
        <v>101</v>
      </c>
    </row>
    <row r="2250" spans="1:26">
      <c r="A2250" t="s">
        <v>4366</v>
      </c>
      <c r="B2250" t="s">
        <v>4366</v>
      </c>
      <c r="C2250" s="4">
        <v>45963</v>
      </c>
      <c r="D2250">
        <v>2025</v>
      </c>
      <c r="E2250">
        <v>11</v>
      </c>
      <c r="F2250" t="s">
        <v>27</v>
      </c>
      <c r="G2250" t="s">
        <v>137</v>
      </c>
      <c r="H2250" t="s">
        <v>1044</v>
      </c>
      <c r="I2250" t="s">
        <v>836</v>
      </c>
      <c r="J2250" t="s">
        <v>1377</v>
      </c>
      <c r="K2250" t="s">
        <v>1348</v>
      </c>
      <c r="L2250">
        <v>6</v>
      </c>
      <c r="M2250" s="5">
        <v>189.82</v>
      </c>
      <c r="N2250" s="6">
        <v>5</v>
      </c>
      <c r="O2250" s="5">
        <v>56.95</v>
      </c>
      <c r="P2250" s="5">
        <v>162.3</v>
      </c>
      <c r="Q2250" s="5">
        <v>1244.27</v>
      </c>
      <c r="R2250" s="5">
        <v>745.98</v>
      </c>
      <c r="S2250" s="5">
        <v>498.29</v>
      </c>
      <c r="T2250" s="7">
        <v>0.400467744139134</v>
      </c>
      <c r="U2250" t="s">
        <v>14</v>
      </c>
      <c r="V2250" t="s">
        <v>50</v>
      </c>
      <c r="W2250" t="s">
        <v>50</v>
      </c>
      <c r="X2250" t="s">
        <v>35</v>
      </c>
      <c r="Y2250" t="s">
        <v>589</v>
      </c>
      <c r="Z2250" t="s">
        <v>80</v>
      </c>
    </row>
    <row r="2251" spans="1:26">
      <c r="A2251" t="s">
        <v>4367</v>
      </c>
      <c r="B2251" t="s">
        <v>4367</v>
      </c>
      <c r="C2251" s="4">
        <v>45948</v>
      </c>
      <c r="D2251">
        <v>2025</v>
      </c>
      <c r="E2251">
        <v>10</v>
      </c>
      <c r="F2251" t="s">
        <v>26</v>
      </c>
      <c r="G2251" t="s">
        <v>137</v>
      </c>
      <c r="H2251" t="s">
        <v>2828</v>
      </c>
      <c r="I2251" t="s">
        <v>836</v>
      </c>
      <c r="J2251" t="s">
        <v>1072</v>
      </c>
      <c r="K2251" t="s">
        <v>2347</v>
      </c>
      <c r="L2251">
        <v>3</v>
      </c>
      <c r="M2251" s="5">
        <v>171.25</v>
      </c>
      <c r="N2251" s="6">
        <v>15</v>
      </c>
      <c r="O2251" s="5">
        <v>77.06</v>
      </c>
      <c r="P2251" s="5">
        <v>65.5</v>
      </c>
      <c r="Q2251" s="5">
        <v>502.19</v>
      </c>
      <c r="R2251" s="5">
        <v>372.99</v>
      </c>
      <c r="S2251" s="5">
        <v>129.2</v>
      </c>
      <c r="T2251" s="7">
        <v>0.257273143630897</v>
      </c>
      <c r="U2251" t="s">
        <v>14</v>
      </c>
      <c r="V2251" t="s">
        <v>50</v>
      </c>
      <c r="W2251" t="s">
        <v>50</v>
      </c>
      <c r="X2251" t="s">
        <v>33</v>
      </c>
      <c r="Y2251" t="s">
        <v>1352</v>
      </c>
      <c r="Z2251" t="s">
        <v>80</v>
      </c>
    </row>
    <row r="2252" spans="1:26">
      <c r="A2252" t="s">
        <v>4368</v>
      </c>
      <c r="B2252" t="s">
        <v>4368</v>
      </c>
      <c r="C2252" s="4">
        <v>46037</v>
      </c>
      <c r="D2252">
        <v>2026</v>
      </c>
      <c r="E2252">
        <v>1</v>
      </c>
      <c r="F2252" t="s">
        <v>30</v>
      </c>
      <c r="G2252" t="s">
        <v>82</v>
      </c>
      <c r="H2252" t="s">
        <v>2138</v>
      </c>
      <c r="I2252" t="s">
        <v>807</v>
      </c>
      <c r="J2252" t="s">
        <v>351</v>
      </c>
      <c r="K2252" t="s">
        <v>1204</v>
      </c>
      <c r="L2252">
        <v>8</v>
      </c>
      <c r="M2252" s="5">
        <v>342.87</v>
      </c>
      <c r="N2252" s="6">
        <v>15</v>
      </c>
      <c r="O2252" s="5">
        <v>411.44</v>
      </c>
      <c r="P2252" s="5">
        <v>349.73</v>
      </c>
      <c r="Q2252" s="5">
        <v>2331.52</v>
      </c>
      <c r="R2252" s="5">
        <v>2110.8</v>
      </c>
      <c r="S2252" s="5">
        <v>220.72</v>
      </c>
      <c r="T2252" s="7">
        <v>0.0946678561625034</v>
      </c>
      <c r="U2252" t="s">
        <v>13</v>
      </c>
      <c r="V2252" t="s">
        <v>50</v>
      </c>
      <c r="W2252" t="s">
        <v>50</v>
      </c>
      <c r="X2252" t="s">
        <v>35</v>
      </c>
      <c r="Y2252" t="s">
        <v>2427</v>
      </c>
      <c r="Z2252" t="s">
        <v>101</v>
      </c>
    </row>
    <row r="2253" spans="1:26">
      <c r="A2253" t="s">
        <v>4369</v>
      </c>
      <c r="B2253" t="s">
        <v>4369</v>
      </c>
      <c r="C2253" s="4">
        <v>46033</v>
      </c>
      <c r="D2253">
        <v>2026</v>
      </c>
      <c r="E2253">
        <v>1</v>
      </c>
      <c r="F2253" t="s">
        <v>30</v>
      </c>
      <c r="G2253" t="s">
        <v>82</v>
      </c>
      <c r="H2253" t="s">
        <v>2011</v>
      </c>
      <c r="I2253" t="s">
        <v>454</v>
      </c>
      <c r="J2253" t="s">
        <v>445</v>
      </c>
      <c r="K2253" t="s">
        <v>446</v>
      </c>
      <c r="L2253">
        <v>2</v>
      </c>
      <c r="M2253" s="5">
        <v>299.73</v>
      </c>
      <c r="N2253" s="6">
        <v>0</v>
      </c>
      <c r="O2253" s="5">
        <v>0</v>
      </c>
      <c r="P2253" s="5">
        <v>89.92</v>
      </c>
      <c r="Q2253" s="5">
        <v>689.38</v>
      </c>
      <c r="R2253" s="5">
        <v>369.48</v>
      </c>
      <c r="S2253" s="5">
        <v>319.9</v>
      </c>
      <c r="T2253" s="7">
        <v>0.464040152020656</v>
      </c>
      <c r="U2253" t="s">
        <v>12</v>
      </c>
      <c r="V2253" t="s">
        <v>50</v>
      </c>
      <c r="W2253" t="s">
        <v>50</v>
      </c>
      <c r="X2253" t="s">
        <v>33</v>
      </c>
      <c r="Y2253" t="s">
        <v>2885</v>
      </c>
      <c r="Z2253" t="s">
        <v>80</v>
      </c>
    </row>
    <row r="2254" spans="1:26">
      <c r="A2254" t="s">
        <v>4370</v>
      </c>
      <c r="B2254" t="s">
        <v>4370</v>
      </c>
      <c r="C2254" s="4">
        <v>45922</v>
      </c>
      <c r="D2254">
        <v>2025</v>
      </c>
      <c r="E2254">
        <v>9</v>
      </c>
      <c r="F2254" t="s">
        <v>25</v>
      </c>
      <c r="G2254" t="s">
        <v>89</v>
      </c>
      <c r="H2254" t="s">
        <v>4371</v>
      </c>
      <c r="I2254" t="s">
        <v>1132</v>
      </c>
      <c r="J2254" t="s">
        <v>2044</v>
      </c>
      <c r="K2254" t="s">
        <v>1209</v>
      </c>
      <c r="L2254">
        <v>3</v>
      </c>
      <c r="M2254" s="5">
        <v>297.32</v>
      </c>
      <c r="N2254" s="6">
        <v>0</v>
      </c>
      <c r="O2254" s="5">
        <v>0</v>
      </c>
      <c r="P2254" s="5">
        <v>133.79</v>
      </c>
      <c r="Q2254" s="5">
        <v>891.96</v>
      </c>
      <c r="R2254" s="5">
        <v>675.84</v>
      </c>
      <c r="S2254" s="5">
        <v>216.12</v>
      </c>
      <c r="T2254" s="7">
        <v>0.242297860890623</v>
      </c>
      <c r="U2254" t="s">
        <v>13</v>
      </c>
      <c r="V2254" t="s">
        <v>51</v>
      </c>
      <c r="W2254" t="s">
        <v>51</v>
      </c>
      <c r="X2254" t="s">
        <v>33</v>
      </c>
      <c r="Y2254" t="s">
        <v>1216</v>
      </c>
      <c r="Z2254" t="s">
        <v>101</v>
      </c>
    </row>
    <row r="2255" spans="1:26">
      <c r="A2255" t="s">
        <v>4372</v>
      </c>
      <c r="B2255" t="s">
        <v>4372</v>
      </c>
      <c r="C2255" s="4">
        <v>45822</v>
      </c>
      <c r="D2255">
        <v>2025</v>
      </c>
      <c r="E2255">
        <v>6</v>
      </c>
      <c r="F2255" t="s">
        <v>22</v>
      </c>
      <c r="G2255" t="s">
        <v>74</v>
      </c>
      <c r="H2255" t="s">
        <v>4071</v>
      </c>
      <c r="I2255" t="s">
        <v>196</v>
      </c>
      <c r="J2255" t="s">
        <v>351</v>
      </c>
      <c r="K2255" t="s">
        <v>4248</v>
      </c>
      <c r="L2255">
        <v>3</v>
      </c>
      <c r="M2255" s="5">
        <v>332.73</v>
      </c>
      <c r="N2255" s="6">
        <v>5</v>
      </c>
      <c r="O2255" s="5">
        <v>49.91</v>
      </c>
      <c r="P2255" s="5">
        <v>142.24</v>
      </c>
      <c r="Q2255" s="5">
        <v>1090.52</v>
      </c>
      <c r="R2255" s="5">
        <v>783.66</v>
      </c>
      <c r="S2255" s="5">
        <v>306.86</v>
      </c>
      <c r="T2255" s="7">
        <v>0.281388695301324</v>
      </c>
      <c r="U2255" t="s">
        <v>11</v>
      </c>
      <c r="V2255" t="s">
        <v>50</v>
      </c>
      <c r="W2255" t="s">
        <v>50</v>
      </c>
      <c r="X2255" t="s">
        <v>33</v>
      </c>
      <c r="Y2255" t="s">
        <v>292</v>
      </c>
      <c r="Z2255" t="s">
        <v>80</v>
      </c>
    </row>
    <row r="2256" spans="1:26">
      <c r="A2256" t="s">
        <v>4373</v>
      </c>
      <c r="B2256" t="s">
        <v>4373</v>
      </c>
      <c r="C2256" s="4">
        <v>46094</v>
      </c>
      <c r="D2256">
        <v>2026</v>
      </c>
      <c r="E2256">
        <v>3</v>
      </c>
      <c r="F2256" t="s">
        <v>19</v>
      </c>
      <c r="G2256" t="s">
        <v>82</v>
      </c>
      <c r="H2256" t="s">
        <v>488</v>
      </c>
      <c r="I2256" t="s">
        <v>116</v>
      </c>
      <c r="J2256" t="s">
        <v>46</v>
      </c>
      <c r="K2256" t="s">
        <v>1658</v>
      </c>
      <c r="L2256">
        <v>5</v>
      </c>
      <c r="M2256" s="5">
        <v>176.8</v>
      </c>
      <c r="N2256" s="6">
        <v>0</v>
      </c>
      <c r="O2256" s="5">
        <v>0</v>
      </c>
      <c r="P2256" s="5">
        <v>132.6</v>
      </c>
      <c r="Q2256" s="5">
        <v>884</v>
      </c>
      <c r="R2256" s="5">
        <v>710</v>
      </c>
      <c r="S2256" s="5">
        <v>174</v>
      </c>
      <c r="T2256" s="7">
        <v>0.19683257918552</v>
      </c>
      <c r="U2256" t="s">
        <v>13</v>
      </c>
      <c r="V2256" t="s">
        <v>50</v>
      </c>
      <c r="W2256" t="s">
        <v>50</v>
      </c>
      <c r="X2256" t="s">
        <v>33</v>
      </c>
      <c r="Y2256" t="s">
        <v>4374</v>
      </c>
      <c r="Z2256" t="s">
        <v>101</v>
      </c>
    </row>
    <row r="2257" spans="1:26">
      <c r="A2257" t="s">
        <v>4375</v>
      </c>
      <c r="B2257" t="s">
        <v>4375</v>
      </c>
      <c r="C2257" s="4">
        <v>45969</v>
      </c>
      <c r="D2257">
        <v>2025</v>
      </c>
      <c r="E2257">
        <v>11</v>
      </c>
      <c r="F2257" t="s">
        <v>27</v>
      </c>
      <c r="G2257" t="s">
        <v>137</v>
      </c>
      <c r="H2257" t="s">
        <v>1896</v>
      </c>
      <c r="I2257" t="s">
        <v>1704</v>
      </c>
      <c r="J2257" t="s">
        <v>757</v>
      </c>
      <c r="K2257" t="s">
        <v>1943</v>
      </c>
      <c r="L2257">
        <v>2</v>
      </c>
      <c r="M2257" s="5">
        <v>242.22</v>
      </c>
      <c r="N2257" s="6">
        <v>0</v>
      </c>
      <c r="O2257" s="5">
        <v>0</v>
      </c>
      <c r="P2257" s="5">
        <v>72.67</v>
      </c>
      <c r="Q2257" s="5">
        <v>557.11</v>
      </c>
      <c r="R2257" s="5">
        <v>372.08</v>
      </c>
      <c r="S2257" s="5">
        <v>185.03</v>
      </c>
      <c r="T2257" s="7">
        <v>0.332124715047298</v>
      </c>
      <c r="U2257" t="s">
        <v>13</v>
      </c>
      <c r="V2257" t="s">
        <v>50</v>
      </c>
      <c r="W2257" t="s">
        <v>50</v>
      </c>
      <c r="X2257" t="s">
        <v>33</v>
      </c>
      <c r="Y2257" t="s">
        <v>3609</v>
      </c>
      <c r="Z2257" t="s">
        <v>80</v>
      </c>
    </row>
    <row r="2258" spans="1:26">
      <c r="A2258" t="s">
        <v>4376</v>
      </c>
      <c r="B2258" t="s">
        <v>4376</v>
      </c>
      <c r="C2258" s="4">
        <v>45890</v>
      </c>
      <c r="D2258">
        <v>2025</v>
      </c>
      <c r="E2258">
        <v>8</v>
      </c>
      <c r="F2258" t="s">
        <v>24</v>
      </c>
      <c r="G2258" t="s">
        <v>89</v>
      </c>
      <c r="H2258" t="s">
        <v>1223</v>
      </c>
      <c r="I2258" t="s">
        <v>235</v>
      </c>
      <c r="J2258" t="s">
        <v>2513</v>
      </c>
      <c r="K2258" t="s">
        <v>1357</v>
      </c>
      <c r="L2258">
        <v>5</v>
      </c>
      <c r="M2258" s="5">
        <v>249.92</v>
      </c>
      <c r="N2258" s="6">
        <v>20</v>
      </c>
      <c r="O2258" s="5">
        <v>249.92</v>
      </c>
      <c r="P2258" s="5">
        <v>149.95</v>
      </c>
      <c r="Q2258" s="5">
        <v>999.68</v>
      </c>
      <c r="R2258" s="5">
        <v>885.15</v>
      </c>
      <c r="S2258" s="5">
        <v>114.53</v>
      </c>
      <c r="T2258" s="7">
        <v>0.114566661331626</v>
      </c>
      <c r="U2258" t="s">
        <v>10</v>
      </c>
      <c r="V2258" t="s">
        <v>50</v>
      </c>
      <c r="W2258" t="s">
        <v>50</v>
      </c>
      <c r="X2258" t="s">
        <v>33</v>
      </c>
      <c r="Y2258" t="s">
        <v>2415</v>
      </c>
      <c r="Z2258" t="s">
        <v>101</v>
      </c>
    </row>
    <row r="2259" spans="1:26">
      <c r="A2259" t="s">
        <v>4377</v>
      </c>
      <c r="B2259" t="s">
        <v>4377</v>
      </c>
      <c r="C2259" s="4">
        <v>45793</v>
      </c>
      <c r="D2259">
        <v>2025</v>
      </c>
      <c r="E2259">
        <v>5</v>
      </c>
      <c r="F2259" t="s">
        <v>21</v>
      </c>
      <c r="G2259" t="s">
        <v>74</v>
      </c>
      <c r="H2259" t="s">
        <v>3614</v>
      </c>
      <c r="I2259" t="s">
        <v>664</v>
      </c>
      <c r="J2259" t="s">
        <v>1208</v>
      </c>
      <c r="K2259" t="s">
        <v>808</v>
      </c>
      <c r="L2259">
        <v>2</v>
      </c>
      <c r="M2259" s="5">
        <v>327.08</v>
      </c>
      <c r="N2259" s="6">
        <v>20</v>
      </c>
      <c r="O2259" s="5">
        <v>130.83</v>
      </c>
      <c r="P2259" s="5">
        <v>78.5</v>
      </c>
      <c r="Q2259" s="5">
        <v>523.33</v>
      </c>
      <c r="R2259" s="5">
        <v>549.22</v>
      </c>
      <c r="S2259" s="5">
        <v>-25.89</v>
      </c>
      <c r="T2259" s="7">
        <v>-0.0494716526856859</v>
      </c>
      <c r="U2259" t="s">
        <v>14</v>
      </c>
      <c r="V2259" t="s">
        <v>50</v>
      </c>
      <c r="W2259" t="s">
        <v>50</v>
      </c>
      <c r="X2259" t="s">
        <v>33</v>
      </c>
      <c r="Y2259" t="s">
        <v>1063</v>
      </c>
      <c r="Z2259" t="s">
        <v>101</v>
      </c>
    </row>
    <row r="2260" spans="1:26">
      <c r="A2260" t="s">
        <v>4378</v>
      </c>
      <c r="B2260" t="s">
        <v>4378</v>
      </c>
      <c r="C2260" s="4">
        <v>45825</v>
      </c>
      <c r="D2260">
        <v>2025</v>
      </c>
      <c r="E2260">
        <v>6</v>
      </c>
      <c r="F2260" t="s">
        <v>22</v>
      </c>
      <c r="G2260" t="s">
        <v>74</v>
      </c>
      <c r="H2260" t="s">
        <v>1766</v>
      </c>
      <c r="I2260" t="s">
        <v>116</v>
      </c>
      <c r="J2260" t="s">
        <v>39</v>
      </c>
      <c r="K2260" t="s">
        <v>1348</v>
      </c>
      <c r="L2260">
        <v>2</v>
      </c>
      <c r="M2260" s="5">
        <v>172.63</v>
      </c>
      <c r="N2260" s="6">
        <v>5</v>
      </c>
      <c r="O2260" s="5">
        <v>17.26</v>
      </c>
      <c r="P2260" s="5">
        <v>49.2</v>
      </c>
      <c r="Q2260" s="5">
        <v>328</v>
      </c>
      <c r="R2260" s="5">
        <v>284</v>
      </c>
      <c r="S2260" s="5">
        <v>44</v>
      </c>
      <c r="T2260" s="7">
        <v>0.134146341463415</v>
      </c>
      <c r="U2260" t="s">
        <v>14</v>
      </c>
      <c r="V2260" t="s">
        <v>50</v>
      </c>
      <c r="W2260" t="s">
        <v>50</v>
      </c>
      <c r="X2260" t="s">
        <v>33</v>
      </c>
      <c r="Y2260" t="s">
        <v>3991</v>
      </c>
      <c r="Z2260" t="s">
        <v>101</v>
      </c>
    </row>
    <row r="2261" spans="1:26">
      <c r="A2261" t="s">
        <v>4379</v>
      </c>
      <c r="B2261" t="s">
        <v>4379</v>
      </c>
      <c r="C2261" s="4">
        <v>46111</v>
      </c>
      <c r="D2261">
        <v>2026</v>
      </c>
      <c r="E2261">
        <v>3</v>
      </c>
      <c r="F2261" t="s">
        <v>19</v>
      </c>
      <c r="G2261" t="s">
        <v>82</v>
      </c>
      <c r="H2261" t="s">
        <v>1236</v>
      </c>
      <c r="I2261" t="s">
        <v>1904</v>
      </c>
      <c r="J2261" t="s">
        <v>127</v>
      </c>
      <c r="K2261" t="s">
        <v>128</v>
      </c>
      <c r="L2261">
        <v>3</v>
      </c>
      <c r="M2261" s="5">
        <v>120.92</v>
      </c>
      <c r="N2261" s="6">
        <v>15</v>
      </c>
      <c r="O2261" s="5">
        <v>54.41</v>
      </c>
      <c r="P2261" s="5">
        <v>46.25</v>
      </c>
      <c r="Q2261" s="5">
        <v>308.35</v>
      </c>
      <c r="R2261" s="5">
        <v>249.99</v>
      </c>
      <c r="S2261" s="5">
        <v>58.36</v>
      </c>
      <c r="T2261" s="7">
        <v>0.189265445111075</v>
      </c>
      <c r="U2261" t="s">
        <v>9</v>
      </c>
      <c r="V2261" t="s">
        <v>51</v>
      </c>
      <c r="W2261" t="s">
        <v>51</v>
      </c>
      <c r="X2261" t="s">
        <v>33</v>
      </c>
      <c r="Y2261" t="s">
        <v>3039</v>
      </c>
      <c r="Z2261" t="s">
        <v>101</v>
      </c>
    </row>
    <row r="2262" spans="1:26">
      <c r="A2262" t="s">
        <v>4380</v>
      </c>
      <c r="B2262" t="s">
        <v>4380</v>
      </c>
      <c r="C2262" s="4">
        <v>46079</v>
      </c>
      <c r="D2262">
        <v>2026</v>
      </c>
      <c r="E2262">
        <v>2</v>
      </c>
      <c r="F2262" t="s">
        <v>31</v>
      </c>
      <c r="G2262" t="s">
        <v>82</v>
      </c>
      <c r="H2262" t="s">
        <v>669</v>
      </c>
      <c r="I2262" t="s">
        <v>1419</v>
      </c>
      <c r="J2262" t="s">
        <v>202</v>
      </c>
      <c r="K2262" t="s">
        <v>231</v>
      </c>
      <c r="L2262">
        <v>2</v>
      </c>
      <c r="M2262" s="5">
        <v>317.99</v>
      </c>
      <c r="N2262" s="6">
        <v>20</v>
      </c>
      <c r="O2262" s="5">
        <v>127.2</v>
      </c>
      <c r="P2262" s="5">
        <v>76.32</v>
      </c>
      <c r="Q2262" s="5">
        <v>508.78</v>
      </c>
      <c r="R2262" s="5">
        <v>470.1</v>
      </c>
      <c r="S2262" s="5">
        <v>38.68</v>
      </c>
      <c r="T2262" s="7">
        <v>0.076025000982743</v>
      </c>
      <c r="U2262" t="s">
        <v>13</v>
      </c>
      <c r="V2262" t="s">
        <v>50</v>
      </c>
      <c r="W2262" t="s">
        <v>50</v>
      </c>
      <c r="X2262" t="s">
        <v>34</v>
      </c>
      <c r="Y2262" t="s">
        <v>1749</v>
      </c>
      <c r="Z2262" t="s">
        <v>101</v>
      </c>
    </row>
    <row r="2263" spans="1:26">
      <c r="A2263" t="s">
        <v>4381</v>
      </c>
      <c r="B2263" t="s">
        <v>4381</v>
      </c>
      <c r="C2263" s="4">
        <v>45808</v>
      </c>
      <c r="D2263">
        <v>2025</v>
      </c>
      <c r="E2263">
        <v>5</v>
      </c>
      <c r="F2263" t="s">
        <v>21</v>
      </c>
      <c r="G2263" t="s">
        <v>74</v>
      </c>
      <c r="H2263" t="s">
        <v>1007</v>
      </c>
      <c r="I2263" t="s">
        <v>434</v>
      </c>
      <c r="J2263" t="s">
        <v>240</v>
      </c>
      <c r="K2263" t="s">
        <v>2573</v>
      </c>
      <c r="L2263">
        <v>7</v>
      </c>
      <c r="M2263" s="5">
        <v>84.51</v>
      </c>
      <c r="N2263" s="6">
        <v>0</v>
      </c>
      <c r="O2263" s="5">
        <v>0</v>
      </c>
      <c r="P2263" s="5">
        <v>88.74</v>
      </c>
      <c r="Q2263" s="5">
        <v>680.31</v>
      </c>
      <c r="R2263" s="5">
        <v>483.63</v>
      </c>
      <c r="S2263" s="5">
        <v>196.68</v>
      </c>
      <c r="T2263" s="7">
        <v>0.289103496935221</v>
      </c>
      <c r="U2263" t="s">
        <v>14</v>
      </c>
      <c r="V2263" t="s">
        <v>50</v>
      </c>
      <c r="W2263" t="s">
        <v>50</v>
      </c>
      <c r="X2263" t="s">
        <v>33</v>
      </c>
      <c r="Y2263" t="s">
        <v>1530</v>
      </c>
      <c r="Z2263" t="s">
        <v>80</v>
      </c>
    </row>
    <row r="2264" spans="1:26">
      <c r="A2264" t="s">
        <v>4382</v>
      </c>
      <c r="B2264" t="s">
        <v>4382</v>
      </c>
      <c r="C2264" s="4">
        <v>45919</v>
      </c>
      <c r="D2264">
        <v>2025</v>
      </c>
      <c r="E2264">
        <v>9</v>
      </c>
      <c r="F2264" t="s">
        <v>25</v>
      </c>
      <c r="G2264" t="s">
        <v>89</v>
      </c>
      <c r="H2264" t="s">
        <v>918</v>
      </c>
      <c r="I2264" t="s">
        <v>722</v>
      </c>
      <c r="J2264" t="s">
        <v>1127</v>
      </c>
      <c r="K2264" t="s">
        <v>1128</v>
      </c>
      <c r="L2264">
        <v>4</v>
      </c>
      <c r="M2264" s="5">
        <v>163.55</v>
      </c>
      <c r="N2264" s="6">
        <v>0</v>
      </c>
      <c r="O2264" s="5">
        <v>0</v>
      </c>
      <c r="P2264" s="5">
        <v>98.13</v>
      </c>
      <c r="Q2264" s="5">
        <v>654.2</v>
      </c>
      <c r="R2264" s="5">
        <v>551.8</v>
      </c>
      <c r="S2264" s="5">
        <v>102.4</v>
      </c>
      <c r="T2264" s="7">
        <v>0.156527055946194</v>
      </c>
      <c r="U2264" t="s">
        <v>12</v>
      </c>
      <c r="V2264" t="s">
        <v>50</v>
      </c>
      <c r="W2264" t="s">
        <v>50</v>
      </c>
      <c r="X2264" t="s">
        <v>35</v>
      </c>
      <c r="Y2264" t="s">
        <v>603</v>
      </c>
      <c r="Z2264" t="s">
        <v>101</v>
      </c>
    </row>
    <row r="2265" spans="1:26">
      <c r="A2265" t="s">
        <v>4383</v>
      </c>
      <c r="B2265" t="s">
        <v>4383</v>
      </c>
      <c r="C2265" s="4">
        <v>45787</v>
      </c>
      <c r="D2265">
        <v>2025</v>
      </c>
      <c r="E2265">
        <v>5</v>
      </c>
      <c r="F2265" t="s">
        <v>21</v>
      </c>
      <c r="G2265" t="s">
        <v>74</v>
      </c>
      <c r="H2265" t="s">
        <v>2138</v>
      </c>
      <c r="I2265" t="s">
        <v>583</v>
      </c>
      <c r="J2265" t="s">
        <v>460</v>
      </c>
      <c r="K2265" t="s">
        <v>1952</v>
      </c>
      <c r="L2265">
        <v>8</v>
      </c>
      <c r="M2265" s="5">
        <v>271.37</v>
      </c>
      <c r="N2265" s="6">
        <v>0</v>
      </c>
      <c r="O2265" s="5">
        <v>0</v>
      </c>
      <c r="P2265" s="5">
        <v>325.64</v>
      </c>
      <c r="Q2265" s="5">
        <v>2496.6</v>
      </c>
      <c r="R2265" s="5">
        <v>1684.16</v>
      </c>
      <c r="S2265" s="5">
        <v>812.44</v>
      </c>
      <c r="T2265" s="7">
        <v>0.325418569254186</v>
      </c>
      <c r="U2265" t="s">
        <v>14</v>
      </c>
      <c r="V2265" t="s">
        <v>50</v>
      </c>
      <c r="W2265" t="s">
        <v>50</v>
      </c>
      <c r="X2265" t="s">
        <v>33</v>
      </c>
      <c r="Y2265" t="s">
        <v>1914</v>
      </c>
      <c r="Z2265" t="s">
        <v>80</v>
      </c>
    </row>
    <row r="2266" spans="1:26">
      <c r="A2266" t="s">
        <v>4384</v>
      </c>
      <c r="B2266" t="s">
        <v>4384</v>
      </c>
      <c r="C2266" s="4">
        <v>46023</v>
      </c>
      <c r="D2266">
        <v>2026</v>
      </c>
      <c r="E2266">
        <v>1</v>
      </c>
      <c r="F2266" t="s">
        <v>30</v>
      </c>
      <c r="G2266" t="s">
        <v>82</v>
      </c>
      <c r="H2266" t="s">
        <v>1494</v>
      </c>
      <c r="I2266" t="s">
        <v>169</v>
      </c>
      <c r="J2266" t="s">
        <v>1657</v>
      </c>
      <c r="K2266" t="s">
        <v>1658</v>
      </c>
      <c r="L2266">
        <v>5</v>
      </c>
      <c r="M2266" s="5">
        <v>156.29</v>
      </c>
      <c r="N2266" s="6">
        <v>0</v>
      </c>
      <c r="O2266" s="5">
        <v>0</v>
      </c>
      <c r="P2266" s="5">
        <v>117.22</v>
      </c>
      <c r="Q2266" s="5">
        <v>781.45</v>
      </c>
      <c r="R2266" s="5">
        <v>579.55</v>
      </c>
      <c r="S2266" s="5">
        <v>201.9</v>
      </c>
      <c r="T2266" s="7">
        <v>0.258365858340265</v>
      </c>
      <c r="U2266" t="s">
        <v>14</v>
      </c>
      <c r="V2266" t="s">
        <v>50</v>
      </c>
      <c r="W2266" t="s">
        <v>50</v>
      </c>
      <c r="X2266" t="s">
        <v>35</v>
      </c>
      <c r="Y2266" t="s">
        <v>1198</v>
      </c>
      <c r="Z2266" t="s">
        <v>101</v>
      </c>
    </row>
    <row r="2267" spans="1:26">
      <c r="A2267" t="s">
        <v>4385</v>
      </c>
      <c r="B2267" t="s">
        <v>4385</v>
      </c>
      <c r="C2267" s="4">
        <v>45873</v>
      </c>
      <c r="D2267">
        <v>2025</v>
      </c>
      <c r="E2267">
        <v>8</v>
      </c>
      <c r="F2267" t="s">
        <v>24</v>
      </c>
      <c r="G2267" t="s">
        <v>89</v>
      </c>
      <c r="H2267" t="s">
        <v>1168</v>
      </c>
      <c r="I2267" t="s">
        <v>2026</v>
      </c>
      <c r="J2267" t="s">
        <v>351</v>
      </c>
      <c r="K2267" t="s">
        <v>2018</v>
      </c>
      <c r="L2267">
        <v>6</v>
      </c>
      <c r="M2267" s="5">
        <v>403.23</v>
      </c>
      <c r="N2267" s="6">
        <v>10</v>
      </c>
      <c r="O2267" s="5">
        <v>241.94</v>
      </c>
      <c r="P2267" s="5">
        <v>326.62</v>
      </c>
      <c r="Q2267" s="5">
        <v>2177.44</v>
      </c>
      <c r="R2267" s="5">
        <v>1560.36</v>
      </c>
      <c r="S2267" s="5">
        <v>617.08</v>
      </c>
      <c r="T2267" s="7">
        <v>0.283397016680138</v>
      </c>
      <c r="U2267" t="s">
        <v>10</v>
      </c>
      <c r="V2267" t="s">
        <v>50</v>
      </c>
      <c r="W2267" t="s">
        <v>50</v>
      </c>
      <c r="X2267" t="s">
        <v>33</v>
      </c>
      <c r="Y2267" t="s">
        <v>2623</v>
      </c>
      <c r="Z2267" t="s">
        <v>101</v>
      </c>
    </row>
    <row r="2268" spans="1:26">
      <c r="A2268" t="s">
        <v>4386</v>
      </c>
      <c r="B2268" t="s">
        <v>4386</v>
      </c>
      <c r="C2268" s="4">
        <v>45783</v>
      </c>
      <c r="D2268">
        <v>2025</v>
      </c>
      <c r="E2268">
        <v>5</v>
      </c>
      <c r="F2268" t="s">
        <v>21</v>
      </c>
      <c r="G2268" t="s">
        <v>74</v>
      </c>
      <c r="H2268" t="s">
        <v>3788</v>
      </c>
      <c r="I2268" t="s">
        <v>1071</v>
      </c>
      <c r="J2268" t="s">
        <v>654</v>
      </c>
      <c r="K2268" t="s">
        <v>2126</v>
      </c>
      <c r="L2268">
        <v>1</v>
      </c>
      <c r="M2268" s="5">
        <v>277.42</v>
      </c>
      <c r="N2268" s="6">
        <v>5</v>
      </c>
      <c r="O2268" s="5">
        <v>13.87</v>
      </c>
      <c r="P2268" s="5">
        <v>39.53</v>
      </c>
      <c r="Q2268" s="5">
        <v>263.55</v>
      </c>
      <c r="R2268" s="5">
        <v>199.16</v>
      </c>
      <c r="S2268" s="5">
        <v>64.39</v>
      </c>
      <c r="T2268" s="7">
        <v>0.244317966230317</v>
      </c>
      <c r="U2268" t="s">
        <v>12</v>
      </c>
      <c r="V2268" t="s">
        <v>50</v>
      </c>
      <c r="W2268" t="s">
        <v>50</v>
      </c>
      <c r="X2268" t="s">
        <v>33</v>
      </c>
      <c r="Y2268" t="s">
        <v>4387</v>
      </c>
      <c r="Z2268" t="s">
        <v>101</v>
      </c>
    </row>
    <row r="2269" spans="1:26">
      <c r="A2269" t="s">
        <v>4388</v>
      </c>
      <c r="B2269" t="s">
        <v>4388</v>
      </c>
      <c r="C2269" s="4">
        <v>45877</v>
      </c>
      <c r="D2269">
        <v>2025</v>
      </c>
      <c r="E2269">
        <v>8</v>
      </c>
      <c r="F2269" t="s">
        <v>24</v>
      </c>
      <c r="G2269" t="s">
        <v>89</v>
      </c>
      <c r="H2269" t="s">
        <v>2613</v>
      </c>
      <c r="I2269" t="s">
        <v>312</v>
      </c>
      <c r="J2269" t="s">
        <v>269</v>
      </c>
      <c r="K2269" t="s">
        <v>1165</v>
      </c>
      <c r="L2269">
        <v>3</v>
      </c>
      <c r="M2269" s="5">
        <v>383.51</v>
      </c>
      <c r="N2269" s="6">
        <v>10</v>
      </c>
      <c r="O2269" s="5">
        <v>115.05</v>
      </c>
      <c r="P2269" s="5">
        <v>155.32</v>
      </c>
      <c r="Q2269" s="5">
        <v>1035.48</v>
      </c>
      <c r="R2269" s="5">
        <v>857.7</v>
      </c>
      <c r="S2269" s="5">
        <v>-92.6</v>
      </c>
      <c r="T2269" s="7">
        <v>-0.0894271255842701</v>
      </c>
      <c r="U2269" t="s">
        <v>12</v>
      </c>
      <c r="V2269" t="s">
        <v>50</v>
      </c>
      <c r="W2269" t="s">
        <v>50</v>
      </c>
      <c r="X2269" t="s">
        <v>33</v>
      </c>
      <c r="Y2269" t="s">
        <v>4389</v>
      </c>
      <c r="Z2269" t="s">
        <v>101</v>
      </c>
    </row>
    <row r="2270" spans="1:26">
      <c r="A2270" t="s">
        <v>4390</v>
      </c>
      <c r="B2270" t="s">
        <v>4390</v>
      </c>
      <c r="C2270" s="4">
        <v>45947</v>
      </c>
      <c r="D2270">
        <v>2025</v>
      </c>
      <c r="E2270">
        <v>10</v>
      </c>
      <c r="F2270" t="s">
        <v>26</v>
      </c>
      <c r="G2270" t="s">
        <v>137</v>
      </c>
      <c r="H2270" t="s">
        <v>2846</v>
      </c>
      <c r="I2270" t="s">
        <v>207</v>
      </c>
      <c r="J2270" t="s">
        <v>39</v>
      </c>
      <c r="K2270" t="s">
        <v>1348</v>
      </c>
      <c r="L2270">
        <v>5</v>
      </c>
      <c r="M2270" s="5">
        <v>306.62</v>
      </c>
      <c r="N2270" s="6">
        <v>10</v>
      </c>
      <c r="O2270" s="5">
        <v>153.31</v>
      </c>
      <c r="P2270" s="5">
        <v>206.97</v>
      </c>
      <c r="Q2270" s="5">
        <v>1379.79</v>
      </c>
      <c r="R2270" s="5">
        <v>1299.65</v>
      </c>
      <c r="S2270" s="5">
        <v>80.14</v>
      </c>
      <c r="T2270" s="7">
        <v>0.0580813022271505</v>
      </c>
      <c r="U2270" t="s">
        <v>9</v>
      </c>
      <c r="V2270" t="s">
        <v>50</v>
      </c>
      <c r="W2270" t="s">
        <v>50</v>
      </c>
      <c r="X2270" t="s">
        <v>35</v>
      </c>
      <c r="Y2270" t="s">
        <v>678</v>
      </c>
      <c r="Z2270" t="s">
        <v>101</v>
      </c>
    </row>
    <row r="2271" spans="1:26">
      <c r="A2271" t="s">
        <v>4391</v>
      </c>
      <c r="B2271" t="s">
        <v>4391</v>
      </c>
      <c r="C2271" s="4">
        <v>46011</v>
      </c>
      <c r="D2271">
        <v>2025</v>
      </c>
      <c r="E2271">
        <v>12</v>
      </c>
      <c r="F2271" t="s">
        <v>28</v>
      </c>
      <c r="G2271" t="s">
        <v>137</v>
      </c>
      <c r="H2271" t="s">
        <v>306</v>
      </c>
      <c r="I2271" t="s">
        <v>235</v>
      </c>
      <c r="J2271" t="s">
        <v>1219</v>
      </c>
      <c r="K2271" t="s">
        <v>666</v>
      </c>
      <c r="L2271">
        <v>7</v>
      </c>
      <c r="M2271" s="5">
        <v>219.61</v>
      </c>
      <c r="N2271" s="6">
        <v>15</v>
      </c>
      <c r="O2271" s="5">
        <v>230.59</v>
      </c>
      <c r="P2271" s="5">
        <v>196</v>
      </c>
      <c r="Q2271" s="5">
        <v>1502.68</v>
      </c>
      <c r="R2271" s="5">
        <v>1239.21</v>
      </c>
      <c r="S2271" s="5">
        <v>263.47</v>
      </c>
      <c r="T2271" s="7">
        <v>0.175333404317619</v>
      </c>
      <c r="U2271" t="s">
        <v>14</v>
      </c>
      <c r="V2271" t="s">
        <v>50</v>
      </c>
      <c r="W2271" t="s">
        <v>50</v>
      </c>
      <c r="X2271" t="s">
        <v>33</v>
      </c>
      <c r="Y2271" t="s">
        <v>2752</v>
      </c>
      <c r="Z2271" t="s">
        <v>80</v>
      </c>
    </row>
    <row r="2272" spans="1:26">
      <c r="A2272" t="s">
        <v>4392</v>
      </c>
      <c r="B2272" t="s">
        <v>4392</v>
      </c>
      <c r="C2272" s="4">
        <v>45962</v>
      </c>
      <c r="D2272">
        <v>2025</v>
      </c>
      <c r="E2272">
        <v>11</v>
      </c>
      <c r="F2272" t="s">
        <v>27</v>
      </c>
      <c r="G2272" t="s">
        <v>137</v>
      </c>
      <c r="H2272" t="s">
        <v>4085</v>
      </c>
      <c r="I2272" t="s">
        <v>356</v>
      </c>
      <c r="J2272" t="s">
        <v>181</v>
      </c>
      <c r="K2272" t="s">
        <v>829</v>
      </c>
      <c r="L2272">
        <v>1</v>
      </c>
      <c r="M2272" s="5">
        <v>455.79</v>
      </c>
      <c r="N2272" s="6">
        <v>0</v>
      </c>
      <c r="O2272" s="5">
        <v>0</v>
      </c>
      <c r="P2272" s="5">
        <v>68.37</v>
      </c>
      <c r="Q2272" s="5">
        <v>524.16</v>
      </c>
      <c r="R2272" s="5">
        <v>282.88</v>
      </c>
      <c r="S2272" s="5">
        <v>241.28</v>
      </c>
      <c r="T2272" s="7">
        <v>0.46031746031746</v>
      </c>
      <c r="U2272" t="s">
        <v>9</v>
      </c>
      <c r="V2272" t="s">
        <v>50</v>
      </c>
      <c r="W2272" t="s">
        <v>50</v>
      </c>
      <c r="X2272" t="s">
        <v>33</v>
      </c>
      <c r="Y2272" t="s">
        <v>353</v>
      </c>
      <c r="Z2272" t="s">
        <v>80</v>
      </c>
    </row>
    <row r="2273" spans="1:26">
      <c r="A2273" t="s">
        <v>4393</v>
      </c>
      <c r="B2273" t="s">
        <v>4393</v>
      </c>
      <c r="C2273" s="4">
        <v>46002</v>
      </c>
      <c r="D2273">
        <v>2025</v>
      </c>
      <c r="E2273">
        <v>12</v>
      </c>
      <c r="F2273" t="s">
        <v>28</v>
      </c>
      <c r="G2273" t="s">
        <v>137</v>
      </c>
      <c r="H2273" t="s">
        <v>1600</v>
      </c>
      <c r="I2273" t="s">
        <v>986</v>
      </c>
      <c r="J2273" t="s">
        <v>567</v>
      </c>
      <c r="K2273" t="s">
        <v>568</v>
      </c>
      <c r="L2273">
        <v>7</v>
      </c>
      <c r="M2273" s="5">
        <v>357.05</v>
      </c>
      <c r="N2273" s="6">
        <v>5</v>
      </c>
      <c r="O2273" s="5">
        <v>124.97</v>
      </c>
      <c r="P2273" s="5">
        <v>356.16</v>
      </c>
      <c r="Q2273" s="5">
        <v>2374.38</v>
      </c>
      <c r="R2273" s="5">
        <v>1669.01</v>
      </c>
      <c r="S2273" s="5">
        <v>705.37</v>
      </c>
      <c r="T2273" s="7">
        <v>0.297075447064076</v>
      </c>
      <c r="U2273" t="s">
        <v>12</v>
      </c>
      <c r="V2273" t="s">
        <v>50</v>
      </c>
      <c r="W2273" t="s">
        <v>50</v>
      </c>
      <c r="X2273" t="s">
        <v>35</v>
      </c>
      <c r="Y2273" t="s">
        <v>2522</v>
      </c>
      <c r="Z2273" t="s">
        <v>101</v>
      </c>
    </row>
    <row r="2274" spans="1:26">
      <c r="A2274" t="s">
        <v>4394</v>
      </c>
      <c r="B2274" t="s">
        <v>4394</v>
      </c>
      <c r="C2274" s="4">
        <v>45801</v>
      </c>
      <c r="D2274">
        <v>2025</v>
      </c>
      <c r="E2274">
        <v>5</v>
      </c>
      <c r="F2274" t="s">
        <v>21</v>
      </c>
      <c r="G2274" t="s">
        <v>74</v>
      </c>
      <c r="H2274" t="s">
        <v>1660</v>
      </c>
      <c r="I2274" t="s">
        <v>290</v>
      </c>
      <c r="J2274" t="s">
        <v>286</v>
      </c>
      <c r="K2274" t="s">
        <v>704</v>
      </c>
      <c r="L2274">
        <v>7</v>
      </c>
      <c r="M2274" s="5">
        <v>88.7</v>
      </c>
      <c r="N2274" s="6">
        <v>0</v>
      </c>
      <c r="O2274" s="5">
        <v>0</v>
      </c>
      <c r="P2274" s="5">
        <v>93.14</v>
      </c>
      <c r="Q2274" s="5">
        <v>714.03</v>
      </c>
      <c r="R2274" s="5">
        <v>435.75</v>
      </c>
      <c r="S2274" s="5">
        <v>278.28</v>
      </c>
      <c r="T2274" s="7">
        <v>0.389731523885551</v>
      </c>
      <c r="U2274" t="s">
        <v>13</v>
      </c>
      <c r="V2274" t="s">
        <v>50</v>
      </c>
      <c r="W2274" t="s">
        <v>50</v>
      </c>
      <c r="X2274" t="s">
        <v>35</v>
      </c>
      <c r="Y2274" t="s">
        <v>874</v>
      </c>
      <c r="Z2274" t="s">
        <v>80</v>
      </c>
    </row>
    <row r="2275" spans="1:26">
      <c r="A2275" t="s">
        <v>4395</v>
      </c>
      <c r="B2275" t="s">
        <v>4395</v>
      </c>
      <c r="C2275" s="4">
        <v>45749</v>
      </c>
      <c r="D2275">
        <v>2025</v>
      </c>
      <c r="E2275">
        <v>4</v>
      </c>
      <c r="F2275" t="s">
        <v>20</v>
      </c>
      <c r="G2275" t="s">
        <v>74</v>
      </c>
      <c r="H2275" t="s">
        <v>168</v>
      </c>
      <c r="I2275" t="s">
        <v>1419</v>
      </c>
      <c r="J2275" t="s">
        <v>98</v>
      </c>
      <c r="K2275" t="s">
        <v>99</v>
      </c>
      <c r="L2275">
        <v>3</v>
      </c>
      <c r="M2275" s="5">
        <v>317.99</v>
      </c>
      <c r="N2275" s="6">
        <v>15</v>
      </c>
      <c r="O2275" s="5">
        <v>143.1</v>
      </c>
      <c r="P2275" s="5">
        <v>121.63</v>
      </c>
      <c r="Q2275" s="5">
        <v>810.87</v>
      </c>
      <c r="R2275" s="5">
        <v>705.15</v>
      </c>
      <c r="S2275" s="5">
        <v>105.72</v>
      </c>
      <c r="T2275" s="7">
        <v>0.130378482370787</v>
      </c>
      <c r="U2275" t="s">
        <v>9</v>
      </c>
      <c r="V2275" t="s">
        <v>50</v>
      </c>
      <c r="W2275" t="s">
        <v>50</v>
      </c>
      <c r="X2275" t="s">
        <v>34</v>
      </c>
      <c r="Y2275" t="s">
        <v>94</v>
      </c>
      <c r="Z2275" t="s">
        <v>101</v>
      </c>
    </row>
    <row r="2276" spans="1:26">
      <c r="A2276" t="s">
        <v>4396</v>
      </c>
      <c r="B2276" t="s">
        <v>4396</v>
      </c>
      <c r="C2276" s="4">
        <v>46024</v>
      </c>
      <c r="D2276">
        <v>2026</v>
      </c>
      <c r="E2276">
        <v>1</v>
      </c>
      <c r="F2276" t="s">
        <v>30</v>
      </c>
      <c r="G2276" t="s">
        <v>82</v>
      </c>
      <c r="H2276" t="s">
        <v>2020</v>
      </c>
      <c r="I2276" t="s">
        <v>145</v>
      </c>
      <c r="J2276" t="s">
        <v>867</v>
      </c>
      <c r="K2276" t="s">
        <v>1994</v>
      </c>
      <c r="L2276">
        <v>3</v>
      </c>
      <c r="M2276" s="5">
        <v>555.21</v>
      </c>
      <c r="N2276" s="6">
        <v>0</v>
      </c>
      <c r="O2276" s="5">
        <v>0</v>
      </c>
      <c r="P2276" s="5">
        <v>249.84</v>
      </c>
      <c r="Q2276" s="5">
        <v>1665.63</v>
      </c>
      <c r="R2276" s="5">
        <v>1187.61</v>
      </c>
      <c r="S2276" s="5">
        <v>478.02</v>
      </c>
      <c r="T2276" s="7">
        <v>0.286990508096036</v>
      </c>
      <c r="U2276" t="s">
        <v>14</v>
      </c>
      <c r="V2276" t="s">
        <v>50</v>
      </c>
      <c r="W2276" t="s">
        <v>50</v>
      </c>
      <c r="X2276" t="s">
        <v>35</v>
      </c>
      <c r="Y2276" t="s">
        <v>447</v>
      </c>
      <c r="Z2276" t="s">
        <v>101</v>
      </c>
    </row>
    <row r="2277" spans="1:26">
      <c r="A2277" t="s">
        <v>4397</v>
      </c>
      <c r="B2277" t="s">
        <v>4397</v>
      </c>
      <c r="C2277" s="4">
        <v>45942</v>
      </c>
      <c r="D2277">
        <v>2025</v>
      </c>
      <c r="E2277">
        <v>10</v>
      </c>
      <c r="F2277" t="s">
        <v>26</v>
      </c>
      <c r="G2277" t="s">
        <v>137</v>
      </c>
      <c r="H2277" t="s">
        <v>1628</v>
      </c>
      <c r="I2277" t="s">
        <v>1714</v>
      </c>
      <c r="J2277" t="s">
        <v>307</v>
      </c>
      <c r="K2277" t="s">
        <v>554</v>
      </c>
      <c r="L2277">
        <v>4</v>
      </c>
      <c r="M2277" s="5">
        <v>342.27</v>
      </c>
      <c r="N2277" s="6">
        <v>0</v>
      </c>
      <c r="O2277" s="5">
        <v>0</v>
      </c>
      <c r="P2277" s="5">
        <v>205.36</v>
      </c>
      <c r="Q2277" s="5">
        <v>1574.44</v>
      </c>
      <c r="R2277" s="5">
        <v>1064.4</v>
      </c>
      <c r="S2277" s="5">
        <v>510.04</v>
      </c>
      <c r="T2277" s="7">
        <v>0.323950102893727</v>
      </c>
      <c r="U2277" t="s">
        <v>10</v>
      </c>
      <c r="V2277" t="s">
        <v>50</v>
      </c>
      <c r="W2277" t="s">
        <v>50</v>
      </c>
      <c r="X2277" t="s">
        <v>33</v>
      </c>
      <c r="Y2277" t="s">
        <v>2292</v>
      </c>
      <c r="Z2277" t="s">
        <v>80</v>
      </c>
    </row>
    <row r="2278" spans="1:26">
      <c r="A2278" t="s">
        <v>4398</v>
      </c>
      <c r="B2278" t="s">
        <v>4398</v>
      </c>
      <c r="C2278" s="4">
        <v>46007</v>
      </c>
      <c r="D2278">
        <v>2025</v>
      </c>
      <c r="E2278">
        <v>12</v>
      </c>
      <c r="F2278" t="s">
        <v>28</v>
      </c>
      <c r="G2278" t="s">
        <v>137</v>
      </c>
      <c r="H2278" t="s">
        <v>4399</v>
      </c>
      <c r="I2278" t="s">
        <v>1196</v>
      </c>
      <c r="J2278" t="s">
        <v>2646</v>
      </c>
      <c r="K2278" t="s">
        <v>2647</v>
      </c>
      <c r="L2278">
        <v>5</v>
      </c>
      <c r="M2278" s="5">
        <v>147.72</v>
      </c>
      <c r="N2278" s="6">
        <v>0</v>
      </c>
      <c r="O2278" s="5">
        <v>0</v>
      </c>
      <c r="P2278" s="5">
        <v>110.79</v>
      </c>
      <c r="Q2278" s="5">
        <v>738.6</v>
      </c>
      <c r="R2278" s="5">
        <v>546.05</v>
      </c>
      <c r="S2278" s="5">
        <v>192.55</v>
      </c>
      <c r="T2278" s="7">
        <v>0.26069591118332</v>
      </c>
      <c r="U2278" t="s">
        <v>9</v>
      </c>
      <c r="V2278" t="s">
        <v>50</v>
      </c>
      <c r="W2278" t="s">
        <v>50</v>
      </c>
      <c r="X2278" t="s">
        <v>33</v>
      </c>
      <c r="Y2278" t="s">
        <v>3805</v>
      </c>
      <c r="Z2278" t="s">
        <v>101</v>
      </c>
    </row>
    <row r="2279" spans="1:26">
      <c r="A2279" t="s">
        <v>4400</v>
      </c>
      <c r="B2279" t="s">
        <v>4400</v>
      </c>
      <c r="C2279" s="4">
        <v>45789</v>
      </c>
      <c r="D2279">
        <v>2025</v>
      </c>
      <c r="E2279">
        <v>5</v>
      </c>
      <c r="F2279" t="s">
        <v>21</v>
      </c>
      <c r="G2279" t="s">
        <v>74</v>
      </c>
      <c r="H2279" t="s">
        <v>4401</v>
      </c>
      <c r="I2279" t="s">
        <v>395</v>
      </c>
      <c r="J2279" t="s">
        <v>482</v>
      </c>
      <c r="K2279" t="s">
        <v>747</v>
      </c>
      <c r="L2279">
        <v>6</v>
      </c>
      <c r="M2279" s="5">
        <v>453.52</v>
      </c>
      <c r="N2279" s="6">
        <v>0</v>
      </c>
      <c r="O2279" s="5">
        <v>0</v>
      </c>
      <c r="P2279" s="5">
        <v>408.17</v>
      </c>
      <c r="Q2279" s="5">
        <v>2721.12</v>
      </c>
      <c r="R2279" s="5">
        <v>1953.66</v>
      </c>
      <c r="S2279" s="5">
        <v>767.46</v>
      </c>
      <c r="T2279" s="7">
        <v>0.282038278355971</v>
      </c>
      <c r="U2279" t="s">
        <v>11</v>
      </c>
      <c r="V2279" t="s">
        <v>50</v>
      </c>
      <c r="W2279" t="s">
        <v>50</v>
      </c>
      <c r="X2279" t="s">
        <v>33</v>
      </c>
      <c r="Y2279" t="s">
        <v>4402</v>
      </c>
      <c r="Z2279" t="s">
        <v>101</v>
      </c>
    </row>
    <row r="2280" spans="1:26">
      <c r="A2280" t="s">
        <v>4403</v>
      </c>
      <c r="B2280" t="s">
        <v>4403</v>
      </c>
      <c r="C2280" s="4">
        <v>45932</v>
      </c>
      <c r="D2280">
        <v>2025</v>
      </c>
      <c r="E2280">
        <v>10</v>
      </c>
      <c r="F2280" t="s">
        <v>26</v>
      </c>
      <c r="G2280" t="s">
        <v>137</v>
      </c>
      <c r="H2280" t="s">
        <v>3879</v>
      </c>
      <c r="I2280" t="s">
        <v>84</v>
      </c>
      <c r="J2280" t="s">
        <v>2342</v>
      </c>
      <c r="K2280" t="s">
        <v>2343</v>
      </c>
      <c r="L2280">
        <v>4</v>
      </c>
      <c r="M2280" s="5">
        <v>448.94</v>
      </c>
      <c r="N2280" s="6">
        <v>15</v>
      </c>
      <c r="O2280" s="5">
        <v>269.36</v>
      </c>
      <c r="P2280" s="5">
        <v>228.96</v>
      </c>
      <c r="Q2280" s="5">
        <v>1526.4</v>
      </c>
      <c r="R2280" s="5">
        <v>1520.32</v>
      </c>
      <c r="S2280" s="5">
        <v>6.08</v>
      </c>
      <c r="T2280" s="7">
        <v>0.0039832285115304</v>
      </c>
      <c r="U2280" t="s">
        <v>10</v>
      </c>
      <c r="V2280" t="s">
        <v>50</v>
      </c>
      <c r="W2280" t="s">
        <v>50</v>
      </c>
      <c r="X2280" t="s">
        <v>33</v>
      </c>
      <c r="Y2280" t="s">
        <v>2042</v>
      </c>
      <c r="Z2280" t="s">
        <v>101</v>
      </c>
    </row>
    <row r="2281" spans="1:26">
      <c r="A2281" t="s">
        <v>4404</v>
      </c>
      <c r="B2281" t="s">
        <v>4404</v>
      </c>
      <c r="C2281" s="4">
        <v>46026</v>
      </c>
      <c r="D2281">
        <v>2026</v>
      </c>
      <c r="E2281">
        <v>1</v>
      </c>
      <c r="F2281" t="s">
        <v>30</v>
      </c>
      <c r="G2281" t="s">
        <v>82</v>
      </c>
      <c r="H2281" t="s">
        <v>1633</v>
      </c>
      <c r="I2281" t="s">
        <v>444</v>
      </c>
      <c r="J2281" t="s">
        <v>665</v>
      </c>
      <c r="K2281" t="s">
        <v>784</v>
      </c>
      <c r="L2281">
        <v>1</v>
      </c>
      <c r="M2281" s="5">
        <v>99.93</v>
      </c>
      <c r="N2281" s="6">
        <v>0</v>
      </c>
      <c r="O2281" s="5">
        <v>0</v>
      </c>
      <c r="P2281" s="5">
        <v>14.99</v>
      </c>
      <c r="Q2281" s="5">
        <v>114.92</v>
      </c>
      <c r="R2281" s="5">
        <v>86.05</v>
      </c>
      <c r="S2281" s="5">
        <v>28.87</v>
      </c>
      <c r="T2281" s="7">
        <v>0.2512182387748</v>
      </c>
      <c r="U2281" t="s">
        <v>10</v>
      </c>
      <c r="V2281" t="s">
        <v>50</v>
      </c>
      <c r="W2281" t="s">
        <v>50</v>
      </c>
      <c r="X2281" t="s">
        <v>33</v>
      </c>
      <c r="Y2281" t="s">
        <v>691</v>
      </c>
      <c r="Z2281" t="s">
        <v>80</v>
      </c>
    </row>
    <row r="2282" spans="1:26">
      <c r="A2282" t="s">
        <v>4405</v>
      </c>
      <c r="B2282" t="s">
        <v>1662</v>
      </c>
      <c r="C2282" s="4">
        <v>45850</v>
      </c>
      <c r="D2282">
        <v>2025</v>
      </c>
      <c r="E2282">
        <v>7</v>
      </c>
      <c r="F2282" t="s">
        <v>23</v>
      </c>
      <c r="G2282" t="s">
        <v>89</v>
      </c>
      <c r="H2282" t="s">
        <v>1998</v>
      </c>
      <c r="I2282" t="s">
        <v>444</v>
      </c>
      <c r="J2282" t="s">
        <v>2259</v>
      </c>
      <c r="K2282" t="s">
        <v>1141</v>
      </c>
      <c r="L2282">
        <v>4</v>
      </c>
      <c r="M2282" s="5">
        <v>99.93</v>
      </c>
      <c r="N2282" s="6">
        <v>10</v>
      </c>
      <c r="O2282" s="5">
        <v>39.97</v>
      </c>
      <c r="P2282" s="5">
        <v>53.96</v>
      </c>
      <c r="Q2282" s="5">
        <v>413.71</v>
      </c>
      <c r="R2282" s="5">
        <v>344.2</v>
      </c>
      <c r="S2282" s="5">
        <v>69.51</v>
      </c>
      <c r="T2282" s="7">
        <v>0.168016243262189</v>
      </c>
      <c r="U2282" t="s">
        <v>13</v>
      </c>
      <c r="V2282" t="s">
        <v>50</v>
      </c>
      <c r="W2282" t="s">
        <v>50</v>
      </c>
      <c r="X2282" t="s">
        <v>33</v>
      </c>
      <c r="Y2282" t="s">
        <v>3033</v>
      </c>
      <c r="Z2282" t="s">
        <v>80</v>
      </c>
    </row>
    <row r="2283" spans="1:26">
      <c r="A2283" t="s">
        <v>4406</v>
      </c>
      <c r="B2283" t="s">
        <v>4406</v>
      </c>
      <c r="C2283" s="4">
        <v>45979</v>
      </c>
      <c r="D2283">
        <v>2025</v>
      </c>
      <c r="E2283">
        <v>11</v>
      </c>
      <c r="F2283" t="s">
        <v>27</v>
      </c>
      <c r="G2283" t="s">
        <v>137</v>
      </c>
      <c r="H2283" t="s">
        <v>2476</v>
      </c>
      <c r="I2283" t="s">
        <v>163</v>
      </c>
      <c r="J2283" t="s">
        <v>445</v>
      </c>
      <c r="K2283" t="s">
        <v>1262</v>
      </c>
      <c r="L2283">
        <v>4</v>
      </c>
      <c r="M2283" s="5">
        <v>253.11</v>
      </c>
      <c r="N2283" s="6">
        <v>10</v>
      </c>
      <c r="O2283" s="5">
        <v>101.24</v>
      </c>
      <c r="P2283" s="5">
        <v>136.68</v>
      </c>
      <c r="Q2283" s="5">
        <v>911.2</v>
      </c>
      <c r="R2283" s="5">
        <v>762.96</v>
      </c>
      <c r="S2283" s="5">
        <v>148.24</v>
      </c>
      <c r="T2283" s="7">
        <v>0.162686567164179</v>
      </c>
      <c r="U2283" t="s">
        <v>13</v>
      </c>
      <c r="V2283" t="s">
        <v>50</v>
      </c>
      <c r="W2283" t="s">
        <v>50</v>
      </c>
      <c r="X2283" t="s">
        <v>33</v>
      </c>
      <c r="Y2283" t="s">
        <v>3537</v>
      </c>
      <c r="Z2283" t="s">
        <v>101</v>
      </c>
    </row>
    <row r="2284" spans="1:26">
      <c r="A2284" t="s">
        <v>4407</v>
      </c>
      <c r="B2284" t="s">
        <v>4407</v>
      </c>
      <c r="C2284" s="4">
        <v>46005</v>
      </c>
      <c r="D2284">
        <v>2025</v>
      </c>
      <c r="E2284">
        <v>12</v>
      </c>
      <c r="F2284" t="s">
        <v>28</v>
      </c>
      <c r="G2284" t="s">
        <v>137</v>
      </c>
      <c r="H2284" t="s">
        <v>2163</v>
      </c>
      <c r="I2284" t="s">
        <v>924</v>
      </c>
      <c r="J2284" t="s">
        <v>1361</v>
      </c>
      <c r="K2284" t="s">
        <v>106</v>
      </c>
      <c r="L2284">
        <v>4</v>
      </c>
      <c r="M2284" s="5">
        <v>265.07</v>
      </c>
      <c r="N2284" s="6">
        <v>0</v>
      </c>
      <c r="O2284" s="5">
        <v>0</v>
      </c>
      <c r="P2284" s="5">
        <v>159.04</v>
      </c>
      <c r="Q2284" s="5">
        <v>1219.32</v>
      </c>
      <c r="R2284" s="5">
        <v>778.56</v>
      </c>
      <c r="S2284" s="5">
        <v>440.76</v>
      </c>
      <c r="T2284" s="7">
        <v>0.361480169274678</v>
      </c>
      <c r="U2284" t="s">
        <v>13</v>
      </c>
      <c r="V2284" t="s">
        <v>50</v>
      </c>
      <c r="W2284" t="s">
        <v>50</v>
      </c>
      <c r="X2284" t="s">
        <v>33</v>
      </c>
      <c r="Y2284" t="s">
        <v>2288</v>
      </c>
      <c r="Z2284" t="s">
        <v>80</v>
      </c>
    </row>
    <row r="2285" spans="1:26">
      <c r="A2285" t="s">
        <v>4408</v>
      </c>
      <c r="B2285" t="s">
        <v>4408</v>
      </c>
      <c r="C2285" s="4">
        <v>45988</v>
      </c>
      <c r="D2285">
        <v>2025</v>
      </c>
      <c r="E2285">
        <v>11</v>
      </c>
      <c r="F2285" t="s">
        <v>27</v>
      </c>
      <c r="G2285" t="s">
        <v>137</v>
      </c>
      <c r="H2285" t="s">
        <v>4399</v>
      </c>
      <c r="I2285" t="s">
        <v>312</v>
      </c>
      <c r="J2285" t="s">
        <v>676</v>
      </c>
      <c r="K2285" t="s">
        <v>1894</v>
      </c>
      <c r="L2285">
        <v>1</v>
      </c>
      <c r="M2285" s="5">
        <v>383.51</v>
      </c>
      <c r="N2285" s="6">
        <v>5</v>
      </c>
      <c r="O2285" s="5">
        <v>19.18</v>
      </c>
      <c r="P2285" s="5">
        <v>54.65</v>
      </c>
      <c r="Q2285" s="5">
        <v>364.33</v>
      </c>
      <c r="R2285" s="5">
        <v>285.9</v>
      </c>
      <c r="S2285" s="5">
        <v>78.43</v>
      </c>
      <c r="T2285" s="7">
        <v>0.215271868910054</v>
      </c>
      <c r="U2285" t="s">
        <v>11</v>
      </c>
      <c r="V2285" t="s">
        <v>50</v>
      </c>
      <c r="W2285" t="s">
        <v>50</v>
      </c>
      <c r="X2285" t="s">
        <v>33</v>
      </c>
      <c r="Y2285" t="s">
        <v>2720</v>
      </c>
      <c r="Z2285" t="s">
        <v>101</v>
      </c>
    </row>
    <row r="2286" spans="1:26">
      <c r="A2286" t="s">
        <v>4409</v>
      </c>
      <c r="B2286" t="s">
        <v>4409</v>
      </c>
      <c r="C2286" s="4">
        <v>45751</v>
      </c>
      <c r="D2286">
        <v>2025</v>
      </c>
      <c r="E2286">
        <v>4</v>
      </c>
      <c r="F2286" t="s">
        <v>20</v>
      </c>
      <c r="G2286" t="s">
        <v>74</v>
      </c>
      <c r="H2286" t="s">
        <v>2516</v>
      </c>
      <c r="I2286" t="s">
        <v>126</v>
      </c>
      <c r="J2286" t="s">
        <v>363</v>
      </c>
      <c r="K2286" t="s">
        <v>221</v>
      </c>
      <c r="L2286">
        <v>2</v>
      </c>
      <c r="M2286" s="5">
        <v>131.03</v>
      </c>
      <c r="N2286" s="6">
        <v>0</v>
      </c>
      <c r="O2286" s="5">
        <v>0</v>
      </c>
      <c r="P2286" s="5">
        <v>39.31</v>
      </c>
      <c r="Q2286" s="5">
        <v>262.06</v>
      </c>
      <c r="R2286" s="5">
        <v>234.54</v>
      </c>
      <c r="S2286" s="5">
        <v>27.52</v>
      </c>
      <c r="T2286" s="7">
        <v>0.105014118904068</v>
      </c>
      <c r="U2286" t="s">
        <v>12</v>
      </c>
      <c r="V2286" t="s">
        <v>50</v>
      </c>
      <c r="W2286" t="s">
        <v>50</v>
      </c>
      <c r="X2286" t="s">
        <v>35</v>
      </c>
      <c r="Y2286" t="s">
        <v>2302</v>
      </c>
      <c r="Z2286" t="s">
        <v>101</v>
      </c>
    </row>
    <row r="2287" spans="1:26">
      <c r="A2287" t="s">
        <v>4410</v>
      </c>
      <c r="B2287" t="s">
        <v>4410</v>
      </c>
      <c r="C2287" s="4">
        <v>46013</v>
      </c>
      <c r="D2287">
        <v>2025</v>
      </c>
      <c r="E2287">
        <v>12</v>
      </c>
      <c r="F2287" t="s">
        <v>28</v>
      </c>
      <c r="G2287" t="s">
        <v>137</v>
      </c>
      <c r="H2287" t="s">
        <v>2429</v>
      </c>
      <c r="I2287" t="s">
        <v>429</v>
      </c>
      <c r="J2287" t="s">
        <v>471</v>
      </c>
      <c r="K2287" t="s">
        <v>472</v>
      </c>
      <c r="L2287">
        <v>6</v>
      </c>
      <c r="M2287" s="5">
        <v>389.87</v>
      </c>
      <c r="N2287" s="6">
        <v>20</v>
      </c>
      <c r="O2287" s="5">
        <v>467.84</v>
      </c>
      <c r="P2287" s="5">
        <v>280.71</v>
      </c>
      <c r="Q2287" s="5">
        <v>1871.38</v>
      </c>
      <c r="R2287" s="5">
        <v>2016.42</v>
      </c>
      <c r="S2287" s="5">
        <v>-145.04</v>
      </c>
      <c r="T2287" s="7">
        <v>-0.0775043016383631</v>
      </c>
      <c r="U2287" t="s">
        <v>10</v>
      </c>
      <c r="V2287" t="s">
        <v>50</v>
      </c>
      <c r="W2287" t="s">
        <v>50</v>
      </c>
      <c r="X2287" t="s">
        <v>33</v>
      </c>
      <c r="Y2287" t="s">
        <v>1124</v>
      </c>
      <c r="Z2287" t="s">
        <v>101</v>
      </c>
    </row>
    <row r="2288" spans="1:26">
      <c r="A2288" t="s">
        <v>4411</v>
      </c>
      <c r="B2288" t="s">
        <v>4411</v>
      </c>
      <c r="C2288" s="4">
        <v>45977</v>
      </c>
      <c r="D2288">
        <v>2025</v>
      </c>
      <c r="E2288">
        <v>11</v>
      </c>
      <c r="F2288" t="s">
        <v>27</v>
      </c>
      <c r="G2288" t="s">
        <v>137</v>
      </c>
      <c r="H2288" t="s">
        <v>1654</v>
      </c>
      <c r="I2288" t="s">
        <v>664</v>
      </c>
      <c r="J2288" t="s">
        <v>363</v>
      </c>
      <c r="K2288" t="s">
        <v>364</v>
      </c>
      <c r="L2288">
        <v>4</v>
      </c>
      <c r="M2288" s="5">
        <v>327.08</v>
      </c>
      <c r="N2288" s="6">
        <v>0</v>
      </c>
      <c r="O2288" s="5">
        <v>0</v>
      </c>
      <c r="P2288" s="5">
        <v>196.25</v>
      </c>
      <c r="Q2288" s="5">
        <v>1504.57</v>
      </c>
      <c r="R2288" s="5">
        <v>1098.44</v>
      </c>
      <c r="S2288" s="5">
        <v>406.13</v>
      </c>
      <c r="T2288" s="7">
        <v>0.269930943724785</v>
      </c>
      <c r="U2288" t="s">
        <v>13</v>
      </c>
      <c r="V2288" t="s">
        <v>50</v>
      </c>
      <c r="W2288" t="s">
        <v>50</v>
      </c>
      <c r="X2288" t="s">
        <v>33</v>
      </c>
      <c r="Y2288" t="s">
        <v>2298</v>
      </c>
      <c r="Z2288" t="s">
        <v>80</v>
      </c>
    </row>
    <row r="2289" spans="1:26">
      <c r="A2289" t="s">
        <v>4412</v>
      </c>
      <c r="B2289" t="s">
        <v>4412</v>
      </c>
      <c r="C2289" s="4">
        <v>45959</v>
      </c>
      <c r="D2289">
        <v>2025</v>
      </c>
      <c r="E2289">
        <v>10</v>
      </c>
      <c r="F2289" t="s">
        <v>26</v>
      </c>
      <c r="G2289" t="s">
        <v>137</v>
      </c>
      <c r="H2289" t="s">
        <v>862</v>
      </c>
      <c r="I2289" t="s">
        <v>2193</v>
      </c>
      <c r="J2289" t="s">
        <v>363</v>
      </c>
      <c r="K2289" t="s">
        <v>287</v>
      </c>
      <c r="L2289">
        <v>2</v>
      </c>
      <c r="M2289" s="5">
        <v>91.61</v>
      </c>
      <c r="N2289" s="6">
        <v>5</v>
      </c>
      <c r="O2289" s="5">
        <v>9.16</v>
      </c>
      <c r="P2289" s="5">
        <v>26.11</v>
      </c>
      <c r="Q2289" s="5">
        <v>174.06</v>
      </c>
      <c r="R2289" s="5">
        <v>141.4</v>
      </c>
      <c r="S2289" s="5">
        <v>32.66</v>
      </c>
      <c r="T2289" s="7">
        <v>0.187636447202114</v>
      </c>
      <c r="U2289" t="s">
        <v>10</v>
      </c>
      <c r="V2289" t="s">
        <v>51</v>
      </c>
      <c r="W2289" t="s">
        <v>51</v>
      </c>
      <c r="X2289" t="s">
        <v>35</v>
      </c>
      <c r="Y2289" t="s">
        <v>1601</v>
      </c>
      <c r="Z2289" t="s">
        <v>101</v>
      </c>
    </row>
    <row r="2290" spans="1:26">
      <c r="A2290" t="s">
        <v>4413</v>
      </c>
      <c r="B2290" t="s">
        <v>4413</v>
      </c>
      <c r="C2290" s="4">
        <v>45998</v>
      </c>
      <c r="D2290">
        <v>2025</v>
      </c>
      <c r="E2290">
        <v>12</v>
      </c>
      <c r="F2290" t="s">
        <v>28</v>
      </c>
      <c r="G2290" t="s">
        <v>137</v>
      </c>
      <c r="H2290" t="s">
        <v>485</v>
      </c>
      <c r="I2290" t="s">
        <v>110</v>
      </c>
      <c r="J2290" t="s">
        <v>872</v>
      </c>
      <c r="K2290" t="s">
        <v>873</v>
      </c>
      <c r="L2290">
        <v>3</v>
      </c>
      <c r="M2290" s="5">
        <v>342.46</v>
      </c>
      <c r="N2290" s="6">
        <v>0</v>
      </c>
      <c r="O2290" s="5">
        <v>0</v>
      </c>
      <c r="P2290" s="5">
        <v>154.11</v>
      </c>
      <c r="Q2290" s="5">
        <v>1181.49</v>
      </c>
      <c r="R2290" s="5">
        <v>815.34</v>
      </c>
      <c r="S2290" s="5">
        <v>366.15</v>
      </c>
      <c r="T2290" s="7">
        <v>0.309905289084123</v>
      </c>
      <c r="U2290" t="s">
        <v>14</v>
      </c>
      <c r="V2290" t="s">
        <v>50</v>
      </c>
      <c r="W2290" t="s">
        <v>50</v>
      </c>
      <c r="X2290" t="s">
        <v>35</v>
      </c>
      <c r="Y2290" t="s">
        <v>1639</v>
      </c>
      <c r="Z2290" t="s">
        <v>80</v>
      </c>
    </row>
    <row r="2291" spans="1:26">
      <c r="A2291" t="s">
        <v>4414</v>
      </c>
      <c r="B2291" t="s">
        <v>4414</v>
      </c>
      <c r="C2291" s="4">
        <v>45957</v>
      </c>
      <c r="D2291">
        <v>2025</v>
      </c>
      <c r="E2291">
        <v>10</v>
      </c>
      <c r="F2291" t="s">
        <v>26</v>
      </c>
      <c r="G2291" t="s">
        <v>137</v>
      </c>
      <c r="H2291" t="s">
        <v>2654</v>
      </c>
      <c r="I2291" t="s">
        <v>493</v>
      </c>
      <c r="J2291" t="s">
        <v>111</v>
      </c>
      <c r="K2291" t="s">
        <v>287</v>
      </c>
      <c r="L2291">
        <v>1</v>
      </c>
      <c r="M2291" s="5">
        <v>395.66</v>
      </c>
      <c r="N2291" s="6">
        <v>15</v>
      </c>
      <c r="O2291" s="5">
        <v>59.35</v>
      </c>
      <c r="P2291" s="5">
        <v>50.45</v>
      </c>
      <c r="Q2291" s="5">
        <v>336.31</v>
      </c>
      <c r="R2291" s="5">
        <v>320.19</v>
      </c>
      <c r="S2291" s="5">
        <v>16.12</v>
      </c>
      <c r="T2291" s="7">
        <v>0.0479319675299575</v>
      </c>
      <c r="U2291" t="s">
        <v>13</v>
      </c>
      <c r="V2291" t="s">
        <v>50</v>
      </c>
      <c r="W2291" t="s">
        <v>50</v>
      </c>
      <c r="X2291" t="s">
        <v>33</v>
      </c>
      <c r="Y2291" t="s">
        <v>678</v>
      </c>
      <c r="Z2291" t="s">
        <v>101</v>
      </c>
    </row>
    <row r="2292" spans="1:26">
      <c r="A2292" t="s">
        <v>4415</v>
      </c>
      <c r="B2292" t="s">
        <v>4415</v>
      </c>
      <c r="C2292" s="4">
        <v>46053</v>
      </c>
      <c r="D2292">
        <v>2026</v>
      </c>
      <c r="E2292">
        <v>1</v>
      </c>
      <c r="F2292" t="s">
        <v>30</v>
      </c>
      <c r="G2292" t="s">
        <v>82</v>
      </c>
      <c r="H2292" t="s">
        <v>853</v>
      </c>
      <c r="I2292" t="s">
        <v>756</v>
      </c>
      <c r="J2292" t="s">
        <v>746</v>
      </c>
      <c r="K2292" t="s">
        <v>549</v>
      </c>
      <c r="L2292">
        <v>2</v>
      </c>
      <c r="M2292" s="5">
        <v>161.03</v>
      </c>
      <c r="N2292" s="6">
        <v>15</v>
      </c>
      <c r="O2292" s="5">
        <v>48.31</v>
      </c>
      <c r="P2292" s="5">
        <v>41.06</v>
      </c>
      <c r="Q2292" s="5">
        <v>314.81</v>
      </c>
      <c r="R2292" s="5">
        <v>248.48</v>
      </c>
      <c r="S2292" s="5">
        <v>66.33</v>
      </c>
      <c r="T2292" s="7">
        <v>0.210698516565547</v>
      </c>
      <c r="U2292" t="s">
        <v>9</v>
      </c>
      <c r="V2292" t="s">
        <v>50</v>
      </c>
      <c r="W2292" t="s">
        <v>50</v>
      </c>
      <c r="X2292" t="s">
        <v>33</v>
      </c>
      <c r="Y2292" t="s">
        <v>1315</v>
      </c>
      <c r="Z2292" t="s">
        <v>80</v>
      </c>
    </row>
    <row r="2293" spans="1:26">
      <c r="A2293" t="s">
        <v>4416</v>
      </c>
      <c r="B2293" t="s">
        <v>4416</v>
      </c>
      <c r="C2293" s="4">
        <v>45886</v>
      </c>
      <c r="D2293">
        <v>2025</v>
      </c>
      <c r="E2293">
        <v>8</v>
      </c>
      <c r="F2293" t="s">
        <v>24</v>
      </c>
      <c r="G2293" t="s">
        <v>89</v>
      </c>
      <c r="H2293" t="s">
        <v>2160</v>
      </c>
      <c r="I2293" t="s">
        <v>1742</v>
      </c>
      <c r="J2293" t="s">
        <v>412</v>
      </c>
      <c r="K2293" t="s">
        <v>413</v>
      </c>
      <c r="L2293">
        <v>1</v>
      </c>
      <c r="M2293" s="5">
        <v>268.32</v>
      </c>
      <c r="N2293" s="6">
        <v>5</v>
      </c>
      <c r="O2293" s="5">
        <v>13.42</v>
      </c>
      <c r="P2293" s="5">
        <v>38.24</v>
      </c>
      <c r="Q2293" s="5">
        <v>293.13</v>
      </c>
      <c r="R2293" s="5">
        <v>241.44</v>
      </c>
      <c r="S2293" s="5">
        <v>51.69</v>
      </c>
      <c r="T2293" s="7">
        <v>0.176338143485825</v>
      </c>
      <c r="U2293" t="s">
        <v>13</v>
      </c>
      <c r="V2293" t="s">
        <v>50</v>
      </c>
      <c r="W2293" t="s">
        <v>50</v>
      </c>
      <c r="X2293" t="s">
        <v>33</v>
      </c>
      <c r="Y2293" t="s">
        <v>753</v>
      </c>
      <c r="Z2293" t="s">
        <v>80</v>
      </c>
    </row>
    <row r="2294" spans="1:26">
      <c r="A2294" t="s">
        <v>4417</v>
      </c>
      <c r="B2294" t="s">
        <v>4417</v>
      </c>
      <c r="C2294" s="4">
        <v>46012</v>
      </c>
      <c r="D2294">
        <v>2025</v>
      </c>
      <c r="E2294">
        <v>12</v>
      </c>
      <c r="F2294" t="s">
        <v>28</v>
      </c>
      <c r="G2294" t="s">
        <v>137</v>
      </c>
      <c r="H2294" t="s">
        <v>586</v>
      </c>
      <c r="I2294" t="s">
        <v>174</v>
      </c>
      <c r="J2294" t="s">
        <v>191</v>
      </c>
      <c r="K2294" t="s">
        <v>192</v>
      </c>
      <c r="L2294">
        <v>8</v>
      </c>
      <c r="M2294" s="5">
        <v>453.14</v>
      </c>
      <c r="N2294" s="6">
        <v>0</v>
      </c>
      <c r="O2294" s="5">
        <v>0</v>
      </c>
      <c r="P2294" s="5">
        <v>543.77</v>
      </c>
      <c r="Q2294" s="5">
        <v>4168.89</v>
      </c>
      <c r="R2294" s="5">
        <v>2554.96</v>
      </c>
      <c r="S2294" s="5">
        <v>1613.93</v>
      </c>
      <c r="T2294" s="7">
        <v>0.387136623897488</v>
      </c>
      <c r="U2294" t="s">
        <v>13</v>
      </c>
      <c r="V2294" t="s">
        <v>50</v>
      </c>
      <c r="W2294" t="s">
        <v>50</v>
      </c>
      <c r="X2294" t="s">
        <v>33</v>
      </c>
      <c r="Y2294" t="s">
        <v>3602</v>
      </c>
      <c r="Z2294" t="s">
        <v>80</v>
      </c>
    </row>
    <row r="2295" spans="1:26">
      <c r="A2295" t="s">
        <v>4418</v>
      </c>
      <c r="B2295" t="s">
        <v>4418</v>
      </c>
      <c r="C2295" s="4">
        <v>45941</v>
      </c>
      <c r="D2295">
        <v>2025</v>
      </c>
      <c r="E2295">
        <v>10</v>
      </c>
      <c r="F2295" t="s">
        <v>26</v>
      </c>
      <c r="G2295" t="s">
        <v>137</v>
      </c>
      <c r="H2295" t="s">
        <v>1267</v>
      </c>
      <c r="I2295" t="s">
        <v>225</v>
      </c>
      <c r="J2295" t="s">
        <v>45</v>
      </c>
      <c r="K2295" t="s">
        <v>1351</v>
      </c>
      <c r="L2295">
        <v>3</v>
      </c>
      <c r="M2295" s="5">
        <v>365.91</v>
      </c>
      <c r="N2295" s="6">
        <v>15</v>
      </c>
      <c r="O2295" s="5">
        <v>164.66</v>
      </c>
      <c r="P2295" s="5">
        <v>139.96</v>
      </c>
      <c r="Q2295" s="5">
        <v>1073.03</v>
      </c>
      <c r="R2295" s="5">
        <v>910.23</v>
      </c>
      <c r="S2295" s="5">
        <v>162.8</v>
      </c>
      <c r="T2295" s="7">
        <v>0.151719895995452</v>
      </c>
      <c r="U2295" t="s">
        <v>13</v>
      </c>
      <c r="V2295" t="s">
        <v>50</v>
      </c>
      <c r="W2295" t="s">
        <v>50</v>
      </c>
      <c r="X2295" t="s">
        <v>35</v>
      </c>
      <c r="Y2295" t="s">
        <v>1315</v>
      </c>
      <c r="Z2295" t="s">
        <v>80</v>
      </c>
    </row>
    <row r="2296" spans="1:26">
      <c r="A2296" t="s">
        <v>4419</v>
      </c>
      <c r="B2296" t="s">
        <v>4419</v>
      </c>
      <c r="C2296" s="4">
        <v>46102</v>
      </c>
      <c r="D2296">
        <v>2026</v>
      </c>
      <c r="E2296">
        <v>3</v>
      </c>
      <c r="F2296" t="s">
        <v>19</v>
      </c>
      <c r="G2296" t="s">
        <v>82</v>
      </c>
      <c r="H2296" t="s">
        <v>1619</v>
      </c>
      <c r="I2296" t="s">
        <v>574</v>
      </c>
      <c r="J2296" t="s">
        <v>333</v>
      </c>
      <c r="K2296" t="s">
        <v>2105</v>
      </c>
      <c r="L2296">
        <v>2</v>
      </c>
      <c r="M2296" s="5">
        <v>125.15</v>
      </c>
      <c r="N2296" s="6">
        <v>15</v>
      </c>
      <c r="O2296" s="5">
        <v>37.55</v>
      </c>
      <c r="P2296" s="5">
        <v>31.91</v>
      </c>
      <c r="Q2296" s="5">
        <v>244.66</v>
      </c>
      <c r="R2296" s="5">
        <v>191.4</v>
      </c>
      <c r="S2296" s="5">
        <v>53.26</v>
      </c>
      <c r="T2296" s="7">
        <v>0.217689855309409</v>
      </c>
      <c r="U2296" t="s">
        <v>14</v>
      </c>
      <c r="V2296" t="s">
        <v>50</v>
      </c>
      <c r="W2296" t="s">
        <v>50</v>
      </c>
      <c r="X2296" t="s">
        <v>33</v>
      </c>
      <c r="Y2296" t="s">
        <v>560</v>
      </c>
      <c r="Z2296" t="s">
        <v>80</v>
      </c>
    </row>
    <row r="2297" spans="1:26">
      <c r="A2297" t="s">
        <v>4420</v>
      </c>
      <c r="B2297" t="s">
        <v>4420</v>
      </c>
      <c r="C2297" s="4">
        <v>46076</v>
      </c>
      <c r="D2297">
        <v>2026</v>
      </c>
      <c r="E2297">
        <v>2</v>
      </c>
      <c r="F2297" t="s">
        <v>31</v>
      </c>
      <c r="G2297" t="s">
        <v>82</v>
      </c>
      <c r="H2297" t="s">
        <v>582</v>
      </c>
      <c r="I2297" t="s">
        <v>104</v>
      </c>
      <c r="J2297" t="s">
        <v>1781</v>
      </c>
      <c r="K2297" t="s">
        <v>1782</v>
      </c>
      <c r="L2297">
        <v>6</v>
      </c>
      <c r="M2297" s="5">
        <v>352.52</v>
      </c>
      <c r="N2297" s="6">
        <v>10</v>
      </c>
      <c r="O2297" s="5">
        <v>211.51</v>
      </c>
      <c r="P2297" s="5">
        <v>285.54</v>
      </c>
      <c r="Q2297" s="5">
        <v>1903.61</v>
      </c>
      <c r="R2297" s="5">
        <v>1476.72</v>
      </c>
      <c r="S2297" s="5">
        <v>426.89</v>
      </c>
      <c r="T2297" s="7">
        <v>0.224252866921271</v>
      </c>
      <c r="U2297" t="s">
        <v>14</v>
      </c>
      <c r="V2297" t="s">
        <v>50</v>
      </c>
      <c r="W2297" t="s">
        <v>50</v>
      </c>
      <c r="X2297" t="s">
        <v>35</v>
      </c>
      <c r="Y2297" t="s">
        <v>4421</v>
      </c>
      <c r="Z2297" t="s">
        <v>101</v>
      </c>
    </row>
    <row r="2298" spans="1:26">
      <c r="A2298" t="s">
        <v>4422</v>
      </c>
      <c r="B2298" t="s">
        <v>4422</v>
      </c>
      <c r="C2298" s="4">
        <v>46081</v>
      </c>
      <c r="D2298">
        <v>2026</v>
      </c>
      <c r="E2298">
        <v>2</v>
      </c>
      <c r="F2298" t="s">
        <v>31</v>
      </c>
      <c r="G2298" t="s">
        <v>82</v>
      </c>
      <c r="H2298" t="s">
        <v>3935</v>
      </c>
      <c r="I2298" t="s">
        <v>395</v>
      </c>
      <c r="J2298" t="s">
        <v>899</v>
      </c>
      <c r="K2298" t="s">
        <v>171</v>
      </c>
      <c r="L2298">
        <v>4</v>
      </c>
      <c r="M2298" s="5">
        <v>446.17</v>
      </c>
      <c r="N2298" s="6">
        <v>0</v>
      </c>
      <c r="O2298" s="5">
        <v>0</v>
      </c>
      <c r="P2298" s="5">
        <v>267.7</v>
      </c>
      <c r="Q2298" s="5">
        <v>2052.38</v>
      </c>
      <c r="R2298" s="5">
        <v>1302.44</v>
      </c>
      <c r="S2298" s="5">
        <v>749.94</v>
      </c>
      <c r="T2298" s="7">
        <v>0.365400169559243</v>
      </c>
      <c r="U2298" t="s">
        <v>10</v>
      </c>
      <c r="V2298" t="s">
        <v>50</v>
      </c>
      <c r="W2298" t="s">
        <v>50</v>
      </c>
      <c r="X2298" t="s">
        <v>35</v>
      </c>
      <c r="Y2298" t="s">
        <v>129</v>
      </c>
      <c r="Z2298" t="s">
        <v>80</v>
      </c>
    </row>
    <row r="2299" spans="1:26">
      <c r="A2299" t="s">
        <v>4423</v>
      </c>
      <c r="B2299" t="s">
        <v>4423</v>
      </c>
      <c r="C2299" s="4">
        <v>45895</v>
      </c>
      <c r="D2299">
        <v>2025</v>
      </c>
      <c r="E2299">
        <v>8</v>
      </c>
      <c r="F2299" t="s">
        <v>24</v>
      </c>
      <c r="G2299" t="s">
        <v>89</v>
      </c>
      <c r="H2299" t="s">
        <v>521</v>
      </c>
      <c r="I2299" t="s">
        <v>290</v>
      </c>
      <c r="J2299" t="s">
        <v>430</v>
      </c>
      <c r="K2299" t="s">
        <v>4424</v>
      </c>
      <c r="L2299">
        <v>7</v>
      </c>
      <c r="M2299" s="5">
        <v>83.37</v>
      </c>
      <c r="N2299" s="6">
        <v>10</v>
      </c>
      <c r="O2299" s="5">
        <v>58.36</v>
      </c>
      <c r="P2299" s="5">
        <v>78.78</v>
      </c>
      <c r="Q2299" s="5">
        <v>525.23</v>
      </c>
      <c r="R2299" s="5">
        <v>435.75</v>
      </c>
      <c r="S2299" s="5">
        <v>89.48</v>
      </c>
      <c r="T2299" s="7">
        <v>0.170363459817604</v>
      </c>
      <c r="U2299" t="s">
        <v>10</v>
      </c>
      <c r="V2299" t="s">
        <v>50</v>
      </c>
      <c r="W2299" t="s">
        <v>50</v>
      </c>
      <c r="X2299" t="s">
        <v>34</v>
      </c>
      <c r="Y2299" t="s">
        <v>403</v>
      </c>
      <c r="Z2299" t="s">
        <v>101</v>
      </c>
    </row>
    <row r="2300" spans="1:26">
      <c r="A2300" t="s">
        <v>4425</v>
      </c>
      <c r="B2300" t="s">
        <v>4425</v>
      </c>
      <c r="C2300" s="4">
        <v>46031</v>
      </c>
      <c r="D2300">
        <v>2026</v>
      </c>
      <c r="E2300">
        <v>1</v>
      </c>
      <c r="F2300" t="s">
        <v>30</v>
      </c>
      <c r="G2300" t="s">
        <v>82</v>
      </c>
      <c r="H2300" t="s">
        <v>727</v>
      </c>
      <c r="I2300" t="s">
        <v>301</v>
      </c>
      <c r="J2300" t="s">
        <v>369</v>
      </c>
      <c r="K2300" t="s">
        <v>1545</v>
      </c>
      <c r="L2300">
        <v>4</v>
      </c>
      <c r="M2300" s="5">
        <v>232.55</v>
      </c>
      <c r="N2300" s="6">
        <v>0</v>
      </c>
      <c r="O2300" s="5">
        <v>0</v>
      </c>
      <c r="P2300" s="5">
        <v>139.53</v>
      </c>
      <c r="Q2300" s="5">
        <v>930.2</v>
      </c>
      <c r="R2300" s="5">
        <v>781.76</v>
      </c>
      <c r="S2300" s="5">
        <v>148.44</v>
      </c>
      <c r="T2300" s="7">
        <v>0.159578585250484</v>
      </c>
      <c r="U2300" t="s">
        <v>13</v>
      </c>
      <c r="V2300" t="s">
        <v>50</v>
      </c>
      <c r="W2300" t="s">
        <v>50</v>
      </c>
      <c r="X2300" t="s">
        <v>33</v>
      </c>
      <c r="Y2300" t="s">
        <v>2965</v>
      </c>
      <c r="Z2300" t="s">
        <v>101</v>
      </c>
    </row>
    <row r="2301" spans="1:26">
      <c r="A2301" t="s">
        <v>4426</v>
      </c>
      <c r="B2301" t="s">
        <v>4426</v>
      </c>
      <c r="C2301" s="4">
        <v>45900</v>
      </c>
      <c r="D2301">
        <v>2025</v>
      </c>
      <c r="E2301">
        <v>8</v>
      </c>
      <c r="F2301" t="s">
        <v>24</v>
      </c>
      <c r="G2301" t="s">
        <v>89</v>
      </c>
      <c r="H2301" t="s">
        <v>1472</v>
      </c>
      <c r="I2301" t="s">
        <v>169</v>
      </c>
      <c r="J2301" t="s">
        <v>220</v>
      </c>
      <c r="K2301" t="s">
        <v>153</v>
      </c>
      <c r="L2301">
        <v>2</v>
      </c>
      <c r="M2301" s="5">
        <v>141.11</v>
      </c>
      <c r="N2301" s="6">
        <v>15</v>
      </c>
      <c r="O2301" s="5">
        <v>42.33</v>
      </c>
      <c r="P2301" s="5">
        <v>35.98</v>
      </c>
      <c r="Q2301" s="5">
        <v>275.87</v>
      </c>
      <c r="R2301" s="5">
        <v>231.82</v>
      </c>
      <c r="S2301" s="5">
        <v>44.05</v>
      </c>
      <c r="T2301" s="7">
        <v>0.159676659296045</v>
      </c>
      <c r="U2301" t="s">
        <v>13</v>
      </c>
      <c r="V2301" t="s">
        <v>50</v>
      </c>
      <c r="W2301" t="s">
        <v>50</v>
      </c>
      <c r="X2301" t="s">
        <v>33</v>
      </c>
      <c r="Y2301" t="s">
        <v>1941</v>
      </c>
      <c r="Z2301" t="s">
        <v>80</v>
      </c>
    </row>
    <row r="2302" spans="1:26">
      <c r="A2302" t="s">
        <v>4427</v>
      </c>
      <c r="B2302" t="s">
        <v>4427</v>
      </c>
      <c r="C2302" s="4">
        <v>45776</v>
      </c>
      <c r="D2302">
        <v>2025</v>
      </c>
      <c r="E2302">
        <v>4</v>
      </c>
      <c r="F2302" t="s">
        <v>20</v>
      </c>
      <c r="G2302" t="s">
        <v>74</v>
      </c>
      <c r="H2302" t="s">
        <v>1421</v>
      </c>
      <c r="I2302" t="s">
        <v>1714</v>
      </c>
      <c r="J2302" t="s">
        <v>286</v>
      </c>
      <c r="K2302" t="s">
        <v>3153</v>
      </c>
      <c r="L2302">
        <v>4</v>
      </c>
      <c r="M2302" s="5">
        <v>371.16</v>
      </c>
      <c r="N2302" s="6">
        <v>10</v>
      </c>
      <c r="O2302" s="5">
        <v>148.46</v>
      </c>
      <c r="P2302" s="5">
        <v>200.43</v>
      </c>
      <c r="Q2302" s="5">
        <v>1336.18</v>
      </c>
      <c r="R2302" s="5">
        <v>1064.4</v>
      </c>
      <c r="S2302" s="5">
        <v>271.78</v>
      </c>
      <c r="T2302" s="7">
        <v>0.203400739421335</v>
      </c>
      <c r="U2302" t="s">
        <v>11</v>
      </c>
      <c r="V2302" t="s">
        <v>50</v>
      </c>
      <c r="W2302" t="s">
        <v>50</v>
      </c>
      <c r="X2302" t="s">
        <v>33</v>
      </c>
      <c r="Y2302" t="s">
        <v>1329</v>
      </c>
      <c r="Z2302" t="s">
        <v>101</v>
      </c>
    </row>
    <row r="2303" spans="1:26">
      <c r="A2303" t="s">
        <v>4428</v>
      </c>
      <c r="B2303" t="s">
        <v>4428</v>
      </c>
      <c r="C2303" s="4">
        <v>45976</v>
      </c>
      <c r="D2303">
        <v>2025</v>
      </c>
      <c r="E2303">
        <v>11</v>
      </c>
      <c r="F2303" t="s">
        <v>27</v>
      </c>
      <c r="G2303" t="s">
        <v>137</v>
      </c>
      <c r="H2303" t="s">
        <v>1103</v>
      </c>
      <c r="I2303" t="s">
        <v>417</v>
      </c>
      <c r="J2303" t="s">
        <v>401</v>
      </c>
      <c r="K2303" t="s">
        <v>402</v>
      </c>
      <c r="L2303">
        <v>6</v>
      </c>
      <c r="M2303" s="5">
        <v>427.65</v>
      </c>
      <c r="N2303" s="6">
        <v>5</v>
      </c>
      <c r="O2303" s="5">
        <v>128.29</v>
      </c>
      <c r="P2303" s="5">
        <v>365.64</v>
      </c>
      <c r="Q2303" s="5">
        <v>2803.25</v>
      </c>
      <c r="R2303" s="5">
        <v>1859.88</v>
      </c>
      <c r="S2303" s="5">
        <v>943.37</v>
      </c>
      <c r="T2303" s="7">
        <v>0.336527245161866</v>
      </c>
      <c r="U2303" t="s">
        <v>13</v>
      </c>
      <c r="V2303" t="s">
        <v>50</v>
      </c>
      <c r="W2303" t="s">
        <v>50</v>
      </c>
      <c r="X2303" t="s">
        <v>35</v>
      </c>
      <c r="Y2303" t="s">
        <v>392</v>
      </c>
      <c r="Z2303" t="s">
        <v>80</v>
      </c>
    </row>
    <row r="2304" spans="1:26">
      <c r="A2304" t="s">
        <v>4429</v>
      </c>
      <c r="B2304" t="s">
        <v>4429</v>
      </c>
      <c r="C2304" s="4">
        <v>45962</v>
      </c>
      <c r="D2304">
        <v>2025</v>
      </c>
      <c r="E2304">
        <v>11</v>
      </c>
      <c r="F2304" t="s">
        <v>27</v>
      </c>
      <c r="G2304" t="s">
        <v>137</v>
      </c>
      <c r="H2304" t="s">
        <v>918</v>
      </c>
      <c r="I2304" t="s">
        <v>207</v>
      </c>
      <c r="J2304" t="s">
        <v>286</v>
      </c>
      <c r="K2304" t="s">
        <v>1480</v>
      </c>
      <c r="L2304">
        <v>8</v>
      </c>
      <c r="M2304" s="5">
        <v>350.62</v>
      </c>
      <c r="N2304" s="6">
        <v>0</v>
      </c>
      <c r="O2304" s="5">
        <v>0</v>
      </c>
      <c r="P2304" s="5">
        <v>420.74</v>
      </c>
      <c r="Q2304" s="5">
        <v>3225.7</v>
      </c>
      <c r="R2304" s="5">
        <v>2079.44</v>
      </c>
      <c r="S2304" s="5">
        <v>1146.26</v>
      </c>
      <c r="T2304" s="7">
        <v>0.355352326626779</v>
      </c>
      <c r="U2304" t="s">
        <v>14</v>
      </c>
      <c r="V2304" t="s">
        <v>50</v>
      </c>
      <c r="W2304" t="s">
        <v>50</v>
      </c>
      <c r="X2304" t="s">
        <v>35</v>
      </c>
      <c r="Y2304" t="s">
        <v>620</v>
      </c>
      <c r="Z2304" t="s">
        <v>80</v>
      </c>
    </row>
    <row r="2305" spans="1:26">
      <c r="A2305" t="s">
        <v>4430</v>
      </c>
      <c r="B2305" t="s">
        <v>4430</v>
      </c>
      <c r="C2305" s="4">
        <v>45874</v>
      </c>
      <c r="D2305">
        <v>2025</v>
      </c>
      <c r="E2305">
        <v>8</v>
      </c>
      <c r="F2305" t="s">
        <v>24</v>
      </c>
      <c r="G2305" t="s">
        <v>89</v>
      </c>
      <c r="H2305" t="s">
        <v>1811</v>
      </c>
      <c r="I2305" t="s">
        <v>323</v>
      </c>
      <c r="J2305" t="s">
        <v>1104</v>
      </c>
      <c r="K2305" t="s">
        <v>1105</v>
      </c>
      <c r="L2305">
        <v>7</v>
      </c>
      <c r="M2305" s="5">
        <v>56.7</v>
      </c>
      <c r="N2305" s="6">
        <v>15</v>
      </c>
      <c r="O2305" s="5">
        <v>59.54</v>
      </c>
      <c r="P2305" s="5">
        <v>50.6</v>
      </c>
      <c r="Q2305" s="5">
        <v>337.36</v>
      </c>
      <c r="R2305" s="5">
        <v>262.36</v>
      </c>
      <c r="S2305" s="5">
        <v>75</v>
      </c>
      <c r="T2305" s="7">
        <v>0.222314441546123</v>
      </c>
      <c r="U2305" t="s">
        <v>11</v>
      </c>
      <c r="V2305" t="s">
        <v>50</v>
      </c>
      <c r="W2305" t="s">
        <v>50</v>
      </c>
      <c r="X2305" t="s">
        <v>35</v>
      </c>
      <c r="Y2305" t="s">
        <v>1187</v>
      </c>
      <c r="Z2305" t="s">
        <v>101</v>
      </c>
    </row>
    <row r="2306" spans="1:26">
      <c r="A2306" t="s">
        <v>4431</v>
      </c>
      <c r="B2306" t="s">
        <v>4431</v>
      </c>
      <c r="C2306" s="4">
        <v>45934</v>
      </c>
      <c r="D2306">
        <v>2025</v>
      </c>
      <c r="E2306">
        <v>10</v>
      </c>
      <c r="F2306" t="s">
        <v>26</v>
      </c>
      <c r="G2306" t="s">
        <v>137</v>
      </c>
      <c r="H2306" t="s">
        <v>3099</v>
      </c>
      <c r="I2306" t="s">
        <v>312</v>
      </c>
      <c r="J2306" t="s">
        <v>998</v>
      </c>
      <c r="K2306" t="s">
        <v>1395</v>
      </c>
      <c r="L2306">
        <v>3</v>
      </c>
      <c r="M2306" s="5">
        <v>383.51</v>
      </c>
      <c r="N2306" s="6">
        <v>15</v>
      </c>
      <c r="O2306" s="5">
        <v>172.58</v>
      </c>
      <c r="P2306" s="5">
        <v>146.69</v>
      </c>
      <c r="Q2306" s="5">
        <v>1124.64</v>
      </c>
      <c r="R2306" s="5">
        <v>857.7</v>
      </c>
      <c r="S2306" s="5">
        <v>266.94</v>
      </c>
      <c r="T2306" s="7">
        <v>0.23735595390525</v>
      </c>
      <c r="U2306" t="s">
        <v>10</v>
      </c>
      <c r="V2306" t="s">
        <v>50</v>
      </c>
      <c r="W2306" t="s">
        <v>50</v>
      </c>
      <c r="X2306" t="s">
        <v>35</v>
      </c>
      <c r="Y2306" t="s">
        <v>3506</v>
      </c>
      <c r="Z2306" t="s">
        <v>80</v>
      </c>
    </row>
    <row r="2307" spans="1:26">
      <c r="A2307" t="s">
        <v>4432</v>
      </c>
      <c r="B2307" t="s">
        <v>4432</v>
      </c>
      <c r="C2307" s="4">
        <v>45839</v>
      </c>
      <c r="D2307">
        <v>2025</v>
      </c>
      <c r="E2307">
        <v>7</v>
      </c>
      <c r="F2307" t="s">
        <v>23</v>
      </c>
      <c r="G2307" t="s">
        <v>89</v>
      </c>
      <c r="H2307" t="s">
        <v>876</v>
      </c>
      <c r="I2307" t="s">
        <v>1839</v>
      </c>
      <c r="J2307" t="s">
        <v>659</v>
      </c>
      <c r="K2307" t="s">
        <v>287</v>
      </c>
      <c r="L2307">
        <v>4</v>
      </c>
      <c r="M2307" s="5">
        <v>48.94</v>
      </c>
      <c r="N2307" s="6">
        <v>15</v>
      </c>
      <c r="O2307" s="5">
        <v>29.36</v>
      </c>
      <c r="P2307" s="5">
        <v>24.96</v>
      </c>
      <c r="Q2307" s="5">
        <v>166.4</v>
      </c>
      <c r="R2307" s="5">
        <v>146.36</v>
      </c>
      <c r="S2307" s="5">
        <v>20.04</v>
      </c>
      <c r="T2307" s="7">
        <v>0.120432692307692</v>
      </c>
      <c r="U2307" t="s">
        <v>10</v>
      </c>
      <c r="V2307" t="s">
        <v>50</v>
      </c>
      <c r="W2307" t="s">
        <v>50</v>
      </c>
      <c r="X2307" t="s">
        <v>33</v>
      </c>
      <c r="Y2307" t="s">
        <v>4389</v>
      </c>
      <c r="Z2307" t="s">
        <v>101</v>
      </c>
    </row>
    <row r="2308" spans="1:26">
      <c r="A2308" t="s">
        <v>4433</v>
      </c>
      <c r="B2308" t="s">
        <v>4433</v>
      </c>
      <c r="C2308" s="4">
        <v>46019</v>
      </c>
      <c r="D2308">
        <v>2025</v>
      </c>
      <c r="E2308">
        <v>12</v>
      </c>
      <c r="F2308" t="s">
        <v>28</v>
      </c>
      <c r="G2308" t="s">
        <v>137</v>
      </c>
      <c r="H2308" t="s">
        <v>1218</v>
      </c>
      <c r="I2308" t="s">
        <v>138</v>
      </c>
      <c r="J2308" t="s">
        <v>665</v>
      </c>
      <c r="K2308" t="s">
        <v>666</v>
      </c>
      <c r="L2308">
        <v>6</v>
      </c>
      <c r="M2308" s="5">
        <v>445.71</v>
      </c>
      <c r="N2308" s="6">
        <v>0</v>
      </c>
      <c r="O2308" s="5">
        <v>0</v>
      </c>
      <c r="P2308" s="5">
        <v>401.14</v>
      </c>
      <c r="Q2308" s="5">
        <v>3075.4</v>
      </c>
      <c r="R2308" s="5">
        <v>1853.64</v>
      </c>
      <c r="S2308" s="5">
        <v>1221.76</v>
      </c>
      <c r="T2308" s="7">
        <v>0.397268647980751</v>
      </c>
      <c r="U2308" t="s">
        <v>13</v>
      </c>
      <c r="V2308" t="s">
        <v>50</v>
      </c>
      <c r="W2308" t="s">
        <v>50</v>
      </c>
      <c r="X2308" t="s">
        <v>33</v>
      </c>
      <c r="Y2308" t="s">
        <v>3281</v>
      </c>
      <c r="Z2308" t="s">
        <v>80</v>
      </c>
    </row>
    <row r="2309" spans="1:26">
      <c r="A2309" t="s">
        <v>4434</v>
      </c>
      <c r="B2309" t="s">
        <v>4434</v>
      </c>
      <c r="C2309" s="4">
        <v>45942</v>
      </c>
      <c r="D2309">
        <v>2025</v>
      </c>
      <c r="E2309">
        <v>10</v>
      </c>
      <c r="F2309" t="s">
        <v>26</v>
      </c>
      <c r="G2309" t="s">
        <v>137</v>
      </c>
      <c r="H2309" t="s">
        <v>1207</v>
      </c>
      <c r="I2309" t="s">
        <v>104</v>
      </c>
      <c r="J2309" t="s">
        <v>850</v>
      </c>
      <c r="K2309" t="s">
        <v>86</v>
      </c>
      <c r="L2309">
        <v>6</v>
      </c>
      <c r="M2309" s="5">
        <v>336.18</v>
      </c>
      <c r="N2309" s="6">
        <v>5</v>
      </c>
      <c r="O2309" s="5">
        <v>100.85</v>
      </c>
      <c r="P2309" s="5">
        <v>287.43</v>
      </c>
      <c r="Q2309" s="5">
        <v>2203.66</v>
      </c>
      <c r="R2309" s="5">
        <v>1476.72</v>
      </c>
      <c r="S2309" s="5">
        <v>726.94</v>
      </c>
      <c r="T2309" s="7">
        <v>0.329878474900847</v>
      </c>
      <c r="U2309" t="s">
        <v>14</v>
      </c>
      <c r="V2309" t="s">
        <v>50</v>
      </c>
      <c r="W2309" t="s">
        <v>50</v>
      </c>
      <c r="X2309" t="s">
        <v>33</v>
      </c>
      <c r="Y2309" t="s">
        <v>1317</v>
      </c>
      <c r="Z2309" t="s">
        <v>80</v>
      </c>
    </row>
    <row r="2310" spans="1:26">
      <c r="A2310" t="s">
        <v>4435</v>
      </c>
      <c r="B2310" t="s">
        <v>4435</v>
      </c>
      <c r="C2310" s="4">
        <v>45957</v>
      </c>
      <c r="D2310">
        <v>2025</v>
      </c>
      <c r="E2310">
        <v>10</v>
      </c>
      <c r="F2310" t="s">
        <v>26</v>
      </c>
      <c r="G2310" t="s">
        <v>137</v>
      </c>
      <c r="H2310" t="s">
        <v>2541</v>
      </c>
      <c r="I2310" t="s">
        <v>350</v>
      </c>
      <c r="J2310" t="s">
        <v>665</v>
      </c>
      <c r="K2310" t="s">
        <v>784</v>
      </c>
      <c r="L2310">
        <v>4</v>
      </c>
      <c r="M2310" s="5">
        <v>373.91</v>
      </c>
      <c r="N2310" s="6">
        <v>5</v>
      </c>
      <c r="O2310" s="5">
        <v>74.78</v>
      </c>
      <c r="P2310" s="5">
        <v>213.13</v>
      </c>
      <c r="Q2310" s="5">
        <v>1420.86</v>
      </c>
      <c r="R2310" s="5">
        <v>865.28</v>
      </c>
      <c r="S2310" s="5">
        <v>555.58</v>
      </c>
      <c r="T2310" s="7">
        <v>0.391016708190814</v>
      </c>
      <c r="U2310" t="s">
        <v>13</v>
      </c>
      <c r="V2310" t="s">
        <v>51</v>
      </c>
      <c r="W2310" t="s">
        <v>51</v>
      </c>
      <c r="X2310" t="s">
        <v>33</v>
      </c>
      <c r="Y2310" t="s">
        <v>1148</v>
      </c>
      <c r="Z2310" t="s">
        <v>101</v>
      </c>
    </row>
    <row r="2311" spans="1:26">
      <c r="A2311" t="s">
        <v>4436</v>
      </c>
      <c r="B2311" t="s">
        <v>4436</v>
      </c>
      <c r="C2311" s="4">
        <v>45766</v>
      </c>
      <c r="D2311">
        <v>2025</v>
      </c>
      <c r="E2311">
        <v>4</v>
      </c>
      <c r="F2311" t="s">
        <v>20</v>
      </c>
      <c r="G2311" t="s">
        <v>74</v>
      </c>
      <c r="H2311" t="s">
        <v>2842</v>
      </c>
      <c r="I2311" t="s">
        <v>844</v>
      </c>
      <c r="J2311" t="s">
        <v>401</v>
      </c>
      <c r="K2311" t="s">
        <v>402</v>
      </c>
      <c r="L2311">
        <v>3</v>
      </c>
      <c r="M2311" s="5">
        <v>298.68</v>
      </c>
      <c r="N2311" s="6">
        <v>0</v>
      </c>
      <c r="O2311" s="5">
        <v>0</v>
      </c>
      <c r="P2311" s="5">
        <v>134.41</v>
      </c>
      <c r="Q2311" s="5">
        <v>1030.45</v>
      </c>
      <c r="R2311" s="5">
        <v>752.07</v>
      </c>
      <c r="S2311" s="5">
        <v>278.38</v>
      </c>
      <c r="T2311" s="7">
        <v>0.270153816293852</v>
      </c>
      <c r="U2311" t="s">
        <v>13</v>
      </c>
      <c r="V2311" t="s">
        <v>50</v>
      </c>
      <c r="W2311" t="s">
        <v>50</v>
      </c>
      <c r="X2311" t="s">
        <v>33</v>
      </c>
      <c r="Y2311" t="s">
        <v>1846</v>
      </c>
      <c r="Z2311" t="s">
        <v>80</v>
      </c>
    </row>
    <row r="2312" spans="1:26">
      <c r="A2312" t="s">
        <v>4437</v>
      </c>
      <c r="B2312" t="s">
        <v>4437</v>
      </c>
      <c r="C2312" s="4">
        <v>45978</v>
      </c>
      <c r="D2312">
        <v>2025</v>
      </c>
      <c r="E2312">
        <v>11</v>
      </c>
      <c r="F2312" t="s">
        <v>27</v>
      </c>
      <c r="G2312" t="s">
        <v>137</v>
      </c>
      <c r="H2312" t="s">
        <v>311</v>
      </c>
      <c r="I2312" t="s">
        <v>151</v>
      </c>
      <c r="J2312" t="s">
        <v>333</v>
      </c>
      <c r="K2312" t="s">
        <v>709</v>
      </c>
      <c r="L2312">
        <v>6</v>
      </c>
      <c r="M2312" s="5">
        <v>469.45</v>
      </c>
      <c r="N2312" s="6">
        <v>0</v>
      </c>
      <c r="O2312" s="5">
        <v>0</v>
      </c>
      <c r="P2312" s="5">
        <v>422.5</v>
      </c>
      <c r="Q2312" s="5">
        <v>2816.7</v>
      </c>
      <c r="R2312" s="5">
        <v>2109.78</v>
      </c>
      <c r="S2312" s="5">
        <v>706.92</v>
      </c>
      <c r="T2312" s="7">
        <v>0.250974544679945</v>
      </c>
      <c r="U2312" t="s">
        <v>10</v>
      </c>
      <c r="V2312" t="s">
        <v>50</v>
      </c>
      <c r="W2312" t="s">
        <v>50</v>
      </c>
      <c r="X2312" t="s">
        <v>34</v>
      </c>
      <c r="Y2312" t="s">
        <v>2618</v>
      </c>
      <c r="Z2312" t="s">
        <v>101</v>
      </c>
    </row>
    <row r="2313" spans="1:26">
      <c r="A2313" t="s">
        <v>4438</v>
      </c>
      <c r="B2313" t="s">
        <v>4438</v>
      </c>
      <c r="C2313" s="4">
        <v>46027</v>
      </c>
      <c r="D2313">
        <v>2026</v>
      </c>
      <c r="E2313">
        <v>1</v>
      </c>
      <c r="F2313" t="s">
        <v>30</v>
      </c>
      <c r="G2313" t="s">
        <v>82</v>
      </c>
      <c r="H2313" t="s">
        <v>646</v>
      </c>
      <c r="I2313" t="s">
        <v>797</v>
      </c>
      <c r="J2313" t="s">
        <v>41</v>
      </c>
      <c r="K2313" t="s">
        <v>588</v>
      </c>
      <c r="L2313">
        <v>6</v>
      </c>
      <c r="M2313" s="5">
        <v>493.69</v>
      </c>
      <c r="N2313" s="6">
        <v>0</v>
      </c>
      <c r="O2313" s="5">
        <v>0</v>
      </c>
      <c r="P2313" s="5">
        <v>444.32</v>
      </c>
      <c r="Q2313" s="5">
        <v>2962.14</v>
      </c>
      <c r="R2313" s="5">
        <v>2111.22</v>
      </c>
      <c r="S2313" s="5">
        <v>850.92</v>
      </c>
      <c r="T2313" s="7">
        <v>0.287265287933724</v>
      </c>
      <c r="U2313" t="s">
        <v>14</v>
      </c>
      <c r="V2313" t="s">
        <v>51</v>
      </c>
      <c r="W2313" t="s">
        <v>51</v>
      </c>
      <c r="X2313" t="s">
        <v>33</v>
      </c>
      <c r="Y2313" t="s">
        <v>1392</v>
      </c>
      <c r="Z2313" t="s">
        <v>101</v>
      </c>
    </row>
    <row r="2314" spans="1:26">
      <c r="A2314" t="s">
        <v>4439</v>
      </c>
      <c r="B2314" t="s">
        <v>4439</v>
      </c>
      <c r="C2314" s="4">
        <v>45995</v>
      </c>
      <c r="D2314">
        <v>2025</v>
      </c>
      <c r="E2314">
        <v>12</v>
      </c>
      <c r="F2314" t="s">
        <v>28</v>
      </c>
      <c r="G2314" t="s">
        <v>137</v>
      </c>
      <c r="H2314" t="s">
        <v>2727</v>
      </c>
      <c r="I2314" t="s">
        <v>225</v>
      </c>
      <c r="J2314" t="s">
        <v>240</v>
      </c>
      <c r="K2314" t="s">
        <v>2957</v>
      </c>
      <c r="L2314">
        <v>4</v>
      </c>
      <c r="M2314" s="5">
        <v>355.64</v>
      </c>
      <c r="N2314" s="6">
        <v>20</v>
      </c>
      <c r="O2314" s="5">
        <v>284.51</v>
      </c>
      <c r="P2314" s="5">
        <v>170.71</v>
      </c>
      <c r="Q2314" s="5">
        <v>1138.05</v>
      </c>
      <c r="R2314" s="5">
        <v>1213.64</v>
      </c>
      <c r="S2314" s="5">
        <v>-75.59</v>
      </c>
      <c r="T2314" s="7">
        <v>-0.0664206317824349</v>
      </c>
      <c r="U2314" t="s">
        <v>14</v>
      </c>
      <c r="V2314" t="s">
        <v>51</v>
      </c>
      <c r="W2314" t="s">
        <v>51</v>
      </c>
      <c r="X2314" t="s">
        <v>33</v>
      </c>
      <c r="Y2314" t="s">
        <v>956</v>
      </c>
      <c r="Z2314" t="s">
        <v>101</v>
      </c>
    </row>
    <row r="2315" spans="1:26">
      <c r="A2315" t="s">
        <v>4440</v>
      </c>
      <c r="B2315" t="s">
        <v>4440</v>
      </c>
      <c r="C2315" s="4">
        <v>45970</v>
      </c>
      <c r="D2315">
        <v>2025</v>
      </c>
      <c r="E2315">
        <v>11</v>
      </c>
      <c r="F2315" t="s">
        <v>27</v>
      </c>
      <c r="G2315" t="s">
        <v>137</v>
      </c>
      <c r="H2315" t="s">
        <v>552</v>
      </c>
      <c r="I2315" t="s">
        <v>553</v>
      </c>
      <c r="J2315" t="s">
        <v>240</v>
      </c>
      <c r="K2315" t="s">
        <v>2957</v>
      </c>
      <c r="L2315">
        <v>6</v>
      </c>
      <c r="M2315" s="5">
        <v>311.24</v>
      </c>
      <c r="N2315" s="6">
        <v>20</v>
      </c>
      <c r="O2315" s="5">
        <v>373.49</v>
      </c>
      <c r="P2315" s="5">
        <v>224.09</v>
      </c>
      <c r="Q2315" s="5">
        <v>1718.04</v>
      </c>
      <c r="R2315" s="5">
        <v>1522.2</v>
      </c>
      <c r="S2315" s="5">
        <v>195.84</v>
      </c>
      <c r="T2315" s="7">
        <v>0.113990361109171</v>
      </c>
      <c r="U2315" t="s">
        <v>14</v>
      </c>
      <c r="V2315" t="s">
        <v>50</v>
      </c>
      <c r="W2315" t="s">
        <v>50</v>
      </c>
      <c r="X2315" t="s">
        <v>33</v>
      </c>
      <c r="Y2315" t="s">
        <v>398</v>
      </c>
      <c r="Z2315" t="s">
        <v>80</v>
      </c>
    </row>
    <row r="2316" spans="1:26">
      <c r="A2316" t="s">
        <v>4441</v>
      </c>
      <c r="B2316" t="s">
        <v>4441</v>
      </c>
      <c r="C2316" s="4">
        <v>45927</v>
      </c>
      <c r="D2316">
        <v>2025</v>
      </c>
      <c r="E2316">
        <v>9</v>
      </c>
      <c r="F2316" t="s">
        <v>25</v>
      </c>
      <c r="G2316" t="s">
        <v>89</v>
      </c>
      <c r="H2316" t="s">
        <v>1207</v>
      </c>
      <c r="I2316" t="s">
        <v>190</v>
      </c>
      <c r="J2316" t="s">
        <v>2646</v>
      </c>
      <c r="K2316" t="s">
        <v>2647</v>
      </c>
      <c r="L2316">
        <v>7</v>
      </c>
      <c r="M2316" s="5">
        <v>479.24</v>
      </c>
      <c r="N2316" s="6">
        <v>0</v>
      </c>
      <c r="O2316" s="5">
        <v>0</v>
      </c>
      <c r="P2316" s="5">
        <v>503.2</v>
      </c>
      <c r="Q2316" s="5">
        <v>3857.88</v>
      </c>
      <c r="R2316" s="5">
        <v>1858.08</v>
      </c>
      <c r="S2316" s="5">
        <v>1999.8</v>
      </c>
      <c r="T2316" s="7">
        <v>0.518367600858503</v>
      </c>
      <c r="U2316" t="s">
        <v>12</v>
      </c>
      <c r="V2316" t="s">
        <v>50</v>
      </c>
      <c r="W2316" t="s">
        <v>50</v>
      </c>
      <c r="X2316" t="s">
        <v>33</v>
      </c>
      <c r="Y2316" t="s">
        <v>2565</v>
      </c>
      <c r="Z2316" t="s">
        <v>80</v>
      </c>
    </row>
    <row r="2317" spans="1:26">
      <c r="A2317" t="s">
        <v>4442</v>
      </c>
      <c r="B2317" t="s">
        <v>4442</v>
      </c>
      <c r="C2317" s="4">
        <v>45998</v>
      </c>
      <c r="D2317">
        <v>2025</v>
      </c>
      <c r="E2317">
        <v>12</v>
      </c>
      <c r="F2317" t="s">
        <v>28</v>
      </c>
      <c r="G2317" t="s">
        <v>137</v>
      </c>
      <c r="H2317" t="s">
        <v>927</v>
      </c>
      <c r="I2317" t="s">
        <v>947</v>
      </c>
      <c r="J2317" t="s">
        <v>1327</v>
      </c>
      <c r="K2317" t="s">
        <v>1259</v>
      </c>
      <c r="L2317">
        <v>1</v>
      </c>
      <c r="M2317" s="5">
        <v>464.41</v>
      </c>
      <c r="N2317" s="6">
        <v>0</v>
      </c>
      <c r="O2317" s="5">
        <v>0</v>
      </c>
      <c r="P2317" s="5">
        <v>69.66</v>
      </c>
      <c r="Q2317" s="5">
        <v>534.07</v>
      </c>
      <c r="R2317" s="5">
        <v>397.69</v>
      </c>
      <c r="S2317" s="5">
        <v>136.38</v>
      </c>
      <c r="T2317" s="7">
        <v>0.255359784297938</v>
      </c>
      <c r="U2317" t="s">
        <v>11</v>
      </c>
      <c r="V2317" t="s">
        <v>50</v>
      </c>
      <c r="W2317" t="s">
        <v>50</v>
      </c>
      <c r="X2317" t="s">
        <v>33</v>
      </c>
      <c r="Y2317" t="s">
        <v>2113</v>
      </c>
      <c r="Z2317" t="s">
        <v>80</v>
      </c>
    </row>
    <row r="2318" spans="1:26">
      <c r="A2318" t="s">
        <v>4443</v>
      </c>
      <c r="B2318" t="s">
        <v>4443</v>
      </c>
      <c r="C2318" s="4">
        <v>45781</v>
      </c>
      <c r="D2318">
        <v>2025</v>
      </c>
      <c r="E2318">
        <v>5</v>
      </c>
      <c r="F2318" t="s">
        <v>21</v>
      </c>
      <c r="G2318" t="s">
        <v>74</v>
      </c>
      <c r="H2318" t="s">
        <v>764</v>
      </c>
      <c r="I2318" t="s">
        <v>514</v>
      </c>
      <c r="J2318" t="s">
        <v>2513</v>
      </c>
      <c r="K2318" t="s">
        <v>1916</v>
      </c>
      <c r="L2318">
        <v>3</v>
      </c>
      <c r="M2318" s="5">
        <v>675.25</v>
      </c>
      <c r="N2318" s="6">
        <v>10</v>
      </c>
      <c r="O2318" s="5">
        <v>202.57</v>
      </c>
      <c r="P2318" s="5">
        <v>273.48</v>
      </c>
      <c r="Q2318" s="5">
        <v>2096.66</v>
      </c>
      <c r="R2318" s="5">
        <v>1030.95</v>
      </c>
      <c r="S2318" s="5">
        <v>1065.71</v>
      </c>
      <c r="T2318" s="7">
        <v>0.508289374529013</v>
      </c>
      <c r="U2318" t="s">
        <v>14</v>
      </c>
      <c r="V2318" t="s">
        <v>50</v>
      </c>
      <c r="W2318" t="s">
        <v>50</v>
      </c>
      <c r="X2318" t="s">
        <v>35</v>
      </c>
      <c r="Y2318" t="s">
        <v>555</v>
      </c>
      <c r="Z2318" t="s">
        <v>80</v>
      </c>
    </row>
    <row r="2319" spans="1:26">
      <c r="A2319" t="s">
        <v>4444</v>
      </c>
      <c r="B2319" t="s">
        <v>4444</v>
      </c>
      <c r="C2319" s="4">
        <v>45891</v>
      </c>
      <c r="D2319">
        <v>2025</v>
      </c>
      <c r="E2319">
        <v>8</v>
      </c>
      <c r="F2319" t="s">
        <v>24</v>
      </c>
      <c r="G2319" t="s">
        <v>89</v>
      </c>
      <c r="H2319" t="s">
        <v>316</v>
      </c>
      <c r="I2319" t="s">
        <v>924</v>
      </c>
      <c r="J2319" t="s">
        <v>1377</v>
      </c>
      <c r="K2319" t="s">
        <v>2036</v>
      </c>
      <c r="L2319">
        <v>1</v>
      </c>
      <c r="M2319" s="5">
        <v>262.77</v>
      </c>
      <c r="N2319" s="6">
        <v>20</v>
      </c>
      <c r="O2319" s="5">
        <v>52.55</v>
      </c>
      <c r="P2319" s="5">
        <v>31.53</v>
      </c>
      <c r="Q2319" s="5">
        <v>210.22</v>
      </c>
      <c r="R2319" s="5">
        <v>194.64</v>
      </c>
      <c r="S2319" s="5">
        <v>15.58</v>
      </c>
      <c r="T2319" s="7">
        <v>0.0741128341737228</v>
      </c>
      <c r="U2319" t="s">
        <v>10</v>
      </c>
      <c r="V2319" t="s">
        <v>50</v>
      </c>
      <c r="W2319" t="s">
        <v>50</v>
      </c>
      <c r="X2319" t="s">
        <v>33</v>
      </c>
      <c r="Y2319" t="s">
        <v>879</v>
      </c>
      <c r="Z2319" t="s">
        <v>101</v>
      </c>
    </row>
    <row r="2320" spans="1:26">
      <c r="A2320" t="s">
        <v>4445</v>
      </c>
      <c r="B2320" t="s">
        <v>4445</v>
      </c>
      <c r="C2320" s="4">
        <v>45925</v>
      </c>
      <c r="D2320">
        <v>2025</v>
      </c>
      <c r="E2320">
        <v>9</v>
      </c>
      <c r="F2320" t="s">
        <v>25</v>
      </c>
      <c r="G2320" t="s">
        <v>89</v>
      </c>
      <c r="H2320" t="s">
        <v>597</v>
      </c>
      <c r="I2320" t="s">
        <v>547</v>
      </c>
      <c r="J2320" t="s">
        <v>318</v>
      </c>
      <c r="K2320" t="s">
        <v>3153</v>
      </c>
      <c r="L2320">
        <v>2</v>
      </c>
      <c r="M2320" s="5">
        <v>503.36</v>
      </c>
      <c r="N2320" s="6">
        <v>10</v>
      </c>
      <c r="O2320" s="5">
        <v>100.67</v>
      </c>
      <c r="P2320" s="5">
        <v>135.91</v>
      </c>
      <c r="Q2320" s="5">
        <v>906.05</v>
      </c>
      <c r="R2320" s="5">
        <v>779.6</v>
      </c>
      <c r="S2320" s="5">
        <v>126.45</v>
      </c>
      <c r="T2320" s="7">
        <v>0.139561834335854</v>
      </c>
      <c r="U2320" t="s">
        <v>12</v>
      </c>
      <c r="V2320" t="s">
        <v>50</v>
      </c>
      <c r="W2320" t="s">
        <v>50</v>
      </c>
      <c r="X2320" t="s">
        <v>33</v>
      </c>
      <c r="Y2320" t="s">
        <v>1231</v>
      </c>
      <c r="Z2320" t="s">
        <v>101</v>
      </c>
    </row>
    <row r="2321" spans="1:26">
      <c r="A2321" t="s">
        <v>4446</v>
      </c>
      <c r="B2321" t="s">
        <v>4446</v>
      </c>
      <c r="C2321" s="4">
        <v>46018</v>
      </c>
      <c r="D2321">
        <v>2025</v>
      </c>
      <c r="E2321">
        <v>12</v>
      </c>
      <c r="F2321" t="s">
        <v>28</v>
      </c>
      <c r="G2321" t="s">
        <v>137</v>
      </c>
      <c r="H2321" t="s">
        <v>1529</v>
      </c>
      <c r="I2321" t="s">
        <v>844</v>
      </c>
      <c r="J2321" t="s">
        <v>1485</v>
      </c>
      <c r="K2321" t="s">
        <v>3122</v>
      </c>
      <c r="L2321">
        <v>2</v>
      </c>
      <c r="M2321" s="5">
        <v>298.68</v>
      </c>
      <c r="N2321" s="6">
        <v>20</v>
      </c>
      <c r="O2321" s="5">
        <v>119.47</v>
      </c>
      <c r="P2321" s="5">
        <v>71.68</v>
      </c>
      <c r="Q2321" s="5">
        <v>549.57</v>
      </c>
      <c r="R2321" s="5">
        <v>501.38</v>
      </c>
      <c r="S2321" s="5">
        <v>48.19</v>
      </c>
      <c r="T2321" s="7">
        <v>0.0876867369033972</v>
      </c>
      <c r="U2321" t="s">
        <v>14</v>
      </c>
      <c r="V2321" t="s">
        <v>50</v>
      </c>
      <c r="W2321" t="s">
        <v>50</v>
      </c>
      <c r="X2321" t="s">
        <v>34</v>
      </c>
      <c r="Y2321" t="s">
        <v>2522</v>
      </c>
      <c r="Z2321" t="s">
        <v>80</v>
      </c>
    </row>
    <row r="2322" spans="1:26">
      <c r="A2322" t="s">
        <v>4447</v>
      </c>
      <c r="B2322" t="s">
        <v>4447</v>
      </c>
      <c r="C2322" s="4">
        <v>45919</v>
      </c>
      <c r="D2322">
        <v>2025</v>
      </c>
      <c r="E2322">
        <v>9</v>
      </c>
      <c r="F2322" t="s">
        <v>25</v>
      </c>
      <c r="G2322" t="s">
        <v>89</v>
      </c>
      <c r="H2322" t="s">
        <v>1786</v>
      </c>
      <c r="I2322" t="s">
        <v>1196</v>
      </c>
      <c r="J2322" t="s">
        <v>837</v>
      </c>
      <c r="K2322" t="s">
        <v>287</v>
      </c>
      <c r="L2322">
        <v>6</v>
      </c>
      <c r="M2322" s="5">
        <v>159.91</v>
      </c>
      <c r="N2322" s="6">
        <v>10</v>
      </c>
      <c r="O2322" s="5">
        <v>95.95</v>
      </c>
      <c r="P2322" s="5">
        <v>129.53</v>
      </c>
      <c r="Q2322" s="5">
        <v>863.51</v>
      </c>
      <c r="R2322" s="5">
        <v>655.26</v>
      </c>
      <c r="S2322" s="5">
        <v>208.25</v>
      </c>
      <c r="T2322" s="7">
        <v>0.241166865467684</v>
      </c>
      <c r="U2322" t="s">
        <v>13</v>
      </c>
      <c r="V2322" t="s">
        <v>50</v>
      </c>
      <c r="W2322" t="s">
        <v>50</v>
      </c>
      <c r="X2322" t="s">
        <v>33</v>
      </c>
      <c r="Y2322" t="s">
        <v>1815</v>
      </c>
      <c r="Z2322" t="s">
        <v>101</v>
      </c>
    </row>
    <row r="2323" spans="1:26">
      <c r="A2323" t="s">
        <v>4448</v>
      </c>
      <c r="B2323" t="s">
        <v>4448</v>
      </c>
      <c r="C2323" s="4">
        <v>45998</v>
      </c>
      <c r="D2323">
        <v>2025</v>
      </c>
      <c r="E2323">
        <v>12</v>
      </c>
      <c r="F2323" t="s">
        <v>28</v>
      </c>
      <c r="G2323" t="s">
        <v>137</v>
      </c>
      <c r="H2323" t="s">
        <v>4107</v>
      </c>
      <c r="I2323" t="s">
        <v>110</v>
      </c>
      <c r="J2323" t="s">
        <v>246</v>
      </c>
      <c r="K2323" t="s">
        <v>736</v>
      </c>
      <c r="L2323">
        <v>5</v>
      </c>
      <c r="M2323" s="5">
        <v>342.46</v>
      </c>
      <c r="N2323" s="6">
        <v>20</v>
      </c>
      <c r="O2323" s="5">
        <v>342.46</v>
      </c>
      <c r="P2323" s="5">
        <v>205.48</v>
      </c>
      <c r="Q2323" s="5">
        <v>1575.32</v>
      </c>
      <c r="R2323" s="5">
        <v>1358.9</v>
      </c>
      <c r="S2323" s="5">
        <v>216.42</v>
      </c>
      <c r="T2323" s="7">
        <v>0.137381611355153</v>
      </c>
      <c r="U2323" t="s">
        <v>14</v>
      </c>
      <c r="V2323" t="s">
        <v>50</v>
      </c>
      <c r="W2323" t="s">
        <v>50</v>
      </c>
      <c r="X2323" t="s">
        <v>35</v>
      </c>
      <c r="Y2323" t="s">
        <v>1914</v>
      </c>
      <c r="Z2323" t="s">
        <v>80</v>
      </c>
    </row>
    <row r="2324" spans="1:26">
      <c r="A2324" t="s">
        <v>4449</v>
      </c>
      <c r="B2324" t="s">
        <v>4449</v>
      </c>
      <c r="C2324" s="4">
        <v>45899</v>
      </c>
      <c r="D2324">
        <v>2025</v>
      </c>
      <c r="E2324">
        <v>8</v>
      </c>
      <c r="F2324" t="s">
        <v>24</v>
      </c>
      <c r="G2324" t="s">
        <v>89</v>
      </c>
      <c r="H2324" t="s">
        <v>2698</v>
      </c>
      <c r="I2324" t="s">
        <v>547</v>
      </c>
      <c r="J2324" t="s">
        <v>1940</v>
      </c>
      <c r="K2324" t="s">
        <v>1869</v>
      </c>
      <c r="L2324">
        <v>5</v>
      </c>
      <c r="M2324" s="5">
        <v>545.58</v>
      </c>
      <c r="N2324" s="6">
        <v>10</v>
      </c>
      <c r="O2324" s="5">
        <v>272.79</v>
      </c>
      <c r="P2324" s="5">
        <v>368.27</v>
      </c>
      <c r="Q2324" s="5">
        <v>2823.38</v>
      </c>
      <c r="R2324" s="5">
        <v>1949</v>
      </c>
      <c r="S2324" s="5">
        <v>874.38</v>
      </c>
      <c r="T2324" s="7">
        <v>0.309692637902089</v>
      </c>
      <c r="U2324" t="s">
        <v>11</v>
      </c>
      <c r="V2324" t="s">
        <v>50</v>
      </c>
      <c r="W2324" t="s">
        <v>50</v>
      </c>
      <c r="X2324" t="s">
        <v>33</v>
      </c>
      <c r="Y2324" t="s">
        <v>325</v>
      </c>
      <c r="Z2324" t="s">
        <v>80</v>
      </c>
    </row>
    <row r="2325" spans="1:26">
      <c r="A2325" t="s">
        <v>4450</v>
      </c>
      <c r="B2325" t="s">
        <v>4450</v>
      </c>
      <c r="C2325" s="4">
        <v>45976</v>
      </c>
      <c r="D2325">
        <v>2025</v>
      </c>
      <c r="E2325">
        <v>11</v>
      </c>
      <c r="F2325" t="s">
        <v>27</v>
      </c>
      <c r="G2325" t="s">
        <v>137</v>
      </c>
      <c r="H2325" t="s">
        <v>2360</v>
      </c>
      <c r="I2325" t="s">
        <v>1714</v>
      </c>
      <c r="J2325" t="s">
        <v>906</v>
      </c>
      <c r="K2325" t="s">
        <v>2912</v>
      </c>
      <c r="L2325">
        <v>4</v>
      </c>
      <c r="M2325" s="5">
        <v>342.27</v>
      </c>
      <c r="N2325" s="6">
        <v>5</v>
      </c>
      <c r="O2325" s="5">
        <v>68.45</v>
      </c>
      <c r="P2325" s="5">
        <v>195.09</v>
      </c>
      <c r="Q2325" s="5">
        <v>1495.72</v>
      </c>
      <c r="R2325" s="5">
        <v>1064.4</v>
      </c>
      <c r="S2325" s="5">
        <v>431.32</v>
      </c>
      <c r="T2325" s="7">
        <v>0.288369480918888</v>
      </c>
      <c r="U2325" t="s">
        <v>13</v>
      </c>
      <c r="V2325" t="s">
        <v>50</v>
      </c>
      <c r="W2325" t="s">
        <v>50</v>
      </c>
      <c r="X2325" t="s">
        <v>33</v>
      </c>
      <c r="Y2325" t="s">
        <v>2514</v>
      </c>
      <c r="Z2325" t="s">
        <v>80</v>
      </c>
    </row>
    <row r="2326" spans="1:26">
      <c r="A2326" t="s">
        <v>4451</v>
      </c>
      <c r="B2326" t="s">
        <v>4451</v>
      </c>
      <c r="C2326" s="4">
        <v>45902</v>
      </c>
      <c r="D2326">
        <v>2025</v>
      </c>
      <c r="E2326">
        <v>9</v>
      </c>
      <c r="F2326" t="s">
        <v>25</v>
      </c>
      <c r="G2326" t="s">
        <v>89</v>
      </c>
      <c r="H2326" t="s">
        <v>2320</v>
      </c>
      <c r="I2326" t="s">
        <v>279</v>
      </c>
      <c r="J2326" t="s">
        <v>1450</v>
      </c>
      <c r="K2326" t="s">
        <v>2838</v>
      </c>
      <c r="L2326">
        <v>4</v>
      </c>
      <c r="M2326" s="5">
        <v>418.79</v>
      </c>
      <c r="N2326" s="6">
        <v>0</v>
      </c>
      <c r="O2326" s="5">
        <v>0</v>
      </c>
      <c r="P2326" s="5">
        <v>251.27</v>
      </c>
      <c r="Q2326" s="5">
        <v>1675.16</v>
      </c>
      <c r="R2326" s="5">
        <v>1235.76</v>
      </c>
      <c r="S2326" s="5">
        <v>439.4</v>
      </c>
      <c r="T2326" s="7">
        <v>0.262303302371117</v>
      </c>
      <c r="U2326" t="s">
        <v>13</v>
      </c>
      <c r="V2326" t="s">
        <v>50</v>
      </c>
      <c r="W2326" t="s">
        <v>50</v>
      </c>
      <c r="X2326" t="s">
        <v>33</v>
      </c>
      <c r="Y2326" t="s">
        <v>3537</v>
      </c>
      <c r="Z2326" t="s">
        <v>101</v>
      </c>
    </row>
    <row r="2327" spans="1:26">
      <c r="A2327" t="s">
        <v>4452</v>
      </c>
      <c r="B2327" t="s">
        <v>4452</v>
      </c>
      <c r="C2327" s="4">
        <v>45754</v>
      </c>
      <c r="D2327">
        <v>2025</v>
      </c>
      <c r="E2327">
        <v>4</v>
      </c>
      <c r="F2327" t="s">
        <v>20</v>
      </c>
      <c r="G2327" t="s">
        <v>74</v>
      </c>
      <c r="H2327" t="s">
        <v>195</v>
      </c>
      <c r="I2327" t="s">
        <v>470</v>
      </c>
      <c r="J2327" t="s">
        <v>158</v>
      </c>
      <c r="K2327" t="s">
        <v>1985</v>
      </c>
      <c r="L2327">
        <v>4</v>
      </c>
      <c r="M2327" s="5">
        <v>290.45</v>
      </c>
      <c r="N2327" s="6">
        <v>5</v>
      </c>
      <c r="O2327" s="5">
        <v>58.09</v>
      </c>
      <c r="P2327" s="5">
        <v>165.56</v>
      </c>
      <c r="Q2327" s="5">
        <v>1103.71</v>
      </c>
      <c r="R2327" s="5">
        <v>951.56</v>
      </c>
      <c r="S2327" s="5">
        <v>152.15</v>
      </c>
      <c r="T2327" s="7">
        <v>0.137853240434534</v>
      </c>
      <c r="U2327" t="s">
        <v>13</v>
      </c>
      <c r="V2327" t="s">
        <v>50</v>
      </c>
      <c r="W2327" t="s">
        <v>50</v>
      </c>
      <c r="X2327" t="s">
        <v>33</v>
      </c>
      <c r="Y2327" t="s">
        <v>2916</v>
      </c>
      <c r="Z2327" t="s">
        <v>101</v>
      </c>
    </row>
    <row r="2328" spans="1:26">
      <c r="A2328" t="s">
        <v>4453</v>
      </c>
      <c r="B2328" t="s">
        <v>4453</v>
      </c>
      <c r="C2328" s="4">
        <v>45882</v>
      </c>
      <c r="D2328">
        <v>2025</v>
      </c>
      <c r="E2328">
        <v>8</v>
      </c>
      <c r="F2328" t="s">
        <v>24</v>
      </c>
      <c r="G2328" t="s">
        <v>89</v>
      </c>
      <c r="H2328" t="s">
        <v>2476</v>
      </c>
      <c r="I2328" t="s">
        <v>350</v>
      </c>
      <c r="J2328" t="s">
        <v>919</v>
      </c>
      <c r="K2328" t="s">
        <v>920</v>
      </c>
      <c r="L2328">
        <v>4</v>
      </c>
      <c r="M2328" s="5">
        <v>343.56</v>
      </c>
      <c r="N2328" s="6">
        <v>0</v>
      </c>
      <c r="O2328" s="5">
        <v>0</v>
      </c>
      <c r="P2328" s="5">
        <v>206.14</v>
      </c>
      <c r="Q2328" s="5">
        <v>1374.24</v>
      </c>
      <c r="R2328" s="5">
        <v>865.28</v>
      </c>
      <c r="S2328" s="5">
        <v>508.96</v>
      </c>
      <c r="T2328" s="7">
        <v>0.370357433927116</v>
      </c>
      <c r="U2328" t="s">
        <v>10</v>
      </c>
      <c r="V2328" t="s">
        <v>50</v>
      </c>
      <c r="W2328" t="s">
        <v>50</v>
      </c>
      <c r="X2328" t="s">
        <v>33</v>
      </c>
      <c r="Y2328" t="s">
        <v>2672</v>
      </c>
      <c r="Z2328" t="s">
        <v>101</v>
      </c>
    </row>
    <row r="2329" spans="1:26">
      <c r="A2329" t="s">
        <v>4454</v>
      </c>
      <c r="B2329" t="s">
        <v>4454</v>
      </c>
      <c r="C2329" s="4">
        <v>45976</v>
      </c>
      <c r="D2329">
        <v>2025</v>
      </c>
      <c r="E2329">
        <v>11</v>
      </c>
      <c r="F2329" t="s">
        <v>27</v>
      </c>
      <c r="G2329" t="s">
        <v>137</v>
      </c>
      <c r="H2329" t="s">
        <v>4455</v>
      </c>
      <c r="I2329" t="s">
        <v>406</v>
      </c>
      <c r="J2329" t="s">
        <v>872</v>
      </c>
      <c r="K2329" t="s">
        <v>873</v>
      </c>
      <c r="L2329">
        <v>3</v>
      </c>
      <c r="M2329" s="5">
        <v>353.05</v>
      </c>
      <c r="N2329" s="6">
        <v>20</v>
      </c>
      <c r="O2329" s="5">
        <v>211.83</v>
      </c>
      <c r="P2329" s="5">
        <v>127.1</v>
      </c>
      <c r="Q2329" s="5">
        <v>974.42</v>
      </c>
      <c r="R2329" s="5">
        <v>788.4</v>
      </c>
      <c r="S2329" s="5">
        <v>186.02</v>
      </c>
      <c r="T2329" s="7">
        <v>0.190903306582377</v>
      </c>
      <c r="U2329" t="s">
        <v>11</v>
      </c>
      <c r="V2329" t="s">
        <v>50</v>
      </c>
      <c r="W2329" t="s">
        <v>50</v>
      </c>
      <c r="X2329" t="s">
        <v>34</v>
      </c>
      <c r="Y2329" t="s">
        <v>392</v>
      </c>
      <c r="Z2329" t="s">
        <v>80</v>
      </c>
    </row>
    <row r="2330" spans="1:26">
      <c r="A2330" t="s">
        <v>4456</v>
      </c>
      <c r="B2330" t="s">
        <v>4456</v>
      </c>
      <c r="C2330" s="4">
        <v>45966</v>
      </c>
      <c r="D2330">
        <v>2025</v>
      </c>
      <c r="E2330">
        <v>11</v>
      </c>
      <c r="F2330" t="s">
        <v>27</v>
      </c>
      <c r="G2330" t="s">
        <v>137</v>
      </c>
      <c r="H2330" t="s">
        <v>138</v>
      </c>
      <c r="I2330" t="s">
        <v>110</v>
      </c>
      <c r="J2330" t="s">
        <v>1940</v>
      </c>
      <c r="K2330" t="s">
        <v>1808</v>
      </c>
      <c r="L2330">
        <v>8</v>
      </c>
      <c r="M2330" s="5">
        <v>385.8</v>
      </c>
      <c r="N2330" s="6">
        <v>10</v>
      </c>
      <c r="O2330" s="5">
        <v>308.64</v>
      </c>
      <c r="P2330" s="5">
        <v>416.66</v>
      </c>
      <c r="Q2330" s="5">
        <v>2777.76</v>
      </c>
      <c r="R2330" s="5">
        <v>2174.24</v>
      </c>
      <c r="S2330" s="5">
        <v>603.52</v>
      </c>
      <c r="T2330" s="7">
        <v>0.217268590518979</v>
      </c>
      <c r="U2330" t="s">
        <v>12</v>
      </c>
      <c r="V2330" t="s">
        <v>50</v>
      </c>
      <c r="W2330" t="s">
        <v>50</v>
      </c>
      <c r="X2330" t="s">
        <v>35</v>
      </c>
      <c r="Y2330" t="s">
        <v>3229</v>
      </c>
      <c r="Z2330" t="s">
        <v>101</v>
      </c>
    </row>
    <row r="2331" spans="1:26">
      <c r="A2331" t="s">
        <v>4457</v>
      </c>
      <c r="B2331" t="s">
        <v>4457</v>
      </c>
      <c r="C2331" s="4">
        <v>45985</v>
      </c>
      <c r="D2331">
        <v>2025</v>
      </c>
      <c r="E2331">
        <v>11</v>
      </c>
      <c r="F2331" t="s">
        <v>27</v>
      </c>
      <c r="G2331" t="s">
        <v>137</v>
      </c>
      <c r="H2331" t="s">
        <v>1380</v>
      </c>
      <c r="I2331" t="s">
        <v>84</v>
      </c>
      <c r="J2331" t="s">
        <v>906</v>
      </c>
      <c r="K2331" t="s">
        <v>3311</v>
      </c>
      <c r="L2331">
        <v>2</v>
      </c>
      <c r="M2331" s="5">
        <v>448.94</v>
      </c>
      <c r="N2331" s="6">
        <v>20</v>
      </c>
      <c r="O2331" s="5">
        <v>179.58</v>
      </c>
      <c r="P2331" s="5">
        <v>107.74</v>
      </c>
      <c r="Q2331" s="5">
        <v>718.3</v>
      </c>
      <c r="R2331" s="5">
        <v>760.16</v>
      </c>
      <c r="S2331" s="5">
        <v>-41.86</v>
      </c>
      <c r="T2331" s="7">
        <v>-0.0582764861478491</v>
      </c>
      <c r="U2331" t="s">
        <v>10</v>
      </c>
      <c r="V2331" t="s">
        <v>50</v>
      </c>
      <c r="W2331" t="s">
        <v>50</v>
      </c>
      <c r="X2331" t="s">
        <v>33</v>
      </c>
      <c r="Y2331" t="s">
        <v>589</v>
      </c>
      <c r="Z2331" t="s">
        <v>101</v>
      </c>
    </row>
    <row r="2332" spans="1:26">
      <c r="A2332" t="s">
        <v>4458</v>
      </c>
      <c r="B2332" t="s">
        <v>4458</v>
      </c>
      <c r="C2332" s="4">
        <v>46038</v>
      </c>
      <c r="D2332">
        <v>2026</v>
      </c>
      <c r="E2332">
        <v>1</v>
      </c>
      <c r="F2332" t="s">
        <v>30</v>
      </c>
      <c r="G2332" t="s">
        <v>82</v>
      </c>
      <c r="H2332" t="s">
        <v>373</v>
      </c>
      <c r="I2332" t="s">
        <v>362</v>
      </c>
      <c r="J2332" t="s">
        <v>1201</v>
      </c>
      <c r="K2332" t="s">
        <v>1234</v>
      </c>
      <c r="L2332">
        <v>8</v>
      </c>
      <c r="M2332" s="5">
        <v>347.9</v>
      </c>
      <c r="N2332" s="6">
        <v>15</v>
      </c>
      <c r="O2332" s="5">
        <v>417.48</v>
      </c>
      <c r="P2332" s="5">
        <v>354.86</v>
      </c>
      <c r="Q2332" s="5">
        <v>2365.72</v>
      </c>
      <c r="R2332" s="5">
        <v>1978</v>
      </c>
      <c r="S2332" s="5">
        <v>387.72</v>
      </c>
      <c r="T2332" s="7">
        <v>0.163890908476066</v>
      </c>
      <c r="U2332" t="s">
        <v>13</v>
      </c>
      <c r="V2332" t="s">
        <v>50</v>
      </c>
      <c r="W2332" t="s">
        <v>50</v>
      </c>
      <c r="X2332" t="s">
        <v>35</v>
      </c>
      <c r="Y2332" t="s">
        <v>2934</v>
      </c>
      <c r="Z2332" t="s">
        <v>101</v>
      </c>
    </row>
    <row r="2333" spans="1:26">
      <c r="A2333" t="s">
        <v>4459</v>
      </c>
      <c r="B2333" t="s">
        <v>4023</v>
      </c>
      <c r="C2333" s="4">
        <v>45903</v>
      </c>
      <c r="D2333">
        <v>2025</v>
      </c>
      <c r="E2333">
        <v>9</v>
      </c>
      <c r="F2333" t="s">
        <v>25</v>
      </c>
      <c r="G2333" t="s">
        <v>89</v>
      </c>
      <c r="H2333" t="s">
        <v>1522</v>
      </c>
      <c r="I2333" t="s">
        <v>290</v>
      </c>
      <c r="J2333" t="s">
        <v>445</v>
      </c>
      <c r="K2333" t="s">
        <v>1410</v>
      </c>
      <c r="L2333">
        <v>2</v>
      </c>
      <c r="M2333" s="5">
        <v>80.5</v>
      </c>
      <c r="N2333" s="6">
        <v>0</v>
      </c>
      <c r="O2333" s="5">
        <v>0</v>
      </c>
      <c r="P2333" s="5">
        <v>24.15</v>
      </c>
      <c r="Q2333" s="5">
        <v>161</v>
      </c>
      <c r="R2333" s="5">
        <v>124.5</v>
      </c>
      <c r="S2333" s="5">
        <v>36.5</v>
      </c>
      <c r="T2333" s="7">
        <v>0.226708074534162</v>
      </c>
      <c r="U2333" t="s">
        <v>13</v>
      </c>
      <c r="V2333" t="s">
        <v>50</v>
      </c>
      <c r="W2333" t="s">
        <v>50</v>
      </c>
      <c r="X2333" t="s">
        <v>33</v>
      </c>
      <c r="Y2333" t="s">
        <v>2963</v>
      </c>
      <c r="Z2333" t="s">
        <v>101</v>
      </c>
    </row>
    <row r="2334" spans="1:26">
      <c r="A2334" t="s">
        <v>4460</v>
      </c>
      <c r="B2334" t="s">
        <v>4460</v>
      </c>
      <c r="C2334" s="4">
        <v>45954</v>
      </c>
      <c r="D2334">
        <v>2025</v>
      </c>
      <c r="E2334">
        <v>10</v>
      </c>
      <c r="F2334" t="s">
        <v>26</v>
      </c>
      <c r="G2334" t="s">
        <v>137</v>
      </c>
      <c r="H2334" t="s">
        <v>982</v>
      </c>
      <c r="I2334" t="s">
        <v>1343</v>
      </c>
      <c r="J2334" t="s">
        <v>43</v>
      </c>
      <c r="K2334" t="s">
        <v>934</v>
      </c>
      <c r="L2334">
        <v>3</v>
      </c>
      <c r="M2334" s="5">
        <v>490.22</v>
      </c>
      <c r="N2334" s="6">
        <v>5</v>
      </c>
      <c r="O2334" s="5">
        <v>73.53</v>
      </c>
      <c r="P2334" s="5">
        <v>209.57</v>
      </c>
      <c r="Q2334" s="5">
        <v>1397.13</v>
      </c>
      <c r="R2334" s="5">
        <v>1120.74</v>
      </c>
      <c r="S2334" s="5">
        <v>276.39</v>
      </c>
      <c r="T2334" s="7">
        <v>0.197826973867858</v>
      </c>
      <c r="U2334" t="s">
        <v>10</v>
      </c>
      <c r="V2334" t="s">
        <v>50</v>
      </c>
      <c r="W2334" t="s">
        <v>50</v>
      </c>
      <c r="X2334" t="s">
        <v>35</v>
      </c>
      <c r="Y2334" t="s">
        <v>3118</v>
      </c>
      <c r="Z2334" t="s">
        <v>101</v>
      </c>
    </row>
    <row r="2335" spans="1:26">
      <c r="A2335" t="s">
        <v>4461</v>
      </c>
      <c r="B2335" t="s">
        <v>4461</v>
      </c>
      <c r="C2335" s="4">
        <v>45996</v>
      </c>
      <c r="D2335">
        <v>2025</v>
      </c>
      <c r="E2335">
        <v>12</v>
      </c>
      <c r="F2335" t="s">
        <v>28</v>
      </c>
      <c r="G2335" t="s">
        <v>137</v>
      </c>
      <c r="H2335" t="s">
        <v>1089</v>
      </c>
      <c r="I2335" t="s">
        <v>350</v>
      </c>
      <c r="J2335" t="s">
        <v>38</v>
      </c>
      <c r="K2335" t="s">
        <v>236</v>
      </c>
      <c r="L2335">
        <v>3</v>
      </c>
      <c r="M2335" s="5">
        <v>343.56</v>
      </c>
      <c r="N2335" s="6">
        <v>20</v>
      </c>
      <c r="O2335" s="5">
        <v>206.14</v>
      </c>
      <c r="P2335" s="5">
        <v>123.68</v>
      </c>
      <c r="Q2335" s="5">
        <v>824.54</v>
      </c>
      <c r="R2335" s="5">
        <v>648.96</v>
      </c>
      <c r="S2335" s="5">
        <v>175.58</v>
      </c>
      <c r="T2335" s="7">
        <v>0.212942974264438</v>
      </c>
      <c r="U2335" t="s">
        <v>11</v>
      </c>
      <c r="V2335" t="s">
        <v>50</v>
      </c>
      <c r="W2335" t="s">
        <v>50</v>
      </c>
      <c r="X2335" t="s">
        <v>35</v>
      </c>
      <c r="Y2335" t="s">
        <v>1872</v>
      </c>
      <c r="Z2335" t="s">
        <v>101</v>
      </c>
    </row>
    <row r="2336" spans="1:26">
      <c r="A2336" t="s">
        <v>4462</v>
      </c>
      <c r="B2336" t="s">
        <v>4462</v>
      </c>
      <c r="C2336" s="4">
        <v>45928</v>
      </c>
      <c r="D2336">
        <v>2025</v>
      </c>
      <c r="E2336">
        <v>9</v>
      </c>
      <c r="F2336" t="s">
        <v>25</v>
      </c>
      <c r="G2336" t="s">
        <v>89</v>
      </c>
      <c r="H2336" t="s">
        <v>777</v>
      </c>
      <c r="I2336" t="s">
        <v>225</v>
      </c>
      <c r="J2336" t="s">
        <v>1440</v>
      </c>
      <c r="K2336" t="s">
        <v>1441</v>
      </c>
      <c r="L2336">
        <v>2</v>
      </c>
      <c r="M2336" s="5">
        <v>355.64</v>
      </c>
      <c r="N2336" s="6">
        <v>5</v>
      </c>
      <c r="O2336" s="5">
        <v>35.56</v>
      </c>
      <c r="P2336" s="5">
        <v>101.36</v>
      </c>
      <c r="Q2336" s="5">
        <v>777.08</v>
      </c>
      <c r="R2336" s="5">
        <v>606.82</v>
      </c>
      <c r="S2336" s="5">
        <v>170.26</v>
      </c>
      <c r="T2336" s="7">
        <v>0.219102280331497</v>
      </c>
      <c r="U2336" t="s">
        <v>9</v>
      </c>
      <c r="V2336" t="s">
        <v>50</v>
      </c>
      <c r="W2336" t="s">
        <v>50</v>
      </c>
      <c r="X2336" t="s">
        <v>33</v>
      </c>
      <c r="Y2336" t="s">
        <v>4463</v>
      </c>
      <c r="Z2336" t="s">
        <v>80</v>
      </c>
    </row>
    <row r="2337" spans="1:26">
      <c r="A2337" t="s">
        <v>4464</v>
      </c>
      <c r="B2337" t="s">
        <v>4464</v>
      </c>
      <c r="C2337" s="4">
        <v>46010</v>
      </c>
      <c r="D2337">
        <v>2025</v>
      </c>
      <c r="E2337">
        <v>12</v>
      </c>
      <c r="F2337" t="s">
        <v>28</v>
      </c>
      <c r="G2337" t="s">
        <v>137</v>
      </c>
      <c r="H2337" t="s">
        <v>3092</v>
      </c>
      <c r="I2337" t="s">
        <v>384</v>
      </c>
      <c r="J2337" t="s">
        <v>894</v>
      </c>
      <c r="K2337" t="s">
        <v>1038</v>
      </c>
      <c r="L2337">
        <v>3</v>
      </c>
      <c r="M2337" s="5">
        <v>186.38</v>
      </c>
      <c r="N2337" s="6">
        <v>5</v>
      </c>
      <c r="O2337" s="5">
        <v>27.96</v>
      </c>
      <c r="P2337" s="5">
        <v>79.68</v>
      </c>
      <c r="Q2337" s="5">
        <v>531.18</v>
      </c>
      <c r="R2337" s="5">
        <v>406.98</v>
      </c>
      <c r="S2337" s="5">
        <v>124.2</v>
      </c>
      <c r="T2337" s="7">
        <v>0.233819044391732</v>
      </c>
      <c r="U2337" t="s">
        <v>13</v>
      </c>
      <c r="V2337" t="s">
        <v>50</v>
      </c>
      <c r="W2337" t="s">
        <v>50</v>
      </c>
      <c r="X2337" t="s">
        <v>33</v>
      </c>
      <c r="Y2337" t="s">
        <v>753</v>
      </c>
      <c r="Z2337" t="s">
        <v>101</v>
      </c>
    </row>
    <row r="2338" spans="1:26">
      <c r="A2338" t="s">
        <v>4465</v>
      </c>
      <c r="B2338" t="s">
        <v>4465</v>
      </c>
      <c r="C2338" s="4">
        <v>45982</v>
      </c>
      <c r="D2338">
        <v>2025</v>
      </c>
      <c r="E2338">
        <v>11</v>
      </c>
      <c r="F2338" t="s">
        <v>27</v>
      </c>
      <c r="G2338" t="s">
        <v>137</v>
      </c>
      <c r="H2338" t="s">
        <v>2222</v>
      </c>
      <c r="I2338" t="s">
        <v>104</v>
      </c>
      <c r="J2338" t="s">
        <v>40</v>
      </c>
      <c r="K2338" t="s">
        <v>426</v>
      </c>
      <c r="L2338">
        <v>4</v>
      </c>
      <c r="M2338" s="5">
        <v>313.47</v>
      </c>
      <c r="N2338" s="6">
        <v>10</v>
      </c>
      <c r="O2338" s="5">
        <v>125.39</v>
      </c>
      <c r="P2338" s="5">
        <v>169.27</v>
      </c>
      <c r="Q2338" s="5">
        <v>1128.49</v>
      </c>
      <c r="R2338" s="5">
        <v>984.48</v>
      </c>
      <c r="S2338" s="5">
        <v>144.01</v>
      </c>
      <c r="T2338" s="7">
        <v>0.127613004988967</v>
      </c>
      <c r="U2338" t="s">
        <v>13</v>
      </c>
      <c r="V2338" t="s">
        <v>50</v>
      </c>
      <c r="W2338" t="s">
        <v>50</v>
      </c>
      <c r="X2338" t="s">
        <v>33</v>
      </c>
      <c r="Y2338" t="s">
        <v>385</v>
      </c>
      <c r="Z2338" t="s">
        <v>101</v>
      </c>
    </row>
    <row r="2339" spans="1:26">
      <c r="A2339" t="s">
        <v>4466</v>
      </c>
      <c r="B2339" t="s">
        <v>4466</v>
      </c>
      <c r="C2339" s="4">
        <v>45875</v>
      </c>
      <c r="D2339">
        <v>2025</v>
      </c>
      <c r="E2339">
        <v>8</v>
      </c>
      <c r="F2339" t="s">
        <v>24</v>
      </c>
      <c r="G2339" t="s">
        <v>89</v>
      </c>
      <c r="H2339" t="s">
        <v>2713</v>
      </c>
      <c r="I2339" t="s">
        <v>196</v>
      </c>
      <c r="J2339" t="s">
        <v>1014</v>
      </c>
      <c r="K2339" t="s">
        <v>1015</v>
      </c>
      <c r="L2339">
        <v>5</v>
      </c>
      <c r="M2339" s="5">
        <v>337.24</v>
      </c>
      <c r="N2339" s="6">
        <v>20</v>
      </c>
      <c r="O2339" s="5">
        <v>337.24</v>
      </c>
      <c r="P2339" s="5">
        <v>202.34</v>
      </c>
      <c r="Q2339" s="5">
        <v>1348.96</v>
      </c>
      <c r="R2339" s="5">
        <v>1306.1</v>
      </c>
      <c r="S2339" s="5">
        <v>42.86</v>
      </c>
      <c r="T2339" s="7">
        <v>0.0317726248369114</v>
      </c>
      <c r="U2339" t="s">
        <v>14</v>
      </c>
      <c r="V2339" t="s">
        <v>50</v>
      </c>
      <c r="W2339" t="s">
        <v>50</v>
      </c>
      <c r="X2339" t="s">
        <v>34</v>
      </c>
      <c r="Y2339" t="s">
        <v>2435</v>
      </c>
      <c r="Z2339" t="s">
        <v>101</v>
      </c>
    </row>
    <row r="2340" spans="1:26">
      <c r="A2340" t="s">
        <v>4467</v>
      </c>
      <c r="B2340" t="s">
        <v>4467</v>
      </c>
      <c r="C2340" s="4">
        <v>45775</v>
      </c>
      <c r="D2340">
        <v>2025</v>
      </c>
      <c r="E2340">
        <v>4</v>
      </c>
      <c r="F2340" t="s">
        <v>20</v>
      </c>
      <c r="G2340" t="s">
        <v>74</v>
      </c>
      <c r="H2340" t="s">
        <v>367</v>
      </c>
      <c r="I2340" t="s">
        <v>91</v>
      </c>
      <c r="J2340" t="s">
        <v>746</v>
      </c>
      <c r="K2340" t="s">
        <v>1664</v>
      </c>
      <c r="L2340">
        <v>6</v>
      </c>
      <c r="M2340" s="5">
        <v>241.39</v>
      </c>
      <c r="N2340" s="6">
        <v>0</v>
      </c>
      <c r="O2340" s="5">
        <v>0</v>
      </c>
      <c r="P2340" s="5">
        <v>217.25</v>
      </c>
      <c r="Q2340" s="5">
        <v>1448.34</v>
      </c>
      <c r="R2340" s="5">
        <v>1279.38</v>
      </c>
      <c r="S2340" s="5">
        <v>168.96</v>
      </c>
      <c r="T2340" s="7">
        <v>0.11665769087369</v>
      </c>
      <c r="U2340" t="s">
        <v>14</v>
      </c>
      <c r="V2340" t="s">
        <v>50</v>
      </c>
      <c r="W2340" t="s">
        <v>50</v>
      </c>
      <c r="X2340" t="s">
        <v>35</v>
      </c>
      <c r="Y2340" t="s">
        <v>2267</v>
      </c>
      <c r="Z2340" t="s">
        <v>101</v>
      </c>
    </row>
    <row r="2341" spans="1:26">
      <c r="A2341" t="s">
        <v>4468</v>
      </c>
      <c r="B2341" t="s">
        <v>4468</v>
      </c>
      <c r="C2341" s="4">
        <v>45933</v>
      </c>
      <c r="D2341">
        <v>2025</v>
      </c>
      <c r="E2341">
        <v>10</v>
      </c>
      <c r="F2341" t="s">
        <v>26</v>
      </c>
      <c r="G2341" t="s">
        <v>137</v>
      </c>
      <c r="H2341" t="s">
        <v>3960</v>
      </c>
      <c r="I2341" t="s">
        <v>547</v>
      </c>
      <c r="J2341" t="s">
        <v>1072</v>
      </c>
      <c r="K2341" t="s">
        <v>2347</v>
      </c>
      <c r="L2341">
        <v>5</v>
      </c>
      <c r="M2341" s="5">
        <v>503.36</v>
      </c>
      <c r="N2341" s="6">
        <v>0</v>
      </c>
      <c r="O2341" s="5">
        <v>0</v>
      </c>
      <c r="P2341" s="5">
        <v>377.52</v>
      </c>
      <c r="Q2341" s="5">
        <v>2516.8</v>
      </c>
      <c r="R2341" s="5">
        <v>1949</v>
      </c>
      <c r="S2341" s="5">
        <v>567.8</v>
      </c>
      <c r="T2341" s="7">
        <v>0.225603941513032</v>
      </c>
      <c r="U2341" t="s">
        <v>11</v>
      </c>
      <c r="V2341" t="s">
        <v>50</v>
      </c>
      <c r="W2341" t="s">
        <v>50</v>
      </c>
      <c r="X2341" t="s">
        <v>33</v>
      </c>
      <c r="Y2341" t="s">
        <v>529</v>
      </c>
      <c r="Z2341" t="s">
        <v>101</v>
      </c>
    </row>
    <row r="2342" spans="1:26">
      <c r="A2342" t="s">
        <v>4469</v>
      </c>
      <c r="B2342" t="s">
        <v>4469</v>
      </c>
      <c r="C2342" s="4">
        <v>45912</v>
      </c>
      <c r="D2342">
        <v>2025</v>
      </c>
      <c r="E2342">
        <v>9</v>
      </c>
      <c r="F2342" t="s">
        <v>25</v>
      </c>
      <c r="G2342" t="s">
        <v>89</v>
      </c>
      <c r="H2342" t="s">
        <v>2668</v>
      </c>
      <c r="I2342" t="s">
        <v>219</v>
      </c>
      <c r="J2342" t="s">
        <v>460</v>
      </c>
      <c r="K2342" t="s">
        <v>1952</v>
      </c>
      <c r="L2342">
        <v>3</v>
      </c>
      <c r="M2342" s="5">
        <v>232.32</v>
      </c>
      <c r="N2342" s="6">
        <v>0</v>
      </c>
      <c r="O2342" s="5">
        <v>0</v>
      </c>
      <c r="P2342" s="5">
        <v>104.54</v>
      </c>
      <c r="Q2342" s="5">
        <v>696.96</v>
      </c>
      <c r="R2342" s="5">
        <v>572.7</v>
      </c>
      <c r="S2342" s="5">
        <v>124.26</v>
      </c>
      <c r="T2342" s="7">
        <v>0.178288567493113</v>
      </c>
      <c r="U2342" t="s">
        <v>12</v>
      </c>
      <c r="V2342" t="s">
        <v>50</v>
      </c>
      <c r="W2342" t="s">
        <v>50</v>
      </c>
      <c r="X2342" t="s">
        <v>33</v>
      </c>
      <c r="Y2342" t="s">
        <v>1941</v>
      </c>
      <c r="Z2342" t="s">
        <v>101</v>
      </c>
    </row>
    <row r="2343" spans="1:26">
      <c r="A2343" t="s">
        <v>4470</v>
      </c>
      <c r="B2343" t="s">
        <v>4470</v>
      </c>
      <c r="C2343" s="4">
        <v>46072</v>
      </c>
      <c r="D2343">
        <v>2026</v>
      </c>
      <c r="E2343">
        <v>2</v>
      </c>
      <c r="F2343" t="s">
        <v>31</v>
      </c>
      <c r="G2343" t="s">
        <v>82</v>
      </c>
      <c r="H2343" t="s">
        <v>256</v>
      </c>
      <c r="I2343" t="s">
        <v>928</v>
      </c>
      <c r="J2343" t="s">
        <v>770</v>
      </c>
      <c r="K2343" t="s">
        <v>771</v>
      </c>
      <c r="L2343">
        <v>7</v>
      </c>
      <c r="M2343" s="5">
        <v>266.15</v>
      </c>
      <c r="N2343" s="6">
        <v>0</v>
      </c>
      <c r="O2343" s="5">
        <v>0</v>
      </c>
      <c r="P2343" s="5">
        <v>279.46</v>
      </c>
      <c r="Q2343" s="5">
        <v>1863.05</v>
      </c>
      <c r="R2343" s="5">
        <v>1346.87</v>
      </c>
      <c r="S2343" s="5">
        <v>516.18</v>
      </c>
      <c r="T2343" s="7">
        <v>0.27706180725155</v>
      </c>
      <c r="U2343" t="s">
        <v>13</v>
      </c>
      <c r="V2343" t="s">
        <v>50</v>
      </c>
      <c r="W2343" t="s">
        <v>50</v>
      </c>
      <c r="X2343" t="s">
        <v>35</v>
      </c>
      <c r="Y2343" t="s">
        <v>381</v>
      </c>
      <c r="Z2343" t="s">
        <v>101</v>
      </c>
    </row>
    <row r="2344" spans="1:26">
      <c r="A2344" t="s">
        <v>4471</v>
      </c>
      <c r="B2344" t="s">
        <v>4471</v>
      </c>
      <c r="C2344" s="4">
        <v>45863</v>
      </c>
      <c r="D2344">
        <v>2025</v>
      </c>
      <c r="E2344">
        <v>7</v>
      </c>
      <c r="F2344" t="s">
        <v>23</v>
      </c>
      <c r="G2344" t="s">
        <v>89</v>
      </c>
      <c r="H2344" t="s">
        <v>521</v>
      </c>
      <c r="I2344" t="s">
        <v>1575</v>
      </c>
      <c r="J2344" t="s">
        <v>390</v>
      </c>
      <c r="K2344" t="s">
        <v>391</v>
      </c>
      <c r="L2344">
        <v>5</v>
      </c>
      <c r="M2344" s="5">
        <v>66.99</v>
      </c>
      <c r="N2344" s="6">
        <v>5</v>
      </c>
      <c r="O2344" s="5">
        <v>16.75</v>
      </c>
      <c r="P2344" s="5">
        <v>47.73</v>
      </c>
      <c r="Q2344" s="5">
        <v>318.2</v>
      </c>
      <c r="R2344" s="5">
        <v>249.95</v>
      </c>
      <c r="S2344" s="5">
        <v>68.25</v>
      </c>
      <c r="T2344" s="7">
        <v>0.214487743557511</v>
      </c>
      <c r="U2344" t="s">
        <v>10</v>
      </c>
      <c r="V2344" t="s">
        <v>50</v>
      </c>
      <c r="W2344" t="s">
        <v>50</v>
      </c>
      <c r="X2344" t="s">
        <v>33</v>
      </c>
      <c r="Y2344" t="s">
        <v>2486</v>
      </c>
      <c r="Z2344" t="s">
        <v>101</v>
      </c>
    </row>
    <row r="2345" spans="1:26">
      <c r="A2345" t="s">
        <v>4472</v>
      </c>
      <c r="B2345" t="s">
        <v>4472</v>
      </c>
      <c r="C2345" s="4">
        <v>45993</v>
      </c>
      <c r="D2345">
        <v>2025</v>
      </c>
      <c r="E2345">
        <v>12</v>
      </c>
      <c r="F2345" t="s">
        <v>28</v>
      </c>
      <c r="G2345" t="s">
        <v>137</v>
      </c>
      <c r="H2345" t="s">
        <v>1054</v>
      </c>
      <c r="I2345" t="s">
        <v>937</v>
      </c>
      <c r="J2345" t="s">
        <v>899</v>
      </c>
      <c r="K2345" t="s">
        <v>171</v>
      </c>
      <c r="L2345">
        <v>7</v>
      </c>
      <c r="M2345" s="5">
        <v>492.92</v>
      </c>
      <c r="N2345" s="6">
        <v>10</v>
      </c>
      <c r="O2345" s="5">
        <v>345.04</v>
      </c>
      <c r="P2345" s="5">
        <v>465.81</v>
      </c>
      <c r="Q2345" s="5"/>
      <c r="R2345" s="5">
        <v>2591.26</v>
      </c>
      <c r="S2345" s="5">
        <v>514.14</v>
      </c>
      <c r="T2345" s="7"/>
      <c r="U2345" t="s">
        <v>10</v>
      </c>
      <c r="V2345" t="s">
        <v>50</v>
      </c>
      <c r="W2345" t="s">
        <v>50</v>
      </c>
      <c r="X2345" t="s">
        <v>33</v>
      </c>
      <c r="Y2345" t="s">
        <v>1964</v>
      </c>
      <c r="Z2345" t="s">
        <v>101</v>
      </c>
    </row>
    <row r="2346" spans="1:26">
      <c r="A2346" t="s">
        <v>4473</v>
      </c>
      <c r="B2346" t="s">
        <v>4473</v>
      </c>
      <c r="C2346" s="4">
        <v>45943</v>
      </c>
      <c r="D2346">
        <v>2025</v>
      </c>
      <c r="E2346">
        <v>10</v>
      </c>
      <c r="F2346" t="s">
        <v>26</v>
      </c>
      <c r="G2346" t="s">
        <v>137</v>
      </c>
      <c r="H2346" t="s">
        <v>1745</v>
      </c>
      <c r="I2346" t="s">
        <v>1051</v>
      </c>
      <c r="J2346" t="s">
        <v>681</v>
      </c>
      <c r="K2346" t="s">
        <v>682</v>
      </c>
      <c r="L2346">
        <v>8</v>
      </c>
      <c r="M2346" s="5">
        <v>269.92</v>
      </c>
      <c r="N2346" s="6">
        <v>0</v>
      </c>
      <c r="O2346" s="5">
        <v>0</v>
      </c>
      <c r="P2346" s="5">
        <v>323.9</v>
      </c>
      <c r="Q2346" s="5">
        <v>2159.36</v>
      </c>
      <c r="R2346" s="5">
        <v>1720.24</v>
      </c>
      <c r="S2346" s="5">
        <v>439.12</v>
      </c>
      <c r="T2346" s="7">
        <v>0.203356550088915</v>
      </c>
      <c r="U2346" t="s">
        <v>9</v>
      </c>
      <c r="V2346" t="s">
        <v>50</v>
      </c>
      <c r="W2346" t="s">
        <v>50</v>
      </c>
      <c r="X2346" t="s">
        <v>33</v>
      </c>
      <c r="Y2346" t="s">
        <v>3141</v>
      </c>
      <c r="Z2346" t="s">
        <v>101</v>
      </c>
    </row>
    <row r="2347" spans="1:26">
      <c r="A2347" t="s">
        <v>4474</v>
      </c>
      <c r="B2347" t="s">
        <v>4474</v>
      </c>
      <c r="C2347" s="4">
        <v>46087</v>
      </c>
      <c r="D2347">
        <v>2026</v>
      </c>
      <c r="E2347">
        <v>3</v>
      </c>
      <c r="F2347" t="s">
        <v>19</v>
      </c>
      <c r="G2347" t="s">
        <v>82</v>
      </c>
      <c r="H2347" t="s">
        <v>4475</v>
      </c>
      <c r="I2347" t="s">
        <v>417</v>
      </c>
      <c r="J2347" t="s">
        <v>105</v>
      </c>
      <c r="K2347" t="s">
        <v>989</v>
      </c>
      <c r="L2347">
        <v>2</v>
      </c>
      <c r="M2347" s="5">
        <v>380.12</v>
      </c>
      <c r="N2347" s="6">
        <v>10</v>
      </c>
      <c r="O2347" s="5">
        <v>76.02</v>
      </c>
      <c r="P2347" s="5">
        <v>102.63</v>
      </c>
      <c r="Q2347" s="5">
        <v>684.22</v>
      </c>
      <c r="R2347" s="5">
        <v>619.96</v>
      </c>
      <c r="S2347" s="5">
        <v>64.26</v>
      </c>
      <c r="T2347" s="7">
        <v>0.0939171611469995</v>
      </c>
      <c r="U2347" t="s">
        <v>9</v>
      </c>
      <c r="V2347" t="s">
        <v>50</v>
      </c>
      <c r="W2347" t="s">
        <v>50</v>
      </c>
      <c r="X2347" t="s">
        <v>33</v>
      </c>
      <c r="Y2347" t="s">
        <v>1749</v>
      </c>
      <c r="Z2347" t="s">
        <v>101</v>
      </c>
    </row>
    <row r="2348" spans="1:26">
      <c r="A2348" t="s">
        <v>4476</v>
      </c>
      <c r="B2348" t="s">
        <v>4476</v>
      </c>
      <c r="C2348" s="4">
        <v>46091</v>
      </c>
      <c r="D2348">
        <v>2026</v>
      </c>
      <c r="E2348">
        <v>3</v>
      </c>
      <c r="F2348" t="s">
        <v>19</v>
      </c>
      <c r="G2348" t="s">
        <v>82</v>
      </c>
      <c r="H2348" t="s">
        <v>2635</v>
      </c>
      <c r="I2348" t="s">
        <v>476</v>
      </c>
      <c r="J2348" t="s">
        <v>872</v>
      </c>
      <c r="K2348" t="s">
        <v>873</v>
      </c>
      <c r="L2348">
        <v>8</v>
      </c>
      <c r="M2348" s="5">
        <v>309.81</v>
      </c>
      <c r="N2348" s="6">
        <v>20</v>
      </c>
      <c r="O2348" s="5">
        <v>495.7</v>
      </c>
      <c r="P2348" s="5">
        <v>297.42</v>
      </c>
      <c r="Q2348" s="5">
        <v>1982.78</v>
      </c>
      <c r="R2348" s="5">
        <v>2011.36</v>
      </c>
      <c r="S2348" s="5">
        <v>-28.58</v>
      </c>
      <c r="T2348" s="7">
        <v>-0.0144141054479065</v>
      </c>
      <c r="U2348" t="s">
        <v>10</v>
      </c>
      <c r="V2348" t="s">
        <v>50</v>
      </c>
      <c r="W2348" t="s">
        <v>50</v>
      </c>
      <c r="X2348" t="s">
        <v>33</v>
      </c>
      <c r="Y2348" t="s">
        <v>2095</v>
      </c>
      <c r="Z2348" t="s">
        <v>101</v>
      </c>
    </row>
    <row r="2349" spans="1:26">
      <c r="A2349" t="s">
        <v>4477</v>
      </c>
      <c r="B2349" t="s">
        <v>4477</v>
      </c>
      <c r="C2349" s="4">
        <v>45810</v>
      </c>
      <c r="D2349">
        <v>2025</v>
      </c>
      <c r="E2349">
        <v>6</v>
      </c>
      <c r="F2349" t="s">
        <v>22</v>
      </c>
      <c r="G2349" t="s">
        <v>74</v>
      </c>
      <c r="H2349" t="s">
        <v>1936</v>
      </c>
      <c r="I2349" t="s">
        <v>503</v>
      </c>
      <c r="J2349" t="s">
        <v>1657</v>
      </c>
      <c r="K2349" t="s">
        <v>1721</v>
      </c>
      <c r="L2349">
        <v>8</v>
      </c>
      <c r="M2349" s="5">
        <v>72.34</v>
      </c>
      <c r="N2349" s="6">
        <v>5</v>
      </c>
      <c r="O2349" s="5">
        <v>28.94</v>
      </c>
      <c r="P2349" s="5">
        <v>82.47</v>
      </c>
      <c r="Q2349" s="5">
        <v>549.78</v>
      </c>
      <c r="R2349" s="5">
        <v>474.96</v>
      </c>
      <c r="S2349" s="5">
        <v>74.82</v>
      </c>
      <c r="T2349" s="7">
        <v>0.136090799956346</v>
      </c>
      <c r="U2349" t="s">
        <v>10</v>
      </c>
      <c r="V2349" t="s">
        <v>50</v>
      </c>
      <c r="W2349" t="s">
        <v>50</v>
      </c>
      <c r="X2349" t="s">
        <v>33</v>
      </c>
      <c r="Y2349" t="s">
        <v>3827</v>
      </c>
      <c r="Z2349" t="s">
        <v>101</v>
      </c>
    </row>
    <row r="2350" spans="1:26">
      <c r="A2350" t="s">
        <v>4478</v>
      </c>
      <c r="B2350" t="s">
        <v>4478</v>
      </c>
      <c r="C2350" s="4">
        <v>45948</v>
      </c>
      <c r="D2350">
        <v>2025</v>
      </c>
      <c r="E2350">
        <v>10</v>
      </c>
      <c r="F2350" t="s">
        <v>26</v>
      </c>
      <c r="G2350" t="s">
        <v>137</v>
      </c>
      <c r="H2350" t="s">
        <v>239</v>
      </c>
      <c r="I2350" t="s">
        <v>1360</v>
      </c>
      <c r="J2350" t="s">
        <v>1781</v>
      </c>
      <c r="K2350" t="s">
        <v>1782</v>
      </c>
      <c r="L2350">
        <v>3</v>
      </c>
      <c r="M2350" s="5">
        <v>229.81</v>
      </c>
      <c r="N2350" s="6">
        <v>5</v>
      </c>
      <c r="O2350" s="5">
        <v>34.47</v>
      </c>
      <c r="P2350" s="5">
        <v>98.24</v>
      </c>
      <c r="Q2350" s="5">
        <v>753.2</v>
      </c>
      <c r="R2350" s="5">
        <v>624.66</v>
      </c>
      <c r="S2350" s="5">
        <v>128.54</v>
      </c>
      <c r="T2350" s="7">
        <v>0.170658523632501</v>
      </c>
      <c r="U2350" t="s">
        <v>12</v>
      </c>
      <c r="V2350" t="s">
        <v>50</v>
      </c>
      <c r="W2350" t="s">
        <v>50</v>
      </c>
      <c r="X2350" t="s">
        <v>35</v>
      </c>
      <c r="Y2350" t="s">
        <v>113</v>
      </c>
      <c r="Z2350" t="s">
        <v>80</v>
      </c>
    </row>
    <row r="2351" spans="1:26">
      <c r="A2351" t="s">
        <v>4479</v>
      </c>
      <c r="B2351" t="s">
        <v>4479</v>
      </c>
      <c r="C2351" s="4">
        <v>45829</v>
      </c>
      <c r="D2351">
        <v>2025</v>
      </c>
      <c r="E2351">
        <v>6</v>
      </c>
      <c r="F2351" t="s">
        <v>22</v>
      </c>
      <c r="G2351" t="s">
        <v>74</v>
      </c>
      <c r="H2351" t="s">
        <v>4480</v>
      </c>
      <c r="I2351" t="s">
        <v>104</v>
      </c>
      <c r="J2351" t="s">
        <v>396</v>
      </c>
      <c r="K2351" t="s">
        <v>1297</v>
      </c>
      <c r="L2351">
        <v>1</v>
      </c>
      <c r="M2351" s="5">
        <v>313.47</v>
      </c>
      <c r="N2351" s="6">
        <v>10</v>
      </c>
      <c r="O2351" s="5">
        <v>31.35</v>
      </c>
      <c r="P2351" s="5">
        <v>42.32</v>
      </c>
      <c r="Q2351" s="5">
        <v>324.44</v>
      </c>
      <c r="R2351" s="5">
        <v>246.12</v>
      </c>
      <c r="S2351" s="5">
        <v>78.32</v>
      </c>
      <c r="T2351" s="7">
        <v>0.241400567131057</v>
      </c>
      <c r="U2351" t="s">
        <v>11</v>
      </c>
      <c r="V2351" t="s">
        <v>50</v>
      </c>
      <c r="W2351" t="s">
        <v>50</v>
      </c>
      <c r="X2351" t="s">
        <v>33</v>
      </c>
      <c r="Y2351" t="s">
        <v>1325</v>
      </c>
      <c r="Z2351" t="s">
        <v>80</v>
      </c>
    </row>
    <row r="2352" spans="1:26">
      <c r="A2352" t="s">
        <v>4481</v>
      </c>
      <c r="B2352" t="s">
        <v>4481</v>
      </c>
      <c r="C2352" s="4">
        <v>45783</v>
      </c>
      <c r="D2352">
        <v>2025</v>
      </c>
      <c r="E2352">
        <v>5</v>
      </c>
      <c r="F2352" t="s">
        <v>21</v>
      </c>
      <c r="G2352" t="s">
        <v>74</v>
      </c>
      <c r="H2352" t="s">
        <v>735</v>
      </c>
      <c r="I2352" t="s">
        <v>1071</v>
      </c>
      <c r="J2352" t="s">
        <v>418</v>
      </c>
      <c r="K2352" t="s">
        <v>431</v>
      </c>
      <c r="L2352">
        <v>1</v>
      </c>
      <c r="M2352" s="5">
        <v>277.42</v>
      </c>
      <c r="N2352" s="6">
        <v>0</v>
      </c>
      <c r="O2352" s="5">
        <v>0</v>
      </c>
      <c r="P2352" s="5">
        <v>41.61</v>
      </c>
      <c r="Q2352" s="5">
        <v>277.42</v>
      </c>
      <c r="R2352" s="5">
        <v>199.16</v>
      </c>
      <c r="S2352" s="5">
        <v>78.26</v>
      </c>
      <c r="T2352" s="7">
        <v>0.282099343955014</v>
      </c>
      <c r="U2352" t="s">
        <v>13</v>
      </c>
      <c r="V2352" t="s">
        <v>50</v>
      </c>
      <c r="W2352" t="s">
        <v>50</v>
      </c>
      <c r="X2352" t="s">
        <v>33</v>
      </c>
      <c r="Y2352" t="s">
        <v>3693</v>
      </c>
      <c r="Z2352" t="s">
        <v>101</v>
      </c>
    </row>
    <row r="2353" spans="1:26">
      <c r="A2353" t="s">
        <v>4482</v>
      </c>
      <c r="B2353" t="s">
        <v>4482</v>
      </c>
      <c r="C2353" s="4">
        <v>45838</v>
      </c>
      <c r="D2353">
        <v>2025</v>
      </c>
      <c r="E2353">
        <v>6</v>
      </c>
      <c r="F2353" t="s">
        <v>22</v>
      </c>
      <c r="G2353" t="s">
        <v>74</v>
      </c>
      <c r="H2353" t="s">
        <v>1041</v>
      </c>
      <c r="I2353" t="s">
        <v>1419</v>
      </c>
      <c r="J2353" t="s">
        <v>1104</v>
      </c>
      <c r="K2353" t="s">
        <v>1105</v>
      </c>
      <c r="L2353">
        <v>4</v>
      </c>
      <c r="M2353" s="5">
        <v>317.99</v>
      </c>
      <c r="N2353" s="6">
        <v>20</v>
      </c>
      <c r="O2353" s="5">
        <v>254.39</v>
      </c>
      <c r="P2353" s="5">
        <v>152.64</v>
      </c>
      <c r="Q2353" s="5">
        <v>1017.57</v>
      </c>
      <c r="R2353" s="5">
        <v>940.2</v>
      </c>
      <c r="S2353" s="5">
        <v>77.37</v>
      </c>
      <c r="T2353" s="7">
        <v>0.0760340811934314</v>
      </c>
      <c r="U2353" t="s">
        <v>10</v>
      </c>
      <c r="V2353" t="s">
        <v>50</v>
      </c>
      <c r="W2353" t="s">
        <v>50</v>
      </c>
      <c r="X2353" t="s">
        <v>33</v>
      </c>
      <c r="Y2353" t="s">
        <v>1142</v>
      </c>
      <c r="Z2353" t="s">
        <v>101</v>
      </c>
    </row>
    <row r="2354" spans="1:26">
      <c r="A2354" t="s">
        <v>4483</v>
      </c>
      <c r="B2354" t="s">
        <v>4483</v>
      </c>
      <c r="C2354" s="4">
        <v>45941</v>
      </c>
      <c r="D2354">
        <v>2025</v>
      </c>
      <c r="E2354">
        <v>10</v>
      </c>
      <c r="F2354" t="s">
        <v>26</v>
      </c>
      <c r="G2354" t="s">
        <v>137</v>
      </c>
      <c r="H2354" t="s">
        <v>1350</v>
      </c>
      <c r="I2354" t="s">
        <v>623</v>
      </c>
      <c r="J2354" t="s">
        <v>1014</v>
      </c>
      <c r="K2354" t="s">
        <v>1015</v>
      </c>
      <c r="L2354">
        <v>4</v>
      </c>
      <c r="M2354" s="5">
        <v>139.21</v>
      </c>
      <c r="N2354" s="6">
        <v>20</v>
      </c>
      <c r="O2354" s="5">
        <v>111.37</v>
      </c>
      <c r="P2354" s="5">
        <v>66.82</v>
      </c>
      <c r="Q2354" s="5">
        <v>512.29</v>
      </c>
      <c r="R2354" s="5">
        <v>427.96</v>
      </c>
      <c r="S2354" s="5">
        <v>84.33</v>
      </c>
      <c r="T2354" s="7">
        <v>0.164613792968826</v>
      </c>
      <c r="U2354" t="s">
        <v>10</v>
      </c>
      <c r="V2354" t="s">
        <v>50</v>
      </c>
      <c r="W2354" t="s">
        <v>50</v>
      </c>
      <c r="X2354" t="s">
        <v>33</v>
      </c>
      <c r="Y2354" t="s">
        <v>931</v>
      </c>
      <c r="Z2354" t="s">
        <v>80</v>
      </c>
    </row>
    <row r="2355" spans="1:26">
      <c r="A2355" t="s">
        <v>4484</v>
      </c>
      <c r="B2355" t="s">
        <v>4484</v>
      </c>
      <c r="C2355" s="4">
        <v>45935</v>
      </c>
      <c r="D2355">
        <v>2025</v>
      </c>
      <c r="E2355">
        <v>10</v>
      </c>
      <c r="F2355" t="s">
        <v>26</v>
      </c>
      <c r="G2355" t="s">
        <v>137</v>
      </c>
      <c r="H2355" t="s">
        <v>168</v>
      </c>
      <c r="I2355" t="s">
        <v>689</v>
      </c>
      <c r="J2355" t="s">
        <v>558</v>
      </c>
      <c r="K2355" t="s">
        <v>2985</v>
      </c>
      <c r="L2355">
        <v>2</v>
      </c>
      <c r="M2355" s="5">
        <v>123.11</v>
      </c>
      <c r="N2355" s="6">
        <v>20</v>
      </c>
      <c r="O2355" s="5">
        <v>49.24</v>
      </c>
      <c r="P2355" s="5">
        <v>29.55</v>
      </c>
      <c r="Q2355" s="5">
        <v>226.53</v>
      </c>
      <c r="R2355" s="5">
        <v>182.36</v>
      </c>
      <c r="S2355" s="5">
        <v>44.17</v>
      </c>
      <c r="T2355" s="7">
        <v>0.194985211671743</v>
      </c>
      <c r="U2355" t="s">
        <v>12</v>
      </c>
      <c r="V2355" t="s">
        <v>50</v>
      </c>
      <c r="W2355" t="s">
        <v>50</v>
      </c>
      <c r="X2355" t="s">
        <v>33</v>
      </c>
      <c r="Y2355" t="s">
        <v>560</v>
      </c>
      <c r="Z2355" t="s">
        <v>80</v>
      </c>
    </row>
    <row r="2356" spans="1:26">
      <c r="A2356" t="s">
        <v>4485</v>
      </c>
      <c r="B2356" t="s">
        <v>4485</v>
      </c>
      <c r="C2356" s="4">
        <v>45798</v>
      </c>
      <c r="D2356">
        <v>2025</v>
      </c>
      <c r="E2356">
        <v>5</v>
      </c>
      <c r="F2356" t="s">
        <v>21</v>
      </c>
      <c r="G2356" t="s">
        <v>74</v>
      </c>
      <c r="H2356" t="s">
        <v>1600</v>
      </c>
      <c r="I2356" t="s">
        <v>213</v>
      </c>
      <c r="J2356" t="s">
        <v>2646</v>
      </c>
      <c r="K2356" t="s">
        <v>2647</v>
      </c>
      <c r="L2356">
        <v>8</v>
      </c>
      <c r="M2356" s="5">
        <v>204.43</v>
      </c>
      <c r="N2356" s="6">
        <v>0</v>
      </c>
      <c r="O2356" s="5">
        <v>0</v>
      </c>
      <c r="P2356" s="5">
        <v>245.32</v>
      </c>
      <c r="Q2356" s="5">
        <v>1635.44</v>
      </c>
      <c r="R2356" s="5">
        <v>1227.36</v>
      </c>
      <c r="S2356" s="5">
        <v>408.08</v>
      </c>
      <c r="T2356" s="7">
        <v>0.249523064129531</v>
      </c>
      <c r="U2356" t="s">
        <v>12</v>
      </c>
      <c r="V2356" t="s">
        <v>50</v>
      </c>
      <c r="W2356" t="s">
        <v>50</v>
      </c>
      <c r="X2356" t="s">
        <v>33</v>
      </c>
      <c r="Y2356" t="s">
        <v>3633</v>
      </c>
      <c r="Z2356" t="s">
        <v>101</v>
      </c>
    </row>
    <row r="2357" spans="1:26">
      <c r="A2357" t="s">
        <v>4486</v>
      </c>
      <c r="B2357" t="s">
        <v>4486</v>
      </c>
      <c r="C2357" s="4">
        <v>45774</v>
      </c>
      <c r="D2357">
        <v>2025</v>
      </c>
      <c r="E2357">
        <v>4</v>
      </c>
      <c r="F2357" t="s">
        <v>20</v>
      </c>
      <c r="G2357" t="s">
        <v>74</v>
      </c>
      <c r="H2357" t="s">
        <v>2727</v>
      </c>
      <c r="I2357" t="s">
        <v>350</v>
      </c>
      <c r="J2357" t="s">
        <v>1834</v>
      </c>
      <c r="K2357" t="s">
        <v>1835</v>
      </c>
      <c r="L2357">
        <v>4</v>
      </c>
      <c r="M2357" s="5">
        <v>343.56</v>
      </c>
      <c r="N2357" s="6">
        <v>5</v>
      </c>
      <c r="O2357" s="5">
        <v>68.71</v>
      </c>
      <c r="P2357" s="5">
        <v>195.83</v>
      </c>
      <c r="Q2357" s="5">
        <v>1501.36</v>
      </c>
      <c r="R2357" s="5">
        <v>865.28</v>
      </c>
      <c r="S2357" s="5">
        <v>636.08</v>
      </c>
      <c r="T2357" s="7">
        <v>0.423669206586029</v>
      </c>
      <c r="U2357" t="s">
        <v>13</v>
      </c>
      <c r="V2357" t="s">
        <v>50</v>
      </c>
      <c r="W2357" t="s">
        <v>50</v>
      </c>
      <c r="X2357" t="s">
        <v>33</v>
      </c>
      <c r="Y2357" t="s">
        <v>1292</v>
      </c>
      <c r="Z2357" t="s">
        <v>80</v>
      </c>
    </row>
    <row r="2358" spans="1:26">
      <c r="A2358" t="s">
        <v>4487</v>
      </c>
      <c r="B2358" t="s">
        <v>4487</v>
      </c>
      <c r="C2358" s="4">
        <v>46096</v>
      </c>
      <c r="D2358">
        <v>2026</v>
      </c>
      <c r="E2358">
        <v>3</v>
      </c>
      <c r="F2358" t="s">
        <v>19</v>
      </c>
      <c r="G2358" t="s">
        <v>82</v>
      </c>
      <c r="H2358" t="s">
        <v>3369</v>
      </c>
      <c r="I2358" t="s">
        <v>174</v>
      </c>
      <c r="J2358" t="s">
        <v>899</v>
      </c>
      <c r="K2358" t="s">
        <v>171</v>
      </c>
      <c r="L2358">
        <v>3</v>
      </c>
      <c r="M2358" s="5">
        <v>397.22</v>
      </c>
      <c r="N2358" s="6">
        <v>0</v>
      </c>
      <c r="O2358" s="5">
        <v>0</v>
      </c>
      <c r="P2358" s="5">
        <v>178.75</v>
      </c>
      <c r="Q2358" s="5">
        <v>1370.41</v>
      </c>
      <c r="R2358" s="5">
        <v>958.11</v>
      </c>
      <c r="S2358" s="5">
        <v>412.3</v>
      </c>
      <c r="T2358" s="7">
        <v>0.300858867054385</v>
      </c>
      <c r="U2358" t="s">
        <v>11</v>
      </c>
      <c r="V2358" t="s">
        <v>50</v>
      </c>
      <c r="W2358" t="s">
        <v>50</v>
      </c>
      <c r="X2358" t="s">
        <v>33</v>
      </c>
      <c r="Y2358" t="s">
        <v>1921</v>
      </c>
      <c r="Z2358" t="s">
        <v>80</v>
      </c>
    </row>
    <row r="2359" spans="1:26">
      <c r="A2359" t="s">
        <v>4488</v>
      </c>
      <c r="B2359" t="s">
        <v>4488</v>
      </c>
      <c r="C2359" s="4">
        <v>45955</v>
      </c>
      <c r="D2359">
        <v>2025</v>
      </c>
      <c r="E2359">
        <v>10</v>
      </c>
      <c r="F2359" t="s">
        <v>26</v>
      </c>
      <c r="G2359" t="s">
        <v>137</v>
      </c>
      <c r="H2359" t="s">
        <v>206</v>
      </c>
      <c r="I2359" t="s">
        <v>592</v>
      </c>
      <c r="J2359" t="s">
        <v>39</v>
      </c>
      <c r="K2359" t="s">
        <v>1204</v>
      </c>
      <c r="L2359">
        <v>7</v>
      </c>
      <c r="M2359" s="5">
        <v>227.52</v>
      </c>
      <c r="N2359" s="6">
        <v>0</v>
      </c>
      <c r="O2359" s="5">
        <v>0</v>
      </c>
      <c r="P2359" s="5">
        <v>238.9</v>
      </c>
      <c r="Q2359" s="5">
        <v>1831.54</v>
      </c>
      <c r="R2359" s="5">
        <v>1275.19</v>
      </c>
      <c r="S2359" s="5">
        <v>556.35</v>
      </c>
      <c r="T2359" s="7">
        <v>0.303760769625561</v>
      </c>
      <c r="U2359" t="s">
        <v>10</v>
      </c>
      <c r="V2359" t="s">
        <v>50</v>
      </c>
      <c r="W2359" t="s">
        <v>50</v>
      </c>
      <c r="X2359" t="s">
        <v>33</v>
      </c>
      <c r="Y2359" t="s">
        <v>2106</v>
      </c>
      <c r="Z2359" t="s">
        <v>80</v>
      </c>
    </row>
    <row r="2360" spans="1:26">
      <c r="A2360" t="s">
        <v>4489</v>
      </c>
      <c r="B2360" t="s">
        <v>4489</v>
      </c>
      <c r="C2360" s="4">
        <v>45871</v>
      </c>
      <c r="D2360">
        <v>2025</v>
      </c>
      <c r="E2360">
        <v>8</v>
      </c>
      <c r="F2360" t="s">
        <v>24</v>
      </c>
      <c r="G2360" t="s">
        <v>89</v>
      </c>
      <c r="H2360" t="s">
        <v>3059</v>
      </c>
      <c r="I2360" t="s">
        <v>174</v>
      </c>
      <c r="J2360" t="s">
        <v>746</v>
      </c>
      <c r="K2360" t="s">
        <v>231</v>
      </c>
      <c r="L2360">
        <v>3</v>
      </c>
      <c r="M2360" s="5">
        <v>397.22</v>
      </c>
      <c r="N2360" s="6">
        <v>0</v>
      </c>
      <c r="O2360" s="5">
        <v>0</v>
      </c>
      <c r="P2360" s="5">
        <v>178.75</v>
      </c>
      <c r="Q2360" s="5">
        <v>1370.41</v>
      </c>
      <c r="R2360" s="5">
        <v>958.11</v>
      </c>
      <c r="S2360" s="5">
        <v>412.3</v>
      </c>
      <c r="T2360" s="7">
        <v>0.300858867054385</v>
      </c>
      <c r="U2360" t="s">
        <v>9</v>
      </c>
      <c r="V2360" t="s">
        <v>50</v>
      </c>
      <c r="W2360" t="s">
        <v>50</v>
      </c>
      <c r="X2360" t="s">
        <v>35</v>
      </c>
      <c r="Y2360" t="s">
        <v>2934</v>
      </c>
      <c r="Z2360" t="s">
        <v>80</v>
      </c>
    </row>
    <row r="2361" spans="1:26">
      <c r="A2361" t="s">
        <v>4490</v>
      </c>
      <c r="B2361" t="s">
        <v>4067</v>
      </c>
      <c r="C2361" s="4">
        <v>46028</v>
      </c>
      <c r="D2361">
        <v>2026</v>
      </c>
      <c r="E2361">
        <v>1</v>
      </c>
      <c r="F2361" t="s">
        <v>30</v>
      </c>
      <c r="G2361" t="s">
        <v>82</v>
      </c>
      <c r="H2361" t="s">
        <v>1364</v>
      </c>
      <c r="I2361" t="s">
        <v>807</v>
      </c>
      <c r="J2361" t="s">
        <v>246</v>
      </c>
      <c r="K2361" t="s">
        <v>736</v>
      </c>
      <c r="L2361">
        <v>1</v>
      </c>
      <c r="M2361" s="5">
        <v>340.25</v>
      </c>
      <c r="N2361" s="6">
        <v>20</v>
      </c>
      <c r="O2361" s="5">
        <v>68.05</v>
      </c>
      <c r="P2361" s="5">
        <v>40.83</v>
      </c>
      <c r="Q2361" s="5">
        <v>272.2</v>
      </c>
      <c r="R2361" s="5">
        <v>263.85</v>
      </c>
      <c r="S2361" s="5">
        <v>8.35</v>
      </c>
      <c r="T2361" s="7">
        <v>0.0306759735488611</v>
      </c>
      <c r="U2361" t="s">
        <v>11</v>
      </c>
      <c r="V2361" t="s">
        <v>50</v>
      </c>
      <c r="W2361" t="s">
        <v>50</v>
      </c>
      <c r="X2361" t="s">
        <v>33</v>
      </c>
      <c r="Y2361" t="s">
        <v>420</v>
      </c>
      <c r="Z2361" t="s">
        <v>101</v>
      </c>
    </row>
    <row r="2362" spans="1:26">
      <c r="A2362" t="s">
        <v>4491</v>
      </c>
      <c r="B2362" t="s">
        <v>4491</v>
      </c>
      <c r="C2362" s="4">
        <v>45955</v>
      </c>
      <c r="D2362">
        <v>2025</v>
      </c>
      <c r="E2362">
        <v>10</v>
      </c>
      <c r="F2362" t="s">
        <v>26</v>
      </c>
      <c r="G2362" t="s">
        <v>137</v>
      </c>
      <c r="H2362" t="s">
        <v>2092</v>
      </c>
      <c r="I2362" t="s">
        <v>225</v>
      </c>
      <c r="J2362" t="s">
        <v>1107</v>
      </c>
      <c r="K2362" t="s">
        <v>1240</v>
      </c>
      <c r="L2362">
        <v>2</v>
      </c>
      <c r="M2362" s="5">
        <v>355.64</v>
      </c>
      <c r="N2362" s="6">
        <v>0</v>
      </c>
      <c r="O2362" s="5">
        <v>0</v>
      </c>
      <c r="P2362" s="5">
        <v>106.69</v>
      </c>
      <c r="Q2362" s="5">
        <v>817.97</v>
      </c>
      <c r="R2362" s="5">
        <v>606.82</v>
      </c>
      <c r="S2362" s="5">
        <v>211.15</v>
      </c>
      <c r="T2362" s="7">
        <v>0.258139051554458</v>
      </c>
      <c r="U2362" t="s">
        <v>9</v>
      </c>
      <c r="V2362" t="s">
        <v>50</v>
      </c>
      <c r="W2362" t="s">
        <v>50</v>
      </c>
      <c r="X2362" t="s">
        <v>33</v>
      </c>
      <c r="Y2362" t="s">
        <v>799</v>
      </c>
      <c r="Z2362" t="s">
        <v>80</v>
      </c>
    </row>
    <row r="2363" spans="1:26">
      <c r="A2363" t="s">
        <v>4492</v>
      </c>
      <c r="B2363" t="s">
        <v>4492</v>
      </c>
      <c r="C2363" s="4">
        <v>45948</v>
      </c>
      <c r="D2363">
        <v>2025</v>
      </c>
      <c r="E2363">
        <v>10</v>
      </c>
      <c r="F2363" t="s">
        <v>26</v>
      </c>
      <c r="G2363" t="s">
        <v>137</v>
      </c>
      <c r="H2363" t="s">
        <v>699</v>
      </c>
      <c r="I2363" t="s">
        <v>503</v>
      </c>
      <c r="J2363" t="s">
        <v>1104</v>
      </c>
      <c r="K2363" t="s">
        <v>1105</v>
      </c>
      <c r="L2363">
        <v>2</v>
      </c>
      <c r="M2363" s="5">
        <v>71.29</v>
      </c>
      <c r="N2363" s="6">
        <v>10</v>
      </c>
      <c r="O2363" s="5">
        <v>14.26</v>
      </c>
      <c r="P2363" s="5">
        <v>19.25</v>
      </c>
      <c r="Q2363" s="5">
        <v>147.57</v>
      </c>
      <c r="R2363" s="5">
        <v>118.74</v>
      </c>
      <c r="S2363" s="5">
        <v>28.83</v>
      </c>
      <c r="T2363" s="7">
        <v>0.195364911567392</v>
      </c>
      <c r="U2363" t="s">
        <v>11</v>
      </c>
      <c r="V2363" t="s">
        <v>50</v>
      </c>
      <c r="W2363" t="s">
        <v>50</v>
      </c>
      <c r="X2363" t="s">
        <v>35</v>
      </c>
      <c r="Y2363" t="s">
        <v>1313</v>
      </c>
      <c r="Z2363" t="s">
        <v>80</v>
      </c>
    </row>
    <row r="2364" spans="1:26">
      <c r="A2364" t="s">
        <v>4493</v>
      </c>
      <c r="B2364" t="s">
        <v>4493</v>
      </c>
      <c r="C2364" s="4">
        <v>46011</v>
      </c>
      <c r="D2364">
        <v>2025</v>
      </c>
      <c r="E2364">
        <v>12</v>
      </c>
      <c r="F2364" t="s">
        <v>28</v>
      </c>
      <c r="G2364" t="s">
        <v>137</v>
      </c>
      <c r="H2364" t="s">
        <v>1651</v>
      </c>
      <c r="I2364" t="s">
        <v>592</v>
      </c>
      <c r="J2364" t="s">
        <v>1347</v>
      </c>
      <c r="K2364" t="s">
        <v>1622</v>
      </c>
      <c r="L2364">
        <v>5</v>
      </c>
      <c r="M2364" s="5">
        <v>221.61</v>
      </c>
      <c r="N2364" s="6">
        <v>10</v>
      </c>
      <c r="O2364" s="5">
        <v>110.81</v>
      </c>
      <c r="P2364" s="5">
        <v>149.59</v>
      </c>
      <c r="Q2364" s="5">
        <v>1146.83</v>
      </c>
      <c r="R2364" s="5">
        <v>910.85</v>
      </c>
      <c r="S2364" s="5">
        <v>235.98</v>
      </c>
      <c r="T2364" s="7">
        <v>0.205767201764865</v>
      </c>
      <c r="U2364" t="s">
        <v>11</v>
      </c>
      <c r="V2364" t="s">
        <v>50</v>
      </c>
      <c r="W2364" t="s">
        <v>50</v>
      </c>
      <c r="X2364" t="s">
        <v>35</v>
      </c>
      <c r="Y2364" t="s">
        <v>2154</v>
      </c>
      <c r="Z2364" t="s">
        <v>80</v>
      </c>
    </row>
    <row r="2365" spans="1:26">
      <c r="A2365" t="s">
        <v>4494</v>
      </c>
      <c r="B2365" t="s">
        <v>4494</v>
      </c>
      <c r="C2365" s="4">
        <v>45764</v>
      </c>
      <c r="D2365">
        <v>2025</v>
      </c>
      <c r="E2365">
        <v>4</v>
      </c>
      <c r="F2365" t="s">
        <v>20</v>
      </c>
      <c r="G2365" t="s">
        <v>74</v>
      </c>
      <c r="H2365" t="s">
        <v>3983</v>
      </c>
      <c r="I2365" t="s">
        <v>756</v>
      </c>
      <c r="J2365" t="s">
        <v>445</v>
      </c>
      <c r="K2365" t="s">
        <v>446</v>
      </c>
      <c r="L2365">
        <v>3</v>
      </c>
      <c r="M2365" s="5">
        <v>161.03</v>
      </c>
      <c r="N2365" s="6">
        <v>20</v>
      </c>
      <c r="O2365" s="5">
        <v>96.62</v>
      </c>
      <c r="P2365" s="5">
        <v>57.97</v>
      </c>
      <c r="Q2365" s="5">
        <v>386.47</v>
      </c>
      <c r="R2365" s="5">
        <v>372.72</v>
      </c>
      <c r="S2365" s="5">
        <v>13.75</v>
      </c>
      <c r="T2365" s="7">
        <v>0.0355784407586617</v>
      </c>
      <c r="U2365" t="s">
        <v>9</v>
      </c>
      <c r="V2365" t="s">
        <v>50</v>
      </c>
      <c r="W2365" t="s">
        <v>50</v>
      </c>
      <c r="X2365" t="s">
        <v>33</v>
      </c>
      <c r="Y2365" t="s">
        <v>2216</v>
      </c>
      <c r="Z2365" t="s">
        <v>101</v>
      </c>
    </row>
    <row r="2366" spans="1:26">
      <c r="A2366" t="s">
        <v>4495</v>
      </c>
      <c r="B2366" t="s">
        <v>4495</v>
      </c>
      <c r="C2366" s="4">
        <v>45758</v>
      </c>
      <c r="D2366">
        <v>2025</v>
      </c>
      <c r="E2366">
        <v>4</v>
      </c>
      <c r="F2366" t="s">
        <v>20</v>
      </c>
      <c r="G2366" t="s">
        <v>74</v>
      </c>
      <c r="H2366" t="s">
        <v>2284</v>
      </c>
      <c r="I2366" t="s">
        <v>947</v>
      </c>
      <c r="J2366" t="s">
        <v>1003</v>
      </c>
      <c r="K2366" t="s">
        <v>1004</v>
      </c>
      <c r="L2366">
        <v>3</v>
      </c>
      <c r="M2366" s="5">
        <v>464.41</v>
      </c>
      <c r="N2366" s="6">
        <v>15</v>
      </c>
      <c r="O2366" s="5">
        <v>208.98</v>
      </c>
      <c r="P2366" s="5">
        <v>177.64</v>
      </c>
      <c r="Q2366" s="5">
        <v>1184.25</v>
      </c>
      <c r="R2366" s="5">
        <v>1193.07</v>
      </c>
      <c r="S2366" s="5">
        <v>-8.82</v>
      </c>
      <c r="T2366" s="7">
        <v>-0.00744775174160861</v>
      </c>
      <c r="U2366" t="s">
        <v>12</v>
      </c>
      <c r="V2366" t="s">
        <v>50</v>
      </c>
      <c r="W2366" t="s">
        <v>50</v>
      </c>
      <c r="X2366" t="s">
        <v>33</v>
      </c>
      <c r="Y2366" t="s">
        <v>365</v>
      </c>
      <c r="Z2366" t="s">
        <v>101</v>
      </c>
    </row>
    <row r="2367" spans="1:26">
      <c r="A2367" t="s">
        <v>4496</v>
      </c>
      <c r="B2367" t="s">
        <v>4496</v>
      </c>
      <c r="C2367" s="4">
        <v>45844</v>
      </c>
      <c r="D2367">
        <v>2025</v>
      </c>
      <c r="E2367">
        <v>7</v>
      </c>
      <c r="F2367" t="s">
        <v>23</v>
      </c>
      <c r="G2367" t="s">
        <v>89</v>
      </c>
      <c r="H2367" t="s">
        <v>4497</v>
      </c>
      <c r="I2367" t="s">
        <v>1228</v>
      </c>
      <c r="J2367" t="s">
        <v>85</v>
      </c>
      <c r="K2367" t="s">
        <v>86</v>
      </c>
      <c r="L2367">
        <v>1</v>
      </c>
      <c r="M2367" s="5">
        <v>188.64</v>
      </c>
      <c r="N2367" s="6">
        <v>0</v>
      </c>
      <c r="O2367" s="5">
        <v>0</v>
      </c>
      <c r="P2367" s="5">
        <v>28.3</v>
      </c>
      <c r="Q2367" s="5">
        <v>216.94</v>
      </c>
      <c r="R2367" s="5">
        <v>158.28</v>
      </c>
      <c r="S2367" s="5">
        <v>58.66</v>
      </c>
      <c r="T2367" s="7">
        <v>0.270397344887987</v>
      </c>
      <c r="U2367" t="s">
        <v>12</v>
      </c>
      <c r="V2367" t="s">
        <v>50</v>
      </c>
      <c r="W2367" t="s">
        <v>50</v>
      </c>
      <c r="X2367" t="s">
        <v>33</v>
      </c>
      <c r="Y2367" t="s">
        <v>1481</v>
      </c>
      <c r="Z2367" t="s">
        <v>80</v>
      </c>
    </row>
    <row r="2368" spans="1:26">
      <c r="A2368" t="s">
        <v>4498</v>
      </c>
      <c r="B2368" t="s">
        <v>4498</v>
      </c>
      <c r="C2368" s="4">
        <v>45808</v>
      </c>
      <c r="D2368">
        <v>2025</v>
      </c>
      <c r="E2368">
        <v>5</v>
      </c>
      <c r="F2368" t="s">
        <v>21</v>
      </c>
      <c r="G2368" t="s">
        <v>74</v>
      </c>
      <c r="H2368" t="s">
        <v>1670</v>
      </c>
      <c r="I2368" t="s">
        <v>245</v>
      </c>
      <c r="J2368" t="s">
        <v>40</v>
      </c>
      <c r="K2368" t="s">
        <v>426</v>
      </c>
      <c r="L2368">
        <v>3</v>
      </c>
      <c r="M2368" s="5">
        <v>121.9</v>
      </c>
      <c r="N2368" s="6">
        <v>20</v>
      </c>
      <c r="O2368" s="5">
        <v>73.14</v>
      </c>
      <c r="P2368" s="5">
        <v>43.88</v>
      </c>
      <c r="Q2368" s="5">
        <v>336.44</v>
      </c>
      <c r="R2368" s="5">
        <v>326.76</v>
      </c>
      <c r="S2368" s="5">
        <v>9.68</v>
      </c>
      <c r="T2368" s="7">
        <v>0.02877184639163</v>
      </c>
      <c r="U2368" t="s">
        <v>14</v>
      </c>
      <c r="V2368" t="s">
        <v>51</v>
      </c>
      <c r="W2368" t="s">
        <v>51</v>
      </c>
      <c r="X2368" t="s">
        <v>33</v>
      </c>
      <c r="Y2368" t="s">
        <v>1011</v>
      </c>
      <c r="Z2368" t="s">
        <v>80</v>
      </c>
    </row>
    <row r="2369" spans="1:26">
      <c r="A2369" t="s">
        <v>4499</v>
      </c>
      <c r="B2369" t="s">
        <v>4499</v>
      </c>
      <c r="C2369" s="4">
        <v>46002</v>
      </c>
      <c r="D2369">
        <v>2025</v>
      </c>
      <c r="E2369">
        <v>12</v>
      </c>
      <c r="F2369" t="s">
        <v>28</v>
      </c>
      <c r="G2369" t="s">
        <v>137</v>
      </c>
      <c r="H2369" t="s">
        <v>2531</v>
      </c>
      <c r="I2369" t="s">
        <v>2026</v>
      </c>
      <c r="J2369" t="s">
        <v>998</v>
      </c>
      <c r="K2369" t="s">
        <v>999</v>
      </c>
      <c r="L2369">
        <v>4</v>
      </c>
      <c r="M2369" s="5">
        <v>352.51</v>
      </c>
      <c r="N2369" s="6">
        <v>20</v>
      </c>
      <c r="O2369" s="5">
        <v>282.01</v>
      </c>
      <c r="P2369" s="5">
        <v>169.2</v>
      </c>
      <c r="Q2369" s="5">
        <v>1128.03</v>
      </c>
      <c r="R2369" s="5">
        <v>1040.24</v>
      </c>
      <c r="S2369" s="5">
        <v>87.79</v>
      </c>
      <c r="T2369" s="7">
        <v>0.0778259443454518</v>
      </c>
      <c r="U2369" t="s">
        <v>10</v>
      </c>
      <c r="V2369" t="s">
        <v>50</v>
      </c>
      <c r="W2369" t="s">
        <v>50</v>
      </c>
      <c r="X2369" t="s">
        <v>35</v>
      </c>
      <c r="Y2369" t="s">
        <v>2262</v>
      </c>
      <c r="Z2369" t="s">
        <v>101</v>
      </c>
    </row>
    <row r="2370" spans="1:26">
      <c r="A2370" t="s">
        <v>4500</v>
      </c>
      <c r="B2370" t="s">
        <v>4500</v>
      </c>
      <c r="C2370" s="4">
        <v>45913</v>
      </c>
      <c r="D2370">
        <v>2025</v>
      </c>
      <c r="E2370">
        <v>9</v>
      </c>
      <c r="F2370" t="s">
        <v>25</v>
      </c>
      <c r="G2370" t="s">
        <v>89</v>
      </c>
      <c r="H2370" t="s">
        <v>4000</v>
      </c>
      <c r="I2370" t="s">
        <v>1264</v>
      </c>
      <c r="J2370" t="s">
        <v>45</v>
      </c>
      <c r="K2370" t="s">
        <v>1351</v>
      </c>
      <c r="L2370">
        <v>4</v>
      </c>
      <c r="M2370" s="5">
        <v>182.3</v>
      </c>
      <c r="N2370" s="6">
        <v>15</v>
      </c>
      <c r="O2370" s="5">
        <v>109.38</v>
      </c>
      <c r="P2370" s="5">
        <v>92.97</v>
      </c>
      <c r="Q2370" s="5">
        <v>712.79</v>
      </c>
      <c r="R2370" s="5">
        <v>430.4</v>
      </c>
      <c r="S2370" s="5">
        <v>282.39</v>
      </c>
      <c r="T2370" s="7">
        <v>0.396175591688997</v>
      </c>
      <c r="U2370" t="s">
        <v>9</v>
      </c>
      <c r="V2370" t="s">
        <v>50</v>
      </c>
      <c r="W2370" t="s">
        <v>50</v>
      </c>
      <c r="X2370" t="s">
        <v>35</v>
      </c>
      <c r="Y2370" t="s">
        <v>1892</v>
      </c>
      <c r="Z2370" t="s">
        <v>80</v>
      </c>
    </row>
    <row r="2371" spans="1:26">
      <c r="A2371" t="s">
        <v>4501</v>
      </c>
      <c r="B2371" t="s">
        <v>4501</v>
      </c>
      <c r="C2371" s="4">
        <v>45822</v>
      </c>
      <c r="D2371">
        <v>2025</v>
      </c>
      <c r="E2371">
        <v>6</v>
      </c>
      <c r="F2371" t="s">
        <v>22</v>
      </c>
      <c r="G2371" t="s">
        <v>74</v>
      </c>
      <c r="H2371" t="s">
        <v>2738</v>
      </c>
      <c r="I2371" t="s">
        <v>1526</v>
      </c>
      <c r="J2371" t="s">
        <v>280</v>
      </c>
      <c r="K2371" t="s">
        <v>287</v>
      </c>
      <c r="L2371">
        <v>2</v>
      </c>
      <c r="M2371" s="5">
        <v>102.51</v>
      </c>
      <c r="N2371" s="6">
        <v>10</v>
      </c>
      <c r="O2371" s="5">
        <v>20.5</v>
      </c>
      <c r="P2371" s="5">
        <v>27.68</v>
      </c>
      <c r="Q2371" s="5">
        <v>212.2</v>
      </c>
      <c r="R2371" s="5">
        <v>177.44</v>
      </c>
      <c r="S2371" s="5">
        <v>34.76</v>
      </c>
      <c r="T2371" s="7">
        <v>0.163807728557964</v>
      </c>
      <c r="U2371" t="s">
        <v>14</v>
      </c>
      <c r="V2371" t="s">
        <v>50</v>
      </c>
      <c r="W2371" t="s">
        <v>50</v>
      </c>
      <c r="X2371" t="s">
        <v>35</v>
      </c>
      <c r="Y2371" t="s">
        <v>3759</v>
      </c>
      <c r="Z2371" t="s">
        <v>80</v>
      </c>
    </row>
    <row r="2372" spans="1:26">
      <c r="A2372" t="s">
        <v>4502</v>
      </c>
      <c r="B2372" t="s">
        <v>4502</v>
      </c>
      <c r="C2372" s="4">
        <v>45759</v>
      </c>
      <c r="D2372">
        <v>2025</v>
      </c>
      <c r="E2372">
        <v>4</v>
      </c>
      <c r="F2372" t="s">
        <v>20</v>
      </c>
      <c r="G2372" t="s">
        <v>74</v>
      </c>
      <c r="H2372" t="s">
        <v>2828</v>
      </c>
      <c r="I2372" t="s">
        <v>2706</v>
      </c>
      <c r="J2372" t="s">
        <v>1290</v>
      </c>
      <c r="K2372" t="s">
        <v>1291</v>
      </c>
      <c r="L2372">
        <v>1</v>
      </c>
      <c r="M2372" s="5">
        <v>519.78</v>
      </c>
      <c r="N2372" s="6">
        <v>5</v>
      </c>
      <c r="O2372" s="5">
        <v>25.99</v>
      </c>
      <c r="P2372" s="5">
        <v>74.07</v>
      </c>
      <c r="Q2372" s="5">
        <v>567.86</v>
      </c>
      <c r="R2372" s="5">
        <v>397.92</v>
      </c>
      <c r="S2372" s="5">
        <v>169.94</v>
      </c>
      <c r="T2372" s="7">
        <v>0.299263903074702</v>
      </c>
      <c r="U2372" t="s">
        <v>9</v>
      </c>
      <c r="V2372" t="s">
        <v>50</v>
      </c>
      <c r="W2372" t="s">
        <v>50</v>
      </c>
      <c r="X2372" t="s">
        <v>33</v>
      </c>
      <c r="Y2372" t="s">
        <v>1582</v>
      </c>
      <c r="Z2372" t="s">
        <v>80</v>
      </c>
    </row>
    <row r="2373" spans="1:26">
      <c r="A2373" t="s">
        <v>4503</v>
      </c>
      <c r="B2373" t="s">
        <v>4503</v>
      </c>
      <c r="C2373" s="4">
        <v>46036</v>
      </c>
      <c r="D2373">
        <v>2026</v>
      </c>
      <c r="E2373">
        <v>1</v>
      </c>
      <c r="F2373" t="s">
        <v>30</v>
      </c>
      <c r="G2373" t="s">
        <v>82</v>
      </c>
      <c r="H2373" t="s">
        <v>1193</v>
      </c>
      <c r="I2373" t="s">
        <v>332</v>
      </c>
      <c r="J2373" t="s">
        <v>302</v>
      </c>
      <c r="K2373" t="s">
        <v>303</v>
      </c>
      <c r="L2373">
        <v>1</v>
      </c>
      <c r="M2373" s="5">
        <v>73.83</v>
      </c>
      <c r="N2373" s="6">
        <v>0</v>
      </c>
      <c r="O2373" s="5">
        <v>0</v>
      </c>
      <c r="P2373" s="5">
        <v>11.07</v>
      </c>
      <c r="Q2373" s="5">
        <v>73.83</v>
      </c>
      <c r="R2373" s="5">
        <v>54.32</v>
      </c>
      <c r="S2373" s="5">
        <v>19.51</v>
      </c>
      <c r="T2373" s="7">
        <v>0.264255722605987</v>
      </c>
      <c r="U2373" t="s">
        <v>14</v>
      </c>
      <c r="V2373" t="s">
        <v>50</v>
      </c>
      <c r="W2373" t="s">
        <v>50</v>
      </c>
      <c r="X2373" t="s">
        <v>33</v>
      </c>
      <c r="Y2373" t="s">
        <v>2672</v>
      </c>
      <c r="Z2373" t="s">
        <v>101</v>
      </c>
    </row>
    <row r="2374" spans="1:26">
      <c r="A2374" t="s">
        <v>4504</v>
      </c>
      <c r="B2374" t="s">
        <v>4504</v>
      </c>
      <c r="C2374" s="4">
        <v>45957</v>
      </c>
      <c r="D2374">
        <v>2025</v>
      </c>
      <c r="E2374">
        <v>10</v>
      </c>
      <c r="F2374" t="s">
        <v>26</v>
      </c>
      <c r="G2374" t="s">
        <v>137</v>
      </c>
      <c r="H2374" t="s">
        <v>400</v>
      </c>
      <c r="I2374" t="s">
        <v>1264</v>
      </c>
      <c r="J2374" t="s">
        <v>1014</v>
      </c>
      <c r="K2374" t="s">
        <v>1015</v>
      </c>
      <c r="L2374">
        <v>3</v>
      </c>
      <c r="M2374" s="5">
        <v>189.1</v>
      </c>
      <c r="N2374" s="6">
        <v>0</v>
      </c>
      <c r="O2374" s="5">
        <v>0</v>
      </c>
      <c r="P2374" s="5">
        <v>85.09</v>
      </c>
      <c r="Q2374" s="5">
        <v>567.3</v>
      </c>
      <c r="R2374" s="5">
        <v>322.8</v>
      </c>
      <c r="S2374" s="5">
        <v>244.5</v>
      </c>
      <c r="T2374" s="7">
        <v>0.430988894764675</v>
      </c>
      <c r="U2374" t="s">
        <v>13</v>
      </c>
      <c r="V2374" t="s">
        <v>50</v>
      </c>
      <c r="W2374" t="s">
        <v>50</v>
      </c>
      <c r="X2374" t="s">
        <v>33</v>
      </c>
      <c r="Y2374" t="s">
        <v>2711</v>
      </c>
      <c r="Z2374" t="s">
        <v>101</v>
      </c>
    </row>
    <row r="2375" spans="1:26">
      <c r="A2375" t="s">
        <v>4505</v>
      </c>
      <c r="B2375" t="s">
        <v>4505</v>
      </c>
      <c r="C2375" s="4">
        <v>45920</v>
      </c>
      <c r="D2375">
        <v>2025</v>
      </c>
      <c r="E2375">
        <v>9</v>
      </c>
      <c r="F2375" t="s">
        <v>25</v>
      </c>
      <c r="G2375" t="s">
        <v>89</v>
      </c>
      <c r="H2375" t="s">
        <v>1863</v>
      </c>
      <c r="I2375" t="s">
        <v>163</v>
      </c>
      <c r="J2375" t="s">
        <v>532</v>
      </c>
      <c r="K2375" t="s">
        <v>533</v>
      </c>
      <c r="L2375">
        <v>3</v>
      </c>
      <c r="M2375" s="5">
        <v>253.11</v>
      </c>
      <c r="N2375" s="6">
        <v>0</v>
      </c>
      <c r="O2375" s="5">
        <v>0</v>
      </c>
      <c r="P2375" s="5">
        <v>113.9</v>
      </c>
      <c r="Q2375" s="5">
        <v>873.23</v>
      </c>
      <c r="R2375" s="5">
        <v>572.22</v>
      </c>
      <c r="S2375" s="5">
        <v>301.01</v>
      </c>
      <c r="T2375" s="7">
        <v>0.344708725078158</v>
      </c>
      <c r="U2375" t="s">
        <v>12</v>
      </c>
      <c r="V2375" t="s">
        <v>50</v>
      </c>
      <c r="W2375" t="s">
        <v>50</v>
      </c>
      <c r="X2375" t="s">
        <v>35</v>
      </c>
      <c r="Y2375" t="s">
        <v>4031</v>
      </c>
      <c r="Z2375" t="s">
        <v>80</v>
      </c>
    </row>
    <row r="2376" spans="1:26">
      <c r="A2376" t="s">
        <v>4506</v>
      </c>
      <c r="B2376" t="s">
        <v>4506</v>
      </c>
      <c r="C2376" s="4">
        <v>46110</v>
      </c>
      <c r="D2376">
        <v>2026</v>
      </c>
      <c r="E2376">
        <v>3</v>
      </c>
      <c r="F2376" t="s">
        <v>19</v>
      </c>
      <c r="G2376" t="s">
        <v>82</v>
      </c>
      <c r="H2376" t="s">
        <v>1070</v>
      </c>
      <c r="I2376" t="s">
        <v>1526</v>
      </c>
      <c r="J2376" t="s">
        <v>872</v>
      </c>
      <c r="K2376" t="s">
        <v>873</v>
      </c>
      <c r="L2376">
        <v>4</v>
      </c>
      <c r="M2376" s="5">
        <v>106.97</v>
      </c>
      <c r="N2376" s="6">
        <v>20</v>
      </c>
      <c r="O2376" s="5">
        <v>85.58</v>
      </c>
      <c r="P2376" s="5">
        <v>51.34</v>
      </c>
      <c r="Q2376" s="5">
        <v>393.64</v>
      </c>
      <c r="R2376" s="5">
        <v>354.88</v>
      </c>
      <c r="S2376" s="5">
        <v>38.76</v>
      </c>
      <c r="T2376" s="7">
        <v>0.098465603089117</v>
      </c>
      <c r="U2376" t="s">
        <v>9</v>
      </c>
      <c r="V2376" t="s">
        <v>50</v>
      </c>
      <c r="W2376" t="s">
        <v>50</v>
      </c>
      <c r="X2376" t="s">
        <v>33</v>
      </c>
      <c r="Y2376" t="s">
        <v>2298</v>
      </c>
      <c r="Z2376" t="s">
        <v>80</v>
      </c>
    </row>
    <row r="2377" spans="1:26">
      <c r="A2377" t="s">
        <v>4507</v>
      </c>
      <c r="B2377" t="s">
        <v>4507</v>
      </c>
      <c r="C2377" s="4">
        <v>45970</v>
      </c>
      <c r="D2377">
        <v>2025</v>
      </c>
      <c r="E2377">
        <v>11</v>
      </c>
      <c r="F2377" t="s">
        <v>27</v>
      </c>
      <c r="G2377" t="s">
        <v>137</v>
      </c>
      <c r="H2377" t="s">
        <v>355</v>
      </c>
      <c r="I2377" t="s">
        <v>787</v>
      </c>
      <c r="J2377" t="s">
        <v>1104</v>
      </c>
      <c r="K2377" t="s">
        <v>1105</v>
      </c>
      <c r="L2377">
        <v>8</v>
      </c>
      <c r="M2377" s="5">
        <v>180.72</v>
      </c>
      <c r="N2377" s="6">
        <v>15</v>
      </c>
      <c r="O2377" s="5">
        <v>216.86</v>
      </c>
      <c r="P2377" s="5">
        <v>184.34</v>
      </c>
      <c r="Q2377" s="5">
        <v>1413.23</v>
      </c>
      <c r="R2377" s="5">
        <v>817.84</v>
      </c>
      <c r="S2377" s="5">
        <v>595.39</v>
      </c>
      <c r="T2377" s="7">
        <v>0.421297311831761</v>
      </c>
      <c r="U2377" t="s">
        <v>14</v>
      </c>
      <c r="V2377" t="s">
        <v>50</v>
      </c>
      <c r="W2377" t="s">
        <v>50</v>
      </c>
      <c r="X2377" t="s">
        <v>33</v>
      </c>
      <c r="Y2377" t="s">
        <v>962</v>
      </c>
      <c r="Z2377" t="s">
        <v>80</v>
      </c>
    </row>
    <row r="2378" spans="1:26">
      <c r="A2378" t="s">
        <v>4508</v>
      </c>
      <c r="B2378" t="s">
        <v>4508</v>
      </c>
      <c r="C2378" s="4">
        <v>46037</v>
      </c>
      <c r="D2378">
        <v>2026</v>
      </c>
      <c r="E2378">
        <v>1</v>
      </c>
      <c r="F2378" t="s">
        <v>30</v>
      </c>
      <c r="G2378" t="s">
        <v>82</v>
      </c>
      <c r="H2378" t="s">
        <v>4509</v>
      </c>
      <c r="I2378" t="s">
        <v>689</v>
      </c>
      <c r="J2378" t="s">
        <v>333</v>
      </c>
      <c r="K2378" t="s">
        <v>709</v>
      </c>
      <c r="L2378">
        <v>3</v>
      </c>
      <c r="M2378" s="5">
        <v>123.11</v>
      </c>
      <c r="N2378" s="6">
        <v>0</v>
      </c>
      <c r="O2378" s="5">
        <v>0</v>
      </c>
      <c r="P2378" s="5">
        <v>55.4</v>
      </c>
      <c r="Q2378" s="5">
        <v>369.33</v>
      </c>
      <c r="R2378" s="5">
        <v>273.54</v>
      </c>
      <c r="S2378" s="5">
        <v>95.79</v>
      </c>
      <c r="T2378" s="7">
        <v>0.259361546584356</v>
      </c>
      <c r="U2378" t="s">
        <v>13</v>
      </c>
      <c r="V2378" t="s">
        <v>50</v>
      </c>
      <c r="W2378" t="s">
        <v>50</v>
      </c>
      <c r="X2378" t="s">
        <v>33</v>
      </c>
      <c r="Y2378" t="s">
        <v>2363</v>
      </c>
      <c r="Z2378" t="s">
        <v>101</v>
      </c>
    </row>
    <row r="2379" spans="1:26">
      <c r="A2379" t="s">
        <v>4510</v>
      </c>
      <c r="B2379" t="s">
        <v>4510</v>
      </c>
      <c r="C2379" s="4">
        <v>45833</v>
      </c>
      <c r="D2379">
        <v>2025</v>
      </c>
      <c r="E2379">
        <v>6</v>
      </c>
      <c r="F2379" t="s">
        <v>22</v>
      </c>
      <c r="G2379" t="s">
        <v>74</v>
      </c>
      <c r="H2379" t="s">
        <v>671</v>
      </c>
      <c r="I2379" t="s">
        <v>937</v>
      </c>
      <c r="J2379" t="s">
        <v>1718</v>
      </c>
      <c r="K2379" t="s">
        <v>2235</v>
      </c>
      <c r="L2379">
        <v>8</v>
      </c>
      <c r="M2379" s="5">
        <v>451.9</v>
      </c>
      <c r="N2379" s="6">
        <v>15</v>
      </c>
      <c r="O2379" s="5">
        <v>542.28</v>
      </c>
      <c r="P2379" s="5">
        <v>460.94</v>
      </c>
      <c r="Q2379" s="5">
        <v>3072.92</v>
      </c>
      <c r="R2379" s="5">
        <v>2961.44</v>
      </c>
      <c r="S2379" s="5">
        <v>111.48</v>
      </c>
      <c r="T2379" s="7">
        <v>0.0362781979355141</v>
      </c>
      <c r="U2379" t="s">
        <v>11</v>
      </c>
      <c r="V2379" t="s">
        <v>51</v>
      </c>
      <c r="W2379" t="s">
        <v>51</v>
      </c>
      <c r="X2379" t="s">
        <v>33</v>
      </c>
      <c r="Y2379" t="s">
        <v>254</v>
      </c>
      <c r="Z2379" t="s">
        <v>101</v>
      </c>
    </row>
    <row r="2380" spans="1:26">
      <c r="A2380" t="s">
        <v>4511</v>
      </c>
      <c r="B2380" t="s">
        <v>4511</v>
      </c>
      <c r="C2380" s="4">
        <v>45757</v>
      </c>
      <c r="D2380">
        <v>2025</v>
      </c>
      <c r="E2380">
        <v>4</v>
      </c>
      <c r="F2380" t="s">
        <v>20</v>
      </c>
      <c r="G2380" t="s">
        <v>74</v>
      </c>
      <c r="H2380" t="s">
        <v>552</v>
      </c>
      <c r="I2380" t="s">
        <v>543</v>
      </c>
      <c r="J2380" t="s">
        <v>1104</v>
      </c>
      <c r="K2380" t="s">
        <v>1105</v>
      </c>
      <c r="L2380">
        <v>8</v>
      </c>
      <c r="M2380" s="5">
        <v>441.63</v>
      </c>
      <c r="N2380" s="6">
        <v>0</v>
      </c>
      <c r="O2380" s="5">
        <v>0</v>
      </c>
      <c r="P2380" s="5">
        <v>529.96</v>
      </c>
      <c r="Q2380" s="5">
        <v>3533.04</v>
      </c>
      <c r="R2380" s="5">
        <v>2779.76</v>
      </c>
      <c r="S2380" s="5">
        <v>753.28</v>
      </c>
      <c r="T2380" s="7">
        <v>0.213210153295745</v>
      </c>
      <c r="U2380" t="s">
        <v>13</v>
      </c>
      <c r="V2380" t="s">
        <v>50</v>
      </c>
      <c r="W2380" t="s">
        <v>50</v>
      </c>
      <c r="X2380" t="s">
        <v>33</v>
      </c>
      <c r="Y2380" t="s">
        <v>4512</v>
      </c>
      <c r="Z2380" t="s">
        <v>101</v>
      </c>
    </row>
    <row r="2381" spans="1:26">
      <c r="A2381" t="s">
        <v>4513</v>
      </c>
      <c r="B2381" t="s">
        <v>4513</v>
      </c>
      <c r="C2381" s="4">
        <v>46103</v>
      </c>
      <c r="D2381">
        <v>2026</v>
      </c>
      <c r="E2381">
        <v>3</v>
      </c>
      <c r="F2381" t="s">
        <v>19</v>
      </c>
      <c r="G2381" t="s">
        <v>82</v>
      </c>
      <c r="H2381" t="s">
        <v>1227</v>
      </c>
      <c r="I2381" t="s">
        <v>937</v>
      </c>
      <c r="J2381" t="s">
        <v>38</v>
      </c>
      <c r="K2381" t="s">
        <v>236</v>
      </c>
      <c r="L2381">
        <v>7</v>
      </c>
      <c r="M2381" s="5">
        <v>468.73</v>
      </c>
      <c r="N2381" s="6">
        <v>5</v>
      </c>
      <c r="O2381" s="5">
        <v>164.06</v>
      </c>
      <c r="P2381" s="5">
        <v>467.56</v>
      </c>
      <c r="Q2381" s="5">
        <v>3584.61</v>
      </c>
      <c r="R2381" s="5">
        <v>2591.26</v>
      </c>
      <c r="S2381" s="5">
        <v>993.35</v>
      </c>
      <c r="T2381" s="7">
        <v>0.277115223134455</v>
      </c>
      <c r="U2381" t="s">
        <v>9</v>
      </c>
      <c r="V2381" t="s">
        <v>50</v>
      </c>
      <c r="W2381" t="s">
        <v>50</v>
      </c>
      <c r="X2381" t="s">
        <v>33</v>
      </c>
      <c r="Y2381" t="s">
        <v>860</v>
      </c>
      <c r="Z2381" t="s">
        <v>80</v>
      </c>
    </row>
    <row r="2382" spans="1:26">
      <c r="A2382" t="s">
        <v>4514</v>
      </c>
      <c r="B2382" t="s">
        <v>4514</v>
      </c>
      <c r="C2382" s="4">
        <v>46061</v>
      </c>
      <c r="D2382">
        <v>2026</v>
      </c>
      <c r="E2382">
        <v>2</v>
      </c>
      <c r="F2382" t="s">
        <v>31</v>
      </c>
      <c r="G2382" t="s">
        <v>82</v>
      </c>
      <c r="H2382" t="s">
        <v>1271</v>
      </c>
      <c r="I2382" t="s">
        <v>947</v>
      </c>
      <c r="J2382" t="s">
        <v>1201</v>
      </c>
      <c r="K2382" t="s">
        <v>930</v>
      </c>
      <c r="L2382">
        <v>3</v>
      </c>
      <c r="M2382" s="5">
        <v>464.41</v>
      </c>
      <c r="N2382" s="6">
        <v>20</v>
      </c>
      <c r="O2382" s="5">
        <v>278.65</v>
      </c>
      <c r="P2382" s="5">
        <v>167.19</v>
      </c>
      <c r="Q2382" s="5">
        <v>1281.77</v>
      </c>
      <c r="R2382" s="5">
        <v>1193.07</v>
      </c>
      <c r="S2382" s="5">
        <v>88.7</v>
      </c>
      <c r="T2382" s="7">
        <v>0.069201182739493</v>
      </c>
      <c r="U2382" t="s">
        <v>9</v>
      </c>
      <c r="V2382" t="s">
        <v>50</v>
      </c>
      <c r="W2382" t="s">
        <v>50</v>
      </c>
      <c r="X2382" t="s">
        <v>33</v>
      </c>
      <c r="Y2382" t="s">
        <v>2087</v>
      </c>
      <c r="Z2382" t="s">
        <v>80</v>
      </c>
    </row>
    <row r="2383" spans="1:26">
      <c r="A2383" t="s">
        <v>4515</v>
      </c>
      <c r="B2383" t="s">
        <v>4515</v>
      </c>
      <c r="C2383" s="4">
        <v>45813</v>
      </c>
      <c r="D2383">
        <v>2025</v>
      </c>
      <c r="E2383">
        <v>6</v>
      </c>
      <c r="F2383" t="s">
        <v>22</v>
      </c>
      <c r="G2383" t="s">
        <v>74</v>
      </c>
      <c r="H2383" t="s">
        <v>1709</v>
      </c>
      <c r="I2383" t="s">
        <v>406</v>
      </c>
      <c r="J2383" t="s">
        <v>45</v>
      </c>
      <c r="K2383" t="s">
        <v>4516</v>
      </c>
      <c r="L2383">
        <v>6</v>
      </c>
      <c r="M2383" s="5">
        <v>389.82</v>
      </c>
      <c r="N2383" s="6">
        <v>10</v>
      </c>
      <c r="O2383" s="5">
        <v>233.89</v>
      </c>
      <c r="P2383" s="5">
        <v>315.75</v>
      </c>
      <c r="Q2383" s="5">
        <v>2105.03</v>
      </c>
      <c r="R2383" s="5">
        <v>1576.8</v>
      </c>
      <c r="S2383" s="5">
        <v>528.23</v>
      </c>
      <c r="T2383" s="7">
        <v>0.250937041277322</v>
      </c>
      <c r="U2383" t="s">
        <v>9</v>
      </c>
      <c r="V2383" t="s">
        <v>50</v>
      </c>
      <c r="W2383" t="s">
        <v>50</v>
      </c>
      <c r="X2383" t="s">
        <v>33</v>
      </c>
      <c r="Y2383" t="s">
        <v>3769</v>
      </c>
      <c r="Z2383" t="s">
        <v>101</v>
      </c>
    </row>
    <row r="2384" spans="1:26">
      <c r="A2384" t="s">
        <v>4517</v>
      </c>
      <c r="B2384" t="s">
        <v>4517</v>
      </c>
      <c r="C2384" s="4">
        <v>46021</v>
      </c>
      <c r="D2384">
        <v>2025</v>
      </c>
      <c r="E2384">
        <v>12</v>
      </c>
      <c r="F2384" t="s">
        <v>28</v>
      </c>
      <c r="G2384" t="s">
        <v>137</v>
      </c>
      <c r="H2384" t="s">
        <v>4205</v>
      </c>
      <c r="I2384" t="s">
        <v>312</v>
      </c>
      <c r="J2384" t="s">
        <v>802</v>
      </c>
      <c r="K2384" t="s">
        <v>803</v>
      </c>
      <c r="L2384">
        <v>3</v>
      </c>
      <c r="M2384" s="5">
        <v>383.51</v>
      </c>
      <c r="N2384" s="6">
        <v>10</v>
      </c>
      <c r="O2384" s="5">
        <v>115.05</v>
      </c>
      <c r="P2384" s="5">
        <v>155.32</v>
      </c>
      <c r="Q2384" s="5">
        <v>1035.48</v>
      </c>
      <c r="R2384" s="5">
        <v>857.7</v>
      </c>
      <c r="S2384" s="5">
        <v>177.78</v>
      </c>
      <c r="T2384" s="7">
        <v>0.171688492293429</v>
      </c>
      <c r="U2384" t="s">
        <v>14</v>
      </c>
      <c r="V2384" t="s">
        <v>50</v>
      </c>
      <c r="W2384" t="s">
        <v>50</v>
      </c>
      <c r="X2384" t="s">
        <v>33</v>
      </c>
      <c r="Y2384" t="s">
        <v>359</v>
      </c>
      <c r="Z2384" t="s">
        <v>101</v>
      </c>
    </row>
    <row r="2385" spans="1:26">
      <c r="A2385" t="s">
        <v>4518</v>
      </c>
      <c r="B2385" t="s">
        <v>4518</v>
      </c>
      <c r="C2385" s="4">
        <v>45983</v>
      </c>
      <c r="D2385">
        <v>2025</v>
      </c>
      <c r="E2385">
        <v>11</v>
      </c>
      <c r="F2385" t="s">
        <v>27</v>
      </c>
      <c r="G2385" t="s">
        <v>137</v>
      </c>
      <c r="H2385" t="s">
        <v>2367</v>
      </c>
      <c r="I2385" t="s">
        <v>225</v>
      </c>
      <c r="J2385" t="s">
        <v>665</v>
      </c>
      <c r="K2385" t="s">
        <v>784</v>
      </c>
      <c r="L2385">
        <v>7</v>
      </c>
      <c r="M2385" s="5">
        <v>397.16</v>
      </c>
      <c r="N2385" s="6">
        <v>0</v>
      </c>
      <c r="O2385" s="5">
        <v>0</v>
      </c>
      <c r="P2385" s="5">
        <v>417.02</v>
      </c>
      <c r="Q2385" s="5">
        <v>3197.14</v>
      </c>
      <c r="R2385" s="5">
        <v>2123.87</v>
      </c>
      <c r="S2385" s="5">
        <v>1073.27</v>
      </c>
      <c r="T2385" s="7">
        <v>0.335696904108047</v>
      </c>
      <c r="U2385" t="s">
        <v>10</v>
      </c>
      <c r="V2385" t="s">
        <v>50</v>
      </c>
      <c r="W2385" t="s">
        <v>50</v>
      </c>
      <c r="X2385" t="s">
        <v>33</v>
      </c>
      <c r="Y2385" t="s">
        <v>2514</v>
      </c>
      <c r="Z2385" t="s">
        <v>80</v>
      </c>
    </row>
    <row r="2386" spans="1:26">
      <c r="A2386" t="s">
        <v>4519</v>
      </c>
      <c r="B2386" t="s">
        <v>4519</v>
      </c>
      <c r="C2386" s="4">
        <v>45904</v>
      </c>
      <c r="D2386">
        <v>2025</v>
      </c>
      <c r="E2386">
        <v>9</v>
      </c>
      <c r="F2386" t="s">
        <v>25</v>
      </c>
      <c r="G2386" t="s">
        <v>89</v>
      </c>
      <c r="H2386" t="s">
        <v>1034</v>
      </c>
      <c r="I2386" t="s">
        <v>245</v>
      </c>
      <c r="J2386" t="s">
        <v>695</v>
      </c>
      <c r="K2386" t="s">
        <v>1259</v>
      </c>
      <c r="L2386">
        <v>5</v>
      </c>
      <c r="M2386" s="5">
        <v>132.24</v>
      </c>
      <c r="N2386" s="6">
        <v>5</v>
      </c>
      <c r="O2386" s="5">
        <v>33.06</v>
      </c>
      <c r="P2386" s="5">
        <v>94.22</v>
      </c>
      <c r="Q2386" s="5">
        <v>628.14</v>
      </c>
      <c r="R2386" s="5">
        <v>544.6</v>
      </c>
      <c r="S2386" s="5">
        <v>83.54</v>
      </c>
      <c r="T2386" s="7">
        <v>0.132995828955328</v>
      </c>
      <c r="U2386" t="s">
        <v>9</v>
      </c>
      <c r="V2386" t="s">
        <v>50</v>
      </c>
      <c r="W2386" t="s">
        <v>50</v>
      </c>
      <c r="X2386" t="s">
        <v>33</v>
      </c>
      <c r="Y2386" t="s">
        <v>2424</v>
      </c>
      <c r="Z2386" t="s">
        <v>101</v>
      </c>
    </row>
    <row r="2387" spans="1:26">
      <c r="A2387" t="s">
        <v>4520</v>
      </c>
      <c r="B2387" t="s">
        <v>4520</v>
      </c>
      <c r="C2387" s="4">
        <v>45817</v>
      </c>
      <c r="D2387">
        <v>2025</v>
      </c>
      <c r="E2387">
        <v>6</v>
      </c>
      <c r="F2387" t="s">
        <v>22</v>
      </c>
      <c r="G2387" t="s">
        <v>74</v>
      </c>
      <c r="H2387" t="s">
        <v>1023</v>
      </c>
      <c r="I2387" t="s">
        <v>332</v>
      </c>
      <c r="J2387" t="s">
        <v>882</v>
      </c>
      <c r="K2387" t="s">
        <v>1500</v>
      </c>
      <c r="L2387">
        <v>1</v>
      </c>
      <c r="M2387" s="5">
        <v>73.83</v>
      </c>
      <c r="N2387" s="6">
        <v>0</v>
      </c>
      <c r="O2387" s="5">
        <v>0</v>
      </c>
      <c r="P2387" s="5">
        <v>11.07</v>
      </c>
      <c r="Q2387" s="5">
        <v>73.83</v>
      </c>
      <c r="R2387" s="5">
        <v>54.32</v>
      </c>
      <c r="S2387" s="5">
        <v>19.51</v>
      </c>
      <c r="T2387" s="7">
        <v>0.264255722605987</v>
      </c>
      <c r="U2387" t="s">
        <v>9</v>
      </c>
      <c r="V2387" t="s">
        <v>50</v>
      </c>
      <c r="W2387" t="s">
        <v>50</v>
      </c>
      <c r="X2387" t="s">
        <v>33</v>
      </c>
      <c r="Y2387" t="s">
        <v>2077</v>
      </c>
      <c r="Z2387" t="s">
        <v>101</v>
      </c>
    </row>
    <row r="2388" spans="1:26">
      <c r="A2388" t="s">
        <v>4521</v>
      </c>
      <c r="B2388" t="s">
        <v>4521</v>
      </c>
      <c r="C2388" s="4">
        <v>45840</v>
      </c>
      <c r="D2388">
        <v>2025</v>
      </c>
      <c r="E2388">
        <v>7</v>
      </c>
      <c r="F2388" t="s">
        <v>23</v>
      </c>
      <c r="G2388" t="s">
        <v>89</v>
      </c>
      <c r="H2388" t="s">
        <v>239</v>
      </c>
      <c r="I2388" t="s">
        <v>819</v>
      </c>
      <c r="J2388" t="s">
        <v>240</v>
      </c>
      <c r="K2388" t="s">
        <v>2957</v>
      </c>
      <c r="L2388">
        <v>3</v>
      </c>
      <c r="M2388" s="5">
        <v>86.11</v>
      </c>
      <c r="N2388" s="6">
        <v>20</v>
      </c>
      <c r="O2388" s="5">
        <v>51.67</v>
      </c>
      <c r="P2388" s="5">
        <v>31</v>
      </c>
      <c r="Q2388" s="5">
        <v>206.66</v>
      </c>
      <c r="R2388" s="5">
        <v>204.51</v>
      </c>
      <c r="S2388" s="5">
        <v>2.15</v>
      </c>
      <c r="T2388" s="7">
        <v>0.0104035614052066</v>
      </c>
      <c r="U2388" t="s">
        <v>9</v>
      </c>
      <c r="V2388" t="s">
        <v>50</v>
      </c>
      <c r="W2388" t="s">
        <v>50</v>
      </c>
      <c r="X2388" t="s">
        <v>34</v>
      </c>
      <c r="Y2388" t="s">
        <v>2562</v>
      </c>
      <c r="Z2388" t="s">
        <v>101</v>
      </c>
    </row>
    <row r="2389" spans="1:26">
      <c r="A2389" t="s">
        <v>4522</v>
      </c>
      <c r="B2389" t="s">
        <v>4522</v>
      </c>
      <c r="C2389" s="4">
        <v>46103</v>
      </c>
      <c r="D2389">
        <v>2026</v>
      </c>
      <c r="E2389">
        <v>3</v>
      </c>
      <c r="F2389" t="s">
        <v>19</v>
      </c>
      <c r="G2389" t="s">
        <v>82</v>
      </c>
      <c r="H2389" t="s">
        <v>3017</v>
      </c>
      <c r="I2389" t="s">
        <v>429</v>
      </c>
      <c r="J2389" t="s">
        <v>44</v>
      </c>
      <c r="K2389" t="s">
        <v>518</v>
      </c>
      <c r="L2389">
        <v>5</v>
      </c>
      <c r="M2389" s="5">
        <v>433.39</v>
      </c>
      <c r="N2389" s="6">
        <v>0</v>
      </c>
      <c r="O2389" s="5">
        <v>0</v>
      </c>
      <c r="P2389" s="5">
        <v>325.04</v>
      </c>
      <c r="Q2389" s="5">
        <v>2491.99</v>
      </c>
      <c r="R2389" s="5">
        <v>1680.35</v>
      </c>
      <c r="S2389" s="5">
        <v>811.64</v>
      </c>
      <c r="T2389" s="7">
        <v>0.325699541330423</v>
      </c>
      <c r="U2389" t="s">
        <v>10</v>
      </c>
      <c r="V2389" t="s">
        <v>50</v>
      </c>
      <c r="W2389" t="s">
        <v>50</v>
      </c>
      <c r="X2389" t="s">
        <v>33</v>
      </c>
      <c r="Y2389" t="s">
        <v>1712</v>
      </c>
      <c r="Z2389" t="s">
        <v>80</v>
      </c>
    </row>
    <row r="2390" spans="1:26">
      <c r="A2390" t="s">
        <v>4523</v>
      </c>
      <c r="B2390" t="s">
        <v>4523</v>
      </c>
      <c r="C2390" s="4">
        <v>45867</v>
      </c>
      <c r="D2390">
        <v>2025</v>
      </c>
      <c r="E2390">
        <v>7</v>
      </c>
      <c r="F2390" t="s">
        <v>23</v>
      </c>
      <c r="G2390" t="s">
        <v>89</v>
      </c>
      <c r="H2390" t="s">
        <v>1660</v>
      </c>
      <c r="I2390" t="s">
        <v>356</v>
      </c>
      <c r="J2390" t="s">
        <v>626</v>
      </c>
      <c r="K2390" t="s">
        <v>93</v>
      </c>
      <c r="L2390">
        <v>3</v>
      </c>
      <c r="M2390" s="5">
        <v>510.28</v>
      </c>
      <c r="N2390" s="6">
        <v>15</v>
      </c>
      <c r="O2390" s="5">
        <v>229.63</v>
      </c>
      <c r="P2390" s="5">
        <v>195.18</v>
      </c>
      <c r="Q2390" s="5">
        <v>1301.21</v>
      </c>
      <c r="R2390" s="5">
        <v>848.64</v>
      </c>
      <c r="S2390" s="5">
        <v>452.57</v>
      </c>
      <c r="T2390" s="7">
        <v>0.347807041138632</v>
      </c>
      <c r="U2390" t="s">
        <v>12</v>
      </c>
      <c r="V2390" t="s">
        <v>50</v>
      </c>
      <c r="W2390" t="s">
        <v>50</v>
      </c>
      <c r="X2390" t="s">
        <v>33</v>
      </c>
      <c r="Y2390" t="s">
        <v>733</v>
      </c>
      <c r="Z2390" t="s">
        <v>101</v>
      </c>
    </row>
    <row r="2391" spans="1:26">
      <c r="A2391" t="s">
        <v>4524</v>
      </c>
      <c r="B2391" t="s">
        <v>4524</v>
      </c>
      <c r="C2391" s="4">
        <v>45970</v>
      </c>
      <c r="D2391">
        <v>2025</v>
      </c>
      <c r="E2391">
        <v>11</v>
      </c>
      <c r="F2391" t="s">
        <v>27</v>
      </c>
      <c r="G2391" t="s">
        <v>137</v>
      </c>
      <c r="H2391" t="s">
        <v>367</v>
      </c>
      <c r="I2391" t="s">
        <v>417</v>
      </c>
      <c r="J2391" t="s">
        <v>1718</v>
      </c>
      <c r="K2391" t="s">
        <v>99</v>
      </c>
      <c r="L2391">
        <v>6</v>
      </c>
      <c r="M2391" s="5">
        <v>421.9</v>
      </c>
      <c r="N2391" s="6">
        <v>0</v>
      </c>
      <c r="O2391" s="5">
        <v>0</v>
      </c>
      <c r="P2391" s="5">
        <v>379.71</v>
      </c>
      <c r="Q2391" s="5">
        <v>2911.11</v>
      </c>
      <c r="R2391" s="5">
        <v>1859.88</v>
      </c>
      <c r="S2391" s="5">
        <v>1051.23</v>
      </c>
      <c r="T2391" s="7">
        <v>0.361109679812855</v>
      </c>
      <c r="U2391" t="s">
        <v>12</v>
      </c>
      <c r="V2391" t="s">
        <v>50</v>
      </c>
      <c r="W2391" t="s">
        <v>50</v>
      </c>
      <c r="X2391" t="s">
        <v>33</v>
      </c>
      <c r="Y2391" t="s">
        <v>1042</v>
      </c>
      <c r="Z2391" t="s">
        <v>80</v>
      </c>
    </row>
    <row r="2392" spans="1:26">
      <c r="A2392" t="s">
        <v>4525</v>
      </c>
      <c r="B2392" t="s">
        <v>4525</v>
      </c>
      <c r="C2392" s="4">
        <v>45961</v>
      </c>
      <c r="D2392">
        <v>2025</v>
      </c>
      <c r="E2392">
        <v>10</v>
      </c>
      <c r="F2392" t="s">
        <v>26</v>
      </c>
      <c r="G2392" t="s">
        <v>137</v>
      </c>
      <c r="H2392" t="s">
        <v>4013</v>
      </c>
      <c r="I2392" t="s">
        <v>245</v>
      </c>
      <c r="J2392" t="s">
        <v>1104</v>
      </c>
      <c r="K2392" t="s">
        <v>3511</v>
      </c>
      <c r="L2392">
        <v>1</v>
      </c>
      <c r="M2392" s="5">
        <v>121.9</v>
      </c>
      <c r="N2392" s="6">
        <v>0</v>
      </c>
      <c r="O2392" s="5">
        <v>0</v>
      </c>
      <c r="P2392" s="5">
        <v>18.28</v>
      </c>
      <c r="Q2392" s="5">
        <v>121.9</v>
      </c>
      <c r="R2392" s="5">
        <v>108.92</v>
      </c>
      <c r="S2392" s="5">
        <v>12.98</v>
      </c>
      <c r="T2392" s="7">
        <v>0.106480721903199</v>
      </c>
      <c r="U2392" t="s">
        <v>14</v>
      </c>
      <c r="V2392" t="s">
        <v>50</v>
      </c>
      <c r="W2392" t="s">
        <v>50</v>
      </c>
      <c r="X2392" t="s">
        <v>34</v>
      </c>
      <c r="Y2392" t="s">
        <v>1005</v>
      </c>
      <c r="Z2392" t="s">
        <v>101</v>
      </c>
    </row>
    <row r="2393" spans="1:26">
      <c r="A2393" t="s">
        <v>4526</v>
      </c>
      <c r="B2393" t="s">
        <v>4526</v>
      </c>
      <c r="C2393" s="4">
        <v>46096</v>
      </c>
      <c r="D2393">
        <v>2026</v>
      </c>
      <c r="E2393">
        <v>3</v>
      </c>
      <c r="F2393" t="s">
        <v>19</v>
      </c>
      <c r="G2393" t="s">
        <v>82</v>
      </c>
      <c r="H2393" t="s">
        <v>646</v>
      </c>
      <c r="I2393" t="s">
        <v>151</v>
      </c>
      <c r="J2393" t="s">
        <v>802</v>
      </c>
      <c r="K2393" t="s">
        <v>803</v>
      </c>
      <c r="L2393">
        <v>3</v>
      </c>
      <c r="M2393" s="5">
        <v>471.05</v>
      </c>
      <c r="N2393" s="6">
        <v>0</v>
      </c>
      <c r="O2393" s="5">
        <v>0</v>
      </c>
      <c r="P2393" s="5">
        <v>211.97</v>
      </c>
      <c r="Q2393" s="5">
        <v>1625.12</v>
      </c>
      <c r="R2393" s="5">
        <v>1054.89</v>
      </c>
      <c r="S2393" s="5">
        <v>570.23</v>
      </c>
      <c r="T2393" s="7">
        <v>0.350884857733583</v>
      </c>
      <c r="U2393" t="s">
        <v>14</v>
      </c>
      <c r="V2393" t="s">
        <v>50</v>
      </c>
      <c r="W2393" t="s">
        <v>50</v>
      </c>
      <c r="X2393" t="s">
        <v>35</v>
      </c>
      <c r="Y2393" t="s">
        <v>1383</v>
      </c>
      <c r="Z2393" t="s">
        <v>80</v>
      </c>
    </row>
    <row r="2394" spans="1:26">
      <c r="A2394" t="s">
        <v>4527</v>
      </c>
      <c r="B2394" t="s">
        <v>4527</v>
      </c>
      <c r="C2394" s="4">
        <v>45932</v>
      </c>
      <c r="D2394">
        <v>2025</v>
      </c>
      <c r="E2394">
        <v>10</v>
      </c>
      <c r="F2394" t="s">
        <v>26</v>
      </c>
      <c r="G2394" t="s">
        <v>137</v>
      </c>
      <c r="H2394" t="s">
        <v>1732</v>
      </c>
      <c r="I2394" t="s">
        <v>225</v>
      </c>
      <c r="J2394" t="s">
        <v>1938</v>
      </c>
      <c r="K2394" t="s">
        <v>3296</v>
      </c>
      <c r="L2394">
        <v>2</v>
      </c>
      <c r="M2394" s="5">
        <v>355.64</v>
      </c>
      <c r="N2394" s="6">
        <v>0</v>
      </c>
      <c r="O2394" s="5">
        <v>0</v>
      </c>
      <c r="P2394" s="5">
        <v>106.69</v>
      </c>
      <c r="Q2394" s="5">
        <v>711.28</v>
      </c>
      <c r="R2394" s="5">
        <v>606.82</v>
      </c>
      <c r="S2394" s="5">
        <v>104.46</v>
      </c>
      <c r="T2394" s="7">
        <v>0.146861995276122</v>
      </c>
      <c r="U2394" t="s">
        <v>13</v>
      </c>
      <c r="V2394" t="s">
        <v>50</v>
      </c>
      <c r="W2394" t="s">
        <v>50</v>
      </c>
      <c r="X2394" t="s">
        <v>33</v>
      </c>
      <c r="Y2394" t="s">
        <v>2932</v>
      </c>
      <c r="Z2394" t="s">
        <v>101</v>
      </c>
    </row>
    <row r="2395" spans="1:26">
      <c r="A2395" t="s">
        <v>4528</v>
      </c>
      <c r="B2395" t="s">
        <v>4528</v>
      </c>
      <c r="C2395" s="4">
        <v>46019</v>
      </c>
      <c r="D2395">
        <v>2025</v>
      </c>
      <c r="E2395">
        <v>12</v>
      </c>
      <c r="F2395" t="s">
        <v>28</v>
      </c>
      <c r="G2395" t="s">
        <v>137</v>
      </c>
      <c r="H2395" t="s">
        <v>1070</v>
      </c>
      <c r="I2395" t="s">
        <v>362</v>
      </c>
      <c r="J2395" t="s">
        <v>357</v>
      </c>
      <c r="K2395" t="s">
        <v>494</v>
      </c>
      <c r="L2395">
        <v>6</v>
      </c>
      <c r="M2395" s="5">
        <v>352.68</v>
      </c>
      <c r="N2395" s="6">
        <v>0</v>
      </c>
      <c r="O2395" s="5">
        <v>0</v>
      </c>
      <c r="P2395" s="5">
        <v>317.41</v>
      </c>
      <c r="Q2395" s="5">
        <v>2433.49</v>
      </c>
      <c r="R2395" s="5">
        <v>1483.5</v>
      </c>
      <c r="S2395" s="5">
        <v>949.99</v>
      </c>
      <c r="T2395" s="7">
        <v>0.390381715149846</v>
      </c>
      <c r="U2395" t="s">
        <v>13</v>
      </c>
      <c r="V2395" t="s">
        <v>50</v>
      </c>
      <c r="W2395" t="s">
        <v>50</v>
      </c>
      <c r="X2395" t="s">
        <v>33</v>
      </c>
      <c r="Y2395" t="s">
        <v>2821</v>
      </c>
      <c r="Z2395" t="s">
        <v>80</v>
      </c>
    </row>
    <row r="2396" spans="1:26">
      <c r="A2396" t="s">
        <v>4529</v>
      </c>
      <c r="B2396" t="s">
        <v>4529</v>
      </c>
      <c r="C2396" s="4">
        <v>46085</v>
      </c>
      <c r="D2396">
        <v>2026</v>
      </c>
      <c r="E2396">
        <v>3</v>
      </c>
      <c r="F2396" t="s">
        <v>19</v>
      </c>
      <c r="G2396" t="s">
        <v>82</v>
      </c>
      <c r="H2396" t="s">
        <v>4530</v>
      </c>
      <c r="I2396" t="s">
        <v>225</v>
      </c>
      <c r="J2396" t="s">
        <v>1507</v>
      </c>
      <c r="K2396" t="s">
        <v>2229</v>
      </c>
      <c r="L2396">
        <v>2</v>
      </c>
      <c r="M2396" s="5">
        <v>355.64</v>
      </c>
      <c r="N2396" s="6">
        <v>15</v>
      </c>
      <c r="O2396" s="5">
        <v>106.69</v>
      </c>
      <c r="P2396" s="5">
        <v>90.69</v>
      </c>
      <c r="Q2396" s="5">
        <v>604.59</v>
      </c>
      <c r="R2396" s="5">
        <v>606.82</v>
      </c>
      <c r="S2396" s="5">
        <v>-2.23</v>
      </c>
      <c r="T2396" s="7">
        <v>-0.0036884500239832</v>
      </c>
      <c r="U2396" t="s">
        <v>11</v>
      </c>
      <c r="V2396" t="s">
        <v>51</v>
      </c>
      <c r="W2396" t="s">
        <v>51</v>
      </c>
      <c r="X2396" t="s">
        <v>35</v>
      </c>
      <c r="Y2396" t="s">
        <v>2899</v>
      </c>
      <c r="Z2396" t="s">
        <v>101</v>
      </c>
    </row>
    <row r="2397" spans="1:26">
      <c r="A2397" t="s">
        <v>4531</v>
      </c>
      <c r="B2397" t="s">
        <v>4531</v>
      </c>
      <c r="C2397" s="4">
        <v>45770</v>
      </c>
      <c r="D2397">
        <v>2025</v>
      </c>
      <c r="E2397">
        <v>4</v>
      </c>
      <c r="F2397" t="s">
        <v>20</v>
      </c>
      <c r="G2397" t="s">
        <v>74</v>
      </c>
      <c r="H2397" t="s">
        <v>897</v>
      </c>
      <c r="I2397" t="s">
        <v>132</v>
      </c>
      <c r="J2397" t="s">
        <v>1971</v>
      </c>
      <c r="K2397" t="s">
        <v>3462</v>
      </c>
      <c r="L2397">
        <v>8</v>
      </c>
      <c r="M2397" s="5">
        <v>276.87</v>
      </c>
      <c r="N2397" s="6">
        <v>5</v>
      </c>
      <c r="O2397" s="5">
        <v>110.75</v>
      </c>
      <c r="P2397" s="5">
        <v>315.63</v>
      </c>
      <c r="Q2397" s="5">
        <v>2104.21</v>
      </c>
      <c r="R2397" s="5">
        <v>1552.48</v>
      </c>
      <c r="S2397" s="5">
        <v>551.73</v>
      </c>
      <c r="T2397" s="7">
        <v>0.262202917009234</v>
      </c>
      <c r="U2397" t="s">
        <v>10</v>
      </c>
      <c r="V2397" t="s">
        <v>50</v>
      </c>
      <c r="W2397" t="s">
        <v>50</v>
      </c>
      <c r="X2397" t="s">
        <v>33</v>
      </c>
      <c r="Y2397" t="s">
        <v>462</v>
      </c>
      <c r="Z2397" t="s">
        <v>101</v>
      </c>
    </row>
    <row r="2398" spans="1:26">
      <c r="A2398" t="s">
        <v>4532</v>
      </c>
      <c r="B2398" t="s">
        <v>4532</v>
      </c>
      <c r="C2398" s="4">
        <v>45790</v>
      </c>
      <c r="D2398">
        <v>2025</v>
      </c>
      <c r="E2398">
        <v>5</v>
      </c>
      <c r="F2398" t="s">
        <v>21</v>
      </c>
      <c r="G2398" t="s">
        <v>74</v>
      </c>
      <c r="H2398" t="s">
        <v>2150</v>
      </c>
      <c r="I2398" t="s">
        <v>928</v>
      </c>
      <c r="J2398" t="s">
        <v>357</v>
      </c>
      <c r="K2398" t="s">
        <v>1540</v>
      </c>
      <c r="L2398">
        <v>4</v>
      </c>
      <c r="M2398" s="5">
        <v>252.99</v>
      </c>
      <c r="N2398" s="6">
        <v>0</v>
      </c>
      <c r="O2398" s="5">
        <v>0</v>
      </c>
      <c r="P2398" s="5">
        <v>151.79</v>
      </c>
      <c r="Q2398" s="5">
        <v>1011.96</v>
      </c>
      <c r="R2398" s="5">
        <v>769.64</v>
      </c>
      <c r="S2398" s="5">
        <v>242.32</v>
      </c>
      <c r="T2398" s="7">
        <v>0.239456104984387</v>
      </c>
      <c r="U2398" t="s">
        <v>12</v>
      </c>
      <c r="V2398" t="s">
        <v>50</v>
      </c>
      <c r="W2398" t="s">
        <v>50</v>
      </c>
      <c r="X2398" t="s">
        <v>33</v>
      </c>
      <c r="Y2398" t="s">
        <v>1144</v>
      </c>
      <c r="Z2398" t="s">
        <v>101</v>
      </c>
    </row>
    <row r="2399" spans="1:26">
      <c r="A2399" t="s">
        <v>4533</v>
      </c>
      <c r="B2399" t="s">
        <v>4533</v>
      </c>
      <c r="C2399" s="4">
        <v>46017</v>
      </c>
      <c r="D2399">
        <v>2025</v>
      </c>
      <c r="E2399">
        <v>12</v>
      </c>
      <c r="F2399" t="s">
        <v>28</v>
      </c>
      <c r="G2399" t="s">
        <v>137</v>
      </c>
      <c r="H2399" t="s">
        <v>1249</v>
      </c>
      <c r="I2399" t="s">
        <v>274</v>
      </c>
      <c r="J2399" t="s">
        <v>1104</v>
      </c>
      <c r="K2399" t="s">
        <v>1105</v>
      </c>
      <c r="L2399">
        <v>2</v>
      </c>
      <c r="M2399" s="5">
        <v>318.62</v>
      </c>
      <c r="N2399" s="6">
        <v>15</v>
      </c>
      <c r="O2399" s="5">
        <v>95.59</v>
      </c>
      <c r="P2399" s="5">
        <v>81.25</v>
      </c>
      <c r="Q2399" s="5">
        <v>541.65</v>
      </c>
      <c r="R2399" s="5">
        <v>443.44</v>
      </c>
      <c r="S2399" s="5">
        <v>98.21</v>
      </c>
      <c r="T2399" s="7">
        <v>0.181316348195329</v>
      </c>
      <c r="U2399" t="s">
        <v>9</v>
      </c>
      <c r="V2399" t="s">
        <v>50</v>
      </c>
      <c r="W2399" t="s">
        <v>50</v>
      </c>
      <c r="X2399" t="s">
        <v>33</v>
      </c>
      <c r="Y2399" t="s">
        <v>3101</v>
      </c>
      <c r="Z2399" t="s">
        <v>101</v>
      </c>
    </row>
    <row r="2400" spans="1:26">
      <c r="A2400" t="s">
        <v>4534</v>
      </c>
      <c r="B2400" t="s">
        <v>4534</v>
      </c>
      <c r="C2400" s="4">
        <v>45963</v>
      </c>
      <c r="D2400">
        <v>2025</v>
      </c>
      <c r="E2400">
        <v>11</v>
      </c>
      <c r="F2400" t="s">
        <v>27</v>
      </c>
      <c r="G2400" t="s">
        <v>137</v>
      </c>
      <c r="H2400" t="s">
        <v>1600</v>
      </c>
      <c r="I2400" t="s">
        <v>1686</v>
      </c>
      <c r="J2400" t="s">
        <v>713</v>
      </c>
      <c r="K2400" t="s">
        <v>704</v>
      </c>
      <c r="L2400">
        <v>8</v>
      </c>
      <c r="M2400" s="5">
        <v>260.52</v>
      </c>
      <c r="N2400" s="6">
        <v>5</v>
      </c>
      <c r="O2400" s="5">
        <v>104.21</v>
      </c>
      <c r="P2400" s="5">
        <v>296.99</v>
      </c>
      <c r="Q2400" s="5">
        <v>2276.94</v>
      </c>
      <c r="R2400" s="5">
        <v>1287.84</v>
      </c>
      <c r="S2400" s="5">
        <v>989.1</v>
      </c>
      <c r="T2400" s="7">
        <v>0.434398798387309</v>
      </c>
      <c r="U2400" t="s">
        <v>9</v>
      </c>
      <c r="V2400" t="s">
        <v>50</v>
      </c>
      <c r="W2400" t="s">
        <v>50</v>
      </c>
      <c r="X2400" t="s">
        <v>33</v>
      </c>
      <c r="Y2400" t="s">
        <v>2445</v>
      </c>
      <c r="Z2400" t="s">
        <v>80</v>
      </c>
    </row>
    <row r="2401" spans="1:26">
      <c r="A2401" t="s">
        <v>4535</v>
      </c>
      <c r="B2401" t="s">
        <v>4535</v>
      </c>
      <c r="C2401" s="4">
        <v>45843</v>
      </c>
      <c r="D2401">
        <v>2025</v>
      </c>
      <c r="E2401">
        <v>7</v>
      </c>
      <c r="F2401" t="s">
        <v>23</v>
      </c>
      <c r="G2401" t="s">
        <v>89</v>
      </c>
      <c r="H2401" t="s">
        <v>3130</v>
      </c>
      <c r="I2401" t="s">
        <v>290</v>
      </c>
      <c r="J2401" t="s">
        <v>1468</v>
      </c>
      <c r="K2401" t="s">
        <v>1055</v>
      </c>
      <c r="L2401">
        <v>1</v>
      </c>
      <c r="M2401" s="5">
        <v>80.5</v>
      </c>
      <c r="N2401" s="6">
        <v>20</v>
      </c>
      <c r="O2401" s="5">
        <v>16.1</v>
      </c>
      <c r="P2401" s="5">
        <v>9.66</v>
      </c>
      <c r="Q2401" s="5">
        <v>74.06</v>
      </c>
      <c r="R2401" s="5">
        <v>62.25</v>
      </c>
      <c r="S2401" s="5">
        <v>11.81</v>
      </c>
      <c r="T2401" s="7">
        <v>0.159465298406697</v>
      </c>
      <c r="U2401" t="s">
        <v>14</v>
      </c>
      <c r="V2401" t="s">
        <v>50</v>
      </c>
      <c r="W2401" t="s">
        <v>50</v>
      </c>
      <c r="X2401" t="s">
        <v>33</v>
      </c>
      <c r="Y2401" t="s">
        <v>851</v>
      </c>
      <c r="Z2401" t="s">
        <v>80</v>
      </c>
    </row>
    <row r="2402" spans="1:26">
      <c r="A2402" t="s">
        <v>4536</v>
      </c>
      <c r="B2402" t="s">
        <v>4536</v>
      </c>
      <c r="C2402" s="4">
        <v>45969</v>
      </c>
      <c r="D2402">
        <v>2025</v>
      </c>
      <c r="E2402">
        <v>11</v>
      </c>
      <c r="F2402" t="s">
        <v>27</v>
      </c>
      <c r="G2402" t="s">
        <v>137</v>
      </c>
      <c r="H2402" t="s">
        <v>536</v>
      </c>
      <c r="I2402" t="s">
        <v>947</v>
      </c>
      <c r="J2402" t="s">
        <v>77</v>
      </c>
      <c r="K2402" t="s">
        <v>2036</v>
      </c>
      <c r="L2402">
        <v>2</v>
      </c>
      <c r="M2402" s="5">
        <v>464.41</v>
      </c>
      <c r="N2402" s="6">
        <v>0</v>
      </c>
      <c r="O2402" s="5">
        <v>0</v>
      </c>
      <c r="P2402" s="5">
        <v>139.32</v>
      </c>
      <c r="Q2402" s="5">
        <v>1068.14</v>
      </c>
      <c r="R2402" s="5">
        <v>795.38</v>
      </c>
      <c r="S2402" s="5">
        <v>272.76</v>
      </c>
      <c r="T2402" s="7">
        <v>0.255359784297938</v>
      </c>
      <c r="U2402" t="s">
        <v>10</v>
      </c>
      <c r="V2402" t="s">
        <v>50</v>
      </c>
      <c r="W2402" t="s">
        <v>50</v>
      </c>
      <c r="X2402" t="s">
        <v>33</v>
      </c>
      <c r="Y2402" t="s">
        <v>644</v>
      </c>
      <c r="Z2402" t="s">
        <v>80</v>
      </c>
    </row>
    <row r="2403" spans="1:26">
      <c r="A2403" t="s">
        <v>4537</v>
      </c>
      <c r="B2403" t="s">
        <v>4537</v>
      </c>
      <c r="C2403" s="4">
        <v>45938</v>
      </c>
      <c r="D2403">
        <v>2025</v>
      </c>
      <c r="E2403">
        <v>10</v>
      </c>
      <c r="F2403" t="s">
        <v>26</v>
      </c>
      <c r="G2403" t="s">
        <v>137</v>
      </c>
      <c r="H2403" t="s">
        <v>103</v>
      </c>
      <c r="I2403" t="s">
        <v>406</v>
      </c>
      <c r="J2403" t="s">
        <v>642</v>
      </c>
      <c r="K2403" t="s">
        <v>1691</v>
      </c>
      <c r="L2403">
        <v>8</v>
      </c>
      <c r="M2403" s="5">
        <v>361.88</v>
      </c>
      <c r="N2403" s="6">
        <v>10</v>
      </c>
      <c r="O2403" s="5">
        <v>289.5</v>
      </c>
      <c r="P2403" s="5">
        <v>390.83</v>
      </c>
      <c r="Q2403" s="5">
        <v>2605.54</v>
      </c>
      <c r="R2403" s="5">
        <v>2102.4</v>
      </c>
      <c r="S2403" s="5">
        <v>503.14</v>
      </c>
      <c r="T2403" s="7">
        <v>0.193103924714263</v>
      </c>
      <c r="U2403" t="s">
        <v>14</v>
      </c>
      <c r="V2403" t="s">
        <v>50</v>
      </c>
      <c r="W2403" t="s">
        <v>50</v>
      </c>
      <c r="X2403" t="s">
        <v>33</v>
      </c>
      <c r="Y2403" t="s">
        <v>3284</v>
      </c>
      <c r="Z2403" t="s">
        <v>101</v>
      </c>
    </row>
    <row r="2404" spans="1:26">
      <c r="A2404" t="s">
        <v>4538</v>
      </c>
      <c r="B2404" t="s">
        <v>4538</v>
      </c>
      <c r="C2404" s="4">
        <v>45961</v>
      </c>
      <c r="D2404">
        <v>2025</v>
      </c>
      <c r="E2404">
        <v>10</v>
      </c>
      <c r="F2404" t="s">
        <v>26</v>
      </c>
      <c r="G2404" t="s">
        <v>137</v>
      </c>
      <c r="H2404" t="s">
        <v>521</v>
      </c>
      <c r="I2404" t="s">
        <v>279</v>
      </c>
      <c r="J2404" t="s">
        <v>345</v>
      </c>
      <c r="K2404" t="s">
        <v>1753</v>
      </c>
      <c r="L2404">
        <v>5</v>
      </c>
      <c r="M2404" s="5">
        <v>447.25</v>
      </c>
      <c r="N2404" s="6">
        <v>0</v>
      </c>
      <c r="O2404" s="5">
        <v>0</v>
      </c>
      <c r="P2404" s="5">
        <v>335.44</v>
      </c>
      <c r="Q2404" s="5">
        <v>2236.25</v>
      </c>
      <c r="R2404" s="5">
        <v>1544.7</v>
      </c>
      <c r="S2404" s="5">
        <v>691.55</v>
      </c>
      <c r="T2404" s="7">
        <v>0.309245388485187</v>
      </c>
      <c r="U2404" t="s">
        <v>9</v>
      </c>
      <c r="V2404" t="s">
        <v>50</v>
      </c>
      <c r="W2404" t="s">
        <v>50</v>
      </c>
      <c r="X2404" t="s">
        <v>35</v>
      </c>
      <c r="Y2404" t="s">
        <v>4539</v>
      </c>
      <c r="Z2404" t="s">
        <v>101</v>
      </c>
    </row>
    <row r="2405" spans="1:26">
      <c r="A2405" t="s">
        <v>4540</v>
      </c>
      <c r="B2405" t="s">
        <v>4540</v>
      </c>
      <c r="C2405" s="4">
        <v>45988</v>
      </c>
      <c r="D2405">
        <v>2025</v>
      </c>
      <c r="E2405">
        <v>11</v>
      </c>
      <c r="F2405" t="s">
        <v>27</v>
      </c>
      <c r="G2405" t="s">
        <v>137</v>
      </c>
      <c r="H2405" t="s">
        <v>3107</v>
      </c>
      <c r="I2405" t="s">
        <v>854</v>
      </c>
      <c r="J2405" t="s">
        <v>567</v>
      </c>
      <c r="K2405" t="s">
        <v>568</v>
      </c>
      <c r="L2405">
        <v>4</v>
      </c>
      <c r="M2405" s="5">
        <v>530.16</v>
      </c>
      <c r="N2405" s="6">
        <v>0</v>
      </c>
      <c r="O2405" s="5">
        <v>0</v>
      </c>
      <c r="P2405" s="5">
        <v>318.1</v>
      </c>
      <c r="Q2405" s="5">
        <v>2120.64</v>
      </c>
      <c r="R2405" s="5">
        <v>1516.76</v>
      </c>
      <c r="S2405" s="5">
        <v>603.88</v>
      </c>
      <c r="T2405" s="7">
        <v>0.284763090387807</v>
      </c>
      <c r="U2405" t="s">
        <v>11</v>
      </c>
      <c r="V2405" t="s">
        <v>50</v>
      </c>
      <c r="W2405" t="s">
        <v>50</v>
      </c>
      <c r="X2405" t="s">
        <v>33</v>
      </c>
      <c r="Y2405" t="s">
        <v>3548</v>
      </c>
      <c r="Z2405" t="s">
        <v>101</v>
      </c>
    </row>
    <row r="2406" spans="1:26">
      <c r="A2406" t="s">
        <v>4541</v>
      </c>
      <c r="B2406" t="s">
        <v>4541</v>
      </c>
      <c r="C2406" s="4">
        <v>46082</v>
      </c>
      <c r="D2406">
        <v>2026</v>
      </c>
      <c r="E2406">
        <v>3</v>
      </c>
      <c r="F2406" t="s">
        <v>19</v>
      </c>
      <c r="G2406" t="s">
        <v>82</v>
      </c>
      <c r="H2406" t="s">
        <v>2500</v>
      </c>
      <c r="I2406" t="s">
        <v>274</v>
      </c>
      <c r="J2406" t="s">
        <v>610</v>
      </c>
      <c r="K2406" t="s">
        <v>1073</v>
      </c>
      <c r="L2406">
        <v>5</v>
      </c>
      <c r="M2406" s="5">
        <v>364.69</v>
      </c>
      <c r="N2406" s="6">
        <v>0</v>
      </c>
      <c r="O2406" s="5">
        <v>0</v>
      </c>
      <c r="P2406" s="5">
        <v>273.52</v>
      </c>
      <c r="Q2406" s="5">
        <v>2096.97</v>
      </c>
      <c r="R2406" s="5">
        <v>1108.6</v>
      </c>
      <c r="S2406" s="5">
        <v>988.37</v>
      </c>
      <c r="T2406" s="7">
        <v>0.471332446339242</v>
      </c>
      <c r="U2406" t="s">
        <v>12</v>
      </c>
      <c r="V2406" t="s">
        <v>50</v>
      </c>
      <c r="W2406" t="s">
        <v>50</v>
      </c>
      <c r="X2406" t="s">
        <v>33</v>
      </c>
      <c r="Y2406" t="s">
        <v>254</v>
      </c>
      <c r="Z2406" t="s">
        <v>80</v>
      </c>
    </row>
    <row r="2407" spans="1:26">
      <c r="A2407" t="s">
        <v>4542</v>
      </c>
      <c r="B2407" t="s">
        <v>4542</v>
      </c>
      <c r="C2407" s="4">
        <v>45857</v>
      </c>
      <c r="D2407">
        <v>2025</v>
      </c>
      <c r="E2407">
        <v>7</v>
      </c>
      <c r="F2407" t="s">
        <v>23</v>
      </c>
      <c r="G2407" t="s">
        <v>89</v>
      </c>
      <c r="H2407" t="s">
        <v>2397</v>
      </c>
      <c r="I2407" t="s">
        <v>2120</v>
      </c>
      <c r="J2407" t="s">
        <v>140</v>
      </c>
      <c r="K2407" t="s">
        <v>141</v>
      </c>
      <c r="L2407">
        <v>5</v>
      </c>
      <c r="M2407" s="5">
        <v>392.68</v>
      </c>
      <c r="N2407" s="6">
        <v>20</v>
      </c>
      <c r="O2407" s="5">
        <v>392.68</v>
      </c>
      <c r="P2407" s="5">
        <v>235.61</v>
      </c>
      <c r="Q2407" s="5">
        <v>1806.33</v>
      </c>
      <c r="R2407" s="5">
        <v>1595.25</v>
      </c>
      <c r="S2407" s="5">
        <v>211.08</v>
      </c>
      <c r="T2407" s="7">
        <v>0.116855724037136</v>
      </c>
      <c r="U2407" t="s">
        <v>14</v>
      </c>
      <c r="V2407" t="s">
        <v>50</v>
      </c>
      <c r="W2407" t="s">
        <v>50</v>
      </c>
      <c r="X2407" t="s">
        <v>33</v>
      </c>
      <c r="Y2407" t="s">
        <v>1546</v>
      </c>
      <c r="Z2407" t="s">
        <v>80</v>
      </c>
    </row>
    <row r="2408" spans="1:26">
      <c r="A2408" t="s">
        <v>4543</v>
      </c>
      <c r="B2408" t="s">
        <v>4543</v>
      </c>
      <c r="C2408" s="4">
        <v>45866</v>
      </c>
      <c r="D2408">
        <v>2025</v>
      </c>
      <c r="E2408">
        <v>7</v>
      </c>
      <c r="F2408" t="s">
        <v>23</v>
      </c>
      <c r="G2408" t="s">
        <v>89</v>
      </c>
      <c r="H2408" t="s">
        <v>1279</v>
      </c>
      <c r="I2408" t="s">
        <v>1343</v>
      </c>
      <c r="J2408" t="s">
        <v>1127</v>
      </c>
      <c r="K2408" t="s">
        <v>1588</v>
      </c>
      <c r="L2408">
        <v>5</v>
      </c>
      <c r="M2408" s="5">
        <v>521.9</v>
      </c>
      <c r="N2408" s="6">
        <v>0</v>
      </c>
      <c r="O2408" s="5">
        <v>0</v>
      </c>
      <c r="P2408" s="5">
        <v>391.42</v>
      </c>
      <c r="Q2408" s="5">
        <v>2609.5</v>
      </c>
      <c r="R2408" s="5">
        <v>1867.9</v>
      </c>
      <c r="S2408" s="5">
        <v>741.6</v>
      </c>
      <c r="T2408" s="7">
        <v>0.284192374018011</v>
      </c>
      <c r="U2408" t="s">
        <v>13</v>
      </c>
      <c r="V2408" t="s">
        <v>50</v>
      </c>
      <c r="W2408" t="s">
        <v>50</v>
      </c>
      <c r="X2408" t="s">
        <v>33</v>
      </c>
      <c r="Y2408" t="s">
        <v>292</v>
      </c>
      <c r="Z2408" t="s">
        <v>101</v>
      </c>
    </row>
    <row r="2409" spans="1:26">
      <c r="A2409" t="s">
        <v>4544</v>
      </c>
      <c r="B2409" t="s">
        <v>4544</v>
      </c>
      <c r="C2409" s="4">
        <v>46076</v>
      </c>
      <c r="D2409">
        <v>2026</v>
      </c>
      <c r="E2409">
        <v>2</v>
      </c>
      <c r="F2409" t="s">
        <v>31</v>
      </c>
      <c r="G2409" t="s">
        <v>82</v>
      </c>
      <c r="H2409" t="s">
        <v>3051</v>
      </c>
      <c r="I2409" t="s">
        <v>947</v>
      </c>
      <c r="J2409" t="s">
        <v>280</v>
      </c>
      <c r="K2409" t="s">
        <v>281</v>
      </c>
      <c r="L2409">
        <v>1</v>
      </c>
      <c r="M2409" s="5">
        <v>464.41</v>
      </c>
      <c r="N2409" s="6">
        <v>20</v>
      </c>
      <c r="O2409" s="5">
        <v>92.88</v>
      </c>
      <c r="P2409" s="5">
        <v>55.73</v>
      </c>
      <c r="Q2409" s="5">
        <v>371.53</v>
      </c>
      <c r="R2409" s="5">
        <v>397.69</v>
      </c>
      <c r="S2409" s="5">
        <v>-26.16</v>
      </c>
      <c r="T2409" s="7">
        <v>-0.0704115414636772</v>
      </c>
      <c r="U2409" t="s">
        <v>12</v>
      </c>
      <c r="V2409" t="s">
        <v>50</v>
      </c>
      <c r="W2409" t="s">
        <v>50</v>
      </c>
      <c r="X2409" t="s">
        <v>35</v>
      </c>
      <c r="Y2409" t="s">
        <v>2724</v>
      </c>
      <c r="Z2409" t="s">
        <v>101</v>
      </c>
    </row>
    <row r="2410" spans="1:26">
      <c r="A2410" t="s">
        <v>4545</v>
      </c>
      <c r="B2410" t="s">
        <v>4545</v>
      </c>
      <c r="C2410" s="4">
        <v>45884</v>
      </c>
      <c r="D2410">
        <v>2025</v>
      </c>
      <c r="E2410">
        <v>8</v>
      </c>
      <c r="F2410" t="s">
        <v>24</v>
      </c>
      <c r="G2410" t="s">
        <v>89</v>
      </c>
      <c r="H2410" t="s">
        <v>1660</v>
      </c>
      <c r="I2410" t="s">
        <v>338</v>
      </c>
      <c r="J2410" t="s">
        <v>751</v>
      </c>
      <c r="K2410" t="s">
        <v>752</v>
      </c>
      <c r="L2410">
        <v>5</v>
      </c>
      <c r="M2410" s="5">
        <v>234.51</v>
      </c>
      <c r="N2410" s="6">
        <v>0</v>
      </c>
      <c r="O2410" s="5">
        <v>0</v>
      </c>
      <c r="P2410" s="5">
        <v>175.88</v>
      </c>
      <c r="Q2410" s="5">
        <v>1172.55</v>
      </c>
      <c r="R2410" s="5">
        <v>778.25</v>
      </c>
      <c r="S2410" s="5">
        <v>394.3</v>
      </c>
      <c r="T2410" s="7">
        <v>0.33627563856552</v>
      </c>
      <c r="U2410" t="s">
        <v>11</v>
      </c>
      <c r="V2410" t="s">
        <v>50</v>
      </c>
      <c r="W2410" t="s">
        <v>50</v>
      </c>
      <c r="X2410" t="s">
        <v>33</v>
      </c>
      <c r="Y2410" t="s">
        <v>2792</v>
      </c>
      <c r="Z2410" t="s">
        <v>101</v>
      </c>
    </row>
    <row r="2411" spans="1:26">
      <c r="A2411" t="s">
        <v>4546</v>
      </c>
      <c r="B2411" t="s">
        <v>4546</v>
      </c>
      <c r="C2411" s="4">
        <v>45878</v>
      </c>
      <c r="D2411">
        <v>2025</v>
      </c>
      <c r="E2411">
        <v>8</v>
      </c>
      <c r="F2411" t="s">
        <v>24</v>
      </c>
      <c r="G2411" t="s">
        <v>89</v>
      </c>
      <c r="H2411" t="s">
        <v>806</v>
      </c>
      <c r="I2411" t="s">
        <v>797</v>
      </c>
      <c r="J2411" t="s">
        <v>269</v>
      </c>
      <c r="K2411" t="s">
        <v>303</v>
      </c>
      <c r="L2411">
        <v>6</v>
      </c>
      <c r="M2411" s="5">
        <v>492.76</v>
      </c>
      <c r="N2411" s="6">
        <v>5</v>
      </c>
      <c r="O2411" s="5">
        <v>147.83</v>
      </c>
      <c r="P2411" s="5">
        <v>421.31</v>
      </c>
      <c r="Q2411" s="5">
        <v>3230.04</v>
      </c>
      <c r="R2411" s="5">
        <v>2111.22</v>
      </c>
      <c r="S2411" s="5">
        <v>1118.82</v>
      </c>
      <c r="T2411" s="7">
        <v>0.346379611398001</v>
      </c>
      <c r="U2411" t="s">
        <v>11</v>
      </c>
      <c r="V2411" t="s">
        <v>50</v>
      </c>
      <c r="W2411" t="s">
        <v>50</v>
      </c>
      <c r="X2411" t="s">
        <v>33</v>
      </c>
      <c r="Y2411" t="s">
        <v>4547</v>
      </c>
      <c r="Z2411" t="s">
        <v>80</v>
      </c>
    </row>
    <row r="2412" spans="1:26">
      <c r="A2412" t="s">
        <v>4548</v>
      </c>
      <c r="B2412" t="s">
        <v>4548</v>
      </c>
      <c r="C2412" s="4">
        <v>45935</v>
      </c>
      <c r="D2412">
        <v>2025</v>
      </c>
      <c r="E2412">
        <v>10</v>
      </c>
      <c r="F2412" t="s">
        <v>26</v>
      </c>
      <c r="G2412" t="s">
        <v>137</v>
      </c>
      <c r="H2412" t="s">
        <v>131</v>
      </c>
      <c r="I2412" t="s">
        <v>609</v>
      </c>
      <c r="J2412" t="s">
        <v>813</v>
      </c>
      <c r="K2412" t="s">
        <v>1255</v>
      </c>
      <c r="L2412">
        <v>2</v>
      </c>
      <c r="M2412" s="5">
        <v>328.59</v>
      </c>
      <c r="N2412" s="6">
        <v>0</v>
      </c>
      <c r="O2412" s="5">
        <v>0</v>
      </c>
      <c r="P2412" s="5">
        <v>98.58</v>
      </c>
      <c r="Q2412" s="5">
        <v>755.76</v>
      </c>
      <c r="R2412" s="5">
        <v>510.98</v>
      </c>
      <c r="S2412" s="5">
        <v>244.78</v>
      </c>
      <c r="T2412" s="7">
        <v>0.323885889700434</v>
      </c>
      <c r="U2412" t="s">
        <v>14</v>
      </c>
      <c r="V2412" t="s">
        <v>50</v>
      </c>
      <c r="W2412" t="s">
        <v>50</v>
      </c>
      <c r="X2412" t="s">
        <v>34</v>
      </c>
      <c r="Y2412" t="s">
        <v>2077</v>
      </c>
      <c r="Z2412" t="s">
        <v>80</v>
      </c>
    </row>
    <row r="2413" spans="1:26">
      <c r="A2413" t="s">
        <v>4549</v>
      </c>
      <c r="B2413" t="s">
        <v>4549</v>
      </c>
      <c r="C2413" s="4">
        <v>45753</v>
      </c>
      <c r="D2413">
        <v>2025</v>
      </c>
      <c r="E2413">
        <v>4</v>
      </c>
      <c r="F2413" t="s">
        <v>20</v>
      </c>
      <c r="G2413" t="s">
        <v>74</v>
      </c>
      <c r="H2413" t="s">
        <v>652</v>
      </c>
      <c r="I2413" t="s">
        <v>328</v>
      </c>
      <c r="J2413" t="s">
        <v>175</v>
      </c>
      <c r="K2413" t="s">
        <v>176</v>
      </c>
      <c r="L2413">
        <v>4</v>
      </c>
      <c r="M2413" s="5">
        <v>124.84</v>
      </c>
      <c r="N2413" s="6">
        <v>0</v>
      </c>
      <c r="O2413" s="5">
        <v>0</v>
      </c>
      <c r="P2413" s="5">
        <v>74.9</v>
      </c>
      <c r="Q2413" s="5">
        <v>574.26</v>
      </c>
      <c r="R2413" s="5">
        <v>389.4</v>
      </c>
      <c r="S2413" s="5">
        <v>184.86</v>
      </c>
      <c r="T2413" s="7">
        <v>0.321909936265803</v>
      </c>
      <c r="U2413" t="s">
        <v>12</v>
      </c>
      <c r="V2413" t="s">
        <v>50</v>
      </c>
      <c r="W2413" t="s">
        <v>50</v>
      </c>
      <c r="X2413" t="s">
        <v>33</v>
      </c>
      <c r="Y2413" t="s">
        <v>2365</v>
      </c>
      <c r="Z2413" t="s">
        <v>80</v>
      </c>
    </row>
    <row r="2414" spans="1:26">
      <c r="A2414" t="s">
        <v>4550</v>
      </c>
      <c r="B2414" t="s">
        <v>4550</v>
      </c>
      <c r="C2414" s="4">
        <v>45948</v>
      </c>
      <c r="D2414">
        <v>2025</v>
      </c>
      <c r="E2414">
        <v>10</v>
      </c>
      <c r="F2414" t="s">
        <v>26</v>
      </c>
      <c r="G2414" t="s">
        <v>137</v>
      </c>
      <c r="H2414" t="s">
        <v>2698</v>
      </c>
      <c r="I2414" t="s">
        <v>1233</v>
      </c>
      <c r="J2414" t="s">
        <v>140</v>
      </c>
      <c r="K2414" t="s">
        <v>141</v>
      </c>
      <c r="L2414">
        <v>8</v>
      </c>
      <c r="M2414" s="5">
        <v>122.27</v>
      </c>
      <c r="N2414" s="6">
        <v>20</v>
      </c>
      <c r="O2414" s="5">
        <v>195.63</v>
      </c>
      <c r="P2414" s="5">
        <v>117.38</v>
      </c>
      <c r="Q2414" s="5">
        <v>899.91</v>
      </c>
      <c r="R2414" s="5">
        <v>743.68</v>
      </c>
      <c r="S2414" s="5">
        <v>156.23</v>
      </c>
      <c r="T2414" s="7">
        <v>0.17360624951384</v>
      </c>
      <c r="U2414" t="s">
        <v>14</v>
      </c>
      <c r="V2414" t="s">
        <v>50</v>
      </c>
      <c r="W2414" t="s">
        <v>50</v>
      </c>
      <c r="X2414" t="s">
        <v>35</v>
      </c>
      <c r="Y2414" t="s">
        <v>1902</v>
      </c>
      <c r="Z2414" t="s">
        <v>80</v>
      </c>
    </row>
    <row r="2415" spans="1:26">
      <c r="A2415" t="s">
        <v>4551</v>
      </c>
      <c r="B2415" t="s">
        <v>4551</v>
      </c>
      <c r="C2415" s="4">
        <v>45824</v>
      </c>
      <c r="D2415">
        <v>2025</v>
      </c>
      <c r="E2415">
        <v>6</v>
      </c>
      <c r="F2415" t="s">
        <v>22</v>
      </c>
      <c r="G2415" t="s">
        <v>74</v>
      </c>
      <c r="H2415" t="s">
        <v>3151</v>
      </c>
      <c r="I2415" t="s">
        <v>219</v>
      </c>
      <c r="J2415" t="s">
        <v>39</v>
      </c>
      <c r="K2415" t="s">
        <v>419</v>
      </c>
      <c r="L2415">
        <v>7</v>
      </c>
      <c r="M2415" s="5">
        <v>233.9</v>
      </c>
      <c r="N2415" s="6">
        <v>15</v>
      </c>
      <c r="O2415" s="5">
        <v>245.59</v>
      </c>
      <c r="P2415" s="5">
        <v>208.76</v>
      </c>
      <c r="Q2415" s="5">
        <v>1391.71</v>
      </c>
      <c r="R2415" s="5">
        <v>1336.3</v>
      </c>
      <c r="S2415" s="5">
        <v>55.41</v>
      </c>
      <c r="T2415" s="7">
        <v>0.0398143291346617</v>
      </c>
      <c r="U2415" t="s">
        <v>9</v>
      </c>
      <c r="V2415" t="s">
        <v>50</v>
      </c>
      <c r="W2415" t="s">
        <v>50</v>
      </c>
      <c r="X2415" t="s">
        <v>33</v>
      </c>
      <c r="Y2415" t="s">
        <v>392</v>
      </c>
      <c r="Z2415" t="s">
        <v>101</v>
      </c>
    </row>
    <row r="2416" spans="1:26">
      <c r="A2416" t="s">
        <v>4552</v>
      </c>
      <c r="B2416" t="s">
        <v>4552</v>
      </c>
      <c r="C2416" s="4">
        <v>45795</v>
      </c>
      <c r="D2416">
        <v>2025</v>
      </c>
      <c r="E2416">
        <v>5</v>
      </c>
      <c r="F2416" t="s">
        <v>21</v>
      </c>
      <c r="G2416" t="s">
        <v>74</v>
      </c>
      <c r="H2416" t="s">
        <v>1054</v>
      </c>
      <c r="I2416" t="s">
        <v>598</v>
      </c>
      <c r="J2416" t="s">
        <v>252</v>
      </c>
      <c r="K2416" t="s">
        <v>253</v>
      </c>
      <c r="L2416">
        <v>3</v>
      </c>
      <c r="M2416" s="5">
        <v>511.56</v>
      </c>
      <c r="N2416" s="6">
        <v>0</v>
      </c>
      <c r="O2416" s="5">
        <v>0</v>
      </c>
      <c r="P2416" s="5">
        <v>230.2</v>
      </c>
      <c r="Q2416" s="5">
        <v>1764.88</v>
      </c>
      <c r="R2416" s="5">
        <v>1096.71</v>
      </c>
      <c r="S2416" s="5">
        <v>668.17</v>
      </c>
      <c r="T2416" s="7">
        <v>0.378592312225194</v>
      </c>
      <c r="U2416" t="s">
        <v>10</v>
      </c>
      <c r="V2416" t="s">
        <v>50</v>
      </c>
      <c r="W2416" t="s">
        <v>50</v>
      </c>
      <c r="X2416" t="s">
        <v>35</v>
      </c>
      <c r="Y2416" t="s">
        <v>1699</v>
      </c>
      <c r="Z2416" t="s">
        <v>80</v>
      </c>
    </row>
    <row r="2417" spans="1:26">
      <c r="A2417" t="s">
        <v>4553</v>
      </c>
      <c r="B2417" t="s">
        <v>4553</v>
      </c>
      <c r="C2417" s="4">
        <v>45831</v>
      </c>
      <c r="D2417">
        <v>2025</v>
      </c>
      <c r="E2417">
        <v>6</v>
      </c>
      <c r="F2417" t="s">
        <v>22</v>
      </c>
      <c r="G2417" t="s">
        <v>74</v>
      </c>
      <c r="H2417" t="s">
        <v>230</v>
      </c>
      <c r="I2417" t="s">
        <v>937</v>
      </c>
      <c r="J2417" t="s">
        <v>850</v>
      </c>
      <c r="K2417" t="s">
        <v>270</v>
      </c>
      <c r="L2417">
        <v>3</v>
      </c>
      <c r="M2417" s="5">
        <v>461.01</v>
      </c>
      <c r="N2417" s="6">
        <v>15</v>
      </c>
      <c r="O2417" s="5">
        <v>207.45</v>
      </c>
      <c r="P2417" s="5">
        <v>176.34</v>
      </c>
      <c r="Q2417" s="5">
        <v>1175.58</v>
      </c>
      <c r="R2417" s="5">
        <v>1110.54</v>
      </c>
      <c r="S2417" s="5">
        <v>65.04</v>
      </c>
      <c r="T2417" s="7">
        <v>0.0553258816924412</v>
      </c>
      <c r="U2417" t="s">
        <v>10</v>
      </c>
      <c r="V2417" t="s">
        <v>50</v>
      </c>
      <c r="W2417" t="s">
        <v>50</v>
      </c>
      <c r="X2417" t="s">
        <v>33</v>
      </c>
      <c r="Y2417" t="s">
        <v>697</v>
      </c>
      <c r="Z2417" t="s">
        <v>101</v>
      </c>
    </row>
    <row r="2418" spans="1:26">
      <c r="A2418" t="s">
        <v>4554</v>
      </c>
      <c r="B2418" t="s">
        <v>4554</v>
      </c>
      <c r="C2418" s="4">
        <v>45768</v>
      </c>
      <c r="D2418">
        <v>2025</v>
      </c>
      <c r="E2418">
        <v>4</v>
      </c>
      <c r="F2418" t="s">
        <v>20</v>
      </c>
      <c r="G2418" t="s">
        <v>74</v>
      </c>
      <c r="H2418" t="s">
        <v>4555</v>
      </c>
      <c r="I2418" t="s">
        <v>553</v>
      </c>
      <c r="J2418" t="s">
        <v>46</v>
      </c>
      <c r="K2418" t="s">
        <v>1931</v>
      </c>
      <c r="L2418">
        <v>4</v>
      </c>
      <c r="M2418" s="5">
        <v>291.93</v>
      </c>
      <c r="N2418" s="6">
        <v>15</v>
      </c>
      <c r="O2418" s="5">
        <v>175.16</v>
      </c>
      <c r="P2418" s="5">
        <v>148.88</v>
      </c>
      <c r="Q2418" s="5">
        <v>992.56</v>
      </c>
      <c r="R2418" s="5">
        <v>1014.8</v>
      </c>
      <c r="S2418" s="5">
        <v>-22.24</v>
      </c>
      <c r="T2418" s="7">
        <v>-0.0224067058918353</v>
      </c>
      <c r="U2418" t="s">
        <v>13</v>
      </c>
      <c r="V2418" t="s">
        <v>50</v>
      </c>
      <c r="W2418" t="s">
        <v>50</v>
      </c>
      <c r="X2418" t="s">
        <v>33</v>
      </c>
      <c r="Y2418" t="s">
        <v>2207</v>
      </c>
      <c r="Z2418" t="s">
        <v>101</v>
      </c>
    </row>
    <row r="2419" spans="1:26">
      <c r="A2419" t="s">
        <v>4556</v>
      </c>
      <c r="B2419" t="s">
        <v>4556</v>
      </c>
      <c r="C2419" s="4">
        <v>46080</v>
      </c>
      <c r="D2419">
        <v>2026</v>
      </c>
      <c r="E2419">
        <v>2</v>
      </c>
      <c r="F2419" t="s">
        <v>31</v>
      </c>
      <c r="G2419" t="s">
        <v>82</v>
      </c>
      <c r="H2419" t="s">
        <v>3151</v>
      </c>
      <c r="I2419" t="s">
        <v>417</v>
      </c>
      <c r="J2419" t="s">
        <v>2259</v>
      </c>
      <c r="K2419" t="s">
        <v>1141</v>
      </c>
      <c r="L2419">
        <v>5</v>
      </c>
      <c r="M2419" s="5">
        <v>388.34</v>
      </c>
      <c r="N2419" s="6">
        <v>0</v>
      </c>
      <c r="O2419" s="5">
        <v>0</v>
      </c>
      <c r="P2419" s="5">
        <v>291.25</v>
      </c>
      <c r="Q2419" s="5">
        <v>1941.7</v>
      </c>
      <c r="R2419" s="5">
        <v>1549.9</v>
      </c>
      <c r="S2419" s="5">
        <v>391.8</v>
      </c>
      <c r="T2419" s="7">
        <v>0.20178194365762</v>
      </c>
      <c r="U2419" t="s">
        <v>10</v>
      </c>
      <c r="V2419" t="s">
        <v>50</v>
      </c>
      <c r="W2419" t="s">
        <v>50</v>
      </c>
      <c r="X2419" t="s">
        <v>35</v>
      </c>
      <c r="Y2419" t="s">
        <v>869</v>
      </c>
      <c r="Z2419" t="s">
        <v>101</v>
      </c>
    </row>
    <row r="2420" spans="1:26">
      <c r="A2420" t="s">
        <v>4557</v>
      </c>
      <c r="B2420" t="s">
        <v>4557</v>
      </c>
      <c r="C2420" s="4">
        <v>45871</v>
      </c>
      <c r="D2420">
        <v>2025</v>
      </c>
      <c r="E2420">
        <v>8</v>
      </c>
      <c r="F2420" t="s">
        <v>24</v>
      </c>
      <c r="G2420" t="s">
        <v>89</v>
      </c>
      <c r="H2420" t="s">
        <v>1103</v>
      </c>
      <c r="I2420" t="s">
        <v>423</v>
      </c>
      <c r="J2420" t="s">
        <v>333</v>
      </c>
      <c r="K2420" t="s">
        <v>2105</v>
      </c>
      <c r="L2420">
        <v>6</v>
      </c>
      <c r="M2420" s="5">
        <v>59.94</v>
      </c>
      <c r="N2420" s="6">
        <v>0</v>
      </c>
      <c r="O2420" s="5">
        <v>0</v>
      </c>
      <c r="P2420" s="5">
        <v>53.95</v>
      </c>
      <c r="Q2420" s="5">
        <v>413.59</v>
      </c>
      <c r="R2420" s="5">
        <v>258.06</v>
      </c>
      <c r="S2420" s="5">
        <v>155.53</v>
      </c>
      <c r="T2420" s="7">
        <v>0.376048743925143</v>
      </c>
      <c r="U2420" t="s">
        <v>12</v>
      </c>
      <c r="V2420" t="s">
        <v>50</v>
      </c>
      <c r="W2420" t="s">
        <v>50</v>
      </c>
      <c r="X2420" t="s">
        <v>33</v>
      </c>
      <c r="Y2420" t="s">
        <v>2724</v>
      </c>
      <c r="Z2420" t="s">
        <v>80</v>
      </c>
    </row>
    <row r="2421" spans="1:26">
      <c r="A2421" t="s">
        <v>4558</v>
      </c>
      <c r="B2421" t="s">
        <v>4558</v>
      </c>
      <c r="C2421" s="4">
        <v>45882</v>
      </c>
      <c r="D2421">
        <v>2025</v>
      </c>
      <c r="E2421">
        <v>8</v>
      </c>
      <c r="F2421" t="s">
        <v>24</v>
      </c>
      <c r="G2421" t="s">
        <v>89</v>
      </c>
      <c r="H2421" t="s">
        <v>1745</v>
      </c>
      <c r="I2421" t="s">
        <v>498</v>
      </c>
      <c r="J2421" t="s">
        <v>390</v>
      </c>
      <c r="K2421" t="s">
        <v>391</v>
      </c>
      <c r="L2421">
        <v>3</v>
      </c>
      <c r="M2421" s="5">
        <v>405.66</v>
      </c>
      <c r="N2421" s="6">
        <v>0</v>
      </c>
      <c r="O2421" s="5">
        <v>0</v>
      </c>
      <c r="P2421" s="5">
        <v>182.55</v>
      </c>
      <c r="Q2421" s="5">
        <v>1216.98</v>
      </c>
      <c r="R2421" s="5">
        <v>931.14</v>
      </c>
      <c r="S2421" s="5">
        <v>285.84</v>
      </c>
      <c r="T2421" s="7">
        <v>0.234876497559533</v>
      </c>
      <c r="U2421" t="s">
        <v>14</v>
      </c>
      <c r="V2421" t="s">
        <v>50</v>
      </c>
      <c r="W2421" t="s">
        <v>50</v>
      </c>
      <c r="X2421" t="s">
        <v>33</v>
      </c>
      <c r="Y2421" t="s">
        <v>1615</v>
      </c>
      <c r="Z2421" t="s">
        <v>101</v>
      </c>
    </row>
    <row r="2422" spans="1:26">
      <c r="A2422" t="s">
        <v>4559</v>
      </c>
      <c r="B2422" t="s">
        <v>4559</v>
      </c>
      <c r="C2422" s="4">
        <v>46003</v>
      </c>
      <c r="D2422">
        <v>2025</v>
      </c>
      <c r="E2422">
        <v>12</v>
      </c>
      <c r="F2422" t="s">
        <v>28</v>
      </c>
      <c r="G2422" t="s">
        <v>137</v>
      </c>
      <c r="H2422" t="s">
        <v>3446</v>
      </c>
      <c r="I2422" t="s">
        <v>174</v>
      </c>
      <c r="J2422" t="s">
        <v>345</v>
      </c>
      <c r="K2422" t="s">
        <v>346</v>
      </c>
      <c r="L2422">
        <v>1</v>
      </c>
      <c r="M2422" s="5">
        <v>397.22</v>
      </c>
      <c r="N2422" s="6">
        <v>0</v>
      </c>
      <c r="O2422" s="5">
        <v>0</v>
      </c>
      <c r="P2422" s="5">
        <v>59.58</v>
      </c>
      <c r="Q2422" s="5">
        <v>397.22</v>
      </c>
      <c r="R2422" s="5">
        <v>319.37</v>
      </c>
      <c r="S2422" s="5">
        <v>77.85</v>
      </c>
      <c r="T2422" s="7">
        <v>0.195987110417401</v>
      </c>
      <c r="U2422" t="s">
        <v>9</v>
      </c>
      <c r="V2422" t="s">
        <v>50</v>
      </c>
      <c r="W2422" t="s">
        <v>50</v>
      </c>
      <c r="X2422" t="s">
        <v>33</v>
      </c>
      <c r="Y2422" t="s">
        <v>673</v>
      </c>
      <c r="Z2422" t="s">
        <v>101</v>
      </c>
    </row>
    <row r="2423" spans="1:26">
      <c r="A2423" t="s">
        <v>4560</v>
      </c>
      <c r="B2423" t="s">
        <v>4560</v>
      </c>
      <c r="C2423" s="4">
        <v>46100</v>
      </c>
      <c r="D2423">
        <v>2026</v>
      </c>
      <c r="E2423">
        <v>3</v>
      </c>
      <c r="F2423" t="s">
        <v>19</v>
      </c>
      <c r="G2423" t="s">
        <v>82</v>
      </c>
      <c r="H2423" t="s">
        <v>608</v>
      </c>
      <c r="I2423" t="s">
        <v>722</v>
      </c>
      <c r="J2423" t="s">
        <v>220</v>
      </c>
      <c r="K2423" t="s">
        <v>258</v>
      </c>
      <c r="L2423">
        <v>6</v>
      </c>
      <c r="M2423" s="5">
        <v>164.87</v>
      </c>
      <c r="N2423" s="6">
        <v>0</v>
      </c>
      <c r="O2423" s="5">
        <v>0</v>
      </c>
      <c r="P2423" s="5">
        <v>148.38</v>
      </c>
      <c r="Q2423" s="5">
        <v>989.22</v>
      </c>
      <c r="R2423" s="5">
        <v>827.7</v>
      </c>
      <c r="S2423" s="5">
        <v>161.52</v>
      </c>
      <c r="T2423" s="7">
        <v>0.16328016012616</v>
      </c>
      <c r="U2423" t="s">
        <v>13</v>
      </c>
      <c r="V2423" t="s">
        <v>50</v>
      </c>
      <c r="W2423" t="s">
        <v>50</v>
      </c>
      <c r="X2423" t="s">
        <v>33</v>
      </c>
      <c r="Y2423" t="s">
        <v>113</v>
      </c>
      <c r="Z2423" t="s">
        <v>101</v>
      </c>
    </row>
    <row r="2424" spans="1:26">
      <c r="A2424" t="s">
        <v>4561</v>
      </c>
      <c r="B2424" t="s">
        <v>4561</v>
      </c>
      <c r="C2424" s="4">
        <v>45843</v>
      </c>
      <c r="D2424">
        <v>2025</v>
      </c>
      <c r="E2424">
        <v>7</v>
      </c>
      <c r="F2424" t="s">
        <v>23</v>
      </c>
      <c r="G2424" t="s">
        <v>89</v>
      </c>
      <c r="H2424" t="s">
        <v>1018</v>
      </c>
      <c r="I2424" t="s">
        <v>2580</v>
      </c>
      <c r="J2424" t="s">
        <v>302</v>
      </c>
      <c r="K2424" t="s">
        <v>303</v>
      </c>
      <c r="L2424">
        <v>5</v>
      </c>
      <c r="M2424" s="5">
        <v>64.71</v>
      </c>
      <c r="N2424" s="6">
        <v>10</v>
      </c>
      <c r="O2424" s="5">
        <v>32.35</v>
      </c>
      <c r="P2424" s="5">
        <v>43.68</v>
      </c>
      <c r="Q2424" s="5">
        <v>334.88</v>
      </c>
      <c r="R2424" s="5">
        <v>242.15</v>
      </c>
      <c r="S2424" s="5">
        <v>92.73</v>
      </c>
      <c r="T2424" s="7">
        <v>0.276905160057334</v>
      </c>
      <c r="U2424" t="s">
        <v>13</v>
      </c>
      <c r="V2424" t="s">
        <v>50</v>
      </c>
      <c r="W2424" t="s">
        <v>50</v>
      </c>
      <c r="X2424" t="s">
        <v>33</v>
      </c>
      <c r="Y2424" t="s">
        <v>2325</v>
      </c>
      <c r="Z2424" t="s">
        <v>80</v>
      </c>
    </row>
    <row r="2425" spans="1:26">
      <c r="A2425" t="s">
        <v>4562</v>
      </c>
      <c r="B2425" t="s">
        <v>4562</v>
      </c>
      <c r="C2425" s="4">
        <v>46018</v>
      </c>
      <c r="D2425">
        <v>2025</v>
      </c>
      <c r="E2425">
        <v>12</v>
      </c>
      <c r="F2425" t="s">
        <v>28</v>
      </c>
      <c r="G2425" t="s">
        <v>137</v>
      </c>
      <c r="H2425" t="s">
        <v>1980</v>
      </c>
      <c r="I2425" t="s">
        <v>169</v>
      </c>
      <c r="J2425" t="s">
        <v>202</v>
      </c>
      <c r="K2425" t="s">
        <v>203</v>
      </c>
      <c r="L2425">
        <v>5</v>
      </c>
      <c r="M2425" s="5">
        <v>151.48</v>
      </c>
      <c r="N2425" s="6">
        <v>0</v>
      </c>
      <c r="O2425" s="5">
        <v>0</v>
      </c>
      <c r="P2425" s="5">
        <v>113.61</v>
      </c>
      <c r="Q2425" s="5">
        <v>871.01</v>
      </c>
      <c r="R2425" s="5">
        <v>579.55</v>
      </c>
      <c r="S2425" s="5">
        <v>291.46</v>
      </c>
      <c r="T2425" s="7">
        <v>0.33462302384588</v>
      </c>
      <c r="U2425" t="s">
        <v>12</v>
      </c>
      <c r="V2425" t="s">
        <v>50</v>
      </c>
      <c r="W2425" t="s">
        <v>50</v>
      </c>
      <c r="X2425" t="s">
        <v>33</v>
      </c>
      <c r="Y2425" t="s">
        <v>4171</v>
      </c>
      <c r="Z2425" t="s">
        <v>80</v>
      </c>
    </row>
    <row r="2426" spans="1:26">
      <c r="A2426" t="s">
        <v>4563</v>
      </c>
      <c r="B2426" t="s">
        <v>4563</v>
      </c>
      <c r="C2426" s="4">
        <v>45990</v>
      </c>
      <c r="D2426">
        <v>2025</v>
      </c>
      <c r="E2426">
        <v>11</v>
      </c>
      <c r="F2426" t="s">
        <v>27</v>
      </c>
      <c r="G2426" t="s">
        <v>137</v>
      </c>
      <c r="H2426" t="s">
        <v>3104</v>
      </c>
      <c r="I2426" t="s">
        <v>97</v>
      </c>
      <c r="J2426" t="s">
        <v>246</v>
      </c>
      <c r="K2426" t="s">
        <v>736</v>
      </c>
      <c r="L2426">
        <v>3</v>
      </c>
      <c r="M2426" s="5">
        <v>429.2</v>
      </c>
      <c r="N2426" s="6">
        <v>0</v>
      </c>
      <c r="O2426" s="5">
        <v>0</v>
      </c>
      <c r="P2426" s="5">
        <v>193.14</v>
      </c>
      <c r="Q2426" s="5">
        <v>1480.74</v>
      </c>
      <c r="R2426" s="5">
        <v>709.62</v>
      </c>
      <c r="S2426" s="5">
        <v>771.12</v>
      </c>
      <c r="T2426" s="7">
        <v>0.520766643705174</v>
      </c>
      <c r="U2426" t="s">
        <v>11</v>
      </c>
      <c r="V2426" t="s">
        <v>50</v>
      </c>
      <c r="W2426" t="s">
        <v>50</v>
      </c>
      <c r="X2426" t="s">
        <v>34</v>
      </c>
      <c r="Y2426" t="s">
        <v>2913</v>
      </c>
      <c r="Z2426" t="s">
        <v>80</v>
      </c>
    </row>
    <row r="2427" spans="1:26">
      <c r="A2427" t="s">
        <v>4564</v>
      </c>
      <c r="B2427" t="s">
        <v>4564</v>
      </c>
      <c r="C2427" s="4">
        <v>45857</v>
      </c>
      <c r="D2427">
        <v>2025</v>
      </c>
      <c r="E2427">
        <v>7</v>
      </c>
      <c r="F2427" t="s">
        <v>23</v>
      </c>
      <c r="G2427" t="s">
        <v>89</v>
      </c>
      <c r="H2427" t="s">
        <v>2145</v>
      </c>
      <c r="I2427" t="s">
        <v>110</v>
      </c>
      <c r="J2427" t="s">
        <v>418</v>
      </c>
      <c r="K2427" t="s">
        <v>419</v>
      </c>
      <c r="L2427">
        <v>4</v>
      </c>
      <c r="M2427" s="5">
        <v>343.24</v>
      </c>
      <c r="N2427" s="6">
        <v>10</v>
      </c>
      <c r="O2427" s="5">
        <v>137.3</v>
      </c>
      <c r="P2427" s="5">
        <v>185.35</v>
      </c>
      <c r="Q2427" s="5">
        <v>1421.01</v>
      </c>
      <c r="R2427" s="5">
        <v>1087.12</v>
      </c>
      <c r="S2427" s="5">
        <v>333.89</v>
      </c>
      <c r="T2427" s="7">
        <v>0.234966678629988</v>
      </c>
      <c r="U2427" t="s">
        <v>13</v>
      </c>
      <c r="V2427" t="s">
        <v>50</v>
      </c>
      <c r="W2427" t="s">
        <v>50</v>
      </c>
      <c r="X2427" t="s">
        <v>33</v>
      </c>
      <c r="Y2427" t="s">
        <v>2045</v>
      </c>
      <c r="Z2427" t="s">
        <v>80</v>
      </c>
    </row>
    <row r="2428" spans="1:26">
      <c r="A2428" t="s">
        <v>4565</v>
      </c>
      <c r="B2428" t="s">
        <v>4565</v>
      </c>
      <c r="C2428" s="4">
        <v>46067</v>
      </c>
      <c r="D2428">
        <v>2026</v>
      </c>
      <c r="E2428">
        <v>2</v>
      </c>
      <c r="F2428" t="s">
        <v>31</v>
      </c>
      <c r="G2428" t="s">
        <v>82</v>
      </c>
      <c r="H2428" t="s">
        <v>1057</v>
      </c>
      <c r="I2428" t="s">
        <v>928</v>
      </c>
      <c r="J2428" t="s">
        <v>742</v>
      </c>
      <c r="K2428" t="s">
        <v>743</v>
      </c>
      <c r="L2428">
        <v>8</v>
      </c>
      <c r="M2428" s="5">
        <v>238.62</v>
      </c>
      <c r="N2428" s="6">
        <v>0</v>
      </c>
      <c r="O2428" s="5">
        <v>0</v>
      </c>
      <c r="P2428" s="5">
        <v>286.34</v>
      </c>
      <c r="Q2428" s="5">
        <v>2195.3</v>
      </c>
      <c r="R2428" s="5">
        <v>1539.28</v>
      </c>
      <c r="S2428" s="5">
        <v>656.02</v>
      </c>
      <c r="T2428" s="7">
        <v>0.298829317177607</v>
      </c>
      <c r="U2428" t="s">
        <v>13</v>
      </c>
      <c r="V2428" t="s">
        <v>50</v>
      </c>
      <c r="W2428" t="s">
        <v>50</v>
      </c>
      <c r="X2428" t="s">
        <v>33</v>
      </c>
      <c r="Y2428" t="s">
        <v>990</v>
      </c>
      <c r="Z2428" t="s">
        <v>80</v>
      </c>
    </row>
    <row r="2429" spans="1:26">
      <c r="A2429" t="s">
        <v>4566</v>
      </c>
      <c r="B2429" t="s">
        <v>4566</v>
      </c>
      <c r="C2429" s="4">
        <v>45934</v>
      </c>
      <c r="D2429">
        <v>2025</v>
      </c>
      <c r="E2429">
        <v>10</v>
      </c>
      <c r="F2429" t="s">
        <v>26</v>
      </c>
      <c r="G2429" t="s">
        <v>137</v>
      </c>
      <c r="H2429" t="s">
        <v>1157</v>
      </c>
      <c r="I2429" t="s">
        <v>537</v>
      </c>
      <c r="J2429" t="s">
        <v>92</v>
      </c>
      <c r="K2429" t="s">
        <v>510</v>
      </c>
      <c r="L2429">
        <v>7</v>
      </c>
      <c r="M2429" s="5">
        <v>239.76</v>
      </c>
      <c r="N2429" s="6">
        <v>15</v>
      </c>
      <c r="O2429" s="5">
        <v>251.75</v>
      </c>
      <c r="P2429" s="5">
        <v>213.99</v>
      </c>
      <c r="Q2429" s="5">
        <v>1640.56</v>
      </c>
      <c r="R2429" s="5">
        <v>1338.4</v>
      </c>
      <c r="S2429" s="5">
        <v>302.16</v>
      </c>
      <c r="T2429" s="7">
        <v>0.184181011361974</v>
      </c>
      <c r="U2429" t="s">
        <v>12</v>
      </c>
      <c r="V2429" t="s">
        <v>50</v>
      </c>
      <c r="W2429" t="s">
        <v>50</v>
      </c>
      <c r="X2429" t="s">
        <v>34</v>
      </c>
      <c r="Y2429" t="s">
        <v>834</v>
      </c>
      <c r="Z2429" t="s">
        <v>80</v>
      </c>
    </row>
    <row r="2430" spans="1:26">
      <c r="A2430" t="s">
        <v>4567</v>
      </c>
      <c r="B2430" t="s">
        <v>4567</v>
      </c>
      <c r="C2430" s="4">
        <v>45753</v>
      </c>
      <c r="D2430">
        <v>2025</v>
      </c>
      <c r="E2430">
        <v>4</v>
      </c>
      <c r="F2430" t="s">
        <v>20</v>
      </c>
      <c r="G2430" t="s">
        <v>74</v>
      </c>
      <c r="H2430" t="s">
        <v>201</v>
      </c>
      <c r="I2430" t="s">
        <v>2587</v>
      </c>
      <c r="J2430" t="s">
        <v>955</v>
      </c>
      <c r="K2430" t="s">
        <v>2069</v>
      </c>
      <c r="L2430">
        <v>4</v>
      </c>
      <c r="M2430" s="5">
        <v>82.71</v>
      </c>
      <c r="N2430" s="6">
        <v>0</v>
      </c>
      <c r="O2430" s="5">
        <v>0</v>
      </c>
      <c r="P2430" s="5">
        <v>49.63</v>
      </c>
      <c r="Q2430" s="5">
        <v>380.47</v>
      </c>
      <c r="R2430" s="5">
        <v>217</v>
      </c>
      <c r="S2430" s="5">
        <v>163.47</v>
      </c>
      <c r="T2430" s="7">
        <v>0.429652797855284</v>
      </c>
      <c r="U2430" t="s">
        <v>9</v>
      </c>
      <c r="V2430" t="s">
        <v>50</v>
      </c>
      <c r="W2430" t="s">
        <v>50</v>
      </c>
      <c r="X2430" t="s">
        <v>33</v>
      </c>
      <c r="Y2430" t="s">
        <v>2200</v>
      </c>
      <c r="Z2430" t="s">
        <v>80</v>
      </c>
    </row>
    <row r="2431" spans="1:26">
      <c r="A2431" t="s">
        <v>4568</v>
      </c>
      <c r="B2431" t="s">
        <v>4568</v>
      </c>
      <c r="C2431" s="4">
        <v>45942</v>
      </c>
      <c r="D2431">
        <v>2025</v>
      </c>
      <c r="E2431">
        <v>10</v>
      </c>
      <c r="F2431" t="s">
        <v>26</v>
      </c>
      <c r="G2431" t="s">
        <v>137</v>
      </c>
      <c r="H2431" t="s">
        <v>1131</v>
      </c>
      <c r="I2431" t="s">
        <v>797</v>
      </c>
      <c r="J2431" t="s">
        <v>351</v>
      </c>
      <c r="K2431" t="s">
        <v>1643</v>
      </c>
      <c r="L2431">
        <v>3</v>
      </c>
      <c r="M2431" s="5">
        <v>451</v>
      </c>
      <c r="N2431" s="6">
        <v>5</v>
      </c>
      <c r="O2431" s="5">
        <v>67.65</v>
      </c>
      <c r="P2431" s="5">
        <v>192.8</v>
      </c>
      <c r="Q2431" s="5">
        <v>1478.15</v>
      </c>
      <c r="R2431" s="5">
        <v>1055.61</v>
      </c>
      <c r="S2431" s="5">
        <v>422.54</v>
      </c>
      <c r="T2431" s="7">
        <v>0.285857321652065</v>
      </c>
      <c r="U2431" t="s">
        <v>14</v>
      </c>
      <c r="V2431" t="s">
        <v>50</v>
      </c>
      <c r="W2431" t="s">
        <v>50</v>
      </c>
      <c r="X2431" t="s">
        <v>33</v>
      </c>
      <c r="Y2431" t="s">
        <v>1679</v>
      </c>
      <c r="Z2431" t="s">
        <v>80</v>
      </c>
    </row>
    <row r="2432" spans="1:26">
      <c r="A2432" t="s">
        <v>4569</v>
      </c>
      <c r="B2432" t="s">
        <v>4569</v>
      </c>
      <c r="C2432" s="4">
        <v>45953</v>
      </c>
      <c r="D2432">
        <v>2025</v>
      </c>
      <c r="E2432">
        <v>10</v>
      </c>
      <c r="F2432" t="s">
        <v>26</v>
      </c>
      <c r="G2432" t="s">
        <v>137</v>
      </c>
      <c r="H2432" t="s">
        <v>2823</v>
      </c>
      <c r="I2432" t="s">
        <v>285</v>
      </c>
      <c r="J2432" t="s">
        <v>1185</v>
      </c>
      <c r="K2432" t="s">
        <v>1186</v>
      </c>
      <c r="L2432">
        <v>2</v>
      </c>
      <c r="M2432" s="5">
        <v>541.35</v>
      </c>
      <c r="N2432" s="6">
        <v>15</v>
      </c>
      <c r="O2432" s="5">
        <v>162.41</v>
      </c>
      <c r="P2432" s="5">
        <v>138.04</v>
      </c>
      <c r="Q2432" s="5">
        <v>920.29</v>
      </c>
      <c r="R2432" s="5">
        <v>672.8</v>
      </c>
      <c r="S2432" s="5">
        <v>247.49</v>
      </c>
      <c r="T2432" s="7">
        <v>0.268926099381717</v>
      </c>
      <c r="U2432" t="s">
        <v>14</v>
      </c>
      <c r="V2432" t="s">
        <v>50</v>
      </c>
      <c r="W2432" t="s">
        <v>50</v>
      </c>
      <c r="X2432" t="s">
        <v>33</v>
      </c>
      <c r="Y2432" t="s">
        <v>700</v>
      </c>
      <c r="Z2432" t="s">
        <v>101</v>
      </c>
    </row>
    <row r="2433" spans="1:26">
      <c r="A2433" t="s">
        <v>4570</v>
      </c>
      <c r="B2433" t="s">
        <v>4570</v>
      </c>
      <c r="C2433" s="4">
        <v>45806</v>
      </c>
      <c r="D2433">
        <v>2025</v>
      </c>
      <c r="E2433">
        <v>5</v>
      </c>
      <c r="F2433" t="s">
        <v>21</v>
      </c>
      <c r="G2433" t="s">
        <v>74</v>
      </c>
      <c r="H2433" t="s">
        <v>1811</v>
      </c>
      <c r="I2433" t="s">
        <v>444</v>
      </c>
      <c r="J2433" t="s">
        <v>369</v>
      </c>
      <c r="K2433" t="s">
        <v>1545</v>
      </c>
      <c r="L2433">
        <v>8</v>
      </c>
      <c r="M2433" s="5">
        <v>107.22</v>
      </c>
      <c r="N2433" s="6">
        <v>15</v>
      </c>
      <c r="O2433" s="5">
        <v>128.66</v>
      </c>
      <c r="P2433" s="5">
        <v>109.36</v>
      </c>
      <c r="Q2433" s="5">
        <v>729.1</v>
      </c>
      <c r="R2433" s="5">
        <v>688.4</v>
      </c>
      <c r="S2433" s="5">
        <v>40.7</v>
      </c>
      <c r="T2433" s="7">
        <v>0.0558222466054039</v>
      </c>
      <c r="U2433" t="s">
        <v>11</v>
      </c>
      <c r="V2433" t="s">
        <v>50</v>
      </c>
      <c r="W2433" t="s">
        <v>50</v>
      </c>
      <c r="X2433" t="s">
        <v>33</v>
      </c>
      <c r="Y2433" t="s">
        <v>2007</v>
      </c>
      <c r="Z2433" t="s">
        <v>101</v>
      </c>
    </row>
    <row r="2434" spans="1:26">
      <c r="A2434" t="s">
        <v>4571</v>
      </c>
      <c r="B2434" t="s">
        <v>4571</v>
      </c>
      <c r="C2434" s="4">
        <v>45787</v>
      </c>
      <c r="D2434">
        <v>2025</v>
      </c>
      <c r="E2434">
        <v>5</v>
      </c>
      <c r="F2434" t="s">
        <v>21</v>
      </c>
      <c r="G2434" t="s">
        <v>74</v>
      </c>
      <c r="H2434" t="s">
        <v>4572</v>
      </c>
      <c r="I2434" t="s">
        <v>1419</v>
      </c>
      <c r="J2434" t="s">
        <v>291</v>
      </c>
      <c r="K2434" t="s">
        <v>1204</v>
      </c>
      <c r="L2434">
        <v>1</v>
      </c>
      <c r="M2434" s="5">
        <v>317.99</v>
      </c>
      <c r="N2434" s="6">
        <v>10</v>
      </c>
      <c r="O2434" s="5">
        <v>31.8</v>
      </c>
      <c r="P2434" s="5">
        <v>42.93</v>
      </c>
      <c r="Q2434" s="5">
        <v>329.12</v>
      </c>
      <c r="R2434" s="5">
        <v>235.05</v>
      </c>
      <c r="S2434" s="5">
        <v>94.07</v>
      </c>
      <c r="T2434" s="7">
        <v>0.285822800194458</v>
      </c>
      <c r="U2434" t="s">
        <v>10</v>
      </c>
      <c r="V2434" t="s">
        <v>50</v>
      </c>
      <c r="W2434" t="s">
        <v>50</v>
      </c>
      <c r="X2434" t="s">
        <v>33</v>
      </c>
      <c r="Y2434" t="s">
        <v>4539</v>
      </c>
      <c r="Z2434" t="s">
        <v>80</v>
      </c>
    </row>
    <row r="2435" spans="1:26">
      <c r="A2435" t="s">
        <v>4573</v>
      </c>
      <c r="B2435" t="s">
        <v>4573</v>
      </c>
      <c r="C2435" s="4">
        <v>45829</v>
      </c>
      <c r="D2435">
        <v>2025</v>
      </c>
      <c r="E2435">
        <v>6</v>
      </c>
      <c r="F2435" t="s">
        <v>22</v>
      </c>
      <c r="G2435" t="s">
        <v>74</v>
      </c>
      <c r="H2435" t="s">
        <v>3104</v>
      </c>
      <c r="I2435" t="s">
        <v>947</v>
      </c>
      <c r="J2435" t="s">
        <v>246</v>
      </c>
      <c r="K2435" t="s">
        <v>287</v>
      </c>
      <c r="L2435">
        <v>7</v>
      </c>
      <c r="M2435" s="5">
        <v>495.55</v>
      </c>
      <c r="N2435" s="6">
        <v>15</v>
      </c>
      <c r="O2435" s="5">
        <v>520.33</v>
      </c>
      <c r="P2435" s="5">
        <v>442.28</v>
      </c>
      <c r="Q2435" s="5">
        <v>3390.8</v>
      </c>
      <c r="R2435" s="5">
        <v>2783.83</v>
      </c>
      <c r="S2435" s="5">
        <v>606.97</v>
      </c>
      <c r="T2435" s="7">
        <v>0.179004954582989</v>
      </c>
      <c r="U2435" t="s">
        <v>13</v>
      </c>
      <c r="V2435" t="s">
        <v>50</v>
      </c>
      <c r="W2435" t="s">
        <v>50</v>
      </c>
      <c r="X2435" t="s">
        <v>35</v>
      </c>
      <c r="Y2435" t="s">
        <v>1163</v>
      </c>
      <c r="Z2435" t="s">
        <v>80</v>
      </c>
    </row>
    <row r="2436" spans="1:26">
      <c r="A2436" t="s">
        <v>4574</v>
      </c>
      <c r="B2436" t="s">
        <v>4574</v>
      </c>
      <c r="C2436" s="4">
        <v>45968</v>
      </c>
      <c r="D2436">
        <v>2025</v>
      </c>
      <c r="E2436">
        <v>11</v>
      </c>
      <c r="F2436" t="s">
        <v>27</v>
      </c>
      <c r="G2436" t="s">
        <v>137</v>
      </c>
      <c r="H2436" t="s">
        <v>641</v>
      </c>
      <c r="I2436" t="s">
        <v>245</v>
      </c>
      <c r="J2436" t="s">
        <v>858</v>
      </c>
      <c r="K2436" t="s">
        <v>859</v>
      </c>
      <c r="L2436">
        <v>5</v>
      </c>
      <c r="M2436" s="5">
        <v>121.9</v>
      </c>
      <c r="N2436" s="6">
        <v>0</v>
      </c>
      <c r="O2436" s="5">
        <v>0</v>
      </c>
      <c r="P2436" s="5">
        <v>91.42</v>
      </c>
      <c r="Q2436" s="5">
        <v>609.5</v>
      </c>
      <c r="R2436" s="5">
        <v>544.6</v>
      </c>
      <c r="S2436" s="5">
        <v>64.9</v>
      </c>
      <c r="T2436" s="7">
        <v>0.106480721903199</v>
      </c>
      <c r="U2436" t="s">
        <v>10</v>
      </c>
      <c r="V2436" t="s">
        <v>50</v>
      </c>
      <c r="W2436" t="s">
        <v>50</v>
      </c>
      <c r="X2436" t="s">
        <v>33</v>
      </c>
      <c r="Y2436" t="s">
        <v>2963</v>
      </c>
      <c r="Z2436" t="s">
        <v>101</v>
      </c>
    </row>
    <row r="2437" spans="1:26">
      <c r="A2437" t="s">
        <v>4575</v>
      </c>
      <c r="B2437" t="s">
        <v>4575</v>
      </c>
      <c r="C2437" s="4">
        <v>45942</v>
      </c>
      <c r="D2437">
        <v>2025</v>
      </c>
      <c r="E2437">
        <v>10</v>
      </c>
      <c r="F2437" t="s">
        <v>26</v>
      </c>
      <c r="G2437" t="s">
        <v>137</v>
      </c>
      <c r="H2437" t="s">
        <v>1478</v>
      </c>
      <c r="I2437" t="s">
        <v>1307</v>
      </c>
      <c r="J2437" t="s">
        <v>2259</v>
      </c>
      <c r="K2437" t="s">
        <v>2018</v>
      </c>
      <c r="L2437">
        <v>6</v>
      </c>
      <c r="M2437" s="5">
        <v>260.49</v>
      </c>
      <c r="N2437" s="6">
        <v>0</v>
      </c>
      <c r="O2437" s="5">
        <v>0</v>
      </c>
      <c r="P2437" s="5">
        <v>234.44</v>
      </c>
      <c r="Q2437" s="5">
        <v>1797.38</v>
      </c>
      <c r="R2437" s="5">
        <v>1270.38</v>
      </c>
      <c r="S2437" s="5">
        <v>527</v>
      </c>
      <c r="T2437" s="7">
        <v>0.293204553294239</v>
      </c>
      <c r="U2437" t="s">
        <v>10</v>
      </c>
      <c r="V2437" t="s">
        <v>50</v>
      </c>
      <c r="W2437" t="s">
        <v>50</v>
      </c>
      <c r="X2437" t="s">
        <v>33</v>
      </c>
      <c r="Y2437" t="s">
        <v>2625</v>
      </c>
      <c r="Z2437" t="s">
        <v>80</v>
      </c>
    </row>
    <row r="2438" spans="1:26">
      <c r="A2438" t="s">
        <v>4576</v>
      </c>
      <c r="B2438" t="s">
        <v>4576</v>
      </c>
      <c r="C2438" s="4">
        <v>45947</v>
      </c>
      <c r="D2438">
        <v>2025</v>
      </c>
      <c r="E2438">
        <v>10</v>
      </c>
      <c r="F2438" t="s">
        <v>26</v>
      </c>
      <c r="G2438" t="s">
        <v>137</v>
      </c>
      <c r="H2438" t="s">
        <v>3853</v>
      </c>
      <c r="I2438" t="s">
        <v>268</v>
      </c>
      <c r="J2438" t="s">
        <v>770</v>
      </c>
      <c r="K2438" t="s">
        <v>771</v>
      </c>
      <c r="L2438">
        <v>1</v>
      </c>
      <c r="M2438" s="5">
        <v>332.74</v>
      </c>
      <c r="N2438" s="6">
        <v>0</v>
      </c>
      <c r="O2438" s="5">
        <v>0</v>
      </c>
      <c r="P2438" s="5">
        <v>49.91</v>
      </c>
      <c r="Q2438" s="5">
        <v>332.74</v>
      </c>
      <c r="R2438" s="5">
        <v>205.27</v>
      </c>
      <c r="S2438" s="5">
        <v>127.47</v>
      </c>
      <c r="T2438" s="7">
        <v>0.383091903588387</v>
      </c>
      <c r="U2438" t="s">
        <v>14</v>
      </c>
      <c r="V2438" t="s">
        <v>50</v>
      </c>
      <c r="W2438" t="s">
        <v>50</v>
      </c>
      <c r="X2438" t="s">
        <v>33</v>
      </c>
      <c r="Y2438" t="s">
        <v>341</v>
      </c>
      <c r="Z2438" t="s">
        <v>101</v>
      </c>
    </row>
    <row r="2439" spans="1:26">
      <c r="A2439" t="s">
        <v>4577</v>
      </c>
      <c r="B2439" t="s">
        <v>4577</v>
      </c>
      <c r="C2439" s="4">
        <v>45936</v>
      </c>
      <c r="D2439">
        <v>2025</v>
      </c>
      <c r="E2439">
        <v>10</v>
      </c>
      <c r="F2439" t="s">
        <v>26</v>
      </c>
      <c r="G2439" t="s">
        <v>137</v>
      </c>
      <c r="H2439" t="s">
        <v>2173</v>
      </c>
      <c r="I2439" t="s">
        <v>110</v>
      </c>
      <c r="J2439" t="s">
        <v>837</v>
      </c>
      <c r="K2439" t="s">
        <v>1032</v>
      </c>
      <c r="L2439">
        <v>3</v>
      </c>
      <c r="M2439" s="5">
        <v>381.4</v>
      </c>
      <c r="N2439" s="6">
        <v>20</v>
      </c>
      <c r="O2439" s="5">
        <v>228.84</v>
      </c>
      <c r="P2439" s="5">
        <v>137.3</v>
      </c>
      <c r="Q2439" s="5">
        <v>915.36</v>
      </c>
      <c r="R2439" s="5">
        <v>815.34</v>
      </c>
      <c r="S2439" s="5">
        <v>100.02</v>
      </c>
      <c r="T2439" s="7">
        <v>0.109268484530676</v>
      </c>
      <c r="U2439" t="s">
        <v>14</v>
      </c>
      <c r="V2439" t="s">
        <v>50</v>
      </c>
      <c r="W2439" t="s">
        <v>50</v>
      </c>
      <c r="X2439" t="s">
        <v>33</v>
      </c>
      <c r="Y2439" t="s">
        <v>2032</v>
      </c>
      <c r="Z2439" t="s">
        <v>101</v>
      </c>
    </row>
    <row r="2440" spans="1:26">
      <c r="A2440" t="s">
        <v>4578</v>
      </c>
      <c r="B2440" t="s">
        <v>4578</v>
      </c>
      <c r="C2440" s="4">
        <v>46107</v>
      </c>
      <c r="D2440">
        <v>2026</v>
      </c>
      <c r="E2440">
        <v>3</v>
      </c>
      <c r="F2440" t="s">
        <v>19</v>
      </c>
      <c r="G2440" t="s">
        <v>82</v>
      </c>
      <c r="H2440" t="s">
        <v>1421</v>
      </c>
      <c r="I2440" t="s">
        <v>1904</v>
      </c>
      <c r="J2440" t="s">
        <v>1450</v>
      </c>
      <c r="K2440" t="s">
        <v>2838</v>
      </c>
      <c r="L2440">
        <v>6</v>
      </c>
      <c r="M2440" s="5">
        <v>121.28</v>
      </c>
      <c r="N2440" s="6">
        <v>0</v>
      </c>
      <c r="O2440" s="5">
        <v>0</v>
      </c>
      <c r="P2440" s="5">
        <v>109.15</v>
      </c>
      <c r="Q2440" s="5">
        <v>727.68</v>
      </c>
      <c r="R2440" s="5">
        <v>499.98</v>
      </c>
      <c r="S2440" s="5">
        <v>227.7</v>
      </c>
      <c r="T2440" s="7">
        <v>0.312912269129288</v>
      </c>
      <c r="U2440" t="s">
        <v>13</v>
      </c>
      <c r="V2440" t="s">
        <v>50</v>
      </c>
      <c r="W2440" t="s">
        <v>50</v>
      </c>
      <c r="X2440" t="s">
        <v>34</v>
      </c>
      <c r="Y2440" t="s">
        <v>1442</v>
      </c>
      <c r="Z2440" t="s">
        <v>101</v>
      </c>
    </row>
    <row r="2441" spans="1:26">
      <c r="A2441" t="s">
        <v>4579</v>
      </c>
      <c r="B2441" t="s">
        <v>4579</v>
      </c>
      <c r="C2441" s="4">
        <v>45969</v>
      </c>
      <c r="D2441">
        <v>2025</v>
      </c>
      <c r="E2441">
        <v>11</v>
      </c>
      <c r="F2441" t="s">
        <v>27</v>
      </c>
      <c r="G2441" t="s">
        <v>137</v>
      </c>
      <c r="H2441" t="s">
        <v>1324</v>
      </c>
      <c r="I2441" t="s">
        <v>609</v>
      </c>
      <c r="J2441" t="s">
        <v>1347</v>
      </c>
      <c r="K2441" t="s">
        <v>2591</v>
      </c>
      <c r="L2441">
        <v>2</v>
      </c>
      <c r="M2441" s="5">
        <v>328.59</v>
      </c>
      <c r="N2441" s="6">
        <v>15</v>
      </c>
      <c r="O2441" s="5">
        <v>98.58</v>
      </c>
      <c r="P2441" s="5">
        <v>83.79</v>
      </c>
      <c r="Q2441" s="5">
        <v>642.39</v>
      </c>
      <c r="R2441" s="5">
        <v>510.98</v>
      </c>
      <c r="S2441" s="5">
        <v>131.41</v>
      </c>
      <c r="T2441" s="7">
        <v>0.204564205544918</v>
      </c>
      <c r="U2441" t="s">
        <v>14</v>
      </c>
      <c r="V2441" t="s">
        <v>50</v>
      </c>
      <c r="W2441" t="s">
        <v>50</v>
      </c>
      <c r="X2441" t="s">
        <v>34</v>
      </c>
      <c r="Y2441" t="s">
        <v>975</v>
      </c>
      <c r="Z2441" t="s">
        <v>80</v>
      </c>
    </row>
    <row r="2442" spans="1:26">
      <c r="A2442" t="s">
        <v>4580</v>
      </c>
      <c r="B2442" t="s">
        <v>4580</v>
      </c>
      <c r="C2442" s="4">
        <v>46100</v>
      </c>
      <c r="D2442">
        <v>2026</v>
      </c>
      <c r="E2442">
        <v>3</v>
      </c>
      <c r="F2442" t="s">
        <v>19</v>
      </c>
      <c r="G2442" t="s">
        <v>82</v>
      </c>
      <c r="H2442" t="s">
        <v>2377</v>
      </c>
      <c r="I2442" t="s">
        <v>598</v>
      </c>
      <c r="J2442" t="s">
        <v>280</v>
      </c>
      <c r="K2442" t="s">
        <v>281</v>
      </c>
      <c r="L2442">
        <v>4</v>
      </c>
      <c r="M2442" s="5">
        <v>491.81</v>
      </c>
      <c r="N2442" s="6">
        <v>15</v>
      </c>
      <c r="O2442" s="5">
        <v>295.09</v>
      </c>
      <c r="P2442" s="5">
        <v>250.82</v>
      </c>
      <c r="Q2442" s="5">
        <v>1672.15</v>
      </c>
      <c r="R2442" s="5">
        <v>1462.28</v>
      </c>
      <c r="S2442" s="5">
        <v>209.87</v>
      </c>
      <c r="T2442" s="7">
        <v>0.12550907514278</v>
      </c>
      <c r="U2442" t="s">
        <v>13</v>
      </c>
      <c r="V2442" t="s">
        <v>50</v>
      </c>
      <c r="W2442" t="s">
        <v>50</v>
      </c>
      <c r="X2442" t="s">
        <v>33</v>
      </c>
      <c r="Y2442" t="s">
        <v>891</v>
      </c>
      <c r="Z2442" t="s">
        <v>101</v>
      </c>
    </row>
    <row r="2443" spans="1:26">
      <c r="A2443" t="s">
        <v>4581</v>
      </c>
      <c r="B2443" t="s">
        <v>4581</v>
      </c>
      <c r="C2443" s="4">
        <v>46060</v>
      </c>
      <c r="D2443">
        <v>2026</v>
      </c>
      <c r="E2443">
        <v>2</v>
      </c>
      <c r="F2443" t="s">
        <v>31</v>
      </c>
      <c r="G2443" t="s">
        <v>82</v>
      </c>
      <c r="H2443" t="s">
        <v>2476</v>
      </c>
      <c r="I2443" t="s">
        <v>1264</v>
      </c>
      <c r="J2443" t="s">
        <v>548</v>
      </c>
      <c r="K2443" t="s">
        <v>1671</v>
      </c>
      <c r="L2443">
        <v>4</v>
      </c>
      <c r="M2443" s="5">
        <v>182.3</v>
      </c>
      <c r="N2443" s="6">
        <v>15</v>
      </c>
      <c r="O2443" s="5">
        <v>109.38</v>
      </c>
      <c r="P2443" s="5">
        <v>92.97</v>
      </c>
      <c r="Q2443" s="5">
        <v>712.79</v>
      </c>
      <c r="R2443" s="5">
        <v>430.4</v>
      </c>
      <c r="S2443" s="5">
        <v>282.39</v>
      </c>
      <c r="T2443" s="7">
        <v>0.396175591688997</v>
      </c>
      <c r="U2443" t="s">
        <v>9</v>
      </c>
      <c r="V2443" t="s">
        <v>50</v>
      </c>
      <c r="W2443" t="s">
        <v>50</v>
      </c>
      <c r="X2443" t="s">
        <v>35</v>
      </c>
      <c r="Y2443" t="s">
        <v>1538</v>
      </c>
      <c r="Z2443" t="s">
        <v>80</v>
      </c>
    </row>
    <row r="2444" spans="1:26">
      <c r="A2444" t="s">
        <v>4582</v>
      </c>
      <c r="B2444" t="s">
        <v>4582</v>
      </c>
      <c r="C2444" s="4">
        <v>45861</v>
      </c>
      <c r="D2444">
        <v>2025</v>
      </c>
      <c r="E2444">
        <v>7</v>
      </c>
      <c r="F2444" t="s">
        <v>23</v>
      </c>
      <c r="G2444" t="s">
        <v>89</v>
      </c>
      <c r="H2444" t="s">
        <v>3557</v>
      </c>
      <c r="I2444" t="s">
        <v>543</v>
      </c>
      <c r="J2444" t="s">
        <v>593</v>
      </c>
      <c r="K2444" t="s">
        <v>1480</v>
      </c>
      <c r="L2444">
        <v>1</v>
      </c>
      <c r="M2444" s="5">
        <v>401.06</v>
      </c>
      <c r="N2444" s="6">
        <v>15</v>
      </c>
      <c r="O2444" s="5">
        <v>60.16</v>
      </c>
      <c r="P2444" s="5">
        <v>51.14</v>
      </c>
      <c r="Q2444" s="5">
        <v>340.9</v>
      </c>
      <c r="R2444" s="5">
        <v>347.47</v>
      </c>
      <c r="S2444" s="5">
        <v>-6.57</v>
      </c>
      <c r="T2444" s="7">
        <v>-0.0192725139337049</v>
      </c>
      <c r="U2444" t="s">
        <v>12</v>
      </c>
      <c r="V2444" t="s">
        <v>50</v>
      </c>
      <c r="W2444" t="s">
        <v>50</v>
      </c>
      <c r="X2444" t="s">
        <v>33</v>
      </c>
      <c r="Y2444" t="s">
        <v>753</v>
      </c>
      <c r="Z2444" t="s">
        <v>101</v>
      </c>
    </row>
    <row r="2445" spans="1:26">
      <c r="A2445" t="s">
        <v>4583</v>
      </c>
      <c r="B2445" t="s">
        <v>4583</v>
      </c>
      <c r="C2445" s="4">
        <v>45949</v>
      </c>
      <c r="D2445">
        <v>2025</v>
      </c>
      <c r="E2445">
        <v>10</v>
      </c>
      <c r="F2445" t="s">
        <v>26</v>
      </c>
      <c r="G2445" t="s">
        <v>137</v>
      </c>
      <c r="H2445" t="s">
        <v>230</v>
      </c>
      <c r="I2445" t="s">
        <v>312</v>
      </c>
      <c r="J2445" t="s">
        <v>532</v>
      </c>
      <c r="K2445" t="s">
        <v>533</v>
      </c>
      <c r="L2445">
        <v>6</v>
      </c>
      <c r="M2445" s="5">
        <v>391.43</v>
      </c>
      <c r="N2445" s="6">
        <v>15</v>
      </c>
      <c r="O2445" s="5">
        <v>352.29</v>
      </c>
      <c r="P2445" s="5">
        <v>299.44</v>
      </c>
      <c r="Q2445" s="5">
        <v>2295.73</v>
      </c>
      <c r="R2445" s="5">
        <v>1715.4</v>
      </c>
      <c r="S2445" s="5">
        <v>580.33</v>
      </c>
      <c r="T2445" s="7">
        <v>0.252786695299534</v>
      </c>
      <c r="U2445" t="s">
        <v>10</v>
      </c>
      <c r="V2445" t="s">
        <v>50</v>
      </c>
      <c r="W2445" t="s">
        <v>50</v>
      </c>
      <c r="X2445" t="s">
        <v>35</v>
      </c>
      <c r="Y2445" t="s">
        <v>1358</v>
      </c>
      <c r="Z2445" t="s">
        <v>80</v>
      </c>
    </row>
    <row r="2446" spans="1:26">
      <c r="A2446" t="s">
        <v>4584</v>
      </c>
      <c r="B2446" t="s">
        <v>4584</v>
      </c>
      <c r="C2446" s="4">
        <v>46103</v>
      </c>
      <c r="D2446">
        <v>2026</v>
      </c>
      <c r="E2446">
        <v>3</v>
      </c>
      <c r="F2446" t="s">
        <v>19</v>
      </c>
      <c r="G2446" t="s">
        <v>82</v>
      </c>
      <c r="H2446" t="s">
        <v>2297</v>
      </c>
      <c r="I2446" t="s">
        <v>332</v>
      </c>
      <c r="J2446" t="s">
        <v>509</v>
      </c>
      <c r="K2446" t="s">
        <v>4104</v>
      </c>
      <c r="L2446">
        <v>4</v>
      </c>
      <c r="M2446" s="5">
        <v>73.83</v>
      </c>
      <c r="N2446" s="6">
        <v>10</v>
      </c>
      <c r="O2446" s="5">
        <v>29.53</v>
      </c>
      <c r="P2446" s="5">
        <v>39.87</v>
      </c>
      <c r="Q2446" s="5">
        <v>305.66</v>
      </c>
      <c r="R2446" s="5">
        <v>217.28</v>
      </c>
      <c r="S2446" s="5">
        <v>88.38</v>
      </c>
      <c r="T2446" s="7">
        <v>0.289144801413335</v>
      </c>
      <c r="U2446" t="s">
        <v>9</v>
      </c>
      <c r="V2446" t="s">
        <v>50</v>
      </c>
      <c r="W2446" t="s">
        <v>50</v>
      </c>
      <c r="X2446" t="s">
        <v>33</v>
      </c>
      <c r="Y2446" t="s">
        <v>1355</v>
      </c>
      <c r="Z2446" t="s">
        <v>80</v>
      </c>
    </row>
    <row r="2447" spans="1:26">
      <c r="A2447" t="s">
        <v>4585</v>
      </c>
      <c r="B2447" t="s">
        <v>4585</v>
      </c>
      <c r="C2447" s="4">
        <v>45839</v>
      </c>
      <c r="D2447">
        <v>2025</v>
      </c>
      <c r="E2447">
        <v>7</v>
      </c>
      <c r="F2447" t="s">
        <v>23</v>
      </c>
      <c r="G2447" t="s">
        <v>89</v>
      </c>
      <c r="H2447" t="s">
        <v>1034</v>
      </c>
      <c r="I2447" t="s">
        <v>356</v>
      </c>
      <c r="J2447" t="s">
        <v>286</v>
      </c>
      <c r="K2447" t="s">
        <v>419</v>
      </c>
      <c r="L2447">
        <v>3</v>
      </c>
      <c r="M2447" s="5">
        <v>506.54</v>
      </c>
      <c r="N2447" s="6">
        <v>0</v>
      </c>
      <c r="O2447" s="5">
        <v>0</v>
      </c>
      <c r="P2447" s="5">
        <v>227.94</v>
      </c>
      <c r="Q2447" s="5">
        <v>1519.62</v>
      </c>
      <c r="R2447" s="5">
        <v>848.64</v>
      </c>
      <c r="S2447" s="5">
        <v>670.98</v>
      </c>
      <c r="T2447" s="7">
        <v>0.441544596675485</v>
      </c>
      <c r="U2447" t="s">
        <v>12</v>
      </c>
      <c r="V2447" t="s">
        <v>50</v>
      </c>
      <c r="W2447" t="s">
        <v>50</v>
      </c>
      <c r="X2447" t="s">
        <v>33</v>
      </c>
      <c r="Y2447" t="s">
        <v>1090</v>
      </c>
      <c r="Z2447" t="s">
        <v>101</v>
      </c>
    </row>
    <row r="2448" spans="1:26">
      <c r="A2448" t="s">
        <v>4586</v>
      </c>
      <c r="B2448" t="s">
        <v>4586</v>
      </c>
      <c r="C2448" s="4">
        <v>45819</v>
      </c>
      <c r="D2448">
        <v>2025</v>
      </c>
      <c r="E2448">
        <v>6</v>
      </c>
      <c r="F2448" t="s">
        <v>22</v>
      </c>
      <c r="G2448" t="s">
        <v>74</v>
      </c>
      <c r="H2448" t="s">
        <v>1619</v>
      </c>
      <c r="I2448" t="s">
        <v>384</v>
      </c>
      <c r="J2448" t="s">
        <v>1347</v>
      </c>
      <c r="K2448" t="s">
        <v>2835</v>
      </c>
      <c r="L2448">
        <v>5</v>
      </c>
      <c r="M2448" s="5">
        <v>186.38</v>
      </c>
      <c r="N2448" s="6">
        <v>0</v>
      </c>
      <c r="O2448" s="5">
        <v>0</v>
      </c>
      <c r="P2448" s="5">
        <v>139.78</v>
      </c>
      <c r="Q2448" s="5">
        <v>931.9</v>
      </c>
      <c r="R2448" s="5">
        <v>678.3</v>
      </c>
      <c r="S2448" s="5">
        <v>253.6</v>
      </c>
      <c r="T2448" s="7">
        <v>0.272132203026076</v>
      </c>
      <c r="U2448" t="s">
        <v>9</v>
      </c>
      <c r="V2448" t="s">
        <v>50</v>
      </c>
      <c r="W2448" t="s">
        <v>50</v>
      </c>
      <c r="X2448" t="s">
        <v>33</v>
      </c>
      <c r="Y2448" t="s">
        <v>259</v>
      </c>
      <c r="Z2448" t="s">
        <v>101</v>
      </c>
    </row>
    <row r="2449" spans="1:26">
      <c r="A2449" t="s">
        <v>4587</v>
      </c>
      <c r="B2449" t="s">
        <v>4587</v>
      </c>
      <c r="C2449" s="4">
        <v>45769</v>
      </c>
      <c r="D2449">
        <v>2025</v>
      </c>
      <c r="E2449">
        <v>4</v>
      </c>
      <c r="F2449" t="s">
        <v>20</v>
      </c>
      <c r="G2449" t="s">
        <v>74</v>
      </c>
      <c r="H2449" t="s">
        <v>3448</v>
      </c>
      <c r="I2449" t="s">
        <v>459</v>
      </c>
      <c r="J2449" t="s">
        <v>1657</v>
      </c>
      <c r="K2449" t="s">
        <v>1658</v>
      </c>
      <c r="L2449">
        <v>1</v>
      </c>
      <c r="M2449" s="5">
        <v>96.72</v>
      </c>
      <c r="N2449" s="6">
        <v>15</v>
      </c>
      <c r="O2449" s="5">
        <v>14.51</v>
      </c>
      <c r="P2449" s="5">
        <v>12.33</v>
      </c>
      <c r="Q2449" s="5">
        <v>82.21</v>
      </c>
      <c r="R2449" s="5">
        <v>79.82</v>
      </c>
      <c r="S2449" s="5">
        <v>2.39</v>
      </c>
      <c r="T2449" s="7">
        <v>0.0290718890645907</v>
      </c>
      <c r="U2449" t="s">
        <v>11</v>
      </c>
      <c r="V2449" t="s">
        <v>50</v>
      </c>
      <c r="W2449" t="s">
        <v>50</v>
      </c>
      <c r="X2449" t="s">
        <v>33</v>
      </c>
      <c r="Y2449" t="s">
        <v>1563</v>
      </c>
      <c r="Z2449" t="s">
        <v>101</v>
      </c>
    </row>
    <row r="2450" spans="1:26">
      <c r="A2450" t="s">
        <v>4588</v>
      </c>
      <c r="B2450" t="s">
        <v>4588</v>
      </c>
      <c r="C2450" s="4">
        <v>45885</v>
      </c>
      <c r="D2450">
        <v>2025</v>
      </c>
      <c r="E2450">
        <v>8</v>
      </c>
      <c r="F2450" t="s">
        <v>24</v>
      </c>
      <c r="G2450" t="s">
        <v>89</v>
      </c>
      <c r="H2450" t="s">
        <v>843</v>
      </c>
      <c r="I2450" t="s">
        <v>417</v>
      </c>
      <c r="J2450" t="s">
        <v>133</v>
      </c>
      <c r="K2450" t="s">
        <v>134</v>
      </c>
      <c r="L2450">
        <v>3</v>
      </c>
      <c r="M2450" s="5">
        <v>380.12</v>
      </c>
      <c r="N2450" s="6">
        <v>15</v>
      </c>
      <c r="O2450" s="5">
        <v>171.05</v>
      </c>
      <c r="P2450" s="5">
        <v>145.4</v>
      </c>
      <c r="Q2450" s="5">
        <v>1114.71</v>
      </c>
      <c r="R2450" s="5">
        <v>929.94</v>
      </c>
      <c r="S2450" s="5">
        <v>184.77</v>
      </c>
      <c r="T2450" s="7">
        <v>0.165756115940469</v>
      </c>
      <c r="U2450" t="s">
        <v>14</v>
      </c>
      <c r="V2450" t="s">
        <v>50</v>
      </c>
      <c r="W2450" t="s">
        <v>50</v>
      </c>
      <c r="X2450" t="s">
        <v>33</v>
      </c>
      <c r="Y2450" t="s">
        <v>1981</v>
      </c>
      <c r="Z2450" t="s">
        <v>80</v>
      </c>
    </row>
    <row r="2451" spans="1:26">
      <c r="A2451" t="s">
        <v>4589</v>
      </c>
      <c r="B2451" t="s">
        <v>4589</v>
      </c>
      <c r="C2451" s="4">
        <v>45928</v>
      </c>
      <c r="D2451">
        <v>2025</v>
      </c>
      <c r="E2451">
        <v>9</v>
      </c>
      <c r="F2451" t="s">
        <v>25</v>
      </c>
      <c r="G2451" t="s">
        <v>89</v>
      </c>
      <c r="H2451" t="s">
        <v>2731</v>
      </c>
      <c r="I2451" t="s">
        <v>647</v>
      </c>
      <c r="J2451" t="s">
        <v>906</v>
      </c>
      <c r="K2451" t="s">
        <v>2912</v>
      </c>
      <c r="L2451">
        <v>1</v>
      </c>
      <c r="M2451" s="5">
        <v>75.68</v>
      </c>
      <c r="N2451" s="6">
        <v>0</v>
      </c>
      <c r="O2451" s="5">
        <v>0</v>
      </c>
      <c r="P2451" s="5">
        <v>11.35</v>
      </c>
      <c r="Q2451" s="5">
        <v>87.03</v>
      </c>
      <c r="R2451" s="5">
        <v>62.14</v>
      </c>
      <c r="S2451" s="5">
        <v>24.89</v>
      </c>
      <c r="T2451" s="7">
        <v>0.285993335631392</v>
      </c>
      <c r="U2451" t="s">
        <v>9</v>
      </c>
      <c r="V2451" t="s">
        <v>50</v>
      </c>
      <c r="W2451" t="s">
        <v>50</v>
      </c>
      <c r="X2451" t="s">
        <v>33</v>
      </c>
      <c r="Y2451" t="s">
        <v>941</v>
      </c>
      <c r="Z2451" t="s">
        <v>80</v>
      </c>
    </row>
    <row r="2452" spans="1:26">
      <c r="A2452" t="s">
        <v>4590</v>
      </c>
      <c r="B2452" t="s">
        <v>4590</v>
      </c>
      <c r="C2452" s="4">
        <v>45937</v>
      </c>
      <c r="D2452">
        <v>2025</v>
      </c>
      <c r="E2452">
        <v>10</v>
      </c>
      <c r="F2452" t="s">
        <v>26</v>
      </c>
      <c r="G2452" t="s">
        <v>137</v>
      </c>
      <c r="H2452" t="s">
        <v>156</v>
      </c>
      <c r="I2452" t="s">
        <v>190</v>
      </c>
      <c r="J2452" t="s">
        <v>471</v>
      </c>
      <c r="K2452" t="s">
        <v>472</v>
      </c>
      <c r="L2452">
        <v>2</v>
      </c>
      <c r="M2452" s="5">
        <v>437.49</v>
      </c>
      <c r="N2452" s="6">
        <v>0</v>
      </c>
      <c r="O2452" s="5">
        <v>0</v>
      </c>
      <c r="P2452" s="5">
        <v>131.25</v>
      </c>
      <c r="Q2452" s="5">
        <v>874.98</v>
      </c>
      <c r="R2452" s="5">
        <v>530.88</v>
      </c>
      <c r="S2452" s="5">
        <v>344.1</v>
      </c>
      <c r="T2452" s="7">
        <v>0.393266131797298</v>
      </c>
      <c r="U2452" t="s">
        <v>10</v>
      </c>
      <c r="V2452" t="s">
        <v>50</v>
      </c>
      <c r="W2452" t="s">
        <v>50</v>
      </c>
      <c r="X2452" t="s">
        <v>33</v>
      </c>
      <c r="Y2452" t="s">
        <v>3281</v>
      </c>
      <c r="Z2452" t="s">
        <v>101</v>
      </c>
    </row>
    <row r="2453" spans="1:26">
      <c r="A2453" t="s">
        <v>4591</v>
      </c>
      <c r="B2453" t="s">
        <v>4591</v>
      </c>
      <c r="C2453" s="4">
        <v>45959</v>
      </c>
      <c r="D2453">
        <v>2025</v>
      </c>
      <c r="E2453">
        <v>10</v>
      </c>
      <c r="F2453" t="s">
        <v>26</v>
      </c>
      <c r="G2453" t="s">
        <v>137</v>
      </c>
      <c r="H2453" t="s">
        <v>250</v>
      </c>
      <c r="I2453" t="s">
        <v>444</v>
      </c>
      <c r="J2453" t="s">
        <v>175</v>
      </c>
      <c r="K2453" t="s">
        <v>690</v>
      </c>
      <c r="L2453">
        <v>2</v>
      </c>
      <c r="M2453" s="5">
        <v>99.93</v>
      </c>
      <c r="N2453" s="6">
        <v>5</v>
      </c>
      <c r="O2453" s="5">
        <v>9.99</v>
      </c>
      <c r="P2453" s="5">
        <v>28.48</v>
      </c>
      <c r="Q2453" s="5">
        <v>189.87</v>
      </c>
      <c r="R2453" s="5">
        <v>172.1</v>
      </c>
      <c r="S2453" s="5">
        <v>17.77</v>
      </c>
      <c r="T2453" s="7">
        <v>0.0935903512929899</v>
      </c>
      <c r="U2453" t="s">
        <v>11</v>
      </c>
      <c r="V2453" t="s">
        <v>50</v>
      </c>
      <c r="W2453" t="s">
        <v>50</v>
      </c>
      <c r="X2453" t="s">
        <v>33</v>
      </c>
      <c r="Y2453" t="s">
        <v>656</v>
      </c>
      <c r="Z2453" t="s">
        <v>101</v>
      </c>
    </row>
    <row r="2454" spans="1:26">
      <c r="A2454" t="s">
        <v>4592</v>
      </c>
      <c r="B2454" t="s">
        <v>4592</v>
      </c>
      <c r="C2454" s="4">
        <v>46054</v>
      </c>
      <c r="D2454">
        <v>2026</v>
      </c>
      <c r="E2454">
        <v>2</v>
      </c>
      <c r="F2454" t="s">
        <v>31</v>
      </c>
      <c r="G2454" t="s">
        <v>82</v>
      </c>
      <c r="H2454" t="s">
        <v>2097</v>
      </c>
      <c r="I2454" t="s">
        <v>797</v>
      </c>
      <c r="J2454" t="s">
        <v>1229</v>
      </c>
      <c r="K2454" t="s">
        <v>3816</v>
      </c>
      <c r="L2454">
        <v>4</v>
      </c>
      <c r="M2454" s="5">
        <v>442.14</v>
      </c>
      <c r="N2454" s="6">
        <v>5</v>
      </c>
      <c r="O2454" s="5">
        <v>88.43</v>
      </c>
      <c r="P2454" s="5">
        <v>252.02</v>
      </c>
      <c r="Q2454" s="5">
        <v>1932.15</v>
      </c>
      <c r="R2454" s="5">
        <v>1407.48</v>
      </c>
      <c r="S2454" s="5">
        <v>524.67</v>
      </c>
      <c r="T2454" s="7">
        <v>0.271547240121109</v>
      </c>
      <c r="U2454" t="s">
        <v>9</v>
      </c>
      <c r="V2454" t="s">
        <v>50</v>
      </c>
      <c r="W2454" t="s">
        <v>50</v>
      </c>
      <c r="X2454" t="s">
        <v>33</v>
      </c>
      <c r="Y2454" t="s">
        <v>2844</v>
      </c>
      <c r="Z2454" t="s">
        <v>80</v>
      </c>
    </row>
    <row r="2455" spans="1:26">
      <c r="A2455" t="s">
        <v>4593</v>
      </c>
      <c r="B2455" t="s">
        <v>4593</v>
      </c>
      <c r="C2455" s="4">
        <v>45763</v>
      </c>
      <c r="D2455">
        <v>2025</v>
      </c>
      <c r="E2455">
        <v>4</v>
      </c>
      <c r="F2455" t="s">
        <v>20</v>
      </c>
      <c r="G2455" t="s">
        <v>74</v>
      </c>
      <c r="H2455" t="s">
        <v>1778</v>
      </c>
      <c r="I2455" t="s">
        <v>647</v>
      </c>
      <c r="J2455" t="s">
        <v>418</v>
      </c>
      <c r="K2455" t="s">
        <v>419</v>
      </c>
      <c r="L2455">
        <v>6</v>
      </c>
      <c r="M2455" s="5">
        <v>80.14</v>
      </c>
      <c r="N2455" s="6">
        <v>15</v>
      </c>
      <c r="O2455" s="5">
        <v>72.13</v>
      </c>
      <c r="P2455" s="5">
        <v>61.31</v>
      </c>
      <c r="Q2455" s="5">
        <v>408.71</v>
      </c>
      <c r="R2455" s="5">
        <v>372.84</v>
      </c>
      <c r="S2455" s="5">
        <v>35.87</v>
      </c>
      <c r="T2455" s="7">
        <v>0.0877639402020993</v>
      </c>
      <c r="U2455" t="s">
        <v>13</v>
      </c>
      <c r="V2455" t="s">
        <v>50</v>
      </c>
      <c r="W2455" t="s">
        <v>50</v>
      </c>
      <c r="X2455" t="s">
        <v>33</v>
      </c>
      <c r="Y2455" t="s">
        <v>1803</v>
      </c>
      <c r="Z2455" t="s">
        <v>101</v>
      </c>
    </row>
    <row r="2456" spans="1:26">
      <c r="A2456" t="s">
        <v>4594</v>
      </c>
      <c r="B2456" t="s">
        <v>4594</v>
      </c>
      <c r="C2456" s="4">
        <v>45863</v>
      </c>
      <c r="D2456">
        <v>2025</v>
      </c>
      <c r="E2456">
        <v>7</v>
      </c>
      <c r="F2456" t="s">
        <v>23</v>
      </c>
      <c r="G2456" t="s">
        <v>89</v>
      </c>
      <c r="H2456" t="s">
        <v>1467</v>
      </c>
      <c r="I2456" t="s">
        <v>2426</v>
      </c>
      <c r="J2456" t="s">
        <v>175</v>
      </c>
      <c r="K2456" t="s">
        <v>176</v>
      </c>
      <c r="L2456">
        <v>3</v>
      </c>
      <c r="M2456" s="5">
        <v>150.04</v>
      </c>
      <c r="N2456" s="6">
        <v>20</v>
      </c>
      <c r="O2456" s="5">
        <v>90.02</v>
      </c>
      <c r="P2456" s="5">
        <v>54.02</v>
      </c>
      <c r="Q2456" s="5">
        <v>360.1</v>
      </c>
      <c r="R2456" s="5">
        <v>383.94</v>
      </c>
      <c r="S2456" s="5">
        <v>-23.84</v>
      </c>
      <c r="T2456" s="7">
        <v>-0.0662038322688142</v>
      </c>
      <c r="U2456" t="s">
        <v>10</v>
      </c>
      <c r="V2456" t="s">
        <v>50</v>
      </c>
      <c r="W2456" t="s">
        <v>50</v>
      </c>
      <c r="X2456" t="s">
        <v>33</v>
      </c>
      <c r="Y2456" t="s">
        <v>2393</v>
      </c>
      <c r="Z2456" t="s">
        <v>101</v>
      </c>
    </row>
    <row r="2457" spans="1:26">
      <c r="A2457" t="s">
        <v>4595</v>
      </c>
      <c r="B2457" t="s">
        <v>4595</v>
      </c>
      <c r="C2457" s="4">
        <v>45802</v>
      </c>
      <c r="D2457">
        <v>2025</v>
      </c>
      <c r="E2457">
        <v>5</v>
      </c>
      <c r="F2457" t="s">
        <v>21</v>
      </c>
      <c r="G2457" t="s">
        <v>74</v>
      </c>
      <c r="H2457" t="s">
        <v>2953</v>
      </c>
      <c r="I2457" t="s">
        <v>653</v>
      </c>
      <c r="J2457" t="s">
        <v>77</v>
      </c>
      <c r="K2457" t="s">
        <v>2636</v>
      </c>
      <c r="L2457">
        <v>2</v>
      </c>
      <c r="M2457" s="5">
        <v>339.13</v>
      </c>
      <c r="N2457" s="6">
        <v>5</v>
      </c>
      <c r="O2457" s="5">
        <v>33.91</v>
      </c>
      <c r="P2457" s="5">
        <v>96.65</v>
      </c>
      <c r="Q2457" s="5">
        <v>741</v>
      </c>
      <c r="R2457" s="5">
        <v>501.36</v>
      </c>
      <c r="S2457" s="5">
        <v>239.64</v>
      </c>
      <c r="T2457" s="7">
        <v>0.323400809716599</v>
      </c>
      <c r="U2457" t="s">
        <v>12</v>
      </c>
      <c r="V2457" t="s">
        <v>50</v>
      </c>
      <c r="W2457" t="s">
        <v>50</v>
      </c>
      <c r="X2457" t="s">
        <v>33</v>
      </c>
      <c r="Y2457" t="s">
        <v>347</v>
      </c>
      <c r="Z2457" t="s">
        <v>80</v>
      </c>
    </row>
    <row r="2458" spans="1:26">
      <c r="A2458" t="s">
        <v>4596</v>
      </c>
      <c r="B2458" t="s">
        <v>4596</v>
      </c>
      <c r="C2458" s="4">
        <v>45963</v>
      </c>
      <c r="D2458">
        <v>2025</v>
      </c>
      <c r="E2458">
        <v>11</v>
      </c>
      <c r="F2458" t="s">
        <v>27</v>
      </c>
      <c r="G2458" t="s">
        <v>137</v>
      </c>
      <c r="H2458" t="s">
        <v>1294</v>
      </c>
      <c r="I2458" t="s">
        <v>1153</v>
      </c>
      <c r="J2458" t="s">
        <v>302</v>
      </c>
      <c r="K2458" t="s">
        <v>303</v>
      </c>
      <c r="L2458">
        <v>8</v>
      </c>
      <c r="M2458" s="5">
        <v>387.52</v>
      </c>
      <c r="N2458" s="6">
        <v>10</v>
      </c>
      <c r="O2458" s="5">
        <v>310.02</v>
      </c>
      <c r="P2458" s="5">
        <v>418.52</v>
      </c>
      <c r="Q2458" s="5">
        <v>3208.66</v>
      </c>
      <c r="R2458" s="5">
        <v>2595.84</v>
      </c>
      <c r="S2458" s="5">
        <v>612.82</v>
      </c>
      <c r="T2458" s="7">
        <v>0.190989384976906</v>
      </c>
      <c r="U2458" t="s">
        <v>14</v>
      </c>
      <c r="V2458" t="s">
        <v>50</v>
      </c>
      <c r="W2458" t="s">
        <v>50</v>
      </c>
      <c r="X2458" t="s">
        <v>33</v>
      </c>
      <c r="Y2458" t="s">
        <v>1589</v>
      </c>
      <c r="Z2458" t="s">
        <v>80</v>
      </c>
    </row>
    <row r="2459" spans="1:26">
      <c r="A2459" t="s">
        <v>4597</v>
      </c>
      <c r="B2459" t="s">
        <v>4597</v>
      </c>
      <c r="C2459" s="4">
        <v>46046</v>
      </c>
      <c r="D2459">
        <v>2026</v>
      </c>
      <c r="E2459">
        <v>1</v>
      </c>
      <c r="F2459" t="s">
        <v>30</v>
      </c>
      <c r="G2459" t="s">
        <v>82</v>
      </c>
      <c r="H2459" t="s">
        <v>3422</v>
      </c>
      <c r="I2459" t="s">
        <v>151</v>
      </c>
      <c r="J2459" t="s">
        <v>296</v>
      </c>
      <c r="K2459" t="s">
        <v>297</v>
      </c>
      <c r="L2459">
        <v>1</v>
      </c>
      <c r="M2459" s="5">
        <v>434.65</v>
      </c>
      <c r="N2459" s="6">
        <v>0</v>
      </c>
      <c r="O2459" s="5">
        <v>0</v>
      </c>
      <c r="P2459" s="5">
        <v>65.2</v>
      </c>
      <c r="Q2459" s="5">
        <v>499.85</v>
      </c>
      <c r="R2459" s="5">
        <v>351.63</v>
      </c>
      <c r="S2459" s="5">
        <v>148.22</v>
      </c>
      <c r="T2459" s="7">
        <v>0.296528958687606</v>
      </c>
      <c r="U2459" t="s">
        <v>14</v>
      </c>
      <c r="V2459" t="s">
        <v>50</v>
      </c>
      <c r="W2459" t="s">
        <v>50</v>
      </c>
      <c r="X2459" t="s">
        <v>33</v>
      </c>
      <c r="Y2459" t="s">
        <v>2032</v>
      </c>
      <c r="Z2459" t="s">
        <v>80</v>
      </c>
    </row>
    <row r="2460" spans="1:26">
      <c r="A2460" t="s">
        <v>4598</v>
      </c>
      <c r="B2460" t="s">
        <v>4598</v>
      </c>
      <c r="C2460" s="4">
        <v>45934</v>
      </c>
      <c r="D2460">
        <v>2025</v>
      </c>
      <c r="E2460">
        <v>10</v>
      </c>
      <c r="F2460" t="s">
        <v>26</v>
      </c>
      <c r="G2460" t="s">
        <v>137</v>
      </c>
      <c r="H2460" t="s">
        <v>4599</v>
      </c>
      <c r="I2460" t="s">
        <v>285</v>
      </c>
      <c r="J2460" t="s">
        <v>252</v>
      </c>
      <c r="K2460" t="s">
        <v>253</v>
      </c>
      <c r="L2460">
        <v>4</v>
      </c>
      <c r="M2460" s="5">
        <v>541.35</v>
      </c>
      <c r="N2460" s="6">
        <v>0</v>
      </c>
      <c r="O2460" s="5">
        <v>0</v>
      </c>
      <c r="P2460" s="5">
        <v>324.81</v>
      </c>
      <c r="Q2460" s="5">
        <v>2490.21</v>
      </c>
      <c r="R2460" s="5">
        <v>1345.6</v>
      </c>
      <c r="S2460" s="5">
        <v>1144.61</v>
      </c>
      <c r="T2460" s="7">
        <v>0.459643965769955</v>
      </c>
      <c r="U2460" t="s">
        <v>13</v>
      </c>
      <c r="V2460" t="s">
        <v>50</v>
      </c>
      <c r="W2460" t="s">
        <v>50</v>
      </c>
      <c r="X2460" t="s">
        <v>33</v>
      </c>
      <c r="Y2460" t="s">
        <v>1268</v>
      </c>
      <c r="Z2460" t="s">
        <v>80</v>
      </c>
    </row>
    <row r="2461" spans="1:26">
      <c r="A2461" t="s">
        <v>4600</v>
      </c>
      <c r="B2461" t="s">
        <v>4600</v>
      </c>
      <c r="C2461" s="4">
        <v>45798</v>
      </c>
      <c r="D2461">
        <v>2025</v>
      </c>
      <c r="E2461">
        <v>5</v>
      </c>
      <c r="F2461" t="s">
        <v>21</v>
      </c>
      <c r="G2461" t="s">
        <v>74</v>
      </c>
      <c r="H2461" t="s">
        <v>3658</v>
      </c>
      <c r="I2461" t="s">
        <v>1051</v>
      </c>
      <c r="J2461" t="s">
        <v>948</v>
      </c>
      <c r="K2461" t="s">
        <v>949</v>
      </c>
      <c r="L2461">
        <v>3</v>
      </c>
      <c r="M2461" s="5">
        <v>261.55</v>
      </c>
      <c r="N2461" s="6">
        <v>5</v>
      </c>
      <c r="O2461" s="5">
        <v>39.23</v>
      </c>
      <c r="P2461" s="5">
        <v>111.81</v>
      </c>
      <c r="Q2461" s="5">
        <v>745.42</v>
      </c>
      <c r="R2461" s="5">
        <v>645.09</v>
      </c>
      <c r="S2461" s="5">
        <v>100.33</v>
      </c>
      <c r="T2461" s="7">
        <v>0.134595261731641</v>
      </c>
      <c r="U2461" t="s">
        <v>13</v>
      </c>
      <c r="V2461" t="s">
        <v>50</v>
      </c>
      <c r="W2461" t="s">
        <v>50</v>
      </c>
      <c r="X2461" t="s">
        <v>33</v>
      </c>
      <c r="Y2461" t="s">
        <v>576</v>
      </c>
      <c r="Z2461" t="s">
        <v>101</v>
      </c>
    </row>
    <row r="2462" spans="1:26">
      <c r="A2462" t="s">
        <v>4601</v>
      </c>
      <c r="B2462" t="s">
        <v>4601</v>
      </c>
      <c r="C2462" s="4">
        <v>45864</v>
      </c>
      <c r="D2462">
        <v>2025</v>
      </c>
      <c r="E2462">
        <v>7</v>
      </c>
      <c r="F2462" t="s">
        <v>23</v>
      </c>
      <c r="G2462" t="s">
        <v>89</v>
      </c>
      <c r="H2462" t="s">
        <v>893</v>
      </c>
      <c r="I2462" t="s">
        <v>139</v>
      </c>
      <c r="J2462" t="s">
        <v>39</v>
      </c>
      <c r="K2462" t="s">
        <v>4602</v>
      </c>
      <c r="L2462">
        <v>1</v>
      </c>
      <c r="M2462" s="5">
        <v>38.66</v>
      </c>
      <c r="N2462" s="6">
        <v>0</v>
      </c>
      <c r="O2462" s="5">
        <v>0</v>
      </c>
      <c r="P2462" s="5">
        <v>5.8</v>
      </c>
      <c r="Q2462" s="5">
        <v>44.46</v>
      </c>
      <c r="R2462" s="5">
        <v>32.4</v>
      </c>
      <c r="S2462" s="5">
        <v>12.06</v>
      </c>
      <c r="T2462" s="7">
        <v>0.271255060728745</v>
      </c>
      <c r="U2462" t="s">
        <v>14</v>
      </c>
      <c r="V2462" t="s">
        <v>50</v>
      </c>
      <c r="W2462" t="s">
        <v>50</v>
      </c>
      <c r="X2462" t="s">
        <v>33</v>
      </c>
      <c r="Y2462" t="s">
        <v>495</v>
      </c>
      <c r="Z2462" t="s">
        <v>80</v>
      </c>
    </row>
    <row r="2463" spans="1:26">
      <c r="A2463" t="s">
        <v>4603</v>
      </c>
      <c r="B2463" t="s">
        <v>4603</v>
      </c>
      <c r="C2463" s="4">
        <v>46102</v>
      </c>
      <c r="D2463">
        <v>2026</v>
      </c>
      <c r="E2463">
        <v>3</v>
      </c>
      <c r="F2463" t="s">
        <v>19</v>
      </c>
      <c r="G2463" t="s">
        <v>82</v>
      </c>
      <c r="H2463" t="s">
        <v>189</v>
      </c>
      <c r="I2463" t="s">
        <v>703</v>
      </c>
      <c r="J2463" t="s">
        <v>257</v>
      </c>
      <c r="K2463" t="s">
        <v>258</v>
      </c>
      <c r="L2463">
        <v>3</v>
      </c>
      <c r="M2463" s="5">
        <v>224.28</v>
      </c>
      <c r="N2463" s="6">
        <v>20</v>
      </c>
      <c r="O2463" s="5">
        <v>134.57</v>
      </c>
      <c r="P2463" s="5">
        <v>80.74</v>
      </c>
      <c r="Q2463" s="5">
        <v>619.01</v>
      </c>
      <c r="R2463" s="5">
        <v>577.17</v>
      </c>
      <c r="S2463" s="5">
        <v>41.84</v>
      </c>
      <c r="T2463" s="7">
        <v>0.067591799809373</v>
      </c>
      <c r="U2463" t="s">
        <v>10</v>
      </c>
      <c r="V2463" t="s">
        <v>50</v>
      </c>
      <c r="W2463" t="s">
        <v>50</v>
      </c>
      <c r="X2463" t="s">
        <v>33</v>
      </c>
      <c r="Y2463" t="s">
        <v>1846</v>
      </c>
      <c r="Z2463" t="s">
        <v>80</v>
      </c>
    </row>
    <row r="2464" spans="1:26">
      <c r="A2464" t="s">
        <v>4604</v>
      </c>
      <c r="B2464" t="s">
        <v>4604</v>
      </c>
      <c r="C2464" s="4">
        <v>45950</v>
      </c>
      <c r="D2464">
        <v>2025</v>
      </c>
      <c r="E2464">
        <v>10</v>
      </c>
      <c r="F2464" t="s">
        <v>26</v>
      </c>
      <c r="G2464" t="s">
        <v>137</v>
      </c>
      <c r="H2464" t="s">
        <v>1571</v>
      </c>
      <c r="I2464" t="s">
        <v>1704</v>
      </c>
      <c r="J2464" t="s">
        <v>482</v>
      </c>
      <c r="K2464" t="s">
        <v>99</v>
      </c>
      <c r="L2464">
        <v>2</v>
      </c>
      <c r="M2464" s="5">
        <v>242.22</v>
      </c>
      <c r="N2464" s="6">
        <v>5</v>
      </c>
      <c r="O2464" s="5">
        <v>24.22</v>
      </c>
      <c r="P2464" s="5">
        <v>69.03</v>
      </c>
      <c r="Q2464" s="5">
        <v>460.22</v>
      </c>
      <c r="R2464" s="5">
        <v>372.08</v>
      </c>
      <c r="S2464" s="5">
        <v>88.14</v>
      </c>
      <c r="T2464" s="7">
        <v>0.191517100517144</v>
      </c>
      <c r="U2464" t="s">
        <v>14</v>
      </c>
      <c r="V2464" t="s">
        <v>50</v>
      </c>
      <c r="W2464" t="s">
        <v>50</v>
      </c>
      <c r="X2464" t="s">
        <v>35</v>
      </c>
      <c r="Y2464" t="s">
        <v>944</v>
      </c>
      <c r="Z2464" t="s">
        <v>101</v>
      </c>
    </row>
    <row r="2465" spans="1:26">
      <c r="A2465" t="s">
        <v>4605</v>
      </c>
      <c r="B2465" t="s">
        <v>4605</v>
      </c>
      <c r="C2465" s="4">
        <v>46006</v>
      </c>
      <c r="D2465">
        <v>2025</v>
      </c>
      <c r="E2465">
        <v>12</v>
      </c>
      <c r="F2465" t="s">
        <v>28</v>
      </c>
      <c r="G2465" t="s">
        <v>137</v>
      </c>
      <c r="H2465" t="s">
        <v>261</v>
      </c>
      <c r="I2465" t="s">
        <v>562</v>
      </c>
      <c r="J2465" t="s">
        <v>1219</v>
      </c>
      <c r="K2465" t="s">
        <v>1297</v>
      </c>
      <c r="L2465">
        <v>1</v>
      </c>
      <c r="M2465" s="5">
        <v>404.97</v>
      </c>
      <c r="N2465" s="6">
        <v>0</v>
      </c>
      <c r="O2465" s="5">
        <v>0</v>
      </c>
      <c r="P2465" s="5">
        <v>60.75</v>
      </c>
      <c r="Q2465" s="5">
        <v>404.97</v>
      </c>
      <c r="R2465" s="5">
        <v>341.24</v>
      </c>
      <c r="S2465" s="5">
        <v>63.73</v>
      </c>
      <c r="T2465" s="7">
        <v>0.157369681704818</v>
      </c>
      <c r="U2465" t="s">
        <v>11</v>
      </c>
      <c r="V2465" t="s">
        <v>50</v>
      </c>
      <c r="W2465" t="s">
        <v>50</v>
      </c>
      <c r="X2465" t="s">
        <v>33</v>
      </c>
      <c r="Y2465" t="s">
        <v>2378</v>
      </c>
      <c r="Z2465" t="s">
        <v>101</v>
      </c>
    </row>
    <row r="2466" spans="1:26">
      <c r="A2466" t="s">
        <v>4606</v>
      </c>
      <c r="B2466" t="s">
        <v>4606</v>
      </c>
      <c r="C2466" s="4">
        <v>46011</v>
      </c>
      <c r="D2466">
        <v>2025</v>
      </c>
      <c r="E2466">
        <v>12</v>
      </c>
      <c r="F2466" t="s">
        <v>28</v>
      </c>
      <c r="G2466" t="s">
        <v>137</v>
      </c>
      <c r="H2466" t="s">
        <v>355</v>
      </c>
      <c r="I2466" t="s">
        <v>384</v>
      </c>
      <c r="J2466" t="s">
        <v>307</v>
      </c>
      <c r="K2466" t="s">
        <v>554</v>
      </c>
      <c r="L2466">
        <v>7</v>
      </c>
      <c r="M2466" s="5">
        <v>212.39</v>
      </c>
      <c r="N2466" s="6">
        <v>0</v>
      </c>
      <c r="O2466" s="5">
        <v>0</v>
      </c>
      <c r="P2466" s="5">
        <v>223.01</v>
      </c>
      <c r="Q2466" s="5">
        <v>1709.74</v>
      </c>
      <c r="R2466" s="5">
        <v>949.62</v>
      </c>
      <c r="S2466" s="5">
        <v>760.12</v>
      </c>
      <c r="T2466" s="7">
        <v>0.44458221717922</v>
      </c>
      <c r="U2466" t="s">
        <v>11</v>
      </c>
      <c r="V2466" t="s">
        <v>50</v>
      </c>
      <c r="W2466" t="s">
        <v>50</v>
      </c>
      <c r="X2466" t="s">
        <v>33</v>
      </c>
      <c r="Y2466" t="s">
        <v>516</v>
      </c>
      <c r="Z2466" t="s">
        <v>80</v>
      </c>
    </row>
    <row r="2467" spans="1:26">
      <c r="A2467" t="s">
        <v>4607</v>
      </c>
      <c r="B2467" t="s">
        <v>4607</v>
      </c>
      <c r="C2467" s="4">
        <v>45925</v>
      </c>
      <c r="D2467">
        <v>2025</v>
      </c>
      <c r="E2467">
        <v>9</v>
      </c>
      <c r="F2467" t="s">
        <v>25</v>
      </c>
      <c r="G2467" t="s">
        <v>89</v>
      </c>
      <c r="H2467" t="s">
        <v>425</v>
      </c>
      <c r="I2467" t="s">
        <v>444</v>
      </c>
      <c r="J2467" t="s">
        <v>1450</v>
      </c>
      <c r="K2467" t="s">
        <v>2838</v>
      </c>
      <c r="L2467">
        <v>3</v>
      </c>
      <c r="M2467" s="5">
        <v>103.11</v>
      </c>
      <c r="N2467" s="6">
        <v>0</v>
      </c>
      <c r="O2467" s="5">
        <v>0</v>
      </c>
      <c r="P2467" s="5">
        <v>46.4</v>
      </c>
      <c r="Q2467" s="5">
        <v>309.33</v>
      </c>
      <c r="R2467" s="5">
        <v>258.15</v>
      </c>
      <c r="S2467" s="5">
        <v>51.18</v>
      </c>
      <c r="T2467" s="7">
        <v>0.165454369120357</v>
      </c>
      <c r="U2467" t="s">
        <v>13</v>
      </c>
      <c r="V2467" t="s">
        <v>50</v>
      </c>
      <c r="W2467" t="s">
        <v>50</v>
      </c>
      <c r="X2467" t="s">
        <v>33</v>
      </c>
      <c r="Y2467" t="s">
        <v>2127</v>
      </c>
      <c r="Z2467" t="s">
        <v>101</v>
      </c>
    </row>
    <row r="2468" spans="1:26">
      <c r="A2468" t="s">
        <v>4608</v>
      </c>
      <c r="B2468" t="s">
        <v>4608</v>
      </c>
      <c r="C2468" s="4">
        <v>45933</v>
      </c>
      <c r="D2468">
        <v>2025</v>
      </c>
      <c r="E2468">
        <v>10</v>
      </c>
      <c r="F2468" t="s">
        <v>26</v>
      </c>
      <c r="G2468" t="s">
        <v>137</v>
      </c>
      <c r="H2468" t="s">
        <v>1126</v>
      </c>
      <c r="I2468" t="s">
        <v>623</v>
      </c>
      <c r="J2468" t="s">
        <v>877</v>
      </c>
      <c r="K2468" t="s">
        <v>878</v>
      </c>
      <c r="L2468">
        <v>6</v>
      </c>
      <c r="M2468" s="5">
        <v>140.96</v>
      </c>
      <c r="N2468" s="6">
        <v>0</v>
      </c>
      <c r="O2468" s="5">
        <v>0</v>
      </c>
      <c r="P2468" s="5">
        <v>126.86</v>
      </c>
      <c r="Q2468" s="5">
        <v>845.76</v>
      </c>
      <c r="R2468" s="5">
        <v>641.94</v>
      </c>
      <c r="S2468" s="5">
        <v>203.82</v>
      </c>
      <c r="T2468" s="7">
        <v>0.240990351872872</v>
      </c>
      <c r="U2468" t="s">
        <v>14</v>
      </c>
      <c r="V2468" t="s">
        <v>50</v>
      </c>
      <c r="W2468" t="s">
        <v>50</v>
      </c>
      <c r="X2468" t="s">
        <v>33</v>
      </c>
      <c r="Y2468" t="s">
        <v>2066</v>
      </c>
      <c r="Z2468" t="s">
        <v>101</v>
      </c>
    </row>
    <row r="2469" spans="1:26">
      <c r="A2469" t="s">
        <v>4609</v>
      </c>
      <c r="B2469" t="s">
        <v>4609</v>
      </c>
      <c r="C2469" s="4">
        <v>45987</v>
      </c>
      <c r="D2469">
        <v>2025</v>
      </c>
      <c r="E2469">
        <v>11</v>
      </c>
      <c r="F2469" t="s">
        <v>27</v>
      </c>
      <c r="G2469" t="s">
        <v>137</v>
      </c>
      <c r="H2469" t="s">
        <v>2541</v>
      </c>
      <c r="I2469" t="s">
        <v>1132</v>
      </c>
      <c r="J2469" t="s">
        <v>1003</v>
      </c>
      <c r="K2469" t="s">
        <v>1004</v>
      </c>
      <c r="L2469">
        <v>3</v>
      </c>
      <c r="M2469" s="5">
        <v>318.41</v>
      </c>
      <c r="N2469" s="6">
        <v>15</v>
      </c>
      <c r="O2469" s="5">
        <v>143.28</v>
      </c>
      <c r="P2469" s="5">
        <v>121.79</v>
      </c>
      <c r="Q2469" s="5">
        <v>811.95</v>
      </c>
      <c r="R2469" s="5">
        <v>675.84</v>
      </c>
      <c r="S2469" s="5">
        <v>136.11</v>
      </c>
      <c r="T2469" s="7">
        <v>0.16763347496767</v>
      </c>
      <c r="U2469" t="s">
        <v>11</v>
      </c>
      <c r="V2469" t="s">
        <v>50</v>
      </c>
      <c r="W2469" t="s">
        <v>50</v>
      </c>
      <c r="X2469" t="s">
        <v>33</v>
      </c>
      <c r="Y2469" t="s">
        <v>1487</v>
      </c>
      <c r="Z2469" t="s">
        <v>101</v>
      </c>
    </row>
    <row r="2470" spans="1:26">
      <c r="A2470" t="s">
        <v>4610</v>
      </c>
      <c r="B2470" t="s">
        <v>4610</v>
      </c>
      <c r="C2470" s="4">
        <v>45861</v>
      </c>
      <c r="D2470">
        <v>2025</v>
      </c>
      <c r="E2470">
        <v>7</v>
      </c>
      <c r="F2470" t="s">
        <v>23</v>
      </c>
      <c r="G2470" t="s">
        <v>89</v>
      </c>
      <c r="H2470" t="s">
        <v>2355</v>
      </c>
      <c r="I2470" t="s">
        <v>312</v>
      </c>
      <c r="J2470" t="s">
        <v>339</v>
      </c>
      <c r="K2470" t="s">
        <v>134</v>
      </c>
      <c r="L2470">
        <v>4</v>
      </c>
      <c r="M2470" s="5">
        <v>383.51</v>
      </c>
      <c r="N2470" s="6">
        <v>15</v>
      </c>
      <c r="O2470" s="5">
        <v>230.11</v>
      </c>
      <c r="P2470" s="5">
        <v>195.59</v>
      </c>
      <c r="Q2470" s="5">
        <v>1303.93</v>
      </c>
      <c r="R2470" s="5">
        <v>1143.6</v>
      </c>
      <c r="S2470" s="5">
        <v>160.33</v>
      </c>
      <c r="T2470" s="7">
        <v>0.122959054550474</v>
      </c>
      <c r="U2470" t="s">
        <v>9</v>
      </c>
      <c r="V2470" t="s">
        <v>50</v>
      </c>
      <c r="W2470" t="s">
        <v>50</v>
      </c>
      <c r="X2470" t="s">
        <v>35</v>
      </c>
      <c r="Y2470" t="s">
        <v>2460</v>
      </c>
      <c r="Z2470" t="s">
        <v>101</v>
      </c>
    </row>
    <row r="2471" spans="1:26">
      <c r="A2471" t="s">
        <v>4611</v>
      </c>
      <c r="B2471" t="s">
        <v>4611</v>
      </c>
      <c r="C2471" s="4">
        <v>45856</v>
      </c>
      <c r="D2471">
        <v>2025</v>
      </c>
      <c r="E2471">
        <v>7</v>
      </c>
      <c r="F2471" t="s">
        <v>23</v>
      </c>
      <c r="G2471" t="s">
        <v>89</v>
      </c>
      <c r="H2471" t="s">
        <v>2163</v>
      </c>
      <c r="I2471" t="s">
        <v>139</v>
      </c>
      <c r="J2471" t="s">
        <v>833</v>
      </c>
      <c r="K2471" t="s">
        <v>3511</v>
      </c>
      <c r="L2471">
        <v>8</v>
      </c>
      <c r="M2471" s="5">
        <v>39.69</v>
      </c>
      <c r="N2471" s="6">
        <v>0</v>
      </c>
      <c r="O2471" s="5">
        <v>0</v>
      </c>
      <c r="P2471" s="5">
        <v>47.63</v>
      </c>
      <c r="Q2471" s="5">
        <v>317.52</v>
      </c>
      <c r="R2471" s="5">
        <v>259.2</v>
      </c>
      <c r="S2471" s="5">
        <v>58.32</v>
      </c>
      <c r="T2471" s="7">
        <v>0.183673469387755</v>
      </c>
      <c r="U2471" t="s">
        <v>10</v>
      </c>
      <c r="V2471" t="s">
        <v>50</v>
      </c>
      <c r="W2471" t="s">
        <v>50</v>
      </c>
      <c r="X2471" t="s">
        <v>33</v>
      </c>
      <c r="Y2471" t="s">
        <v>3609</v>
      </c>
      <c r="Z2471" t="s">
        <v>101</v>
      </c>
    </row>
    <row r="2472" spans="1:26">
      <c r="A2472" t="s">
        <v>4612</v>
      </c>
      <c r="B2472" t="s">
        <v>4612</v>
      </c>
      <c r="C2472" s="4">
        <v>46015</v>
      </c>
      <c r="D2472">
        <v>2025</v>
      </c>
      <c r="E2472">
        <v>12</v>
      </c>
      <c r="F2472" t="s">
        <v>28</v>
      </c>
      <c r="G2472" t="s">
        <v>137</v>
      </c>
      <c r="H2472" t="s">
        <v>1026</v>
      </c>
      <c r="I2472" t="s">
        <v>924</v>
      </c>
      <c r="J2472" t="s">
        <v>1219</v>
      </c>
      <c r="K2472" t="s">
        <v>724</v>
      </c>
      <c r="L2472">
        <v>5</v>
      </c>
      <c r="M2472" s="5">
        <v>294.41</v>
      </c>
      <c r="N2472" s="6">
        <v>10</v>
      </c>
      <c r="O2472" s="5">
        <v>147.21</v>
      </c>
      <c r="P2472" s="5">
        <v>198.73</v>
      </c>
      <c r="Q2472" s="5">
        <v>1324.84</v>
      </c>
      <c r="R2472" s="5">
        <v>973.2</v>
      </c>
      <c r="S2472" s="5">
        <v>351.64</v>
      </c>
      <c r="T2472" s="7">
        <v>0.265420730050421</v>
      </c>
      <c r="U2472" t="s">
        <v>14</v>
      </c>
      <c r="V2472" t="s">
        <v>50</v>
      </c>
      <c r="W2472" t="s">
        <v>50</v>
      </c>
      <c r="X2472" t="s">
        <v>33</v>
      </c>
      <c r="Y2472" t="s">
        <v>2325</v>
      </c>
      <c r="Z2472" t="s">
        <v>101</v>
      </c>
    </row>
    <row r="2473" spans="1:26">
      <c r="A2473" t="s">
        <v>4613</v>
      </c>
      <c r="B2473" t="s">
        <v>4613</v>
      </c>
      <c r="C2473" s="4">
        <v>46090</v>
      </c>
      <c r="D2473">
        <v>2026</v>
      </c>
      <c r="E2473">
        <v>3</v>
      </c>
      <c r="F2473" t="s">
        <v>19</v>
      </c>
      <c r="G2473" t="s">
        <v>82</v>
      </c>
      <c r="H2473" t="s">
        <v>201</v>
      </c>
      <c r="I2473" t="s">
        <v>1419</v>
      </c>
      <c r="J2473" t="s">
        <v>882</v>
      </c>
      <c r="K2473" t="s">
        <v>1500</v>
      </c>
      <c r="L2473">
        <v>8</v>
      </c>
      <c r="M2473" s="5">
        <v>335.16</v>
      </c>
      <c r="N2473" s="6">
        <v>0</v>
      </c>
      <c r="O2473" s="5">
        <v>0</v>
      </c>
      <c r="P2473" s="5">
        <v>402.19</v>
      </c>
      <c r="Q2473" s="5">
        <v>2681.28</v>
      </c>
      <c r="R2473" s="5">
        <v>1880.4</v>
      </c>
      <c r="S2473" s="5">
        <v>800.88</v>
      </c>
      <c r="T2473" s="7">
        <v>0.298693161475116</v>
      </c>
      <c r="U2473" t="s">
        <v>13</v>
      </c>
      <c r="V2473" t="s">
        <v>50</v>
      </c>
      <c r="W2473" t="s">
        <v>50</v>
      </c>
      <c r="X2473" t="s">
        <v>35</v>
      </c>
      <c r="Y2473" t="s">
        <v>1743</v>
      </c>
      <c r="Z2473" t="s">
        <v>101</v>
      </c>
    </row>
    <row r="2474" spans="1:26">
      <c r="A2474" t="s">
        <v>4614</v>
      </c>
      <c r="B2474" t="s">
        <v>4614</v>
      </c>
      <c r="C2474" s="4">
        <v>45985</v>
      </c>
      <c r="D2474">
        <v>2025</v>
      </c>
      <c r="E2474">
        <v>11</v>
      </c>
      <c r="F2474" t="s">
        <v>27</v>
      </c>
      <c r="G2474" t="s">
        <v>137</v>
      </c>
      <c r="H2474" t="s">
        <v>591</v>
      </c>
      <c r="I2474" t="s">
        <v>174</v>
      </c>
      <c r="J2474" t="s">
        <v>152</v>
      </c>
      <c r="K2474" t="s">
        <v>153</v>
      </c>
      <c r="L2474">
        <v>7</v>
      </c>
      <c r="M2474" s="5">
        <v>429.77</v>
      </c>
      <c r="N2474" s="6">
        <v>10</v>
      </c>
      <c r="O2474" s="5">
        <v>300.84</v>
      </c>
      <c r="P2474" s="5">
        <v>406.13</v>
      </c>
      <c r="Q2474" s="5">
        <v>2707.55</v>
      </c>
      <c r="R2474" s="5">
        <v>2235.59</v>
      </c>
      <c r="S2474" s="5">
        <v>471.96</v>
      </c>
      <c r="T2474" s="7">
        <v>0.174312570404979</v>
      </c>
      <c r="U2474" t="s">
        <v>13</v>
      </c>
      <c r="V2474" t="s">
        <v>50</v>
      </c>
      <c r="W2474" t="s">
        <v>50</v>
      </c>
      <c r="X2474" t="s">
        <v>35</v>
      </c>
      <c r="Y2474" t="s">
        <v>1692</v>
      </c>
      <c r="Z2474" t="s">
        <v>101</v>
      </c>
    </row>
    <row r="2475" spans="1:26">
      <c r="A2475" t="s">
        <v>4615</v>
      </c>
      <c r="B2475" t="s">
        <v>4615</v>
      </c>
      <c r="C2475" s="4">
        <v>45829</v>
      </c>
      <c r="D2475">
        <v>2025</v>
      </c>
      <c r="E2475">
        <v>6</v>
      </c>
      <c r="F2475" t="s">
        <v>22</v>
      </c>
      <c r="G2475" t="s">
        <v>74</v>
      </c>
      <c r="H2475" t="s">
        <v>1927</v>
      </c>
      <c r="I2475" t="s">
        <v>1714</v>
      </c>
      <c r="J2475" t="s">
        <v>626</v>
      </c>
      <c r="K2475" t="s">
        <v>1029</v>
      </c>
      <c r="L2475">
        <v>1</v>
      </c>
      <c r="M2475" s="5">
        <v>342.27</v>
      </c>
      <c r="N2475" s="6">
        <v>0</v>
      </c>
      <c r="O2475" s="5">
        <v>0</v>
      </c>
      <c r="P2475" s="5">
        <v>51.34</v>
      </c>
      <c r="Q2475" s="5">
        <v>393.61</v>
      </c>
      <c r="R2475" s="5">
        <v>266.1</v>
      </c>
      <c r="S2475" s="5">
        <v>127.51</v>
      </c>
      <c r="T2475" s="7">
        <v>0.323950102893727</v>
      </c>
      <c r="U2475" t="s">
        <v>12</v>
      </c>
      <c r="V2475" t="s">
        <v>51</v>
      </c>
      <c r="W2475" t="s">
        <v>51</v>
      </c>
      <c r="X2475" t="s">
        <v>33</v>
      </c>
      <c r="Y2475" t="s">
        <v>3568</v>
      </c>
      <c r="Z2475" t="s">
        <v>80</v>
      </c>
    </row>
    <row r="2476" spans="1:26">
      <c r="A2476" t="s">
        <v>4616</v>
      </c>
      <c r="B2476" t="s">
        <v>4616</v>
      </c>
      <c r="C2476" s="4">
        <v>46107</v>
      </c>
      <c r="D2476">
        <v>2026</v>
      </c>
      <c r="E2476">
        <v>3</v>
      </c>
      <c r="F2476" t="s">
        <v>19</v>
      </c>
      <c r="G2476" t="s">
        <v>82</v>
      </c>
      <c r="H2476" t="s">
        <v>2337</v>
      </c>
      <c r="I2476" t="s">
        <v>279</v>
      </c>
      <c r="J2476" t="s">
        <v>197</v>
      </c>
      <c r="K2476" t="s">
        <v>407</v>
      </c>
      <c r="L2476">
        <v>3</v>
      </c>
      <c r="M2476" s="5">
        <v>418.79</v>
      </c>
      <c r="N2476" s="6">
        <v>5</v>
      </c>
      <c r="O2476" s="5">
        <v>62.82</v>
      </c>
      <c r="P2476" s="5">
        <v>179.03</v>
      </c>
      <c r="Q2476" s="5">
        <v>1193.55</v>
      </c>
      <c r="R2476" s="5">
        <v>926.82</v>
      </c>
      <c r="S2476" s="5">
        <v>266.73</v>
      </c>
      <c r="T2476" s="7">
        <v>0.223476184491643</v>
      </c>
      <c r="U2476" t="s">
        <v>13</v>
      </c>
      <c r="V2476" t="s">
        <v>50</v>
      </c>
      <c r="W2476" t="s">
        <v>50</v>
      </c>
      <c r="X2476" t="s">
        <v>33</v>
      </c>
      <c r="Y2476" t="s">
        <v>160</v>
      </c>
      <c r="Z2476" t="s">
        <v>101</v>
      </c>
    </row>
    <row r="2477" spans="1:26">
      <c r="A2477" t="s">
        <v>4617</v>
      </c>
      <c r="B2477" t="s">
        <v>4617</v>
      </c>
      <c r="C2477" s="4">
        <v>45998</v>
      </c>
      <c r="D2477">
        <v>2025</v>
      </c>
      <c r="E2477">
        <v>12</v>
      </c>
      <c r="F2477" t="s">
        <v>28</v>
      </c>
      <c r="G2477" t="s">
        <v>137</v>
      </c>
      <c r="H2477" t="s">
        <v>1651</v>
      </c>
      <c r="I2477" t="s">
        <v>151</v>
      </c>
      <c r="J2477" t="s">
        <v>339</v>
      </c>
      <c r="K2477" t="s">
        <v>112</v>
      </c>
      <c r="L2477">
        <v>4</v>
      </c>
      <c r="M2477" s="5">
        <v>434.65</v>
      </c>
      <c r="N2477" s="6">
        <v>20</v>
      </c>
      <c r="O2477" s="5">
        <v>347.72</v>
      </c>
      <c r="P2477" s="5">
        <v>208.63</v>
      </c>
      <c r="Q2477" s="5">
        <v>1599.51</v>
      </c>
      <c r="R2477" s="5">
        <v>1406.52</v>
      </c>
      <c r="S2477" s="5">
        <v>192.99</v>
      </c>
      <c r="T2477" s="7">
        <v>0.120655700808373</v>
      </c>
      <c r="U2477" t="s">
        <v>14</v>
      </c>
      <c r="V2477" t="s">
        <v>50</v>
      </c>
      <c r="W2477" t="s">
        <v>50</v>
      </c>
      <c r="X2477" t="s">
        <v>35</v>
      </c>
      <c r="Y2477" t="s">
        <v>1292</v>
      </c>
      <c r="Z2477" t="s">
        <v>80</v>
      </c>
    </row>
    <row r="2478" spans="1:26">
      <c r="A2478" t="s">
        <v>4618</v>
      </c>
      <c r="B2478" t="s">
        <v>4618</v>
      </c>
      <c r="C2478" s="4">
        <v>46068</v>
      </c>
      <c r="D2478">
        <v>2026</v>
      </c>
      <c r="E2478">
        <v>2</v>
      </c>
      <c r="F2478" t="s">
        <v>31</v>
      </c>
      <c r="G2478" t="s">
        <v>82</v>
      </c>
      <c r="H2478" t="s">
        <v>1054</v>
      </c>
      <c r="I2478" t="s">
        <v>937</v>
      </c>
      <c r="J2478" t="s">
        <v>170</v>
      </c>
      <c r="K2478" t="s">
        <v>2247</v>
      </c>
      <c r="L2478">
        <v>5</v>
      </c>
      <c r="M2478" s="5">
        <v>487.64</v>
      </c>
      <c r="N2478" s="6">
        <v>5</v>
      </c>
      <c r="O2478" s="5">
        <v>121.91</v>
      </c>
      <c r="P2478" s="5">
        <v>347.44</v>
      </c>
      <c r="Q2478" s="5">
        <v>2663.73</v>
      </c>
      <c r="R2478" s="5">
        <v>1850.9</v>
      </c>
      <c r="S2478" s="5">
        <v>812.83</v>
      </c>
      <c r="T2478" s="7">
        <v>0.305147293456919</v>
      </c>
      <c r="U2478" t="s">
        <v>10</v>
      </c>
      <c r="V2478" t="s">
        <v>50</v>
      </c>
      <c r="W2478" t="s">
        <v>50</v>
      </c>
      <c r="X2478" t="s">
        <v>33</v>
      </c>
      <c r="Y2478" t="s">
        <v>1960</v>
      </c>
      <c r="Z2478" t="s">
        <v>80</v>
      </c>
    </row>
    <row r="2479" spans="1:26">
      <c r="A2479" t="s">
        <v>4619</v>
      </c>
      <c r="B2479" t="s">
        <v>4619</v>
      </c>
      <c r="C2479" s="4">
        <v>45886</v>
      </c>
      <c r="D2479">
        <v>2025</v>
      </c>
      <c r="E2479">
        <v>8</v>
      </c>
      <c r="F2479" t="s">
        <v>24</v>
      </c>
      <c r="G2479" t="s">
        <v>89</v>
      </c>
      <c r="H2479" t="s">
        <v>1732</v>
      </c>
      <c r="I2479" t="s">
        <v>1714</v>
      </c>
      <c r="J2479" t="s">
        <v>1718</v>
      </c>
      <c r="K2479" t="s">
        <v>1681</v>
      </c>
      <c r="L2479">
        <v>1</v>
      </c>
      <c r="M2479" s="5">
        <v>342.27</v>
      </c>
      <c r="N2479" s="6">
        <v>10</v>
      </c>
      <c r="O2479" s="5">
        <v>34.23</v>
      </c>
      <c r="P2479" s="5">
        <v>46.21</v>
      </c>
      <c r="Q2479" s="5">
        <v>354.25</v>
      </c>
      <c r="R2479" s="5">
        <v>266.1</v>
      </c>
      <c r="S2479" s="5">
        <v>88.15</v>
      </c>
      <c r="T2479" s="7">
        <v>0.248835568101623</v>
      </c>
      <c r="U2479" t="s">
        <v>9</v>
      </c>
      <c r="V2479" t="s">
        <v>50</v>
      </c>
      <c r="W2479" t="s">
        <v>50</v>
      </c>
      <c r="X2479" t="s">
        <v>33</v>
      </c>
      <c r="Y2479" t="s">
        <v>398</v>
      </c>
      <c r="Z2479" t="s">
        <v>80</v>
      </c>
    </row>
    <row r="2480" spans="1:26">
      <c r="A2480" t="s">
        <v>4620</v>
      </c>
      <c r="B2480" t="s">
        <v>4620</v>
      </c>
      <c r="C2480" s="4">
        <v>45963</v>
      </c>
      <c r="D2480">
        <v>2025</v>
      </c>
      <c r="E2480">
        <v>11</v>
      </c>
      <c r="F2480" t="s">
        <v>27</v>
      </c>
      <c r="G2480" t="s">
        <v>137</v>
      </c>
      <c r="H2480" t="s">
        <v>1732</v>
      </c>
      <c r="I2480" t="s">
        <v>301</v>
      </c>
      <c r="J2480" t="s">
        <v>504</v>
      </c>
      <c r="K2480" t="s">
        <v>505</v>
      </c>
      <c r="L2480">
        <v>3</v>
      </c>
      <c r="M2480" s="5">
        <v>219.39</v>
      </c>
      <c r="N2480" s="6">
        <v>0</v>
      </c>
      <c r="O2480" s="5">
        <v>0</v>
      </c>
      <c r="P2480" s="5">
        <v>98.73</v>
      </c>
      <c r="Q2480" s="5">
        <v>756.9</v>
      </c>
      <c r="R2480" s="5">
        <v>586.32</v>
      </c>
      <c r="S2480" s="5">
        <v>170.58</v>
      </c>
      <c r="T2480" s="7">
        <v>0.225366627031312</v>
      </c>
      <c r="U2480" t="s">
        <v>9</v>
      </c>
      <c r="V2480" t="s">
        <v>50</v>
      </c>
      <c r="W2480" t="s">
        <v>50</v>
      </c>
      <c r="X2480" t="s">
        <v>33</v>
      </c>
      <c r="Y2480" t="s">
        <v>2593</v>
      </c>
      <c r="Z2480" t="s">
        <v>80</v>
      </c>
    </row>
    <row r="2481" spans="1:26">
      <c r="A2481" t="s">
        <v>4621</v>
      </c>
      <c r="B2481" t="s">
        <v>4621</v>
      </c>
      <c r="C2481" s="4">
        <v>45767</v>
      </c>
      <c r="D2481">
        <v>2025</v>
      </c>
      <c r="E2481">
        <v>4</v>
      </c>
      <c r="F2481" t="s">
        <v>20</v>
      </c>
      <c r="G2481" t="s">
        <v>74</v>
      </c>
      <c r="H2481" t="s">
        <v>4107</v>
      </c>
      <c r="I2481" t="s">
        <v>196</v>
      </c>
      <c r="J2481" t="s">
        <v>465</v>
      </c>
      <c r="K2481" t="s">
        <v>829</v>
      </c>
      <c r="L2481">
        <v>4</v>
      </c>
      <c r="M2481" s="5">
        <v>332.73</v>
      </c>
      <c r="N2481" s="6">
        <v>20</v>
      </c>
      <c r="O2481" s="5">
        <v>266.18</v>
      </c>
      <c r="P2481" s="5">
        <v>159.71</v>
      </c>
      <c r="Q2481" s="5">
        <v>1224.45</v>
      </c>
      <c r="R2481" s="5">
        <v>1044.88</v>
      </c>
      <c r="S2481" s="5">
        <v>179.57</v>
      </c>
      <c r="T2481" s="7">
        <v>0.14665359957532</v>
      </c>
      <c r="U2481" t="s">
        <v>14</v>
      </c>
      <c r="V2481" t="s">
        <v>50</v>
      </c>
      <c r="W2481" t="s">
        <v>50</v>
      </c>
      <c r="X2481" t="s">
        <v>33</v>
      </c>
      <c r="Y2481" t="s">
        <v>1683</v>
      </c>
      <c r="Z2481" t="s">
        <v>80</v>
      </c>
    </row>
    <row r="2482" spans="1:26">
      <c r="A2482" t="s">
        <v>4622</v>
      </c>
      <c r="B2482" t="s">
        <v>4622</v>
      </c>
      <c r="C2482" s="4">
        <v>46004</v>
      </c>
      <c r="D2482">
        <v>2025</v>
      </c>
      <c r="E2482">
        <v>12</v>
      </c>
      <c r="F2482" t="s">
        <v>28</v>
      </c>
      <c r="G2482" t="s">
        <v>137</v>
      </c>
      <c r="H2482" t="s">
        <v>4623</v>
      </c>
      <c r="I2482" t="s">
        <v>285</v>
      </c>
      <c r="J2482" t="s">
        <v>246</v>
      </c>
      <c r="K2482" t="s">
        <v>247</v>
      </c>
      <c r="L2482">
        <v>1</v>
      </c>
      <c r="M2482" s="5">
        <v>541.35</v>
      </c>
      <c r="N2482" s="6">
        <v>10</v>
      </c>
      <c r="O2482" s="5">
        <v>54.13</v>
      </c>
      <c r="P2482" s="5">
        <v>73.08</v>
      </c>
      <c r="Q2482" s="5">
        <v>560.3</v>
      </c>
      <c r="R2482" s="5">
        <v>336.4</v>
      </c>
      <c r="S2482" s="5">
        <v>223.9</v>
      </c>
      <c r="T2482" s="7">
        <v>0.399607353203641</v>
      </c>
      <c r="U2482" t="s">
        <v>12</v>
      </c>
      <c r="V2482" t="s">
        <v>50</v>
      </c>
      <c r="W2482" t="s">
        <v>50</v>
      </c>
      <c r="X2482" t="s">
        <v>34</v>
      </c>
      <c r="Y2482" t="s">
        <v>1950</v>
      </c>
      <c r="Z2482" t="s">
        <v>80</v>
      </c>
    </row>
    <row r="2483" spans="1:26">
      <c r="A2483" t="s">
        <v>4624</v>
      </c>
      <c r="B2483" t="s">
        <v>4624</v>
      </c>
      <c r="C2483" s="4">
        <v>45946</v>
      </c>
      <c r="D2483">
        <v>2025</v>
      </c>
      <c r="E2483">
        <v>10</v>
      </c>
      <c r="F2483" t="s">
        <v>26</v>
      </c>
      <c r="G2483" t="s">
        <v>137</v>
      </c>
      <c r="H2483" t="s">
        <v>1685</v>
      </c>
      <c r="I2483" t="s">
        <v>328</v>
      </c>
      <c r="J2483" t="s">
        <v>401</v>
      </c>
      <c r="K2483" t="s">
        <v>402</v>
      </c>
      <c r="L2483">
        <v>2</v>
      </c>
      <c r="M2483" s="5">
        <v>124.84</v>
      </c>
      <c r="N2483" s="6">
        <v>5</v>
      </c>
      <c r="O2483" s="5">
        <v>12.48</v>
      </c>
      <c r="P2483" s="5">
        <v>35.58</v>
      </c>
      <c r="Q2483" s="5">
        <v>237.2</v>
      </c>
      <c r="R2483" s="5">
        <v>194.7</v>
      </c>
      <c r="S2483" s="5">
        <v>42.5</v>
      </c>
      <c r="T2483" s="7">
        <v>0.179173693086003</v>
      </c>
      <c r="U2483" t="s">
        <v>13</v>
      </c>
      <c r="V2483" t="s">
        <v>50</v>
      </c>
      <c r="W2483" t="s">
        <v>50</v>
      </c>
      <c r="X2483" t="s">
        <v>33</v>
      </c>
      <c r="Y2483" t="s">
        <v>329</v>
      </c>
      <c r="Z2483" t="s">
        <v>101</v>
      </c>
    </row>
    <row r="2484" spans="1:26">
      <c r="A2484" t="s">
        <v>4625</v>
      </c>
      <c r="B2484" t="s">
        <v>4625</v>
      </c>
      <c r="C2484" s="4">
        <v>45990</v>
      </c>
      <c r="D2484">
        <v>2025</v>
      </c>
      <c r="E2484">
        <v>11</v>
      </c>
      <c r="F2484" t="s">
        <v>27</v>
      </c>
      <c r="G2484" t="s">
        <v>137</v>
      </c>
      <c r="H2484" t="s">
        <v>458</v>
      </c>
      <c r="I2484" t="s">
        <v>417</v>
      </c>
      <c r="J2484" t="s">
        <v>257</v>
      </c>
      <c r="K2484" t="s">
        <v>258</v>
      </c>
      <c r="L2484">
        <v>8</v>
      </c>
      <c r="M2484" s="5">
        <v>429.84</v>
      </c>
      <c r="N2484" s="6">
        <v>5</v>
      </c>
      <c r="O2484" s="5">
        <v>171.94</v>
      </c>
      <c r="P2484" s="5">
        <v>490.02</v>
      </c>
      <c r="Q2484" s="5">
        <v>3756.8</v>
      </c>
      <c r="R2484" s="5">
        <v>2479.84</v>
      </c>
      <c r="S2484" s="5">
        <v>1276.96</v>
      </c>
      <c r="T2484" s="7">
        <v>0.339906303236797</v>
      </c>
      <c r="U2484" t="s">
        <v>9</v>
      </c>
      <c r="V2484" t="s">
        <v>50</v>
      </c>
      <c r="W2484" t="s">
        <v>50</v>
      </c>
      <c r="X2484" t="s">
        <v>35</v>
      </c>
      <c r="Y2484" t="s">
        <v>2236</v>
      </c>
      <c r="Z2484" t="s">
        <v>80</v>
      </c>
    </row>
    <row r="2485" spans="1:26">
      <c r="A2485" t="s">
        <v>4626</v>
      </c>
      <c r="B2485" t="s">
        <v>4626</v>
      </c>
      <c r="C2485" s="4">
        <v>45961</v>
      </c>
      <c r="D2485">
        <v>2025</v>
      </c>
      <c r="E2485">
        <v>10</v>
      </c>
      <c r="F2485" t="s">
        <v>26</v>
      </c>
      <c r="G2485" t="s">
        <v>137</v>
      </c>
      <c r="H2485" t="s">
        <v>2186</v>
      </c>
      <c r="I2485" t="s">
        <v>384</v>
      </c>
      <c r="J2485" t="s">
        <v>642</v>
      </c>
      <c r="K2485" t="s">
        <v>1045</v>
      </c>
      <c r="L2485">
        <v>5</v>
      </c>
      <c r="M2485" s="5">
        <v>186.38</v>
      </c>
      <c r="N2485" s="6">
        <v>5</v>
      </c>
      <c r="O2485" s="5">
        <v>46.59</v>
      </c>
      <c r="P2485" s="5">
        <v>132.8</v>
      </c>
      <c r="Q2485" s="5">
        <v>885.31</v>
      </c>
      <c r="R2485" s="5">
        <v>678.3</v>
      </c>
      <c r="S2485" s="5">
        <v>207.01</v>
      </c>
      <c r="T2485" s="7">
        <v>0.233827698772182</v>
      </c>
      <c r="U2485" t="s">
        <v>9</v>
      </c>
      <c r="V2485" t="s">
        <v>50</v>
      </c>
      <c r="W2485" t="s">
        <v>50</v>
      </c>
      <c r="X2485" t="s">
        <v>33</v>
      </c>
      <c r="Y2485" t="s">
        <v>944</v>
      </c>
      <c r="Z2485" t="s">
        <v>101</v>
      </c>
    </row>
    <row r="2486" spans="1:26">
      <c r="A2486" t="s">
        <v>4627</v>
      </c>
      <c r="B2486" t="s">
        <v>4627</v>
      </c>
      <c r="C2486" s="4">
        <v>45946</v>
      </c>
      <c r="D2486">
        <v>2025</v>
      </c>
      <c r="E2486">
        <v>10</v>
      </c>
      <c r="F2486" t="s">
        <v>26</v>
      </c>
      <c r="G2486" t="s">
        <v>137</v>
      </c>
      <c r="H2486" t="s">
        <v>2313</v>
      </c>
      <c r="I2486" t="s">
        <v>928</v>
      </c>
      <c r="J2486" t="s">
        <v>610</v>
      </c>
      <c r="K2486" t="s">
        <v>915</v>
      </c>
      <c r="L2486">
        <v>3</v>
      </c>
      <c r="M2486" s="5">
        <v>232.92</v>
      </c>
      <c r="N2486" s="6">
        <v>0</v>
      </c>
      <c r="O2486" s="5">
        <v>0</v>
      </c>
      <c r="P2486" s="5">
        <v>104.81</v>
      </c>
      <c r="Q2486" s="5">
        <v>698.76</v>
      </c>
      <c r="R2486" s="5">
        <v>577.23</v>
      </c>
      <c r="S2486" s="5">
        <v>121.53</v>
      </c>
      <c r="T2486" s="7">
        <v>0.173922376781728</v>
      </c>
      <c r="U2486" t="s">
        <v>13</v>
      </c>
      <c r="V2486" t="s">
        <v>50</v>
      </c>
      <c r="W2486" t="s">
        <v>50</v>
      </c>
      <c r="X2486" t="s">
        <v>33</v>
      </c>
      <c r="Y2486" t="s">
        <v>3947</v>
      </c>
      <c r="Z2486" t="s">
        <v>101</v>
      </c>
    </row>
    <row r="2487" spans="1:26">
      <c r="A2487" t="s">
        <v>4628</v>
      </c>
      <c r="B2487" t="s">
        <v>4628</v>
      </c>
      <c r="C2487" s="4">
        <v>46020</v>
      </c>
      <c r="D2487">
        <v>2025</v>
      </c>
      <c r="E2487">
        <v>12</v>
      </c>
      <c r="F2487" t="s">
        <v>28</v>
      </c>
      <c r="G2487" t="s">
        <v>137</v>
      </c>
      <c r="H2487" t="s">
        <v>2541</v>
      </c>
      <c r="I2487" t="s">
        <v>928</v>
      </c>
      <c r="J2487" t="s">
        <v>914</v>
      </c>
      <c r="K2487" t="s">
        <v>1812</v>
      </c>
      <c r="L2487">
        <v>7</v>
      </c>
      <c r="M2487" s="5">
        <v>235.76</v>
      </c>
      <c r="N2487" s="6">
        <v>10</v>
      </c>
      <c r="O2487" s="5">
        <v>165.03</v>
      </c>
      <c r="P2487" s="5">
        <v>222.79</v>
      </c>
      <c r="Q2487" s="5">
        <v>1485.29</v>
      </c>
      <c r="R2487" s="5">
        <v>1346.87</v>
      </c>
      <c r="S2487" s="5">
        <v>138.42</v>
      </c>
      <c r="T2487" s="7">
        <v>0.0931939217257236</v>
      </c>
      <c r="U2487" t="s">
        <v>12</v>
      </c>
      <c r="V2487" t="s">
        <v>50</v>
      </c>
      <c r="W2487" t="s">
        <v>50</v>
      </c>
      <c r="X2487" t="s">
        <v>33</v>
      </c>
      <c r="Y2487" t="s">
        <v>3073</v>
      </c>
      <c r="Z2487" t="s">
        <v>101</v>
      </c>
    </row>
    <row r="2488" spans="1:26">
      <c r="A2488" t="s">
        <v>4629</v>
      </c>
      <c r="B2488" t="s">
        <v>4629</v>
      </c>
      <c r="C2488" s="4">
        <v>45896</v>
      </c>
      <c r="D2488">
        <v>2025</v>
      </c>
      <c r="E2488">
        <v>8</v>
      </c>
      <c r="F2488" t="s">
        <v>24</v>
      </c>
      <c r="G2488" t="s">
        <v>89</v>
      </c>
      <c r="H2488" t="s">
        <v>1467</v>
      </c>
      <c r="I2488" t="s">
        <v>417</v>
      </c>
      <c r="J2488" t="s">
        <v>465</v>
      </c>
      <c r="K2488" t="s">
        <v>829</v>
      </c>
      <c r="L2488">
        <v>1</v>
      </c>
      <c r="M2488" s="5">
        <v>380.12</v>
      </c>
      <c r="N2488" s="6">
        <v>0</v>
      </c>
      <c r="O2488" s="5">
        <v>0</v>
      </c>
      <c r="P2488" s="5">
        <v>57.02</v>
      </c>
      <c r="Q2488" s="5">
        <v>380.12</v>
      </c>
      <c r="R2488" s="5">
        <v>309.98</v>
      </c>
      <c r="S2488" s="5">
        <v>70.14</v>
      </c>
      <c r="T2488" s="7">
        <v>0.184520677680732</v>
      </c>
      <c r="U2488" t="s">
        <v>11</v>
      </c>
      <c r="V2488" t="s">
        <v>50</v>
      </c>
      <c r="W2488" t="s">
        <v>50</v>
      </c>
      <c r="X2488" t="s">
        <v>33</v>
      </c>
      <c r="Y2488" t="s">
        <v>1256</v>
      </c>
      <c r="Z2488" t="s">
        <v>101</v>
      </c>
    </row>
    <row r="2489" spans="1:26">
      <c r="A2489" t="s">
        <v>4630</v>
      </c>
      <c r="B2489" t="s">
        <v>4630</v>
      </c>
      <c r="C2489" s="4">
        <v>46002</v>
      </c>
      <c r="D2489">
        <v>2025</v>
      </c>
      <c r="E2489">
        <v>12</v>
      </c>
      <c r="F2489" t="s">
        <v>28</v>
      </c>
      <c r="G2489" t="s">
        <v>137</v>
      </c>
      <c r="H2489" t="s">
        <v>1630</v>
      </c>
      <c r="I2489" t="s">
        <v>1343</v>
      </c>
      <c r="J2489" t="s">
        <v>339</v>
      </c>
      <c r="K2489" t="s">
        <v>281</v>
      </c>
      <c r="L2489">
        <v>3</v>
      </c>
      <c r="M2489" s="5">
        <v>490.22</v>
      </c>
      <c r="N2489" s="6">
        <v>0</v>
      </c>
      <c r="O2489" s="5">
        <v>0</v>
      </c>
      <c r="P2489" s="5">
        <v>220.6</v>
      </c>
      <c r="Q2489" s="5">
        <v>1470.66</v>
      </c>
      <c r="R2489" s="5">
        <v>1120.74</v>
      </c>
      <c r="S2489" s="5">
        <v>349.92</v>
      </c>
      <c r="T2489" s="7">
        <v>0.237933988821346</v>
      </c>
      <c r="U2489" t="s">
        <v>11</v>
      </c>
      <c r="V2489" t="s">
        <v>50</v>
      </c>
      <c r="W2489" t="s">
        <v>50</v>
      </c>
      <c r="X2489" t="s">
        <v>33</v>
      </c>
      <c r="Y2489" t="s">
        <v>4024</v>
      </c>
      <c r="Z2489" t="s">
        <v>101</v>
      </c>
    </row>
    <row r="2490" spans="1:26">
      <c r="A2490" t="s">
        <v>4631</v>
      </c>
      <c r="B2490" t="s">
        <v>4631</v>
      </c>
      <c r="C2490" s="4">
        <v>45934</v>
      </c>
      <c r="D2490">
        <v>2025</v>
      </c>
      <c r="E2490">
        <v>10</v>
      </c>
      <c r="F2490" t="s">
        <v>26</v>
      </c>
      <c r="G2490" t="s">
        <v>137</v>
      </c>
      <c r="H2490" t="s">
        <v>1553</v>
      </c>
      <c r="I2490" t="s">
        <v>1360</v>
      </c>
      <c r="J2490" t="s">
        <v>77</v>
      </c>
      <c r="K2490" t="s">
        <v>3489</v>
      </c>
      <c r="L2490">
        <v>2</v>
      </c>
      <c r="M2490" s="5">
        <v>229.81</v>
      </c>
      <c r="N2490" s="6">
        <v>0</v>
      </c>
      <c r="O2490" s="5">
        <v>0</v>
      </c>
      <c r="P2490" s="5">
        <v>68.94</v>
      </c>
      <c r="Q2490" s="5">
        <v>528.56</v>
      </c>
      <c r="R2490" s="5">
        <v>416.44</v>
      </c>
      <c r="S2490" s="5">
        <v>112.12</v>
      </c>
      <c r="T2490" s="7">
        <v>0.212123505373089</v>
      </c>
      <c r="U2490" t="s">
        <v>12</v>
      </c>
      <c r="V2490" t="s">
        <v>50</v>
      </c>
      <c r="W2490" t="s">
        <v>50</v>
      </c>
      <c r="X2490" t="s">
        <v>34</v>
      </c>
      <c r="Y2490" t="s">
        <v>2776</v>
      </c>
      <c r="Z2490" t="s">
        <v>80</v>
      </c>
    </row>
    <row r="2491" spans="1:26">
      <c r="A2491" t="s">
        <v>4632</v>
      </c>
      <c r="B2491" t="s">
        <v>4632</v>
      </c>
      <c r="C2491" s="4">
        <v>45912</v>
      </c>
      <c r="D2491">
        <v>2025</v>
      </c>
      <c r="E2491">
        <v>9</v>
      </c>
      <c r="F2491" t="s">
        <v>25</v>
      </c>
      <c r="G2491" t="s">
        <v>89</v>
      </c>
      <c r="H2491" t="s">
        <v>2924</v>
      </c>
      <c r="I2491" t="s">
        <v>933</v>
      </c>
      <c r="J2491" t="s">
        <v>1347</v>
      </c>
      <c r="K2491" t="s">
        <v>825</v>
      </c>
      <c r="L2491">
        <v>2</v>
      </c>
      <c r="M2491" s="5">
        <v>425.88</v>
      </c>
      <c r="N2491" s="6">
        <v>15</v>
      </c>
      <c r="O2491" s="5">
        <v>127.76</v>
      </c>
      <c r="P2491" s="5">
        <v>108.6</v>
      </c>
      <c r="Q2491" s="5">
        <v>724</v>
      </c>
      <c r="R2491" s="5">
        <v>714.94</v>
      </c>
      <c r="S2491" s="5">
        <v>9.06</v>
      </c>
      <c r="T2491" s="7">
        <v>0.0125138121546961</v>
      </c>
      <c r="U2491" t="s">
        <v>11</v>
      </c>
      <c r="V2491" t="s">
        <v>50</v>
      </c>
      <c r="W2491" t="s">
        <v>50</v>
      </c>
      <c r="X2491" t="s">
        <v>33</v>
      </c>
      <c r="Y2491" t="s">
        <v>956</v>
      </c>
      <c r="Z2491" t="s">
        <v>101</v>
      </c>
    </row>
    <row r="2492" spans="1:26">
      <c r="A2492" t="s">
        <v>4633</v>
      </c>
      <c r="B2492" t="s">
        <v>4633</v>
      </c>
      <c r="C2492" s="4">
        <v>45886</v>
      </c>
      <c r="D2492">
        <v>2025</v>
      </c>
      <c r="E2492">
        <v>8</v>
      </c>
      <c r="F2492" t="s">
        <v>24</v>
      </c>
      <c r="G2492" t="s">
        <v>89</v>
      </c>
      <c r="H2492" t="s">
        <v>2313</v>
      </c>
      <c r="I2492" t="s">
        <v>350</v>
      </c>
      <c r="J2492" t="s">
        <v>318</v>
      </c>
      <c r="K2492" t="s">
        <v>159</v>
      </c>
      <c r="L2492">
        <v>2</v>
      </c>
      <c r="M2492" s="5">
        <v>343.56</v>
      </c>
      <c r="N2492" s="6">
        <v>15</v>
      </c>
      <c r="O2492" s="5">
        <v>103.07</v>
      </c>
      <c r="P2492" s="5">
        <v>87.61</v>
      </c>
      <c r="Q2492" s="5">
        <v>671.66</v>
      </c>
      <c r="R2492" s="5">
        <v>432.64</v>
      </c>
      <c r="S2492" s="5">
        <v>239.02</v>
      </c>
      <c r="T2492" s="7">
        <v>0.355864574338207</v>
      </c>
      <c r="U2492" t="s">
        <v>14</v>
      </c>
      <c r="V2492" t="s">
        <v>50</v>
      </c>
      <c r="W2492" t="s">
        <v>50</v>
      </c>
      <c r="X2492" t="s">
        <v>33</v>
      </c>
      <c r="Y2492" t="s">
        <v>1779</v>
      </c>
      <c r="Z2492" t="s">
        <v>80</v>
      </c>
    </row>
    <row r="2493" spans="1:26">
      <c r="A2493" t="s">
        <v>4634</v>
      </c>
      <c r="B2493" t="s">
        <v>4634</v>
      </c>
      <c r="C2493" s="4">
        <v>45982</v>
      </c>
      <c r="D2493">
        <v>2025</v>
      </c>
      <c r="E2493">
        <v>11</v>
      </c>
      <c r="F2493" t="s">
        <v>27</v>
      </c>
      <c r="G2493" t="s">
        <v>137</v>
      </c>
      <c r="H2493" t="s">
        <v>1898</v>
      </c>
      <c r="I2493" t="s">
        <v>1196</v>
      </c>
      <c r="J2493" t="s">
        <v>133</v>
      </c>
      <c r="K2493" t="s">
        <v>340</v>
      </c>
      <c r="L2493">
        <v>2</v>
      </c>
      <c r="M2493" s="5">
        <v>147.72</v>
      </c>
      <c r="N2493" s="6">
        <v>20</v>
      </c>
      <c r="O2493" s="5">
        <v>59.09</v>
      </c>
      <c r="P2493" s="5">
        <v>35.45</v>
      </c>
      <c r="Q2493" s="5">
        <v>236.35</v>
      </c>
      <c r="R2493" s="5">
        <v>218.42</v>
      </c>
      <c r="S2493" s="5">
        <v>17.93</v>
      </c>
      <c r="T2493" s="7">
        <v>0.0758620689655172</v>
      </c>
      <c r="U2493" t="s">
        <v>14</v>
      </c>
      <c r="V2493" t="s">
        <v>50</v>
      </c>
      <c r="W2493" t="s">
        <v>50</v>
      </c>
      <c r="X2493" t="s">
        <v>34</v>
      </c>
      <c r="Y2493" t="s">
        <v>4539</v>
      </c>
      <c r="Z2493" t="s">
        <v>101</v>
      </c>
    </row>
    <row r="2494" spans="1:26">
      <c r="A2494" t="s">
        <v>4635</v>
      </c>
      <c r="B2494" t="s">
        <v>4635</v>
      </c>
      <c r="C2494" s="4">
        <v>46096</v>
      </c>
      <c r="D2494">
        <v>2026</v>
      </c>
      <c r="E2494">
        <v>3</v>
      </c>
      <c r="F2494" t="s">
        <v>19</v>
      </c>
      <c r="G2494" t="s">
        <v>82</v>
      </c>
      <c r="H2494" t="s">
        <v>2313</v>
      </c>
      <c r="I2494" t="s">
        <v>450</v>
      </c>
      <c r="J2494" t="s">
        <v>43</v>
      </c>
      <c r="K2494" t="s">
        <v>375</v>
      </c>
      <c r="L2494">
        <v>2</v>
      </c>
      <c r="M2494" s="5">
        <v>440.5</v>
      </c>
      <c r="N2494" s="6">
        <v>10</v>
      </c>
      <c r="O2494" s="5">
        <v>88.1</v>
      </c>
      <c r="P2494" s="5">
        <v>118.93</v>
      </c>
      <c r="Q2494" s="5">
        <v>911.83</v>
      </c>
      <c r="R2494" s="5">
        <v>508.1</v>
      </c>
      <c r="S2494" s="5">
        <v>403.73</v>
      </c>
      <c r="T2494" s="7">
        <v>0.44276893719224</v>
      </c>
      <c r="U2494" t="s">
        <v>14</v>
      </c>
      <c r="V2494" t="s">
        <v>50</v>
      </c>
      <c r="W2494" t="s">
        <v>50</v>
      </c>
      <c r="X2494" t="s">
        <v>35</v>
      </c>
      <c r="Y2494" t="s">
        <v>1046</v>
      </c>
      <c r="Z2494" t="s">
        <v>80</v>
      </c>
    </row>
    <row r="2495" spans="1:26">
      <c r="A2495" t="s">
        <v>4636</v>
      </c>
      <c r="B2495" t="s">
        <v>4636</v>
      </c>
      <c r="C2495" s="4">
        <v>46098</v>
      </c>
      <c r="D2495">
        <v>2026</v>
      </c>
      <c r="E2495">
        <v>3</v>
      </c>
      <c r="F2495" t="s">
        <v>19</v>
      </c>
      <c r="G2495" t="s">
        <v>82</v>
      </c>
      <c r="H2495" t="s">
        <v>980</v>
      </c>
      <c r="I2495" t="s">
        <v>328</v>
      </c>
      <c r="J2495" t="s">
        <v>1409</v>
      </c>
      <c r="K2495" t="s">
        <v>1410</v>
      </c>
      <c r="L2495">
        <v>3</v>
      </c>
      <c r="M2495" s="5">
        <v>124.84</v>
      </c>
      <c r="N2495" s="6">
        <v>0</v>
      </c>
      <c r="O2495" s="5">
        <v>0</v>
      </c>
      <c r="P2495" s="5">
        <v>56.18</v>
      </c>
      <c r="Q2495" s="5">
        <v>374.52</v>
      </c>
      <c r="R2495" s="5">
        <v>292.05</v>
      </c>
      <c r="S2495" s="5">
        <v>82.47</v>
      </c>
      <c r="T2495" s="7">
        <v>0.220201858378725</v>
      </c>
      <c r="U2495" t="s">
        <v>9</v>
      </c>
      <c r="V2495" t="s">
        <v>50</v>
      </c>
      <c r="W2495" t="s">
        <v>50</v>
      </c>
      <c r="X2495" t="s">
        <v>33</v>
      </c>
      <c r="Y2495" t="s">
        <v>1941</v>
      </c>
      <c r="Z2495" t="s">
        <v>101</v>
      </c>
    </row>
    <row r="2496" spans="1:26">
      <c r="A2496" t="s">
        <v>4637</v>
      </c>
      <c r="B2496" t="s">
        <v>4637</v>
      </c>
      <c r="C2496" s="4">
        <v>45997</v>
      </c>
      <c r="D2496">
        <v>2025</v>
      </c>
      <c r="E2496">
        <v>12</v>
      </c>
      <c r="F2496" t="s">
        <v>28</v>
      </c>
      <c r="G2496" t="s">
        <v>137</v>
      </c>
      <c r="H2496" t="s">
        <v>2541</v>
      </c>
      <c r="I2496" t="s">
        <v>344</v>
      </c>
      <c r="J2496" t="s">
        <v>158</v>
      </c>
      <c r="K2496" t="s">
        <v>724</v>
      </c>
      <c r="L2496">
        <v>7</v>
      </c>
      <c r="M2496" s="5">
        <v>575.61</v>
      </c>
      <c r="N2496" s="6">
        <v>15</v>
      </c>
      <c r="O2496" s="5">
        <v>604.39</v>
      </c>
      <c r="P2496" s="5">
        <v>513.73</v>
      </c>
      <c r="Q2496" s="5">
        <v>3938.61</v>
      </c>
      <c r="R2496" s="5">
        <v>2543.03</v>
      </c>
      <c r="S2496" s="5">
        <v>1395.58</v>
      </c>
      <c r="T2496" s="7">
        <v>0.354333127677023</v>
      </c>
      <c r="U2496" t="s">
        <v>14</v>
      </c>
      <c r="V2496" t="s">
        <v>51</v>
      </c>
      <c r="W2496" t="s">
        <v>51</v>
      </c>
      <c r="X2496" t="s">
        <v>33</v>
      </c>
      <c r="Y2496" t="s">
        <v>2757</v>
      </c>
      <c r="Z2496" t="s">
        <v>80</v>
      </c>
    </row>
    <row r="2497" spans="1:26">
      <c r="A2497" t="s">
        <v>4638</v>
      </c>
      <c r="B2497" t="s">
        <v>4638</v>
      </c>
      <c r="C2497" s="4">
        <v>45851</v>
      </c>
      <c r="D2497">
        <v>2025</v>
      </c>
      <c r="E2497">
        <v>7</v>
      </c>
      <c r="F2497" t="s">
        <v>23</v>
      </c>
      <c r="G2497" t="s">
        <v>89</v>
      </c>
      <c r="H2497" t="s">
        <v>337</v>
      </c>
      <c r="I2497" t="s">
        <v>323</v>
      </c>
      <c r="J2497" t="s">
        <v>1485</v>
      </c>
      <c r="K2497" t="s">
        <v>3122</v>
      </c>
      <c r="L2497">
        <v>5</v>
      </c>
      <c r="M2497" s="5">
        <v>52.47</v>
      </c>
      <c r="N2497" s="6">
        <v>10</v>
      </c>
      <c r="O2497" s="5">
        <v>26.23</v>
      </c>
      <c r="P2497" s="5">
        <v>35.42</v>
      </c>
      <c r="Q2497" s="5">
        <v>271.54</v>
      </c>
      <c r="R2497" s="5">
        <v>187.4</v>
      </c>
      <c r="S2497" s="5">
        <v>84.14</v>
      </c>
      <c r="T2497" s="7">
        <v>0.309862267069308</v>
      </c>
      <c r="U2497" t="s">
        <v>10</v>
      </c>
      <c r="V2497" t="s">
        <v>50</v>
      </c>
      <c r="W2497" t="s">
        <v>50</v>
      </c>
      <c r="X2497" t="s">
        <v>33</v>
      </c>
      <c r="Y2497" t="s">
        <v>2042</v>
      </c>
      <c r="Z2497" t="s">
        <v>80</v>
      </c>
    </row>
    <row r="2498" spans="1:26">
      <c r="A2498" t="s">
        <v>4639</v>
      </c>
      <c r="B2498" t="s">
        <v>4639</v>
      </c>
      <c r="C2498" s="4">
        <v>46033</v>
      </c>
      <c r="D2498">
        <v>2026</v>
      </c>
      <c r="E2498">
        <v>1</v>
      </c>
      <c r="F2498" t="s">
        <v>30</v>
      </c>
      <c r="G2498" t="s">
        <v>82</v>
      </c>
      <c r="H2498" t="s">
        <v>3539</v>
      </c>
      <c r="I2498" t="s">
        <v>722</v>
      </c>
      <c r="J2498" t="s">
        <v>1834</v>
      </c>
      <c r="K2498" t="s">
        <v>1835</v>
      </c>
      <c r="L2498">
        <v>2</v>
      </c>
      <c r="M2498" s="5">
        <v>157.98</v>
      </c>
      <c r="N2498" s="6">
        <v>10</v>
      </c>
      <c r="O2498" s="5">
        <v>31.6</v>
      </c>
      <c r="P2498" s="5">
        <v>42.65</v>
      </c>
      <c r="Q2498" s="5">
        <v>327.01</v>
      </c>
      <c r="R2498" s="5">
        <v>275.9</v>
      </c>
      <c r="S2498" s="5">
        <v>51.11</v>
      </c>
      <c r="T2498" s="7">
        <v>0.156294914528608</v>
      </c>
      <c r="U2498" t="s">
        <v>12</v>
      </c>
      <c r="V2498" t="s">
        <v>50</v>
      </c>
      <c r="W2498" t="s">
        <v>50</v>
      </c>
      <c r="X2498" t="s">
        <v>34</v>
      </c>
      <c r="Y2498" t="s">
        <v>2077</v>
      </c>
      <c r="Z2498" t="s">
        <v>80</v>
      </c>
    </row>
    <row r="2499" spans="1:26">
      <c r="A2499" t="s">
        <v>4640</v>
      </c>
      <c r="B2499" t="s">
        <v>4640</v>
      </c>
      <c r="C2499" s="4">
        <v>46075</v>
      </c>
      <c r="D2499">
        <v>2026</v>
      </c>
      <c r="E2499">
        <v>2</v>
      </c>
      <c r="F2499" t="s">
        <v>31</v>
      </c>
      <c r="G2499" t="s">
        <v>82</v>
      </c>
      <c r="H2499" t="s">
        <v>1057</v>
      </c>
      <c r="I2499" t="s">
        <v>235</v>
      </c>
      <c r="J2499" t="s">
        <v>1657</v>
      </c>
      <c r="K2499" t="s">
        <v>1658</v>
      </c>
      <c r="L2499">
        <v>3</v>
      </c>
      <c r="M2499" s="5">
        <v>249.45</v>
      </c>
      <c r="N2499" s="6">
        <v>15</v>
      </c>
      <c r="O2499" s="5">
        <v>112.25</v>
      </c>
      <c r="P2499" s="5">
        <v>95.41</v>
      </c>
      <c r="Q2499" s="5">
        <v>731.51</v>
      </c>
      <c r="R2499" s="5">
        <v>531.09</v>
      </c>
      <c r="S2499" s="5">
        <v>200.42</v>
      </c>
      <c r="T2499" s="7">
        <v>0.273981216934833</v>
      </c>
      <c r="U2499" t="s">
        <v>12</v>
      </c>
      <c r="V2499" t="s">
        <v>50</v>
      </c>
      <c r="W2499" t="s">
        <v>50</v>
      </c>
      <c r="X2499" t="s">
        <v>33</v>
      </c>
      <c r="Y2499" t="s">
        <v>845</v>
      </c>
      <c r="Z2499" t="s">
        <v>80</v>
      </c>
    </row>
    <row r="2500" spans="1:26">
      <c r="A2500" t="s">
        <v>4641</v>
      </c>
      <c r="B2500" t="s">
        <v>4641</v>
      </c>
      <c r="C2500" s="4">
        <v>46002</v>
      </c>
      <c r="D2500">
        <v>2025</v>
      </c>
      <c r="E2500">
        <v>12</v>
      </c>
      <c r="F2500" t="s">
        <v>28</v>
      </c>
      <c r="G2500" t="s">
        <v>137</v>
      </c>
      <c r="H2500" t="s">
        <v>1654</v>
      </c>
      <c r="I2500" t="s">
        <v>285</v>
      </c>
      <c r="J2500" t="s">
        <v>1435</v>
      </c>
      <c r="K2500" t="s">
        <v>1634</v>
      </c>
      <c r="L2500">
        <v>4</v>
      </c>
      <c r="M2500" s="5">
        <v>541.35</v>
      </c>
      <c r="N2500" s="6">
        <v>0</v>
      </c>
      <c r="O2500" s="5">
        <v>0</v>
      </c>
      <c r="P2500" s="5">
        <v>324.81</v>
      </c>
      <c r="Q2500" s="5">
        <v>2165.4</v>
      </c>
      <c r="R2500" s="5">
        <v>1345.6</v>
      </c>
      <c r="S2500" s="5">
        <v>819.8</v>
      </c>
      <c r="T2500" s="7">
        <v>0.378590560635448</v>
      </c>
      <c r="U2500" t="s">
        <v>13</v>
      </c>
      <c r="V2500" t="s">
        <v>50</v>
      </c>
      <c r="W2500" t="s">
        <v>50</v>
      </c>
      <c r="X2500" t="s">
        <v>35</v>
      </c>
      <c r="Y2500" t="s">
        <v>1699</v>
      </c>
      <c r="Z2500" t="s">
        <v>101</v>
      </c>
    </row>
    <row r="2501" spans="1:26">
      <c r="A2501" t="s">
        <v>4642</v>
      </c>
      <c r="B2501" t="s">
        <v>4642</v>
      </c>
      <c r="C2501" s="4">
        <v>45872</v>
      </c>
      <c r="D2501">
        <v>2025</v>
      </c>
      <c r="E2501">
        <v>8</v>
      </c>
      <c r="F2501" t="s">
        <v>24</v>
      </c>
      <c r="G2501" t="s">
        <v>89</v>
      </c>
      <c r="H2501" t="s">
        <v>1082</v>
      </c>
      <c r="I2501" t="s">
        <v>104</v>
      </c>
      <c r="J2501" t="s">
        <v>477</v>
      </c>
      <c r="K2501" t="s">
        <v>1180</v>
      </c>
      <c r="L2501">
        <v>2</v>
      </c>
      <c r="M2501" s="5">
        <v>313.47</v>
      </c>
      <c r="N2501" s="6">
        <v>10</v>
      </c>
      <c r="O2501" s="5">
        <v>62.69</v>
      </c>
      <c r="P2501" s="5">
        <v>84.64</v>
      </c>
      <c r="Q2501" s="5">
        <v>648.89</v>
      </c>
      <c r="R2501" s="5">
        <v>492.24</v>
      </c>
      <c r="S2501" s="5">
        <v>156.65</v>
      </c>
      <c r="T2501" s="7">
        <v>0.241412257855723</v>
      </c>
      <c r="U2501" t="s">
        <v>9</v>
      </c>
      <c r="V2501" t="s">
        <v>50</v>
      </c>
      <c r="W2501" t="s">
        <v>50</v>
      </c>
      <c r="X2501" t="s">
        <v>33</v>
      </c>
      <c r="Y2501" t="s">
        <v>953</v>
      </c>
      <c r="Z2501" t="s">
        <v>80</v>
      </c>
    </row>
  </sheetData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36" customWidth="1"/>
    <col min="2" max="2" width="100" customWidth="1"/>
  </cols>
  <sheetData>
    <row r="1" spans="1:2">
      <c r="A1" s="2" t="s">
        <v>4643</v>
      </c>
      <c r="B1" s="2" t="s">
        <v>4644</v>
      </c>
    </row>
    <row r="2" spans="1:2">
      <c r="A2" t="s">
        <v>4645</v>
      </c>
      <c r="B2">
        <v>2500</v>
      </c>
    </row>
    <row r="3" spans="1:2">
      <c r="A3" t="s">
        <v>4646</v>
      </c>
      <c r="B3">
        <v>26</v>
      </c>
    </row>
    <row r="4" spans="1:2">
      <c r="A4" t="s">
        <v>4647</v>
      </c>
      <c r="B4">
        <v>30</v>
      </c>
    </row>
    <row r="5" spans="1:2">
      <c r="A5" t="s">
        <v>4648</v>
      </c>
      <c r="B5">
        <v>0</v>
      </c>
    </row>
    <row r="6" spans="1:2">
      <c r="A6" t="s">
        <v>4649</v>
      </c>
      <c r="B6">
        <v>10</v>
      </c>
    </row>
    <row r="7" spans="1:2">
      <c r="A7" t="s">
        <v>4650</v>
      </c>
      <c r="B7">
        <v>2500</v>
      </c>
    </row>
    <row r="8" spans="1:2">
      <c r="A8" t="s">
        <v>4651</v>
      </c>
      <c r="B8" t="s">
        <v>4652</v>
      </c>
    </row>
    <row r="9" spans="1:2">
      <c r="A9" t="s">
        <v>4653</v>
      </c>
      <c r="B9" t="s">
        <v>4654</v>
      </c>
    </row>
    <row r="10" spans="1:2">
      <c r="A10" t="s">
        <v>4655</v>
      </c>
      <c r="B10" t="s">
        <v>4656</v>
      </c>
    </row>
    <row r="11" spans="1:2">
      <c r="A11" t="s">
        <v>4657</v>
      </c>
      <c r="B11" t="s">
        <v>4658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 outlineLevelCol="1"/>
  <cols>
    <col min="1" max="1" width="28" customWidth="1"/>
    <col min="2" max="2" width="110" customWidth="1"/>
  </cols>
  <sheetData>
    <row r="1" ht="21" spans="1:2">
      <c r="A1" s="1" t="s">
        <v>4659</v>
      </c>
    </row>
    <row r="2" spans="1:2">
      <c r="A2" t="s">
        <v>4660</v>
      </c>
      <c r="B2" t="s">
        <v>4661</v>
      </c>
    </row>
    <row r="3" spans="1:2">
      <c r="A3" t="s">
        <v>4662</v>
      </c>
      <c r="B3" t="s">
        <v>4663</v>
      </c>
    </row>
    <row r="4" spans="1:2">
      <c r="A4" t="s">
        <v>4664</v>
      </c>
      <c r="B4" t="s">
        <v>4665</v>
      </c>
    </row>
    <row r="5" spans="1:2">
      <c r="A5" t="s">
        <v>4666</v>
      </c>
      <c r="B5" t="s">
        <v>4667</v>
      </c>
    </row>
    <row r="6" spans="1:2">
      <c r="A6" t="s">
        <v>4668</v>
      </c>
      <c r="B6" t="s">
        <v>4669</v>
      </c>
    </row>
    <row r="7" spans="1:2">
      <c r="A7" t="s">
        <v>4670</v>
      </c>
      <c r="B7" t="s">
        <v>4671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Dashboard</vt:lpstr>
      <vt:lpstr>pivort</vt:lpstr>
      <vt:lpstr>Pivot_Monthly</vt:lpstr>
      <vt:lpstr>Pivot_Channel</vt:lpstr>
      <vt:lpstr>Pivot_Profit</vt:lpstr>
      <vt:lpstr>Pivot_Stores</vt:lpstr>
      <vt:lpstr>Pivot_Returns</vt:lpstr>
      <vt:lpstr>Sales_Data</vt:lpstr>
      <vt:lpstr>Data_Quality</vt:lpstr>
      <vt:lpstr>Dashboard_Guide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Friends Of TGS</cp:lastModifiedBy>
  <dcterms:created xsi:type="dcterms:W3CDTF">2026-08-17T16:11:00Z</dcterms:created>
  <dcterms:modified xsi:type="dcterms:W3CDTF">2026-08-17T17:55:42Z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D8EDA008CDF24523B4F06B1C3A927A44_12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